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8ac944fc7b4f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a938cfd4733f4949"/>
    <x:sheet xmlns:r="http://schemas.openxmlformats.org/officeDocument/2006/relationships" name="01_观察名单" sheetId="2" r:id="R740cd46ed8bc450f"/>
    <x:sheet xmlns:r="http://schemas.openxmlformats.org/officeDocument/2006/relationships" name="02_质量评分" sheetId="3" r:id="Re29a7c4e034e4c85"/>
    <x:sheet xmlns:r="http://schemas.openxmlformats.org/officeDocument/2006/relationships" name="03_财务指标" sheetId="4" r:id="Rcd9be01928e8456f"/>
    <x:sheet xmlns:r="http://schemas.openxmlformats.org/officeDocument/2006/relationships" name="04_估值跟踪" sheetId="5" r:id="R8779f41fc9924974"/>
    <x:sheet xmlns:r="http://schemas.openxmlformats.org/officeDocument/2006/relationships" name="05_仓位管理" sheetId="6" r:id="R6ff58ba9e94c4371"/>
    <x:sheet xmlns:r="http://schemas.openxmlformats.org/officeDocument/2006/relationships" name="06_月度跟踪" sheetId="7" r:id="R865e33b0d8e34c9f"/>
    <x:sheet xmlns:r="http://schemas.openxmlformats.org/officeDocument/2006/relationships" name="07_月度复盘" sheetId="8" r:id="R6574238a1f594400"/>
    <x:sheet xmlns:r="http://schemas.openxmlformats.org/officeDocument/2006/relationships" name="08_交易记录" sheetId="9" r:id="Rf1f589ecd5ae47b5"/>
    <x:sheet xmlns:r="http://schemas.openxmlformats.org/officeDocument/2006/relationships" name="09_公司研究" sheetId="10" r:id="R9a3cb002162443a2"/>
    <x:sheet xmlns:r="http://schemas.openxmlformats.org/officeDocument/2006/relationships" name="10_年报跟踪" sheetId="11" r:id="R392936e41bca46ad"/>
    <x:sheet xmlns:r="http://schemas.openxmlformats.org/officeDocument/2006/relationships" name="11_数据源审计" sheetId="12" r:id="R344f8298ff564c29"/>
    <x:sheet xmlns:r="http://schemas.openxmlformats.org/officeDocument/2006/relationships" name="12_系统设置" sheetId="13" r:id="R73b9565ae75249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68ebef45c04e96" /><Relationship Type="http://schemas.openxmlformats.org/officeDocument/2006/relationships/theme" Target="/xl/theme/theme1.xml" Id="R1e4bb3402b4a411c" /><Relationship Type="http://schemas.openxmlformats.org/officeDocument/2006/relationships/sharedStrings" Target="/xl/sharedStrings.xml" Id="R5a3fc7be7df74271" /><Relationship Type="http://schemas.openxmlformats.org/officeDocument/2006/relationships/worksheet" Target="/xl/worksheets/sheet1.xml" Id="Ra938cfd4733f4949" /><Relationship Type="http://schemas.openxmlformats.org/officeDocument/2006/relationships/worksheet" Target="/xl/worksheets/sheet2.xml" Id="R740cd46ed8bc450f" /><Relationship Type="http://schemas.openxmlformats.org/officeDocument/2006/relationships/worksheet" Target="/xl/worksheets/sheet3.xml" Id="Re29a7c4e034e4c85" /><Relationship Type="http://schemas.openxmlformats.org/officeDocument/2006/relationships/worksheet" Target="/xl/worksheets/sheet4.xml" Id="Rcd9be01928e8456f" /><Relationship Type="http://schemas.openxmlformats.org/officeDocument/2006/relationships/worksheet" Target="/xl/worksheets/sheet5.xml" Id="R8779f41fc9924974" /><Relationship Type="http://schemas.openxmlformats.org/officeDocument/2006/relationships/worksheet" Target="/xl/worksheets/sheet6.xml" Id="R6ff58ba9e94c4371" /><Relationship Type="http://schemas.openxmlformats.org/officeDocument/2006/relationships/worksheet" Target="/xl/worksheets/sheet7.xml" Id="R865e33b0d8e34c9f" /><Relationship Type="http://schemas.openxmlformats.org/officeDocument/2006/relationships/worksheet" Target="/xl/worksheets/sheet8.xml" Id="R6574238a1f594400" /><Relationship Type="http://schemas.openxmlformats.org/officeDocument/2006/relationships/worksheet" Target="/xl/worksheets/sheet9.xml" Id="Rf1f589ecd5ae47b5" /><Relationship Type="http://schemas.openxmlformats.org/officeDocument/2006/relationships/worksheet" Target="/xl/worksheets/sheet10.xml" Id="R9a3cb002162443a2" /><Relationship Type="http://schemas.openxmlformats.org/officeDocument/2006/relationships/worksheet" Target="/xl/worksheets/sheet11.xml" Id="R392936e41bca46ad" /><Relationship Type="http://schemas.openxmlformats.org/officeDocument/2006/relationships/worksheet" Target="/xl/worksheets/sheet12.xml" Id="R344f8298ff564c29" /><Relationship Type="http://schemas.openxmlformats.org/officeDocument/2006/relationships/worksheet" Target="/xl/worksheets/sheet13.xml" Id="R73b9565ae75249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1850b3cf864596" /><Relationship Type="http://schemas.openxmlformats.org/officeDocument/2006/relationships/chart" Target="/xl/drawings/charts/chart2.xml" Id="R0e81ccdb81ee465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建仓信号分布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观察池策略类型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1850b3cf864596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81ccdb81ee465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89ec5c5bd34769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str">
        <x:f>IFERROR(AVERAGEIF('01_观察名单'!H4:H100,"&gt;-100",'01_观察名单'!H4:H100),"")</x:f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10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待数据</x:v>
      </x:c>
      <x:c r="D12" s="92" t="n">
        <x:f>'01_观察名单'!J4</x:f>
        <x:v>82.1</x:v>
      </x:c>
      <x:c r="E12" s="92" t="str">
        <x:f>'01_观察名单'!K4</x:f>
        <x:v>待数据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等待数据</x:v>
      </x:c>
      <x:c r="I12" s="92" t="str">
        <x:f>'01_观察名单'!P4</x:f>
        <x:v>缺失</x:v>
      </x:c>
      <x:c r="J12" s="94" t="str">
        <x:f>'01_观察名单'!O4</x:f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待数据</x:v>
      </x:c>
      <x:c r="D13" s="92" t="n">
        <x:f>'01_观察名单'!J5</x:f>
        <x:v>81.3</x:v>
      </x:c>
      <x:c r="E13" s="92" t="str">
        <x:f>'01_观察名单'!K5</x:f>
        <x:v>待数据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等待数据</x:v>
      </x:c>
      <x:c r="I13" s="92" t="str">
        <x:f>'01_观察名单'!P5</x:f>
        <x:v>缺失</x:v>
      </x:c>
      <x:c r="J13" s="94" t="str">
        <x:f>'01_观察名单'!O5</x:f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待数据</x:v>
      </x:c>
      <x:c r="D14" s="92" t="n">
        <x:f>'01_观察名单'!J6</x:f>
        <x:v>87.8</x:v>
      </x:c>
      <x:c r="E14" s="92" t="str">
        <x:f>'01_观察名单'!K6</x:f>
        <x:v>待数据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等待数据</x:v>
      </x:c>
      <x:c r="I14" s="92" t="str">
        <x:f>'01_观察名单'!P6</x:f>
        <x:v>缺失</x:v>
      </x:c>
      <x:c r="J14" s="94" t="str">
        <x:f>'01_观察名单'!O6</x:f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待数据</x:v>
      </x:c>
      <x:c r="D15" s="92" t="n">
        <x:f>'01_观察名单'!J7</x:f>
        <x:v>84</x:v>
      </x:c>
      <x:c r="E15" s="92" t="str">
        <x:f>'01_观察名单'!K7</x:f>
        <x:v>待数据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等待数据</x:v>
      </x:c>
      <x:c r="I15" s="92" t="str">
        <x:f>'01_观察名单'!P7</x:f>
        <x:v>缺失</x:v>
      </x:c>
      <x:c r="J15" s="94" t="str">
        <x:f>'01_观察名单'!O7</x:f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待数据</x:v>
      </x:c>
      <x:c r="D16" s="92" t="n">
        <x:f>'01_观察名单'!J8</x:f>
        <x:v>80.4</x:v>
      </x:c>
      <x:c r="E16" s="92" t="str">
        <x:f>'01_观察名单'!K8</x:f>
        <x:v>待数据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等待数据</x:v>
      </x:c>
      <x:c r="I16" s="92" t="str">
        <x:f>'01_观察名单'!P8</x:f>
        <x:v>缺失</x:v>
      </x:c>
      <x:c r="J16" s="94" t="str">
        <x:f>'01_观察名单'!O8</x:f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待数据</x:v>
      </x:c>
      <x:c r="D17" s="92" t="n">
        <x:f>'01_观察名单'!J9</x:f>
        <x:v>77.2</x:v>
      </x:c>
      <x:c r="E17" s="92" t="str">
        <x:f>'01_观察名单'!K9</x:f>
        <x:v>待数据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等待数据</x:v>
      </x:c>
      <x:c r="I17" s="92" t="str">
        <x:f>'01_观察名单'!P9</x:f>
        <x:v>缺失</x:v>
      </x:c>
      <x:c r="J17" s="94" t="str">
        <x:f>'01_观察名单'!O9</x:f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待数据</x:v>
      </x:c>
      <x:c r="D18" s="92" t="n">
        <x:f>'01_观察名单'!J10</x:f>
        <x:v>83.4</x:v>
      </x:c>
      <x:c r="E18" s="92" t="str">
        <x:f>'01_观察名单'!K10</x:f>
        <x:v>待数据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等待数据</x:v>
      </x:c>
      <x:c r="I18" s="92" t="str">
        <x:f>'01_观察名单'!P10</x:f>
        <x:v>缺失</x:v>
      </x:c>
      <x:c r="J18" s="94" t="str">
        <x:f>'01_观察名单'!O10</x:f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待数据</x:v>
      </x:c>
      <x:c r="D19" s="92" t="n">
        <x:f>'01_观察名单'!J11</x:f>
        <x:v>79</x:v>
      </x:c>
      <x:c r="E19" s="92" t="str">
        <x:f>'01_观察名单'!K11</x:f>
        <x:v>待数据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等待数据</x:v>
      </x:c>
      <x:c r="I19" s="92" t="str">
        <x:f>'01_观察名单'!P11</x:f>
        <x:v>缺失</x:v>
      </x:c>
      <x:c r="J19" s="94" t="str">
        <x:f>'01_观察名单'!O11</x:f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待数据</x:v>
      </x:c>
      <x:c r="D20" s="92" t="n">
        <x:f>'01_观察名单'!J12</x:f>
        <x:v>83.8</x:v>
      </x:c>
      <x:c r="E20" s="92" t="str">
        <x:f>'01_观察名单'!K12</x:f>
        <x:v>待数据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等待数据</x:v>
      </x:c>
      <x:c r="I20" s="92" t="str">
        <x:f>'01_观察名单'!P12</x:f>
        <x:v>缺失</x:v>
      </x:c>
      <x:c r="J20" s="94" t="str">
        <x:f>'01_观察名单'!O12</x:f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待数据</x:v>
      </x:c>
      <x:c r="D21" s="92" t="n">
        <x:f>'01_观察名单'!J13</x:f>
        <x:v>74.1</x:v>
      </x:c>
      <x:c r="E21" s="92" t="str">
        <x:f>'01_观察名单'!K13</x:f>
        <x:v>待数据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等待数据</x:v>
      </x:c>
      <x:c r="I21" s="92" t="str">
        <x:f>'01_观察名单'!P13</x:f>
        <x:v>缺失</x:v>
      </x:c>
      <x:c r="J21" s="94" t="n">
        <x:f>'01_观察名单'!O13</x:f>
        <x:v>0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0689ec5c5bd34769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str">
        <x:f>IFERROR(INDEX('04_估值跟踪'!$C$4:$C$100,MATCH(A4,'04_估值跟踪'!$A$4:$A$100,0)),"")</x:f>
      </x:c>
      <x:c r="G4" s="107" t="str">
        <x:f>IFERROR(INDEX('04_估值跟踪'!$O$4:$O$100,MATCH(A4,'04_估值跟踪'!$A$4:$A$100,0)),"")</x:f>
      </x:c>
      <x:c r="H4" s="93" t="str">
        <x:f>IFERROR(INDEX('04_估值跟踪'!$P$4:$P$100,MATCH(A4,'04_估值跟踪'!$A$4:$A$100,0)),"")</x:f>
      </x:c>
      <x:c r="I4" s="92" t="str">
        <x:f>IFERROR(INDEX('04_估值跟踪'!$Q$4:$Q$100,MATCH(A4,'04_估值跟踪'!$A$4:$A$100,0)),"待数据")</x:f>
        <x:v>待数据</x:v>
      </x:c>
      <x:c r="J4" s="108" t="n">
        <x:f>IFERROR(INDEX('02_质量评分'!$M$4:$M$100,MATCH(A4,'02_质量评分'!$A$4:$A$100,0)),"")</x:f>
        <x:v>82.1</x:v>
      </x:c>
      <x:c r="K4" s="92" t="str">
        <x:f>IF(OR(F4="",G4="",H4="",J4=""),"待数据",IF(AND(J4&gt;='12_系统设置'!$E$4,H4&gt;='12_系统设置'!$E$7),"A-重点建仓",IF(AND(J4&gt;='12_系统设置'!$E$5,H4&gt;='12_系统设置'!$E$8),"B-分批建仓",IF(AND(J4&gt;='12_系统设置'!$E$6,H4&gt;=0),"C-观察","等待"))))</x:f>
        <x:v>待数据</x:v>
      </x:c>
      <x:c r="L4" s="93" t="n">
        <x:f>'05_仓位管理'!D10</x:f>
        <x:v>0</x:v>
      </x:c>
      <x:c r="M4" s="93" t="n">
        <x:f>'05_仓位管理'!H10</x:f>
        <x:v>0</x:v>
      </x:c>
      <x:c r="N4" s="92" t="str">
        <x:f>IF(K4="待数据","等待数据",IF(LEFT(K4,1)="A","重点研究/分批建仓",IF(LEFT(K4,1)="B","小步建仓",IF(LEFT(K4,1)="C","继续观察","不追价/等待"))))</x:f>
        <x:v>等待数据</x:v>
      </x:c>
      <x:c r="O4" s="94" t="str">
        <x:f>IFERROR(INDEX('04_估值跟踪'!$T$4:$T$100,MATCH(A4,'04_估值跟踪'!$A$4:$A$100,0)),"")</x:f>
      </x:c>
      <x:c r="P4" s="92" t="str">
        <x:f>IFERROR(INDEX('04_估值跟踪'!$U$4:$U$100,MATCH(A4,'04_估值跟踪'!$A$4:$A$100,0)),"缺失")</x:f>
        <x:v>缺失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str">
        <x:f>IFERROR(INDEX('04_估值跟踪'!$C$4:$C$100,MATCH(A5,'04_估值跟踪'!$A$4:$A$100,0)),"")</x:f>
      </x:c>
      <x:c r="G5" s="107" t="str">
        <x:f>IFERROR(INDEX('04_估值跟踪'!$O$4:$O$100,MATCH(A5,'04_估值跟踪'!$A$4:$A$100,0)),"")</x:f>
      </x:c>
      <x:c r="H5" s="93" t="str">
        <x:f>IFERROR(INDEX('04_估值跟踪'!$P$4:$P$100,MATCH(A5,'04_估值跟踪'!$A$4:$A$100,0)),"")</x:f>
      </x:c>
      <x:c r="I5" s="92" t="str">
        <x:f>IFERROR(INDEX('04_估值跟踪'!$Q$4:$Q$100,MATCH(A5,'04_估值跟踪'!$A$4:$A$100,0)),"待数据")</x:f>
        <x:v>待数据</x:v>
      </x:c>
      <x:c r="J5" s="108" t="n">
        <x:f>IFERROR(INDEX('02_质量评分'!$M$4:$M$100,MATCH(A5,'02_质量评分'!$A$4:$A$100,0)),"")</x:f>
        <x:v>81.3</x:v>
      </x:c>
      <x:c r="K5" s="92" t="str">
        <x:f>IF(OR(F5="",G5="",H5="",J5=""),"待数据",IF(AND(J5&gt;='12_系统设置'!$E$4,H5&gt;='12_系统设置'!$E$7),"A-重点建仓",IF(AND(J5&gt;='12_系统设置'!$E$5,H5&gt;='12_系统设置'!$E$8),"B-分批建仓",IF(AND(J5&gt;='12_系统设置'!$E$6,H5&gt;=0),"C-观察","等待"))))</x:f>
        <x:v>待数据</x:v>
      </x:c>
      <x:c r="L5" s="93" t="n">
        <x:f>'05_仓位管理'!D11</x:f>
        <x:v>0</x:v>
      </x:c>
      <x:c r="M5" s="93" t="n">
        <x:f>'05_仓位管理'!H11</x:f>
        <x:v>0</x:v>
      </x:c>
      <x:c r="N5" s="92" t="str">
        <x:f>IF(K5="待数据","等待数据",IF(LEFT(K5,1)="A","重点研究/分批建仓",IF(LEFT(K5,1)="B","小步建仓",IF(LEFT(K5,1)="C","继续观察","不追价/等待"))))</x:f>
        <x:v>等待数据</x:v>
      </x:c>
      <x:c r="O5" s="94" t="str">
        <x:f>IFERROR(INDEX('04_估值跟踪'!$T$4:$T$100,MATCH(A5,'04_估值跟踪'!$A$4:$A$100,0)),"")</x:f>
      </x:c>
      <x:c r="P5" s="92" t="str">
        <x:f>IFERROR(INDEX('04_估值跟踪'!$U$4:$U$100,MATCH(A5,'04_估值跟踪'!$A$4:$A$100,0)),"缺失")</x:f>
        <x:v>缺失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str">
        <x:f>IFERROR(INDEX('04_估值跟踪'!$C$4:$C$100,MATCH(A6,'04_估值跟踪'!$A$4:$A$100,0)),"")</x:f>
      </x:c>
      <x:c r="G6" s="107" t="str">
        <x:f>IFERROR(INDEX('04_估值跟踪'!$O$4:$O$100,MATCH(A6,'04_估值跟踪'!$A$4:$A$100,0)),"")</x:f>
      </x:c>
      <x:c r="H6" s="93" t="str">
        <x:f>IFERROR(INDEX('04_估值跟踪'!$P$4:$P$100,MATCH(A6,'04_估值跟踪'!$A$4:$A$100,0)),"")</x:f>
      </x:c>
      <x:c r="I6" s="92" t="str">
        <x:f>IFERROR(INDEX('04_估值跟踪'!$Q$4:$Q$100,MATCH(A6,'04_估值跟踪'!$A$4:$A$100,0)),"待数据")</x:f>
        <x:v>待数据</x:v>
      </x:c>
      <x:c r="J6" s="108" t="n">
        <x:f>IFERROR(INDEX('02_质量评分'!$M$4:$M$100,MATCH(A6,'02_质量评分'!$A$4:$A$100,0)),"")</x:f>
        <x:v>87.8</x:v>
      </x:c>
      <x:c r="K6" s="92" t="str">
        <x:f>IF(OR(F6="",G6="",H6="",J6=""),"待数据",IF(AND(J6&gt;='12_系统设置'!$E$4,H6&gt;='12_系统设置'!$E$7),"A-重点建仓",IF(AND(J6&gt;='12_系统设置'!$E$5,H6&gt;='12_系统设置'!$E$8),"B-分批建仓",IF(AND(J6&gt;='12_系统设置'!$E$6,H6&gt;=0),"C-观察","等待"))))</x:f>
        <x:v>待数据</x:v>
      </x:c>
      <x:c r="L6" s="93" t="n">
        <x:f>'05_仓位管理'!D12</x:f>
        <x:v>0</x:v>
      </x:c>
      <x:c r="M6" s="93" t="n">
        <x:f>'05_仓位管理'!H12</x:f>
        <x:v>0</x:v>
      </x:c>
      <x:c r="N6" s="92" t="str">
        <x:f>IF(K6="待数据","等待数据",IF(LEFT(K6,1)="A","重点研究/分批建仓",IF(LEFT(K6,1)="B","小步建仓",IF(LEFT(K6,1)="C","继续观察","不追价/等待"))))</x:f>
        <x:v>等待数据</x:v>
      </x:c>
      <x:c r="O6" s="94" t="str">
        <x:f>IFERROR(INDEX('04_估值跟踪'!$T$4:$T$100,MATCH(A6,'04_估值跟踪'!$A$4:$A$100,0)),"")</x:f>
      </x:c>
      <x:c r="P6" s="92" t="str">
        <x:f>IFERROR(INDEX('04_估值跟踪'!$U$4:$U$100,MATCH(A6,'04_估值跟踪'!$A$4:$A$100,0)),"缺失")</x:f>
        <x:v>缺失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str">
        <x:f>IFERROR(INDEX('04_估值跟踪'!$C$4:$C$100,MATCH(A7,'04_估值跟踪'!$A$4:$A$100,0)),"")</x:f>
      </x:c>
      <x:c r="G7" s="107" t="str">
        <x:f>IFERROR(INDEX('04_估值跟踪'!$O$4:$O$100,MATCH(A7,'04_估值跟踪'!$A$4:$A$100,0)),"")</x:f>
      </x:c>
      <x:c r="H7" s="93" t="str">
        <x:f>IFERROR(INDEX('04_估值跟踪'!$P$4:$P$100,MATCH(A7,'04_估值跟踪'!$A$4:$A$100,0)),"")</x:f>
      </x:c>
      <x:c r="I7" s="92" t="str">
        <x:f>IFERROR(INDEX('04_估值跟踪'!$Q$4:$Q$100,MATCH(A7,'04_估值跟踪'!$A$4:$A$100,0)),"待数据")</x:f>
        <x:v>待数据</x:v>
      </x:c>
      <x:c r="J7" s="108" t="n">
        <x:f>IFERROR(INDEX('02_质量评分'!$M$4:$M$100,MATCH(A7,'02_质量评分'!$A$4:$A$100,0)),"")</x:f>
        <x:v>84</x:v>
      </x:c>
      <x:c r="K7" s="92" t="str">
        <x:f>IF(OR(F7="",G7="",H7="",J7=""),"待数据",IF(AND(J7&gt;='12_系统设置'!$E$4,H7&gt;='12_系统设置'!$E$7),"A-重点建仓",IF(AND(J7&gt;='12_系统设置'!$E$5,H7&gt;='12_系统设置'!$E$8),"B-分批建仓",IF(AND(J7&gt;='12_系统设置'!$E$6,H7&gt;=0),"C-观察","等待"))))</x:f>
        <x:v>待数据</x:v>
      </x:c>
      <x:c r="L7" s="93" t="n">
        <x:f>'05_仓位管理'!D13</x:f>
        <x:v>0</x:v>
      </x:c>
      <x:c r="M7" s="93" t="n">
        <x:f>'05_仓位管理'!H13</x:f>
        <x:v>0</x:v>
      </x:c>
      <x:c r="N7" s="92" t="str">
        <x:f>IF(K7="待数据","等待数据",IF(LEFT(K7,1)="A","重点研究/分批建仓",IF(LEFT(K7,1)="B","小步建仓",IF(LEFT(K7,1)="C","继续观察","不追价/等待"))))</x:f>
        <x:v>等待数据</x:v>
      </x:c>
      <x:c r="O7" s="94" t="str">
        <x:f>IFERROR(INDEX('04_估值跟踪'!$T$4:$T$100,MATCH(A7,'04_估值跟踪'!$A$4:$A$100,0)),"")</x:f>
      </x:c>
      <x:c r="P7" s="92" t="str">
        <x:f>IFERROR(INDEX('04_估值跟踪'!$U$4:$U$100,MATCH(A7,'04_估值跟踪'!$A$4:$A$100,0)),"缺失")</x:f>
        <x:v>缺失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str">
        <x:f>IFERROR(INDEX('04_估值跟踪'!$C$4:$C$100,MATCH(A8,'04_估值跟踪'!$A$4:$A$100,0)),"")</x:f>
      </x:c>
      <x:c r="G8" s="107" t="str">
        <x:f>IFERROR(INDEX('04_估值跟踪'!$O$4:$O$100,MATCH(A8,'04_估值跟踪'!$A$4:$A$100,0)),"")</x:f>
      </x:c>
      <x:c r="H8" s="93" t="str">
        <x:f>IFERROR(INDEX('04_估值跟踪'!$P$4:$P$100,MATCH(A8,'04_估值跟踪'!$A$4:$A$100,0)),"")</x:f>
      </x:c>
      <x:c r="I8" s="92" t="str">
        <x:f>IFERROR(INDEX('04_估值跟踪'!$Q$4:$Q$100,MATCH(A8,'04_估值跟踪'!$A$4:$A$100,0)),"待数据")</x:f>
        <x:v>待数据</x:v>
      </x:c>
      <x:c r="J8" s="108" t="n">
        <x:f>IFERROR(INDEX('02_质量评分'!$M$4:$M$100,MATCH(A8,'02_质量评分'!$A$4:$A$100,0)),"")</x:f>
        <x:v>80.4</x:v>
      </x:c>
      <x:c r="K8" s="92" t="str">
        <x:f>IF(OR(F8="",G8="",H8="",J8=""),"待数据",IF(AND(J8&gt;='12_系统设置'!$E$4,H8&gt;='12_系统设置'!$E$7),"A-重点建仓",IF(AND(J8&gt;='12_系统设置'!$E$5,H8&gt;='12_系统设置'!$E$8),"B-分批建仓",IF(AND(J8&gt;='12_系统设置'!$E$6,H8&gt;=0),"C-观察","等待"))))</x:f>
        <x:v>待数据</x:v>
      </x:c>
      <x:c r="L8" s="93" t="n">
        <x:f>'05_仓位管理'!D14</x:f>
        <x:v>0</x:v>
      </x:c>
      <x:c r="M8" s="93" t="n">
        <x:f>'05_仓位管理'!H14</x:f>
        <x:v>0</x:v>
      </x:c>
      <x:c r="N8" s="92" t="str">
        <x:f>IF(K8="待数据","等待数据",IF(LEFT(K8,1)="A","重点研究/分批建仓",IF(LEFT(K8,1)="B","小步建仓",IF(LEFT(K8,1)="C","继续观察","不追价/等待"))))</x:f>
        <x:v>等待数据</x:v>
      </x:c>
      <x:c r="O8" s="94" t="str">
        <x:f>IFERROR(INDEX('04_估值跟踪'!$T$4:$T$100,MATCH(A8,'04_估值跟踪'!$A$4:$A$100,0)),"")</x:f>
      </x:c>
      <x:c r="P8" s="92" t="str">
        <x:f>IFERROR(INDEX('04_估值跟踪'!$U$4:$U$100,MATCH(A8,'04_估值跟踪'!$A$4:$A$100,0)),"缺失")</x:f>
        <x:v>缺失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str">
        <x:f>IFERROR(INDEX('04_估值跟踪'!$C$4:$C$100,MATCH(A9,'04_估值跟踪'!$A$4:$A$100,0)),"")</x:f>
      </x:c>
      <x:c r="G9" s="107" t="str">
        <x:f>IFERROR(INDEX('04_估值跟踪'!$O$4:$O$100,MATCH(A9,'04_估值跟踪'!$A$4:$A$100,0)),"")</x:f>
      </x:c>
      <x:c r="H9" s="93" t="str">
        <x:f>IFERROR(INDEX('04_估值跟踪'!$P$4:$P$100,MATCH(A9,'04_估值跟踪'!$A$4:$A$100,0)),"")</x:f>
      </x:c>
      <x:c r="I9" s="92" t="str">
        <x:f>IFERROR(INDEX('04_估值跟踪'!$Q$4:$Q$100,MATCH(A9,'04_估值跟踪'!$A$4:$A$100,0)),"待数据")</x:f>
        <x:v>待数据</x:v>
      </x:c>
      <x:c r="J9" s="108" t="n">
        <x:f>IFERROR(INDEX('02_质量评分'!$M$4:$M$100,MATCH(A9,'02_质量评分'!$A$4:$A$100,0)),"")</x:f>
        <x:v>77.2</x:v>
      </x:c>
      <x:c r="K9" s="92" t="str">
        <x:f>IF(OR(F9="",G9="",H9="",J9=""),"待数据",IF(AND(J9&gt;='12_系统设置'!$E$4,H9&gt;='12_系统设置'!$E$7),"A-重点建仓",IF(AND(J9&gt;='12_系统设置'!$E$5,H9&gt;='12_系统设置'!$E$8),"B-分批建仓",IF(AND(J9&gt;='12_系统设置'!$E$6,H9&gt;=0),"C-观察","等待"))))</x:f>
        <x:v>待数据</x:v>
      </x:c>
      <x:c r="L9" s="93" t="n">
        <x:f>'05_仓位管理'!D15</x:f>
        <x:v>0</x:v>
      </x:c>
      <x:c r="M9" s="93" t="n">
        <x:f>'05_仓位管理'!H15</x:f>
        <x:v>0</x:v>
      </x:c>
      <x:c r="N9" s="92" t="str">
        <x:f>IF(K9="待数据","等待数据",IF(LEFT(K9,1)="A","重点研究/分批建仓",IF(LEFT(K9,1)="B","小步建仓",IF(LEFT(K9,1)="C","继续观察","不追价/等待"))))</x:f>
        <x:v>等待数据</x:v>
      </x:c>
      <x:c r="O9" s="94" t="str">
        <x:f>IFERROR(INDEX('04_估值跟踪'!$T$4:$T$100,MATCH(A9,'04_估值跟踪'!$A$4:$A$100,0)),"")</x:f>
      </x:c>
      <x:c r="P9" s="92" t="str">
        <x:f>IFERROR(INDEX('04_估值跟踪'!$U$4:$U$100,MATCH(A9,'04_估值跟踪'!$A$4:$A$100,0)),"缺失")</x:f>
        <x:v>缺失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str">
        <x:f>IFERROR(INDEX('04_估值跟踪'!$C$4:$C$100,MATCH(A10,'04_估值跟踪'!$A$4:$A$100,0)),"")</x:f>
      </x:c>
      <x:c r="G10" s="107" t="str">
        <x:f>IFERROR(INDEX('04_估值跟踪'!$O$4:$O$100,MATCH(A10,'04_估值跟踪'!$A$4:$A$100,0)),"")</x:f>
      </x:c>
      <x:c r="H10" s="93" t="str">
        <x:f>IFERROR(INDEX('04_估值跟踪'!$P$4:$P$100,MATCH(A10,'04_估值跟踪'!$A$4:$A$100,0)),"")</x:f>
      </x:c>
      <x:c r="I10" s="92" t="str">
        <x:f>IFERROR(INDEX('04_估值跟踪'!$Q$4:$Q$100,MATCH(A10,'04_估值跟踪'!$A$4:$A$100,0)),"待数据")</x:f>
        <x:v>待数据</x:v>
      </x:c>
      <x:c r="J10" s="108" t="n">
        <x:f>IFERROR(INDEX('02_质量评分'!$M$4:$M$100,MATCH(A10,'02_质量评分'!$A$4:$A$100,0)),"")</x:f>
        <x:v>83.4</x:v>
      </x:c>
      <x:c r="K10" s="92" t="str">
        <x:f>IF(OR(F10="",G10="",H10="",J10=""),"待数据",IF(AND(J10&gt;='12_系统设置'!$E$4,H10&gt;='12_系统设置'!$E$7),"A-重点建仓",IF(AND(J10&gt;='12_系统设置'!$E$5,H10&gt;='12_系统设置'!$E$8),"B-分批建仓",IF(AND(J10&gt;='12_系统设置'!$E$6,H10&gt;=0),"C-观察","等待"))))</x:f>
        <x:v>待数据</x:v>
      </x:c>
      <x:c r="L10" s="93" t="n">
        <x:f>'05_仓位管理'!D16</x:f>
        <x:v>0</x:v>
      </x:c>
      <x:c r="M10" s="93" t="n">
        <x:f>'05_仓位管理'!H16</x:f>
        <x:v>0</x:v>
      </x:c>
      <x:c r="N10" s="92" t="str">
        <x:f>IF(K10="待数据","等待数据",IF(LEFT(K10,1)="A","重点研究/分批建仓",IF(LEFT(K10,1)="B","小步建仓",IF(LEFT(K10,1)="C","继续观察","不追价/等待"))))</x:f>
        <x:v>等待数据</x:v>
      </x:c>
      <x:c r="O10" s="94" t="str">
        <x:f>IFERROR(INDEX('04_估值跟踪'!$T$4:$T$100,MATCH(A10,'04_估值跟踪'!$A$4:$A$100,0)),"")</x:f>
      </x:c>
      <x:c r="P10" s="92" t="str">
        <x:f>IFERROR(INDEX('04_估值跟踪'!$U$4:$U$100,MATCH(A10,'04_估值跟踪'!$A$4:$A$100,0)),"缺失")</x:f>
        <x:v>缺失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str">
        <x:f>IFERROR(INDEX('04_估值跟踪'!$C$4:$C$100,MATCH(A11,'04_估值跟踪'!$A$4:$A$100,0)),"")</x:f>
      </x:c>
      <x:c r="G11" s="107" t="str">
        <x:f>IFERROR(INDEX('04_估值跟踪'!$O$4:$O$100,MATCH(A11,'04_估值跟踪'!$A$4:$A$100,0)),"")</x:f>
      </x:c>
      <x:c r="H11" s="93" t="str">
        <x:f>IFERROR(INDEX('04_估值跟踪'!$P$4:$P$100,MATCH(A11,'04_估值跟踪'!$A$4:$A$100,0)),"")</x:f>
      </x:c>
      <x:c r="I11" s="92" t="str">
        <x:f>IFERROR(INDEX('04_估值跟踪'!$Q$4:$Q$100,MATCH(A11,'04_估值跟踪'!$A$4:$A$100,0)),"待数据")</x:f>
        <x:v>待数据</x:v>
      </x:c>
      <x:c r="J11" s="108" t="n">
        <x:f>IFERROR(INDEX('02_质量评分'!$M$4:$M$100,MATCH(A11,'02_质量评分'!$A$4:$A$100,0)),"")</x:f>
        <x:v>79</x:v>
      </x:c>
      <x:c r="K11" s="92" t="str">
        <x:f>IF(OR(F11="",G11="",H11="",J11=""),"待数据",IF(AND(J11&gt;='12_系统设置'!$E$4,H11&gt;='12_系统设置'!$E$7),"A-重点建仓",IF(AND(J11&gt;='12_系统设置'!$E$5,H11&gt;='12_系统设置'!$E$8),"B-分批建仓",IF(AND(J11&gt;='12_系统设置'!$E$6,H11&gt;=0),"C-观察","等待"))))</x:f>
        <x:v>待数据</x:v>
      </x:c>
      <x:c r="L11" s="93" t="n">
        <x:f>'05_仓位管理'!D17</x:f>
        <x:v>0</x:v>
      </x:c>
      <x:c r="M11" s="93" t="n">
        <x:f>'05_仓位管理'!H17</x:f>
        <x:v>0</x:v>
      </x:c>
      <x:c r="N11" s="92" t="str">
        <x:f>IF(K11="待数据","等待数据",IF(LEFT(K11,1)="A","重点研究/分批建仓",IF(LEFT(K11,1)="B","小步建仓",IF(LEFT(K11,1)="C","继续观察","不追价/等待"))))</x:f>
        <x:v>等待数据</x:v>
      </x:c>
      <x:c r="O11" s="94" t="str">
        <x:f>IFERROR(INDEX('04_估值跟踪'!$T$4:$T$100,MATCH(A11,'04_估值跟踪'!$A$4:$A$100,0)),"")</x:f>
      </x:c>
      <x:c r="P11" s="92" t="str">
        <x:f>IFERROR(INDEX('04_估值跟踪'!$U$4:$U$100,MATCH(A11,'04_估值跟踪'!$A$4:$A$100,0)),"缺失")</x:f>
        <x:v>缺失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str">
        <x:f>IFERROR(INDEX('04_估值跟踪'!$C$4:$C$100,MATCH(A12,'04_估值跟踪'!$A$4:$A$100,0)),"")</x:f>
      </x:c>
      <x:c r="G12" s="107" t="str">
        <x:f>IFERROR(INDEX('04_估值跟踪'!$O$4:$O$100,MATCH(A12,'04_估值跟踪'!$A$4:$A$100,0)),"")</x:f>
      </x:c>
      <x:c r="H12" s="93" t="str">
        <x:f>IFERROR(INDEX('04_估值跟踪'!$P$4:$P$100,MATCH(A12,'04_估值跟踪'!$A$4:$A$100,0)),"")</x:f>
      </x:c>
      <x:c r="I12" s="92" t="str">
        <x:f>IFERROR(INDEX('04_估值跟踪'!$Q$4:$Q$100,MATCH(A12,'04_估值跟踪'!$A$4:$A$100,0)),"待数据")</x:f>
        <x:v>待数据</x:v>
      </x:c>
      <x:c r="J12" s="108" t="n">
        <x:f>IFERROR(INDEX('02_质量评分'!$M$4:$M$100,MATCH(A12,'02_质量评分'!$A$4:$A$100,0)),"")</x:f>
        <x:v>83.8</x:v>
      </x:c>
      <x:c r="K12" s="92" t="str">
        <x:f>IF(OR(F12="",G12="",H12="",J12=""),"待数据",IF(AND(J12&gt;='12_系统设置'!$E$4,H12&gt;='12_系统设置'!$E$7),"A-重点建仓",IF(AND(J12&gt;='12_系统设置'!$E$5,H12&gt;='12_系统设置'!$E$8),"B-分批建仓",IF(AND(J12&gt;='12_系统设置'!$E$6,H12&gt;=0),"C-观察","等待"))))</x:f>
        <x:v>待数据</x:v>
      </x:c>
      <x:c r="L12" s="93" t="n">
        <x:f>'05_仓位管理'!D18</x:f>
        <x:v>0</x:v>
      </x:c>
      <x:c r="M12" s="93" t="n">
        <x:f>'05_仓位管理'!H18</x:f>
        <x:v>0</x:v>
      </x:c>
      <x:c r="N12" s="92" t="str">
        <x:f>IF(K12="待数据","等待数据",IF(LEFT(K12,1)="A","重点研究/分批建仓",IF(LEFT(K12,1)="B","小步建仓",IF(LEFT(K12,1)="C","继续观察","不追价/等待"))))</x:f>
        <x:v>等待数据</x:v>
      </x:c>
      <x:c r="O12" s="94" t="str">
        <x:f>IFERROR(INDEX('04_估值跟踪'!$T$4:$T$100,MATCH(A12,'04_估值跟踪'!$A$4:$A$100,0)),"")</x:f>
      </x:c>
      <x:c r="P12" s="92" t="str">
        <x:f>IFERROR(INDEX('04_估值跟踪'!$U$4:$U$100,MATCH(A12,'04_估值跟踪'!$A$4:$A$100,0)),"缺失")</x:f>
        <x:v>缺失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str">
        <x:f>IFERROR(INDEX('04_估值跟踪'!$C$4:$C$100,MATCH(A13,'04_估值跟踪'!$A$4:$A$100,0)),"")</x:f>
      </x:c>
      <x:c r="G13" s="107" t="str">
        <x:f>IFERROR(INDEX('04_估值跟踪'!$O$4:$O$100,MATCH(A13,'04_估值跟踪'!$A$4:$A$100,0)),"")</x:f>
      </x:c>
      <x:c r="H13" s="93" t="str">
        <x:f>IFERROR(INDEX('04_估值跟踪'!$P$4:$P$100,MATCH(A13,'04_估值跟踪'!$A$4:$A$100,0)),"")</x:f>
      </x:c>
      <x:c r="I13" s="92" t="str">
        <x:f>IFERROR(INDEX('04_估值跟踪'!$Q$4:$Q$100,MATCH(A13,'04_估值跟踪'!$A$4:$A$100,0)),"待数据")</x:f>
        <x:v>待数据</x:v>
      </x:c>
      <x:c r="J13" s="108" t="n">
        <x:f>IFERROR(INDEX('02_质量评分'!$M$4:$M$100,MATCH(A13,'02_质量评分'!$A$4:$A$100,0)),"")</x:f>
        <x:v>74.1</x:v>
      </x:c>
      <x:c r="K13" s="92" t="str">
        <x:f>IF(OR(F13="",G13="",H13="",J13=""),"待数据",IF(AND(J13&gt;='12_系统设置'!$E$4,H13&gt;='12_系统设置'!$E$7),"A-重点建仓",IF(AND(J13&gt;='12_系统设置'!$E$5,H13&gt;='12_系统设置'!$E$8),"B-分批建仓",IF(AND(J13&gt;='12_系统设置'!$E$6,H13&gt;=0),"C-观察","等待"))))</x:f>
        <x:v>待数据</x:v>
      </x:c>
      <x:c r="L13" s="93" t="n">
        <x:f>'05_仓位管理'!D19</x:f>
        <x:v>0</x:v>
      </x:c>
      <x:c r="M13" s="93" t="n">
        <x:f>'05_仓位管理'!H19</x:f>
        <x:v>0</x:v>
      </x:c>
      <x:c r="N13" s="92" t="str">
        <x:f>IF(K13="待数据","等待数据",IF(LEFT(K13,1)="A","重点研究/分批建仓",IF(LEFT(K13,1)="B","小步建仓",IF(LEFT(K13,1)="C","继续观察","不追价/等待"))))</x:f>
        <x:v>等待数据</x:v>
      </x:c>
      <x:c r="O13" s="94" t="str">
        <x:f>IFERROR(INDEX('04_估值跟踪'!$T$4:$T$100,MATCH(A13,'04_估值跟踪'!$A$4:$A$100,0)),"")</x:f>
      </x:c>
      <x:c r="P13" s="92" t="str">
        <x:f>IFERROR(INDEX('04_估值跟踪'!$U$4:$U$100,MATCH(A13,'04_估值跟踪'!$A$4:$A$100,0)),"缺失")</x:f>
        <x:v>缺失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2025A</x:v>
      </x:c>
      <x:c r="D4" s="112"/>
      <x:c r="E4" s="113"/>
      <x:c r="F4" s="112"/>
      <x:c r="G4" s="113"/>
      <x:c r="H4" s="113"/>
      <x:c r="I4" s="113"/>
      <x:c r="J4" s="113"/>
      <x:c r="K4" s="113"/>
      <x:c r="L4" s="112"/>
      <x:c r="M4" s="112"/>
      <x:c r="N4" s="113"/>
      <x:c r="O4" s="113"/>
      <x:c r="P4" s="112"/>
      <x:c r="Q4" s="112"/>
      <x:c r="R4" s="114"/>
      <x:c r="S4" s="114"/>
      <x:c r="T4" s="113"/>
      <x:c r="U4" s="106"/>
      <x:c r="V4" s="106" t="str">
        <x:v>待Agent写入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2025A</x:v>
      </x:c>
      <x:c r="D5" s="112"/>
      <x:c r="E5" s="113"/>
      <x:c r="F5" s="112"/>
      <x:c r="G5" s="113"/>
      <x:c r="H5" s="113"/>
      <x:c r="I5" s="113"/>
      <x:c r="J5" s="113"/>
      <x:c r="K5" s="113"/>
      <x:c r="L5" s="112"/>
      <x:c r="M5" s="112"/>
      <x:c r="N5" s="113"/>
      <x:c r="O5" s="113"/>
      <x:c r="P5" s="112"/>
      <x:c r="Q5" s="112"/>
      <x:c r="R5" s="114"/>
      <x:c r="S5" s="114"/>
      <x:c r="T5" s="113"/>
      <x:c r="U5" s="106"/>
      <x:c r="V5" s="106" t="str">
        <x:v>待Agent写入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2025A</x:v>
      </x:c>
      <x:c r="D6" s="112"/>
      <x:c r="E6" s="113"/>
      <x:c r="F6" s="112"/>
      <x:c r="G6" s="113"/>
      <x:c r="H6" s="113"/>
      <x:c r="I6" s="113"/>
      <x:c r="J6" s="113"/>
      <x:c r="K6" s="113"/>
      <x:c r="L6" s="112"/>
      <x:c r="M6" s="112"/>
      <x:c r="N6" s="113"/>
      <x:c r="O6" s="113"/>
      <x:c r="P6" s="112"/>
      <x:c r="Q6" s="112"/>
      <x:c r="R6" s="114"/>
      <x:c r="S6" s="114"/>
      <x:c r="T6" s="113"/>
      <x:c r="U6" s="106"/>
      <x:c r="V6" s="106" t="str">
        <x:v>待Agent写入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2025A</x:v>
      </x:c>
      <x:c r="D7" s="112"/>
      <x:c r="E7" s="113"/>
      <x:c r="F7" s="112"/>
      <x:c r="G7" s="113"/>
      <x:c r="H7" s="113"/>
      <x:c r="I7" s="113"/>
      <x:c r="J7" s="113"/>
      <x:c r="K7" s="113"/>
      <x:c r="L7" s="112"/>
      <x:c r="M7" s="112"/>
      <x:c r="N7" s="113"/>
      <x:c r="O7" s="113"/>
      <x:c r="P7" s="112"/>
      <x:c r="Q7" s="112"/>
      <x:c r="R7" s="114"/>
      <x:c r="S7" s="114"/>
      <x:c r="T7" s="113"/>
      <x:c r="U7" s="106"/>
      <x:c r="V7" s="106" t="str">
        <x:v>待Agent写入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2025A</x:v>
      </x:c>
      <x:c r="D8" s="112"/>
      <x:c r="E8" s="113"/>
      <x:c r="F8" s="112"/>
      <x:c r="G8" s="113"/>
      <x:c r="H8" s="113"/>
      <x:c r="I8" s="113"/>
      <x:c r="J8" s="113"/>
      <x:c r="K8" s="113"/>
      <x:c r="L8" s="112"/>
      <x:c r="M8" s="112"/>
      <x:c r="N8" s="113"/>
      <x:c r="O8" s="113"/>
      <x:c r="P8" s="112"/>
      <x:c r="Q8" s="112"/>
      <x:c r="R8" s="114"/>
      <x:c r="S8" s="114"/>
      <x:c r="T8" s="113"/>
      <x:c r="U8" s="106"/>
      <x:c r="V8" s="106" t="str">
        <x:v>待Agent写入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2025A</x:v>
      </x:c>
      <x:c r="D9" s="112"/>
      <x:c r="E9" s="113"/>
      <x:c r="F9" s="112"/>
      <x:c r="G9" s="113"/>
      <x:c r="H9" s="113"/>
      <x:c r="I9" s="113"/>
      <x:c r="J9" s="113"/>
      <x:c r="K9" s="113"/>
      <x:c r="L9" s="112"/>
      <x:c r="M9" s="112"/>
      <x:c r="N9" s="113"/>
      <x:c r="O9" s="113"/>
      <x:c r="P9" s="112"/>
      <x:c r="Q9" s="112"/>
      <x:c r="R9" s="114"/>
      <x:c r="S9" s="114"/>
      <x:c r="T9" s="113"/>
      <x:c r="U9" s="106"/>
      <x:c r="V9" s="106" t="str">
        <x:v>待Agent写入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2025A</x:v>
      </x:c>
      <x:c r="D10" s="112"/>
      <x:c r="E10" s="113"/>
      <x:c r="F10" s="112"/>
      <x:c r="G10" s="113"/>
      <x:c r="H10" s="113"/>
      <x:c r="I10" s="113"/>
      <x:c r="J10" s="113"/>
      <x:c r="K10" s="113"/>
      <x:c r="L10" s="112"/>
      <x:c r="M10" s="112"/>
      <x:c r="N10" s="113"/>
      <x:c r="O10" s="113"/>
      <x:c r="P10" s="112"/>
      <x:c r="Q10" s="112"/>
      <x:c r="R10" s="114"/>
      <x:c r="S10" s="114"/>
      <x:c r="T10" s="113"/>
      <x:c r="U10" s="106"/>
      <x:c r="V10" s="106" t="str">
        <x:v>待Agent写入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2025A</x:v>
      </x:c>
      <x:c r="D11" s="112"/>
      <x:c r="E11" s="113"/>
      <x:c r="F11" s="112"/>
      <x:c r="G11" s="113"/>
      <x:c r="H11" s="113"/>
      <x:c r="I11" s="113"/>
      <x:c r="J11" s="113"/>
      <x:c r="K11" s="113"/>
      <x:c r="L11" s="112"/>
      <x:c r="M11" s="112"/>
      <x:c r="N11" s="113"/>
      <x:c r="O11" s="113"/>
      <x:c r="P11" s="112"/>
      <x:c r="Q11" s="112"/>
      <x:c r="R11" s="114"/>
      <x:c r="S11" s="114"/>
      <x:c r="T11" s="113"/>
      <x:c r="U11" s="106"/>
      <x:c r="V11" s="106" t="str">
        <x:v>待Agent写入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2025A</x:v>
      </x:c>
      <x:c r="D12" s="112"/>
      <x:c r="E12" s="113"/>
      <x:c r="F12" s="112"/>
      <x:c r="G12" s="113"/>
      <x:c r="H12" s="113"/>
      <x:c r="I12" s="113"/>
      <x:c r="J12" s="113"/>
      <x:c r="K12" s="113"/>
      <x:c r="L12" s="112"/>
      <x:c r="M12" s="112"/>
      <x:c r="N12" s="113"/>
      <x:c r="O12" s="113"/>
      <x:c r="P12" s="112"/>
      <x:c r="Q12" s="112"/>
      <x:c r="R12" s="114"/>
      <x:c r="S12" s="114"/>
      <x:c r="T12" s="113"/>
      <x:c r="U12" s="106"/>
      <x:c r="V12" s="106" t="str">
        <x:v>待Agent写入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2025A</x:v>
      </x:c>
      <x:c r="D13" s="112"/>
      <x:c r="E13" s="113"/>
      <x:c r="F13" s="112"/>
      <x:c r="G13" s="113"/>
      <x:c r="H13" s="113"/>
      <x:c r="I13" s="113"/>
      <x:c r="J13" s="113"/>
      <x:c r="K13" s="113"/>
      <x:c r="L13" s="112"/>
      <x:c r="M13" s="112"/>
      <x:c r="N13" s="113"/>
      <x:c r="O13" s="113"/>
      <x:c r="P13" s="112"/>
      <x:c r="Q13" s="112"/>
      <x:c r="R13" s="114"/>
      <x:c r="S13" s="114"/>
      <x:c r="T13" s="113"/>
      <x:c r="U13" s="106"/>
      <x:c r="V13" s="106" t="str">
        <x:v>待Agent写入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5Y PE中位</x:v>
      </x:c>
      <x:c r="L3" s="13" t="str">
        <x:v>5Y PB中位</x:v>
      </x:c>
      <x:c r="M3" s="13" t="str">
        <x:v>DCF合理价(元)</x:v>
      </x:c>
      <x:c r="N3" s="13" t="str">
        <x:v>股息模型价(元)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估值历史分位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/>
      <x:c r="D4" s="114"/>
      <x:c r="E4" s="114"/>
      <x:c r="F4" s="114"/>
      <x:c r="G4" s="114"/>
      <x:c r="H4" s="118" t="str">
        <x:f>IF(OR(C4="",D4="",D4=0),"",C4/D4)</x:f>
      </x:c>
      <x:c r="I4" s="118" t="str">
        <x:f>IF(OR(C4="",E4="",E4=0),"",C4/E4)</x:f>
      </x:c>
      <x:c r="J4" s="119" t="str">
        <x:f>IF(OR(G4="",C4="",C4=0),"",G4/C4)</x:f>
      </x:c>
      <x:c r="K4" s="120"/>
      <x:c r="L4" s="120"/>
      <x:c r="M4" s="114"/>
      <x:c r="N4" s="114"/>
      <x:c r="O4" s="107" t="str">
        <x:f>IF(COUNT(M4:N4)=0,"",AVERAGE(M4:N4))</x:f>
      </x:c>
      <x:c r="P4" s="93" t="str">
        <x:f>IF(OR(O4="",C4="",O4=0),"",(O4-C4)/O4)</x:f>
      </x:c>
      <x:c r="Q4" s="92" t="str">
        <x:f>IF(P4="","待数据",IF(P4&gt;='12_系统设置'!$E$7,"深度低估",IF(P4&gt;='12_系统设置'!$E$8,"低估",IF(P4&gt;=0,"合理偏低",IF(P4&gt;=-0.15,"合理偏高","高估")))))</x:f>
        <x:v>待数据</x:v>
      </x:c>
      <x:c r="R4" s="113"/>
      <x:c r="S4" s="106"/>
      <x:c r="T4" s="121"/>
      <x:c r="U4" s="92" t="str">
        <x:f>IF(T4="","缺失",IF(TODAY()-INT(T4)&gt;'12_系统设置'!$E$14,"待更新","正常"))</x:f>
        <x:v>缺失</x:v>
      </x:c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/>
      <x:c r="D5" s="114"/>
      <x:c r="E5" s="114"/>
      <x:c r="F5" s="114"/>
      <x:c r="G5" s="114"/>
      <x:c r="H5" s="118" t="str">
        <x:f>IF(OR(C5="",D5="",D5=0),"",C5/D5)</x:f>
      </x:c>
      <x:c r="I5" s="118" t="str">
        <x:f>IF(OR(C5="",E5="",E5=0),"",C5/E5)</x:f>
      </x:c>
      <x:c r="J5" s="119" t="str">
        <x:f>IF(OR(G5="",C5="",C5=0),"",G5/C5)</x:f>
      </x:c>
      <x:c r="K5" s="120"/>
      <x:c r="L5" s="120"/>
      <x:c r="M5" s="114"/>
      <x:c r="N5" s="114"/>
      <x:c r="O5" s="107" t="str">
        <x:f>IF(COUNT(M5:N5)=0,"",AVERAGE(M5:N5))</x:f>
      </x:c>
      <x:c r="P5" s="93" t="str">
        <x:f>IF(OR(O5="",C5="",O5=0),"",(O5-C5)/O5)</x:f>
      </x:c>
      <x:c r="Q5" s="92" t="str">
        <x:f>IF(P5="","待数据",IF(P5&gt;='12_系统设置'!$E$7,"深度低估",IF(P5&gt;='12_系统设置'!$E$8,"低估",IF(P5&gt;=0,"合理偏低",IF(P5&gt;=-0.15,"合理偏高","高估")))))</x:f>
        <x:v>待数据</x:v>
      </x:c>
      <x:c r="R5" s="113"/>
      <x:c r="S5" s="106"/>
      <x:c r="T5" s="121"/>
      <x:c r="U5" s="92" t="str">
        <x:f>IF(T5="","缺失",IF(TODAY()-INT(T5)&gt;'12_系统设置'!$E$14,"待更新","正常"))</x:f>
        <x:v>缺失</x:v>
      </x:c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/>
      <x:c r="D6" s="114"/>
      <x:c r="E6" s="114"/>
      <x:c r="F6" s="114"/>
      <x:c r="G6" s="114"/>
      <x:c r="H6" s="118" t="str">
        <x:f>IF(OR(C6="",D6="",D6=0),"",C6/D6)</x:f>
      </x:c>
      <x:c r="I6" s="118" t="str">
        <x:f>IF(OR(C6="",E6="",E6=0),"",C6/E6)</x:f>
      </x:c>
      <x:c r="J6" s="119" t="str">
        <x:f>IF(OR(G6="",C6="",C6=0),"",G6/C6)</x:f>
      </x:c>
      <x:c r="K6" s="120"/>
      <x:c r="L6" s="120"/>
      <x:c r="M6" s="114"/>
      <x:c r="N6" s="114"/>
      <x:c r="O6" s="107" t="str">
        <x:f>IF(COUNT(M6:N6)=0,"",AVERAGE(M6:N6))</x:f>
      </x:c>
      <x:c r="P6" s="93" t="str">
        <x:f>IF(OR(O6="",C6="",O6=0),"",(O6-C6)/O6)</x:f>
      </x:c>
      <x:c r="Q6" s="92" t="str">
        <x:f>IF(P6="","待数据",IF(P6&gt;='12_系统设置'!$E$7,"深度低估",IF(P6&gt;='12_系统设置'!$E$8,"低估",IF(P6&gt;=0,"合理偏低",IF(P6&gt;=-0.15,"合理偏高","高估")))))</x:f>
        <x:v>待数据</x:v>
      </x:c>
      <x:c r="R6" s="113"/>
      <x:c r="S6" s="106"/>
      <x:c r="T6" s="121"/>
      <x:c r="U6" s="92" t="str">
        <x:f>IF(T6="","缺失",IF(TODAY()-INT(T6)&gt;'12_系统设置'!$E$14,"待更新","正常"))</x:f>
        <x:v>缺失</x:v>
      </x:c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/>
      <x:c r="D7" s="114"/>
      <x:c r="E7" s="114"/>
      <x:c r="F7" s="114"/>
      <x:c r="G7" s="114"/>
      <x:c r="H7" s="118" t="str">
        <x:f>IF(OR(C7="",D7="",D7=0),"",C7/D7)</x:f>
      </x:c>
      <x:c r="I7" s="118" t="str">
        <x:f>IF(OR(C7="",E7="",E7=0),"",C7/E7)</x:f>
      </x:c>
      <x:c r="J7" s="119" t="str">
        <x:f>IF(OR(G7="",C7="",C7=0),"",G7/C7)</x:f>
      </x:c>
      <x:c r="K7" s="120"/>
      <x:c r="L7" s="120"/>
      <x:c r="M7" s="114"/>
      <x:c r="N7" s="114"/>
      <x:c r="O7" s="107" t="str">
        <x:f>IF(COUNT(M7:N7)=0,"",AVERAGE(M7:N7))</x:f>
      </x:c>
      <x:c r="P7" s="93" t="str">
        <x:f>IF(OR(O7="",C7="",O7=0),"",(O7-C7)/O7)</x:f>
      </x:c>
      <x:c r="Q7" s="92" t="str">
        <x:f>IF(P7="","待数据",IF(P7&gt;='12_系统设置'!$E$7,"深度低估",IF(P7&gt;='12_系统设置'!$E$8,"低估",IF(P7&gt;=0,"合理偏低",IF(P7&gt;=-0.15,"合理偏高","高估")))))</x:f>
        <x:v>待数据</x:v>
      </x:c>
      <x:c r="R7" s="113"/>
      <x:c r="S7" s="106"/>
      <x:c r="T7" s="121"/>
      <x:c r="U7" s="92" t="str">
        <x:f>IF(T7="","缺失",IF(TODAY()-INT(T7)&gt;'12_系统设置'!$E$14,"待更新","正常"))</x:f>
        <x:v>缺失</x:v>
      </x:c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/>
      <x:c r="D8" s="114"/>
      <x:c r="E8" s="114"/>
      <x:c r="F8" s="114"/>
      <x:c r="G8" s="114"/>
      <x:c r="H8" s="118" t="str">
        <x:f>IF(OR(C8="",D8="",D8=0),"",C8/D8)</x:f>
      </x:c>
      <x:c r="I8" s="118" t="str">
        <x:f>IF(OR(C8="",E8="",E8=0),"",C8/E8)</x:f>
      </x:c>
      <x:c r="J8" s="119" t="str">
        <x:f>IF(OR(G8="",C8="",C8=0),"",G8/C8)</x:f>
      </x:c>
      <x:c r="K8" s="120"/>
      <x:c r="L8" s="120"/>
      <x:c r="M8" s="114"/>
      <x:c r="N8" s="114"/>
      <x:c r="O8" s="107" t="str">
        <x:f>IF(COUNT(M8:N8)=0,"",AVERAGE(M8:N8))</x:f>
      </x:c>
      <x:c r="P8" s="93" t="str">
        <x:f>IF(OR(O8="",C8="",O8=0),"",(O8-C8)/O8)</x:f>
      </x:c>
      <x:c r="Q8" s="92" t="str">
        <x:f>IF(P8="","待数据",IF(P8&gt;='12_系统设置'!$E$7,"深度低估",IF(P8&gt;='12_系统设置'!$E$8,"低估",IF(P8&gt;=0,"合理偏低",IF(P8&gt;=-0.15,"合理偏高","高估")))))</x:f>
        <x:v>待数据</x:v>
      </x:c>
      <x:c r="R8" s="113"/>
      <x:c r="S8" s="106"/>
      <x:c r="T8" s="121"/>
      <x:c r="U8" s="92" t="str">
        <x:f>IF(T8="","缺失",IF(TODAY()-INT(T8)&gt;'12_系统设置'!$E$14,"待更新","正常"))</x:f>
        <x:v>缺失</x:v>
      </x:c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/>
      <x:c r="D9" s="114"/>
      <x:c r="E9" s="114"/>
      <x:c r="F9" s="114"/>
      <x:c r="G9" s="114"/>
      <x:c r="H9" s="118" t="str">
        <x:f>IF(OR(C9="",D9="",D9=0),"",C9/D9)</x:f>
      </x:c>
      <x:c r="I9" s="118" t="str">
        <x:f>IF(OR(C9="",E9="",E9=0),"",C9/E9)</x:f>
      </x:c>
      <x:c r="J9" s="119" t="str">
        <x:f>IF(OR(G9="",C9="",C9=0),"",G9/C9)</x:f>
      </x:c>
      <x:c r="K9" s="120"/>
      <x:c r="L9" s="120"/>
      <x:c r="M9" s="114"/>
      <x:c r="N9" s="114"/>
      <x:c r="O9" s="107" t="str">
        <x:f>IF(COUNT(M9:N9)=0,"",AVERAGE(M9:N9))</x:f>
      </x:c>
      <x:c r="P9" s="93" t="str">
        <x:f>IF(OR(O9="",C9="",O9=0),"",(O9-C9)/O9)</x:f>
      </x:c>
      <x:c r="Q9" s="92" t="str">
        <x:f>IF(P9="","待数据",IF(P9&gt;='12_系统设置'!$E$7,"深度低估",IF(P9&gt;='12_系统设置'!$E$8,"低估",IF(P9&gt;=0,"合理偏低",IF(P9&gt;=-0.15,"合理偏高","高估")))))</x:f>
        <x:v>待数据</x:v>
      </x:c>
      <x:c r="R9" s="113"/>
      <x:c r="S9" s="106"/>
      <x:c r="T9" s="121"/>
      <x:c r="U9" s="92" t="str">
        <x:f>IF(T9="","缺失",IF(TODAY()-INT(T9)&gt;'12_系统设置'!$E$14,"待更新","正常"))</x:f>
        <x:v>缺失</x:v>
      </x:c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/>
      <x:c r="D10" s="114"/>
      <x:c r="E10" s="114"/>
      <x:c r="F10" s="114"/>
      <x:c r="G10" s="114"/>
      <x:c r="H10" s="118" t="str">
        <x:f>IF(OR(C10="",D10="",D10=0),"",C10/D10)</x:f>
      </x:c>
      <x:c r="I10" s="118" t="str">
        <x:f>IF(OR(C10="",E10="",E10=0),"",C10/E10)</x:f>
      </x:c>
      <x:c r="J10" s="119" t="str">
        <x:f>IF(OR(G10="",C10="",C10=0),"",G10/C10)</x:f>
      </x:c>
      <x:c r="K10" s="120"/>
      <x:c r="L10" s="120"/>
      <x:c r="M10" s="114"/>
      <x:c r="N10" s="114"/>
      <x:c r="O10" s="107" t="str">
        <x:f>IF(COUNT(M10:N10)=0,"",AVERAGE(M10:N10))</x:f>
      </x:c>
      <x:c r="P10" s="93" t="str">
        <x:f>IF(OR(O10="",C10="",O10=0),"",(O10-C10)/O10)</x:f>
      </x:c>
      <x:c r="Q10" s="92" t="str">
        <x:f>IF(P10="","待数据",IF(P10&gt;='12_系统设置'!$E$7,"深度低估",IF(P10&gt;='12_系统设置'!$E$8,"低估",IF(P10&gt;=0,"合理偏低",IF(P10&gt;=-0.15,"合理偏高","高估")))))</x:f>
        <x:v>待数据</x:v>
      </x:c>
      <x:c r="R10" s="113"/>
      <x:c r="S10" s="106"/>
      <x:c r="T10" s="121"/>
      <x:c r="U10" s="92" t="str">
        <x:f>IF(T10="","缺失",IF(TODAY()-INT(T10)&gt;'12_系统设置'!$E$14,"待更新","正常"))</x:f>
        <x:v>缺失</x:v>
      </x:c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/>
      <x:c r="D11" s="114"/>
      <x:c r="E11" s="114"/>
      <x:c r="F11" s="114"/>
      <x:c r="G11" s="114"/>
      <x:c r="H11" s="118" t="str">
        <x:f>IF(OR(C11="",D11="",D11=0),"",C11/D11)</x:f>
      </x:c>
      <x:c r="I11" s="118" t="str">
        <x:f>IF(OR(C11="",E11="",E11=0),"",C11/E11)</x:f>
      </x:c>
      <x:c r="J11" s="119" t="str">
        <x:f>IF(OR(G11="",C11="",C11=0),"",G11/C11)</x:f>
      </x:c>
      <x:c r="K11" s="120"/>
      <x:c r="L11" s="120"/>
      <x:c r="M11" s="114"/>
      <x:c r="N11" s="114"/>
      <x:c r="O11" s="107" t="str">
        <x:f>IF(COUNT(M11:N11)=0,"",AVERAGE(M11:N11))</x:f>
      </x:c>
      <x:c r="P11" s="93" t="str">
        <x:f>IF(OR(O11="",C11="",O11=0),"",(O11-C11)/O11)</x:f>
      </x:c>
      <x:c r="Q11" s="92" t="str">
        <x:f>IF(P11="","待数据",IF(P11&gt;='12_系统设置'!$E$7,"深度低估",IF(P11&gt;='12_系统设置'!$E$8,"低估",IF(P11&gt;=0,"合理偏低",IF(P11&gt;=-0.15,"合理偏高","高估")))))</x:f>
        <x:v>待数据</x:v>
      </x:c>
      <x:c r="R11" s="113"/>
      <x:c r="S11" s="106"/>
      <x:c r="T11" s="121"/>
      <x:c r="U11" s="92" t="str">
        <x:f>IF(T11="","缺失",IF(TODAY()-INT(T11)&gt;'12_系统设置'!$E$14,"待更新","正常"))</x:f>
        <x:v>缺失</x:v>
      </x:c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/>
      <x:c r="D12" s="114"/>
      <x:c r="E12" s="114"/>
      <x:c r="F12" s="114"/>
      <x:c r="G12" s="114"/>
      <x:c r="H12" s="118" t="str">
        <x:f>IF(OR(C12="",D12="",D12=0),"",C12/D12)</x:f>
      </x:c>
      <x:c r="I12" s="118" t="str">
        <x:f>IF(OR(C12="",E12="",E12=0),"",C12/E12)</x:f>
      </x:c>
      <x:c r="J12" s="119" t="str">
        <x:f>IF(OR(G12="",C12="",C12=0),"",G12/C12)</x:f>
      </x:c>
      <x:c r="K12" s="120"/>
      <x:c r="L12" s="120"/>
      <x:c r="M12" s="114"/>
      <x:c r="N12" s="114"/>
      <x:c r="O12" s="107" t="str">
        <x:f>IF(COUNT(M12:N12)=0,"",AVERAGE(M12:N12))</x:f>
      </x:c>
      <x:c r="P12" s="93" t="str">
        <x:f>IF(OR(O12="",C12="",O12=0),"",(O12-C12)/O12)</x:f>
      </x:c>
      <x:c r="Q12" s="92" t="str">
        <x:f>IF(P12="","待数据",IF(P12&gt;='12_系统设置'!$E$7,"深度低估",IF(P12&gt;='12_系统设置'!$E$8,"低估",IF(P12&gt;=0,"合理偏低",IF(P12&gt;=-0.15,"合理偏高","高估")))))</x:f>
        <x:v>待数据</x:v>
      </x:c>
      <x:c r="R12" s="113"/>
      <x:c r="S12" s="106"/>
      <x:c r="T12" s="121"/>
      <x:c r="U12" s="92" t="str">
        <x:f>IF(T12="","缺失",IF(TODAY()-INT(T12)&gt;'12_系统设置'!$E$14,"待更新","正常"))</x:f>
        <x:v>缺失</x:v>
      </x:c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/>
      <x:c r="D13" s="114"/>
      <x:c r="E13" s="114"/>
      <x:c r="F13" s="114"/>
      <x:c r="G13" s="114"/>
      <x:c r="H13" s="118" t="str">
        <x:f>IF(OR(C13="",D13="",D13=0),"",C13/D13)</x:f>
      </x:c>
      <x:c r="I13" s="118" t="str">
        <x:f>IF(OR(C13="",E13="",E13=0),"",C13/E13)</x:f>
      </x:c>
      <x:c r="J13" s="119" t="str">
        <x:f>IF(OR(G13="",C13="",C13=0),"",G13/C13)</x:f>
      </x:c>
      <x:c r="K13" s="120"/>
      <x:c r="L13" s="120"/>
      <x:c r="M13" s="114"/>
      <x:c r="N13" s="114"/>
      <x:c r="O13" s="107" t="str">
        <x:f>IF(COUNT(M13:N13)=0,"",AVERAGE(M13:N13))</x:f>
      </x:c>
      <x:c r="P13" s="93" t="str">
        <x:f>IF(OR(O13="",C13="",O13=0),"",(O13-C13)/O13)</x:f>
      </x:c>
      <x:c r="Q13" s="92" t="str">
        <x:f>IF(P13="","待数据",IF(P13&gt;='12_系统设置'!$E$7,"深度低估",IF(P13&gt;='12_系统设置'!$E$8,"低估",IF(P13&gt;=0,"合理偏低",IF(P13&gt;=-0.15,"合理偏高","高估")))))</x:f>
        <x:v>待数据</x:v>
      </x:c>
      <x:c r="R13" s="113"/>
      <x:c r="S13" s="106"/>
      <x:c r="T13" s="121"/>
      <x:c r="U13" s="92" t="str">
        <x:f>IF(T13="","缺失",IF(TODAY()-INT(T13)&gt;'12_系统设置'!$E$14,"待更新","正常"))</x:f>
        <x:v>缺失</x:v>
      </x:c>
      <x:c r="V13" s="86"/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f>'01_观察名单'!K4</x:f>
        <x:v>待数据</x:v>
      </x:c>
      <x:c r="D10" s="93" t="n">
        <x:f>IF(LEFT(C10,1)="A",MIN('12_系统设置'!$E$9,'12_系统设置'!$E$12),IF(LEFT(C10,1)="B",MIN('12_系统设置'!$E$10,'12_系统设置'!$E$12),IF(LEFT(C10,1)="C",MIN('12_系统设置'!$E$11,'12_系统设置'!$E$12),0)))</x:f>
        <x:v>0</x:v>
      </x:c>
      <x:c r="E10" s="106" t="n">
        <x:v>0</x:v>
      </x:c>
      <x:c r="F10" s="107" t="str">
        <x:f>'01_观察名单'!F4</x:f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f>IF(C10="待数据","等待数据",IF(J10&gt;0,"可增加",IF(J10&lt;0,"需降低","匹配")))</x:f>
        <x:v>等待数据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f>'01_观察名单'!K5</x:f>
        <x:v>待数据</x:v>
      </x:c>
      <x:c r="D11" s="93" t="n">
        <x:f>IF(LEFT(C11,1)="A",MIN('12_系统设置'!$E$9,'12_系统设置'!$E$12),IF(LEFT(C11,1)="B",MIN('12_系统设置'!$E$10,'12_系统设置'!$E$12),IF(LEFT(C11,1)="C",MIN('12_系统设置'!$E$11,'12_系统设置'!$E$12),0)))</x:f>
        <x:v>0</x:v>
      </x:c>
      <x:c r="E11" s="106" t="n">
        <x:v>0</x:v>
      </x:c>
      <x:c r="F11" s="107" t="str">
        <x:f>'01_观察名单'!F5</x:f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f>IF(C11="待数据","等待数据",IF(J11&gt;0,"可增加",IF(J11&lt;0,"需降低","匹配")))</x:f>
        <x:v>等待数据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f>'01_观察名单'!K6</x:f>
        <x:v>待数据</x:v>
      </x:c>
      <x:c r="D12" s="93" t="n">
        <x:f>IF(LEFT(C12,1)="A",MIN('12_系统设置'!$E$9,'12_系统设置'!$E$12),IF(LEFT(C12,1)="B",MIN('12_系统设置'!$E$10,'12_系统设置'!$E$12),IF(LEFT(C12,1)="C",MIN('12_系统设置'!$E$11,'12_系统设置'!$E$12),0)))</x:f>
        <x:v>0</x:v>
      </x:c>
      <x:c r="E12" s="106" t="n">
        <x:v>0</x:v>
      </x:c>
      <x:c r="F12" s="107" t="str">
        <x:f>'01_观察名单'!F6</x:f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f>IF(C12="待数据","等待数据",IF(J12&gt;0,"可增加",IF(J12&lt;0,"需降低","匹配")))</x:f>
        <x:v>等待数据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f>'01_观察名单'!K7</x:f>
        <x:v>待数据</x:v>
      </x:c>
      <x:c r="D13" s="93" t="n">
        <x:f>IF(LEFT(C13,1)="A",MIN('12_系统设置'!$E$9,'12_系统设置'!$E$12),IF(LEFT(C13,1)="B",MIN('12_系统设置'!$E$10,'12_系统设置'!$E$12),IF(LEFT(C13,1)="C",MIN('12_系统设置'!$E$11,'12_系统设置'!$E$12),0)))</x:f>
        <x:v>0</x:v>
      </x:c>
      <x:c r="E13" s="106" t="n">
        <x:v>0</x:v>
      </x:c>
      <x:c r="F13" s="107" t="str">
        <x:f>'01_观察名单'!F7</x:f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f>IF(C13="待数据","等待数据",IF(J13&gt;0,"可增加",IF(J13&lt;0,"需降低","匹配")))</x:f>
        <x:v>等待数据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f>'01_观察名单'!K8</x:f>
        <x:v>待数据</x:v>
      </x:c>
      <x:c r="D14" s="93" t="n">
        <x:f>IF(LEFT(C14,1)="A",MIN('12_系统设置'!$E$9,'12_系统设置'!$E$12),IF(LEFT(C14,1)="B",MIN('12_系统设置'!$E$10,'12_系统设置'!$E$12),IF(LEFT(C14,1)="C",MIN('12_系统设置'!$E$11,'12_系统设置'!$E$12),0)))</x:f>
        <x:v>0</x:v>
      </x:c>
      <x:c r="E14" s="106" t="n">
        <x:v>0</x:v>
      </x:c>
      <x:c r="F14" s="107" t="str">
        <x:f>'01_观察名单'!F8</x:f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f>IF(C14="待数据","等待数据",IF(J14&gt;0,"可增加",IF(J14&lt;0,"需降低","匹配")))</x:f>
        <x:v>等待数据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f>'01_观察名单'!K9</x:f>
        <x:v>待数据</x:v>
      </x:c>
      <x:c r="D15" s="93" t="n">
        <x:f>IF(LEFT(C15,1)="A",MIN('12_系统设置'!$E$9,'12_系统设置'!$E$12),IF(LEFT(C15,1)="B",MIN('12_系统设置'!$E$10,'12_系统设置'!$E$12),IF(LEFT(C15,1)="C",MIN('12_系统设置'!$E$11,'12_系统设置'!$E$12),0)))</x:f>
        <x:v>0</x:v>
      </x:c>
      <x:c r="E15" s="106" t="n">
        <x:v>0</x:v>
      </x:c>
      <x:c r="F15" s="107" t="str">
        <x:f>'01_观察名单'!F9</x:f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f>IF(C15="待数据","等待数据",IF(J15&gt;0,"可增加",IF(J15&lt;0,"需降低","匹配")))</x:f>
        <x:v>等待数据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f>'01_观察名单'!K10</x:f>
        <x:v>待数据</x:v>
      </x:c>
      <x:c r="D16" s="93" t="n">
        <x:f>IF(LEFT(C16,1)="A",MIN('12_系统设置'!$E$9,'12_系统设置'!$E$12),IF(LEFT(C16,1)="B",MIN('12_系统设置'!$E$10,'12_系统设置'!$E$12),IF(LEFT(C16,1)="C",MIN('12_系统设置'!$E$11,'12_系统设置'!$E$12),0)))</x:f>
        <x:v>0</x:v>
      </x:c>
      <x:c r="E16" s="106" t="n">
        <x:v>0</x:v>
      </x:c>
      <x:c r="F16" s="107" t="str">
        <x:f>'01_观察名单'!F10</x:f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f>IF(C16="待数据","等待数据",IF(J16&gt;0,"可增加",IF(J16&lt;0,"需降低","匹配")))</x:f>
        <x:v>等待数据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f>'01_观察名单'!K11</x:f>
        <x:v>待数据</x:v>
      </x:c>
      <x:c r="D17" s="93" t="n">
        <x:f>IF(LEFT(C17,1)="A",MIN('12_系统设置'!$E$9,'12_系统设置'!$E$12),IF(LEFT(C17,1)="B",MIN('12_系统设置'!$E$10,'12_系统设置'!$E$12),IF(LEFT(C17,1)="C",MIN('12_系统设置'!$E$11,'12_系统设置'!$E$12),0)))</x:f>
        <x:v>0</x:v>
      </x:c>
      <x:c r="E17" s="106" t="n">
        <x:v>0</x:v>
      </x:c>
      <x:c r="F17" s="107" t="str">
        <x:f>'01_观察名单'!F11</x:f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f>IF(C17="待数据","等待数据",IF(J17&gt;0,"可增加",IF(J17&lt;0,"需降低","匹配")))</x:f>
        <x:v>等待数据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f>'01_观察名单'!K12</x:f>
        <x:v>待数据</x:v>
      </x:c>
      <x:c r="D18" s="93" t="n">
        <x:f>IF(LEFT(C18,1)="A",MIN('12_系统设置'!$E$9,'12_系统设置'!$E$12),IF(LEFT(C18,1)="B",MIN('12_系统设置'!$E$10,'12_系统设置'!$E$12),IF(LEFT(C18,1)="C",MIN('12_系统设置'!$E$11,'12_系统设置'!$E$12),0)))</x:f>
        <x:v>0</x:v>
      </x:c>
      <x:c r="E18" s="106" t="n">
        <x:v>0</x:v>
      </x:c>
      <x:c r="F18" s="107" t="str">
        <x:f>'01_观察名单'!F12</x:f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f>IF(C18="待数据","等待数据",IF(J18&gt;0,"可增加",IF(J18&lt;0,"需降低","匹配")))</x:f>
        <x:v>等待数据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f>'01_观察名单'!K13</x:f>
        <x:v>待数据</x:v>
      </x:c>
      <x:c r="D19" s="93" t="n">
        <x:f>IF(LEFT(C19,1)="A",MIN('12_系统设置'!$E$9,'12_系统设置'!$E$12),IF(LEFT(C19,1)="B",MIN('12_系统设置'!$E$10,'12_系统设置'!$E$12),IF(LEFT(C19,1)="C",MIN('12_系统设置'!$E$11,'12_系统设置'!$E$12),0)))</x:f>
        <x:v>0</x:v>
      </x:c>
      <x:c r="E19" s="106" t="n">
        <x:v>0</x:v>
      </x:c>
      <x:c r="F19" s="107" t="n">
        <x:f>'01_观察名单'!F13</x:f>
        <x:v>0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f>IF(C19="待数据","等待数据",IF(J19&gt;0,"可增加",IF(J19&lt;0,"需降低","匹配")))</x:f>
        <x:v>等待数据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2025A</x:v>
      </x:c>
      <x:c r="D4" s="86" t="str">
        <x:v>待Agent校验</x:v>
      </x:c>
      <x:c r="E4" s="106"/>
      <x:c r="F4" s="106"/>
      <x:c r="G4" s="106"/>
      <x:c r="H4" s="106"/>
      <x:c r="I4" s="106"/>
      <x:c r="J4" s="106"/>
      <x:c r="K4" s="106"/>
      <x:c r="L4" s="106"/>
      <x:c r="M4" s="130"/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2025A</x:v>
      </x:c>
      <x:c r="D5" s="86" t="str">
        <x:v>待Agent校验</x:v>
      </x:c>
      <x:c r="E5" s="106"/>
      <x:c r="F5" s="106"/>
      <x:c r="G5" s="106"/>
      <x:c r="H5" s="106"/>
      <x:c r="I5" s="106"/>
      <x:c r="J5" s="106"/>
      <x:c r="K5" s="106"/>
      <x:c r="L5" s="106"/>
      <x:c r="M5" s="130"/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2025A</x:v>
      </x:c>
      <x:c r="D6" s="86" t="str">
        <x:v>待Agent校验</x:v>
      </x:c>
      <x:c r="E6" s="106"/>
      <x:c r="F6" s="106"/>
      <x:c r="G6" s="106"/>
      <x:c r="H6" s="106"/>
      <x:c r="I6" s="106"/>
      <x:c r="J6" s="106"/>
      <x:c r="K6" s="106"/>
      <x:c r="L6" s="106"/>
      <x:c r="M6" s="130"/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2025A</x:v>
      </x:c>
      <x:c r="D7" s="86" t="str">
        <x:v>待Agent校验</x:v>
      </x:c>
      <x:c r="E7" s="106"/>
      <x:c r="F7" s="106"/>
      <x:c r="G7" s="106"/>
      <x:c r="H7" s="106"/>
      <x:c r="I7" s="106"/>
      <x:c r="J7" s="106"/>
      <x:c r="K7" s="106"/>
      <x:c r="L7" s="106"/>
      <x:c r="M7" s="130"/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2025A</x:v>
      </x:c>
      <x:c r="D8" s="86" t="str">
        <x:v>待Agent校验</x:v>
      </x:c>
      <x:c r="E8" s="106"/>
      <x:c r="F8" s="106"/>
      <x:c r="G8" s="106"/>
      <x:c r="H8" s="106"/>
      <x:c r="I8" s="106"/>
      <x:c r="J8" s="106"/>
      <x:c r="K8" s="106"/>
      <x:c r="L8" s="106"/>
      <x:c r="M8" s="130"/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2025A</x:v>
      </x:c>
      <x:c r="D9" s="86" t="str">
        <x:v>待Agent校验</x:v>
      </x:c>
      <x:c r="E9" s="106"/>
      <x:c r="F9" s="106"/>
      <x:c r="G9" s="106"/>
      <x:c r="H9" s="106"/>
      <x:c r="I9" s="106"/>
      <x:c r="J9" s="106"/>
      <x:c r="K9" s="106"/>
      <x:c r="L9" s="106"/>
      <x:c r="M9" s="130"/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2025A</x:v>
      </x:c>
      <x:c r="D10" s="86" t="str">
        <x:v>待Agent校验</x:v>
      </x:c>
      <x:c r="E10" s="106"/>
      <x:c r="F10" s="106"/>
      <x:c r="G10" s="106"/>
      <x:c r="H10" s="106"/>
      <x:c r="I10" s="106"/>
      <x:c r="J10" s="106"/>
      <x:c r="K10" s="106"/>
      <x:c r="L10" s="106"/>
      <x:c r="M10" s="130"/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2025A</x:v>
      </x:c>
      <x:c r="D11" s="86" t="str">
        <x:v>待Agent校验</x:v>
      </x:c>
      <x:c r="E11" s="106"/>
      <x:c r="F11" s="106"/>
      <x:c r="G11" s="106"/>
      <x:c r="H11" s="106"/>
      <x:c r="I11" s="106"/>
      <x:c r="J11" s="106"/>
      <x:c r="K11" s="106"/>
      <x:c r="L11" s="106"/>
      <x:c r="M11" s="130"/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2025A</x:v>
      </x:c>
      <x:c r="D12" s="86" t="str">
        <x:v>待Agent校验</x:v>
      </x:c>
      <x:c r="E12" s="106"/>
      <x:c r="F12" s="106"/>
      <x:c r="G12" s="106"/>
      <x:c r="H12" s="106"/>
      <x:c r="I12" s="106"/>
      <x:c r="J12" s="106"/>
      <x:c r="K12" s="106"/>
      <x:c r="L12" s="106"/>
      <x:c r="M12" s="130"/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2025A</x:v>
      </x:c>
      <x:c r="D13" s="86" t="str">
        <x:v>待Agent校验</x:v>
      </x:c>
      <x:c r="E13" s="106"/>
      <x:c r="F13" s="106"/>
      <x:c r="G13" s="106"/>
      <x:c r="H13" s="106"/>
      <x:c r="I13" s="106"/>
      <x:c r="J13" s="106"/>
      <x:c r="K13" s="106"/>
      <x:c r="L13" s="106"/>
      <x:c r="M13" s="130"/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EXAMPLE-001</x:v>
      </x:c>
      <x:c r="B4" s="106" t="str">
        <x:v>600941</x:v>
      </x:c>
      <x:c r="C4" s="106" t="str">
        <x:v>current_price</x:v>
      </x:c>
      <x:c r="D4" s="106" t="str">
        <x:v>2026-09-01 15:00</x:v>
      </x:c>
      <x:c r="E4" s="106"/>
      <x:c r="F4" s="106" t="str">
        <x:v>元</x:v>
      </x:c>
      <x:c r="G4" s="106" t="str">
        <x:v>交易所授权行情/券商API</x:v>
      </x:c>
      <x:c r="H4" s="106" t="str"/>
      <x:c r="I4" s="106" t="str">
        <x:v>备用行情源</x:v>
      </x:c>
      <x:c r="J4" s="106" t="str"/>
      <x:c r="K4" s="121"/>
      <x:c r="L4" s="121"/>
      <x:c r="M4" s="106" t="str">
        <x:v>v1.0</x:v>
      </x:c>
      <x:c r="N4" s="106" t="str"/>
      <x:c r="O4" s="113"/>
      <x:c r="P4" s="106" t="str">
        <x:v>待写入</x:v>
      </x:c>
      <x:c r="Q4" s="106" t="str">
        <x:v>否</x:v>
      </x:c>
      <x:c r="R4" s="106" t="str">
        <x:v>示例：实际系统应保存时间戳、URL/公告ID和Hash</x:v>
      </x:c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EXAMPLE-002</x:v>
      </x:c>
      <x:c r="B5" s="106" t="str">
        <x:v>600519</x:v>
      </x:c>
      <x:c r="C5" s="106" t="str">
        <x:v>roe</x:v>
      </x:c>
      <x:c r="D5" s="106" t="str">
        <x:v>2025A</x:v>
      </x:c>
      <x:c r="E5" s="106"/>
      <x:c r="F5" s="106" t="str">
        <x:v>%</x:v>
      </x:c>
      <x:c r="G5" s="106" t="str">
        <x:v>交易所年报/公司IR</x:v>
      </x:c>
      <x:c r="H5" s="106" t="str"/>
      <x:c r="I5" s="106" t="str">
        <x:v>权威数据库</x:v>
      </x:c>
      <x:c r="J5" s="106" t="str"/>
      <x:c r="K5" s="121"/>
      <x:c r="L5" s="121"/>
      <x:c r="M5" s="106" t="str">
        <x:v>v1.0</x:v>
      </x:c>
      <x:c r="N5" s="106" t="str"/>
      <x:c r="O5" s="113"/>
      <x:c r="P5" s="106" t="str">
        <x:v>待写入</x:v>
      </x:c>
      <x:c r="Q5" s="106" t="str">
        <x:v>否</x:v>
      </x:c>
      <x:c r="R5" s="106" t="str">
        <x:v>财务字段建议以已审计年报为最终依据</x:v>
      </x:c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06"/>
      <x:c r="C6" s="106"/>
      <x:c r="D6" s="106"/>
      <x:c r="E6" s="106"/>
      <x:c r="F6" s="106"/>
      <x:c r="G6" s="106"/>
      <x:c r="H6" s="106"/>
      <x:c r="I6" s="106"/>
      <x:c r="J6" s="106"/>
      <x:c r="K6" s="121"/>
      <x:c r="L6" s="121"/>
      <x:c r="M6" s="106"/>
      <x:c r="N6" s="106"/>
      <x:c r="O6" s="113"/>
      <x:c r="P6" s="106"/>
      <x:c r="Q6" s="106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06"/>
      <x:c r="C7" s="106"/>
      <x:c r="D7" s="106"/>
      <x:c r="E7" s="106"/>
      <x:c r="F7" s="106"/>
      <x:c r="G7" s="106"/>
      <x:c r="H7" s="106"/>
      <x:c r="I7" s="106"/>
      <x:c r="J7" s="106"/>
      <x:c r="K7" s="121"/>
      <x:c r="L7" s="121"/>
      <x:c r="M7" s="106"/>
      <x:c r="N7" s="106"/>
      <x:c r="O7" s="113"/>
      <x:c r="P7" s="106"/>
      <x:c r="Q7" s="106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06"/>
      <x:c r="C8" s="106"/>
      <x:c r="D8" s="106"/>
      <x:c r="E8" s="106"/>
      <x:c r="F8" s="106"/>
      <x:c r="G8" s="106"/>
      <x:c r="H8" s="106"/>
      <x:c r="I8" s="106"/>
      <x:c r="J8" s="106"/>
      <x:c r="K8" s="121"/>
      <x:c r="L8" s="121"/>
      <x:c r="M8" s="106"/>
      <x:c r="N8" s="106"/>
      <x:c r="O8" s="113"/>
      <x:c r="P8" s="106"/>
      <x:c r="Q8" s="106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06"/>
      <x:c r="C9" s="106"/>
      <x:c r="D9" s="106"/>
      <x:c r="E9" s="106"/>
      <x:c r="F9" s="106"/>
      <x:c r="G9" s="106"/>
      <x:c r="H9" s="106"/>
      <x:c r="I9" s="106"/>
      <x:c r="J9" s="106"/>
      <x:c r="K9" s="121"/>
      <x:c r="L9" s="121"/>
      <x:c r="M9" s="106"/>
      <x:c r="N9" s="106"/>
      <x:c r="O9" s="113"/>
      <x:c r="P9" s="106"/>
      <x:c r="Q9" s="106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06"/>
      <x:c r="C10" s="106"/>
      <x:c r="D10" s="106"/>
      <x:c r="E10" s="106"/>
      <x:c r="F10" s="106"/>
      <x:c r="G10" s="106"/>
      <x:c r="H10" s="106"/>
      <x:c r="I10" s="106"/>
      <x:c r="J10" s="106"/>
      <x:c r="K10" s="121"/>
      <x:c r="L10" s="121"/>
      <x:c r="M10" s="106"/>
      <x:c r="N10" s="106"/>
      <x:c r="O10" s="113"/>
      <x:c r="P10" s="106"/>
      <x:c r="Q10" s="106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06"/>
      <x:c r="C11" s="106"/>
      <x:c r="D11" s="106"/>
      <x:c r="E11" s="106"/>
      <x:c r="F11" s="106"/>
      <x:c r="G11" s="106"/>
      <x:c r="H11" s="106"/>
      <x:c r="I11" s="106"/>
      <x:c r="J11" s="106"/>
      <x:c r="K11" s="121"/>
      <x:c r="L11" s="121"/>
      <x:c r="M11" s="106"/>
      <x:c r="N11" s="106"/>
      <x:c r="O11" s="113"/>
      <x:c r="P11" s="106"/>
      <x:c r="Q11" s="106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06"/>
      <x:c r="C12" s="106"/>
      <x:c r="D12" s="106"/>
      <x:c r="E12" s="106"/>
      <x:c r="F12" s="106"/>
      <x:c r="G12" s="106"/>
      <x:c r="H12" s="106"/>
      <x:c r="I12" s="106"/>
      <x:c r="J12" s="106"/>
      <x:c r="K12" s="121"/>
      <x:c r="L12" s="121"/>
      <x:c r="M12" s="106"/>
      <x:c r="N12" s="106"/>
      <x:c r="O12" s="113"/>
      <x:c r="P12" s="106"/>
      <x:c r="Q12" s="106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06"/>
      <x:c r="C13" s="106"/>
      <x:c r="D13" s="106"/>
      <x:c r="E13" s="106"/>
      <x:c r="F13" s="106"/>
      <x:c r="G13" s="106"/>
      <x:c r="H13" s="106"/>
      <x:c r="I13" s="106"/>
      <x:c r="J13" s="106"/>
      <x:c r="K13" s="121"/>
      <x:c r="L13" s="121"/>
      <x:c r="M13" s="106"/>
      <x:c r="N13" s="106"/>
      <x:c r="O13" s="113"/>
      <x:c r="P13" s="106"/>
      <x:c r="Q13" s="106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06"/>
      <x:c r="E14" s="106"/>
      <x:c r="F14" s="106"/>
      <x:c r="G14" s="106"/>
      <x:c r="H14" s="106"/>
      <x:c r="I14" s="106"/>
      <x:c r="J14" s="106"/>
      <x:c r="K14" s="121"/>
      <x:c r="L14" s="121"/>
      <x:c r="M14" s="106"/>
      <x:c r="N14" s="106"/>
      <x:c r="O14" s="113"/>
      <x:c r="P14" s="106"/>
      <x:c r="Q14" s="106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06"/>
      <x:c r="E15" s="106"/>
      <x:c r="F15" s="106"/>
      <x:c r="G15" s="106"/>
      <x:c r="H15" s="106"/>
      <x:c r="I15" s="106"/>
      <x:c r="J15" s="106"/>
      <x:c r="K15" s="121"/>
      <x:c r="L15" s="121"/>
      <x:c r="M15" s="106"/>
      <x:c r="N15" s="106"/>
      <x:c r="O15" s="113"/>
      <x:c r="P15" s="106"/>
      <x:c r="Q15" s="106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06"/>
      <x:c r="E16" s="106"/>
      <x:c r="F16" s="106"/>
      <x:c r="G16" s="106"/>
      <x:c r="H16" s="106"/>
      <x:c r="I16" s="106"/>
      <x:c r="J16" s="106"/>
      <x:c r="K16" s="121"/>
      <x:c r="L16" s="121"/>
      <x:c r="M16" s="106"/>
      <x:c r="N16" s="106"/>
      <x:c r="O16" s="113"/>
      <x:c r="P16" s="106"/>
      <x:c r="Q16" s="106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06"/>
      <x:c r="E17" s="106"/>
      <x:c r="F17" s="106"/>
      <x:c r="G17" s="106"/>
      <x:c r="H17" s="106"/>
      <x:c r="I17" s="106"/>
      <x:c r="J17" s="106"/>
      <x:c r="K17" s="121"/>
      <x:c r="L17" s="121"/>
      <x:c r="M17" s="106"/>
      <x:c r="N17" s="106"/>
      <x:c r="O17" s="113"/>
      <x:c r="P17" s="106"/>
      <x:c r="Q17" s="106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06"/>
      <x:c r="E18" s="106"/>
      <x:c r="F18" s="106"/>
      <x:c r="G18" s="106"/>
      <x:c r="H18" s="106"/>
      <x:c r="I18" s="106"/>
      <x:c r="J18" s="106"/>
      <x:c r="K18" s="121"/>
      <x:c r="L18" s="121"/>
      <x:c r="M18" s="106"/>
      <x:c r="N18" s="106"/>
      <x:c r="O18" s="113"/>
      <x:c r="P18" s="106"/>
      <x:c r="Q18" s="106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06"/>
      <x:c r="E19" s="106"/>
      <x:c r="F19" s="106"/>
      <x:c r="G19" s="106"/>
      <x:c r="H19" s="106"/>
      <x:c r="I19" s="106"/>
      <x:c r="J19" s="106"/>
      <x:c r="K19" s="121"/>
      <x:c r="L19" s="121"/>
      <x:c r="M19" s="106"/>
      <x:c r="N19" s="106"/>
      <x:c r="O19" s="113"/>
      <x:c r="P19" s="106"/>
      <x:c r="Q19" s="106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06"/>
      <x:c r="E20" s="106"/>
      <x:c r="F20" s="106"/>
      <x:c r="G20" s="106"/>
      <x:c r="H20" s="106"/>
      <x:c r="I20" s="106"/>
      <x:c r="J20" s="106"/>
      <x:c r="K20" s="121"/>
      <x:c r="L20" s="121"/>
      <x:c r="M20" s="106"/>
      <x:c r="N20" s="106"/>
      <x:c r="O20" s="113"/>
      <x:c r="P20" s="106"/>
      <x:c r="Q20" s="106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21"/>
      <x:c r="L21" s="121"/>
      <x:c r="M21" s="106"/>
      <x:c r="N21" s="106"/>
      <x:c r="O21" s="113"/>
      <x:c r="P21" s="106"/>
      <x:c r="Q21" s="106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21"/>
      <x:c r="L22" s="121"/>
      <x:c r="M22" s="106"/>
      <x:c r="N22" s="106"/>
      <x:c r="O22" s="113"/>
      <x:c r="P22" s="106"/>
      <x:c r="Q22" s="106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21"/>
      <x:c r="L23" s="121"/>
      <x:c r="M23" s="106"/>
      <x:c r="N23" s="106"/>
      <x:c r="O23" s="113"/>
      <x:c r="P23" s="106"/>
      <x:c r="Q23" s="106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21"/>
      <x:c r="L24" s="121"/>
      <x:c r="M24" s="106"/>
      <x:c r="N24" s="106"/>
      <x:c r="O24" s="113"/>
      <x:c r="P24" s="106"/>
      <x:c r="Q24" s="106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21"/>
      <x:c r="L25" s="121"/>
      <x:c r="M25" s="106"/>
      <x:c r="N25" s="106"/>
      <x:c r="O25" s="113"/>
      <x:c r="P25" s="106"/>
      <x:c r="Q25" s="106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21"/>
      <x:c r="L26" s="121"/>
      <x:c r="M26" s="106"/>
      <x:c r="N26" s="106"/>
      <x:c r="O26" s="113"/>
      <x:c r="P26" s="106"/>
      <x:c r="Q26" s="106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21"/>
      <x:c r="L27" s="121"/>
      <x:c r="M27" s="106"/>
      <x:c r="N27" s="106"/>
      <x:c r="O27" s="113"/>
      <x:c r="P27" s="106"/>
      <x:c r="Q27" s="106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21"/>
      <x:c r="L28" s="121"/>
      <x:c r="M28" s="106"/>
      <x:c r="N28" s="106"/>
      <x:c r="O28" s="113"/>
      <x:c r="P28" s="106"/>
      <x:c r="Q28" s="106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21"/>
      <x:c r="L29" s="121"/>
      <x:c r="M29" s="106"/>
      <x:c r="N29" s="106"/>
      <x:c r="O29" s="113"/>
      <x:c r="P29" s="106"/>
      <x:c r="Q29" s="106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21"/>
      <x:c r="L30" s="121"/>
      <x:c r="M30" s="106"/>
      <x:c r="N30" s="106"/>
      <x:c r="O30" s="113"/>
      <x:c r="P30" s="106"/>
      <x:c r="Q30" s="106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21"/>
      <x:c r="L31" s="121"/>
      <x:c r="M31" s="106"/>
      <x:c r="N31" s="106"/>
      <x:c r="O31" s="113"/>
      <x:c r="P31" s="106"/>
      <x:c r="Q31" s="106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21"/>
      <x:c r="L32" s="121"/>
      <x:c r="M32" s="106"/>
      <x:c r="N32" s="106"/>
      <x:c r="O32" s="113"/>
      <x:c r="P32" s="106"/>
      <x:c r="Q32" s="106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21"/>
      <x:c r="L33" s="121"/>
      <x:c r="M33" s="106"/>
      <x:c r="N33" s="106"/>
      <x:c r="O33" s="113"/>
      <x:c r="P33" s="106"/>
      <x:c r="Q33" s="106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21"/>
      <x:c r="L34" s="121"/>
      <x:c r="M34" s="106"/>
      <x:c r="N34" s="106"/>
      <x:c r="O34" s="113"/>
      <x:c r="P34" s="106"/>
      <x:c r="Q34" s="106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21"/>
      <x:c r="L35" s="121"/>
      <x:c r="M35" s="106"/>
      <x:c r="N35" s="106"/>
      <x:c r="O35" s="113"/>
      <x:c r="P35" s="106"/>
      <x:c r="Q35" s="106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21"/>
      <x:c r="L36" s="121"/>
      <x:c r="M36" s="106"/>
      <x:c r="N36" s="106"/>
      <x:c r="O36" s="113"/>
      <x:c r="P36" s="106"/>
      <x:c r="Q36" s="106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21"/>
      <x:c r="L37" s="121"/>
      <x:c r="M37" s="106"/>
      <x:c r="N37" s="106"/>
      <x:c r="O37" s="113"/>
      <x:c r="P37" s="106"/>
      <x:c r="Q37" s="106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21"/>
      <x:c r="L38" s="121"/>
      <x:c r="M38" s="106"/>
      <x:c r="N38" s="106"/>
      <x:c r="O38" s="113"/>
      <x:c r="P38" s="106"/>
      <x:c r="Q38" s="106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21"/>
      <x:c r="L39" s="121"/>
      <x:c r="M39" s="106"/>
      <x:c r="N39" s="106"/>
      <x:c r="O39" s="113"/>
      <x:c r="P39" s="106"/>
      <x:c r="Q39" s="106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21"/>
      <x:c r="L40" s="121"/>
      <x:c r="M40" s="106"/>
      <x:c r="N40" s="106"/>
      <x:c r="O40" s="113"/>
      <x:c r="P40" s="106"/>
      <x:c r="Q40" s="106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21"/>
      <x:c r="L41" s="121"/>
      <x:c r="M41" s="106"/>
      <x:c r="N41" s="106"/>
      <x:c r="O41" s="113"/>
      <x:c r="P41" s="106"/>
      <x:c r="Q41" s="106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21"/>
      <x:c r="L42" s="121"/>
      <x:c r="M42" s="106"/>
      <x:c r="N42" s="106"/>
      <x:c r="O42" s="113"/>
      <x:c r="P42" s="106"/>
      <x:c r="Q42" s="106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21"/>
      <x:c r="L43" s="121"/>
      <x:c r="M43" s="106"/>
      <x:c r="N43" s="106"/>
      <x:c r="O43" s="113"/>
      <x:c r="P43" s="106"/>
      <x:c r="Q43" s="106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21"/>
      <x:c r="L44" s="121"/>
      <x:c r="M44" s="106"/>
      <x:c r="N44" s="106"/>
      <x:c r="O44" s="113"/>
      <x:c r="P44" s="106"/>
      <x:c r="Q44" s="106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21"/>
      <x:c r="L45" s="121"/>
      <x:c r="M45" s="106"/>
      <x:c r="N45" s="106"/>
      <x:c r="O45" s="113"/>
      <x:c r="P45" s="106"/>
      <x:c r="Q45" s="106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21"/>
      <x:c r="L46" s="121"/>
      <x:c r="M46" s="106"/>
      <x:c r="N46" s="106"/>
      <x:c r="O46" s="113"/>
      <x:c r="P46" s="106"/>
      <x:c r="Q46" s="106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21"/>
      <x:c r="L47" s="121"/>
      <x:c r="M47" s="106"/>
      <x:c r="N47" s="106"/>
      <x:c r="O47" s="113"/>
      <x:c r="P47" s="106"/>
      <x:c r="Q47" s="106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21"/>
      <x:c r="L48" s="121"/>
      <x:c r="M48" s="106"/>
      <x:c r="N48" s="106"/>
      <x:c r="O48" s="113"/>
      <x:c r="P48" s="106"/>
      <x:c r="Q48" s="106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21"/>
      <x:c r="L49" s="121"/>
      <x:c r="M49" s="106"/>
      <x:c r="N49" s="106"/>
      <x:c r="O49" s="113"/>
      <x:c r="P49" s="106"/>
      <x:c r="Q49" s="106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21"/>
      <x:c r="L50" s="121"/>
      <x:c r="M50" s="106"/>
      <x:c r="N50" s="106"/>
      <x:c r="O50" s="113"/>
      <x:c r="P50" s="106"/>
      <x:c r="Q50" s="106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21"/>
      <x:c r="L51" s="121"/>
      <x:c r="M51" s="106"/>
      <x:c r="N51" s="106"/>
      <x:c r="O51" s="113"/>
      <x:c r="P51" s="106"/>
      <x:c r="Q51" s="106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21"/>
      <x:c r="L52" s="121"/>
      <x:c r="M52" s="106"/>
      <x:c r="N52" s="106"/>
      <x:c r="O52" s="113"/>
      <x:c r="P52" s="106"/>
      <x:c r="Q52" s="106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21"/>
      <x:c r="L53" s="121"/>
      <x:c r="M53" s="106"/>
      <x:c r="N53" s="106"/>
      <x:c r="O53" s="113"/>
      <x:c r="P53" s="106"/>
      <x:c r="Q53" s="106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21"/>
      <x:c r="L54" s="121"/>
      <x:c r="M54" s="106"/>
      <x:c r="N54" s="106"/>
      <x:c r="O54" s="113"/>
      <x:c r="P54" s="106"/>
      <x:c r="Q54" s="106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21"/>
      <x:c r="L55" s="121"/>
      <x:c r="M55" s="106"/>
      <x:c r="N55" s="106"/>
      <x:c r="O55" s="113"/>
      <x:c r="P55" s="106"/>
      <x:c r="Q55" s="106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21"/>
      <x:c r="L56" s="121"/>
      <x:c r="M56" s="106"/>
      <x:c r="N56" s="106"/>
      <x:c r="O56" s="113"/>
      <x:c r="P56" s="106"/>
      <x:c r="Q56" s="106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21"/>
      <x:c r="L57" s="121"/>
      <x:c r="M57" s="106"/>
      <x:c r="N57" s="106"/>
      <x:c r="O57" s="113"/>
      <x:c r="P57" s="106"/>
      <x:c r="Q57" s="106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21"/>
      <x:c r="L58" s="121"/>
      <x:c r="M58" s="106"/>
      <x:c r="N58" s="106"/>
      <x:c r="O58" s="113"/>
      <x:c r="P58" s="106"/>
      <x:c r="Q58" s="106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21"/>
      <x:c r="L59" s="121"/>
      <x:c r="M59" s="106"/>
      <x:c r="N59" s="106"/>
      <x:c r="O59" s="113"/>
      <x:c r="P59" s="106"/>
      <x:c r="Q59" s="106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21"/>
      <x:c r="L60" s="121"/>
      <x:c r="M60" s="106"/>
      <x:c r="N60" s="106"/>
      <x:c r="O60" s="113"/>
      <x:c r="P60" s="106"/>
      <x:c r="Q60" s="106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21"/>
      <x:c r="L61" s="121"/>
      <x:c r="M61" s="106"/>
      <x:c r="N61" s="106"/>
      <x:c r="O61" s="113"/>
      <x:c r="P61" s="106"/>
      <x:c r="Q61" s="106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21"/>
      <x:c r="L62" s="121"/>
      <x:c r="M62" s="106"/>
      <x:c r="N62" s="106"/>
      <x:c r="O62" s="113"/>
      <x:c r="P62" s="106"/>
      <x:c r="Q62" s="106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21"/>
      <x:c r="L63" s="121"/>
      <x:c r="M63" s="106"/>
      <x:c r="N63" s="106"/>
      <x:c r="O63" s="113"/>
      <x:c r="P63" s="106"/>
      <x:c r="Q63" s="106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21"/>
      <x:c r="L64" s="121"/>
      <x:c r="M64" s="106"/>
      <x:c r="N64" s="106"/>
      <x:c r="O64" s="113"/>
      <x:c r="P64" s="106"/>
      <x:c r="Q64" s="106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21"/>
      <x:c r="L65" s="121"/>
      <x:c r="M65" s="106"/>
      <x:c r="N65" s="106"/>
      <x:c r="O65" s="113"/>
      <x:c r="P65" s="106"/>
      <x:c r="Q65" s="106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21"/>
      <x:c r="L66" s="121"/>
      <x:c r="M66" s="106"/>
      <x:c r="N66" s="106"/>
      <x:c r="O66" s="113"/>
      <x:c r="P66" s="106"/>
      <x:c r="Q66" s="106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21"/>
      <x:c r="L67" s="121"/>
      <x:c r="M67" s="106"/>
      <x:c r="N67" s="106"/>
      <x:c r="O67" s="113"/>
      <x:c r="P67" s="106"/>
      <x:c r="Q67" s="106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21"/>
      <x:c r="L68" s="121"/>
      <x:c r="M68" s="106"/>
      <x:c r="N68" s="106"/>
      <x:c r="O68" s="113"/>
      <x:c r="P68" s="106"/>
      <x:c r="Q68" s="106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21"/>
      <x:c r="L69" s="121"/>
      <x:c r="M69" s="106"/>
      <x:c r="N69" s="106"/>
      <x:c r="O69" s="113"/>
      <x:c r="P69" s="106"/>
      <x:c r="Q69" s="106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21"/>
      <x:c r="L70" s="121"/>
      <x:c r="M70" s="106"/>
      <x:c r="N70" s="106"/>
      <x:c r="O70" s="113"/>
      <x:c r="P70" s="106"/>
      <x:c r="Q70" s="106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21"/>
      <x:c r="L71" s="121"/>
      <x:c r="M71" s="106"/>
      <x:c r="N71" s="106"/>
      <x:c r="O71" s="113"/>
      <x:c r="P71" s="106"/>
      <x:c r="Q71" s="106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21"/>
      <x:c r="L72" s="121"/>
      <x:c r="M72" s="106"/>
      <x:c r="N72" s="106"/>
      <x:c r="O72" s="113"/>
      <x:c r="P72" s="106"/>
      <x:c r="Q72" s="106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21"/>
      <x:c r="L73" s="121"/>
      <x:c r="M73" s="106"/>
      <x:c r="N73" s="106"/>
      <x:c r="O73" s="113"/>
      <x:c r="P73" s="106"/>
      <x:c r="Q73" s="106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21"/>
      <x:c r="L74" s="121"/>
      <x:c r="M74" s="106"/>
      <x:c r="N74" s="106"/>
      <x:c r="O74" s="113"/>
      <x:c r="P74" s="106"/>
      <x:c r="Q74" s="106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21"/>
      <x:c r="L75" s="121"/>
      <x:c r="M75" s="106"/>
      <x:c r="N75" s="106"/>
      <x:c r="O75" s="113"/>
      <x:c r="P75" s="106"/>
      <x:c r="Q75" s="106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21"/>
      <x:c r="L76" s="121"/>
      <x:c r="M76" s="106"/>
      <x:c r="N76" s="106"/>
      <x:c r="O76" s="113"/>
      <x:c r="P76" s="106"/>
      <x:c r="Q76" s="106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21"/>
      <x:c r="L77" s="121"/>
      <x:c r="M77" s="106"/>
      <x:c r="N77" s="106"/>
      <x:c r="O77" s="113"/>
      <x:c r="P77" s="106"/>
      <x:c r="Q77" s="106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21"/>
      <x:c r="L78" s="121"/>
      <x:c r="M78" s="106"/>
      <x:c r="N78" s="106"/>
      <x:c r="O78" s="113"/>
      <x:c r="P78" s="106"/>
      <x:c r="Q78" s="106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21"/>
      <x:c r="L79" s="121"/>
      <x:c r="M79" s="106"/>
      <x:c r="N79" s="106"/>
      <x:c r="O79" s="113"/>
      <x:c r="P79" s="106"/>
      <x:c r="Q79" s="106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21"/>
      <x:c r="L80" s="121"/>
      <x:c r="M80" s="106"/>
      <x:c r="N80" s="106"/>
      <x:c r="O80" s="113"/>
      <x:c r="P80" s="106"/>
      <x:c r="Q80" s="106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21"/>
      <x:c r="L81" s="121"/>
      <x:c r="M81" s="106"/>
      <x:c r="N81" s="106"/>
      <x:c r="O81" s="113"/>
      <x:c r="P81" s="106"/>
      <x:c r="Q81" s="106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21"/>
      <x:c r="L82" s="121"/>
      <x:c r="M82" s="106"/>
      <x:c r="N82" s="106"/>
      <x:c r="O82" s="113"/>
      <x:c r="P82" s="106"/>
      <x:c r="Q82" s="106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21"/>
      <x:c r="L83" s="121"/>
      <x:c r="M83" s="106"/>
      <x:c r="N83" s="106"/>
      <x:c r="O83" s="113"/>
      <x:c r="P83" s="106"/>
      <x:c r="Q83" s="106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21"/>
      <x:c r="L84" s="121"/>
      <x:c r="M84" s="106"/>
      <x:c r="N84" s="106"/>
      <x:c r="O84" s="113"/>
      <x:c r="P84" s="106"/>
      <x:c r="Q84" s="106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21"/>
      <x:c r="L85" s="121"/>
      <x:c r="M85" s="106"/>
      <x:c r="N85" s="106"/>
      <x:c r="O85" s="113"/>
      <x:c r="P85" s="106"/>
      <x:c r="Q85" s="106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21"/>
      <x:c r="L86" s="121"/>
      <x:c r="M86" s="106"/>
      <x:c r="N86" s="106"/>
      <x:c r="O86" s="113"/>
      <x:c r="P86" s="106"/>
      <x:c r="Q86" s="106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21"/>
      <x:c r="L87" s="121"/>
      <x:c r="M87" s="106"/>
      <x:c r="N87" s="106"/>
      <x:c r="O87" s="113"/>
      <x:c r="P87" s="106"/>
      <x:c r="Q87" s="106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21"/>
      <x:c r="L88" s="121"/>
      <x:c r="M88" s="106"/>
      <x:c r="N88" s="106"/>
      <x:c r="O88" s="113"/>
      <x:c r="P88" s="106"/>
      <x:c r="Q88" s="106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21"/>
      <x:c r="L89" s="121"/>
      <x:c r="M89" s="106"/>
      <x:c r="N89" s="106"/>
      <x:c r="O89" s="113"/>
      <x:c r="P89" s="106"/>
      <x:c r="Q89" s="106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21"/>
      <x:c r="L90" s="121"/>
      <x:c r="M90" s="106"/>
      <x:c r="N90" s="106"/>
      <x:c r="O90" s="113"/>
      <x:c r="P90" s="106"/>
      <x:c r="Q90" s="106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21"/>
      <x:c r="L91" s="121"/>
      <x:c r="M91" s="106"/>
      <x:c r="N91" s="106"/>
      <x:c r="O91" s="113"/>
      <x:c r="P91" s="106"/>
      <x:c r="Q91" s="106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21"/>
      <x:c r="L92" s="121"/>
      <x:c r="M92" s="106"/>
      <x:c r="N92" s="106"/>
      <x:c r="O92" s="113"/>
      <x:c r="P92" s="106"/>
      <x:c r="Q92" s="106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21"/>
      <x:c r="L93" s="121"/>
      <x:c r="M93" s="106"/>
      <x:c r="N93" s="106"/>
      <x:c r="O93" s="113"/>
      <x:c r="P93" s="106"/>
      <x:c r="Q93" s="106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21"/>
      <x:c r="L94" s="121"/>
      <x:c r="M94" s="106"/>
      <x:c r="N94" s="106"/>
      <x:c r="O94" s="113"/>
      <x:c r="P94" s="106"/>
      <x:c r="Q94" s="106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21"/>
      <x:c r="L95" s="121"/>
      <x:c r="M95" s="106"/>
      <x:c r="N95" s="106"/>
      <x:c r="O95" s="113"/>
      <x:c r="P95" s="106"/>
      <x:c r="Q95" s="106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21"/>
      <x:c r="L96" s="121"/>
      <x:c r="M96" s="106"/>
      <x:c r="N96" s="106"/>
      <x:c r="O96" s="113"/>
      <x:c r="P96" s="106"/>
      <x:c r="Q96" s="106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21"/>
      <x:c r="L97" s="121"/>
      <x:c r="M97" s="106"/>
      <x:c r="N97" s="106"/>
      <x:c r="O97" s="113"/>
      <x:c r="P97" s="106"/>
      <x:c r="Q97" s="106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21"/>
      <x:c r="L98" s="121"/>
      <x:c r="M98" s="106"/>
      <x:c r="N98" s="106"/>
      <x:c r="O98" s="113"/>
      <x:c r="P98" s="106"/>
      <x:c r="Q98" s="106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21"/>
      <x:c r="L99" s="121"/>
      <x:c r="M99" s="106"/>
      <x:c r="N99" s="106"/>
      <x:c r="O99" s="113"/>
      <x:c r="P99" s="106"/>
      <x:c r="Q99" s="106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21"/>
      <x:c r="L100" s="121"/>
      <x:c r="M100" s="106"/>
      <x:c r="N100" s="106"/>
      <x:c r="O100" s="113"/>
      <x:c r="P100" s="106"/>
      <x:c r="Q100" s="106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06"/>
      <x:c r="E101" s="106"/>
      <x:c r="F101" s="106"/>
      <x:c r="G101" s="106"/>
      <x:c r="H101" s="106"/>
      <x:c r="I101" s="106"/>
      <x:c r="J101" s="106"/>
      <x:c r="K101" s="121"/>
      <x:c r="L101" s="121"/>
      <x:c r="M101" s="106"/>
      <x:c r="N101" s="106"/>
      <x:c r="O101" s="113"/>
      <x:c r="P101" s="106"/>
      <x:c r="Q101" s="106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06"/>
      <x:c r="E102" s="106"/>
      <x:c r="F102" s="106"/>
      <x:c r="G102" s="106"/>
      <x:c r="H102" s="106"/>
      <x:c r="I102" s="106"/>
      <x:c r="J102" s="106"/>
      <x:c r="K102" s="121"/>
      <x:c r="L102" s="121"/>
      <x:c r="M102" s="106"/>
      <x:c r="N102" s="106"/>
      <x:c r="O102" s="113"/>
      <x:c r="P102" s="106"/>
      <x:c r="Q102" s="106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06"/>
      <x:c r="E103" s="106"/>
      <x:c r="F103" s="106"/>
      <x:c r="G103" s="106"/>
      <x:c r="H103" s="106"/>
      <x:c r="I103" s="106"/>
      <x:c r="J103" s="106"/>
      <x:c r="K103" s="121"/>
      <x:c r="L103" s="121"/>
      <x:c r="M103" s="106"/>
      <x:c r="N103" s="106"/>
      <x:c r="O103" s="113"/>
      <x:c r="P103" s="106"/>
      <x:c r="Q103" s="106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06"/>
      <x:c r="E104" s="106"/>
      <x:c r="F104" s="106"/>
      <x:c r="G104" s="106"/>
      <x:c r="H104" s="106"/>
      <x:c r="I104" s="106"/>
      <x:c r="J104" s="106"/>
      <x:c r="K104" s="121"/>
      <x:c r="L104" s="121"/>
      <x:c r="M104" s="106"/>
      <x:c r="N104" s="106"/>
      <x:c r="O104" s="113"/>
      <x:c r="P104" s="106"/>
      <x:c r="Q104" s="106"/>
      <x:c r="R104" s="10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06"/>
      <x:c r="E105" s="106"/>
      <x:c r="F105" s="106"/>
      <x:c r="G105" s="106"/>
      <x:c r="H105" s="106"/>
      <x:c r="I105" s="106"/>
      <x:c r="J105" s="106"/>
      <x:c r="K105" s="121"/>
      <x:c r="L105" s="121"/>
      <x:c r="M105" s="106"/>
      <x:c r="N105" s="106"/>
      <x:c r="O105" s="113"/>
      <x:c r="P105" s="106"/>
      <x:c r="Q105" s="106"/>
      <x:c r="R105" s="10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06"/>
      <x:c r="E106" s="106"/>
      <x:c r="F106" s="106"/>
      <x:c r="G106" s="106"/>
      <x:c r="H106" s="106"/>
      <x:c r="I106" s="106"/>
      <x:c r="J106" s="106"/>
      <x:c r="K106" s="121"/>
      <x:c r="L106" s="121"/>
      <x:c r="M106" s="106"/>
      <x:c r="N106" s="106"/>
      <x:c r="O106" s="113"/>
      <x:c r="P106" s="106"/>
      <x:c r="Q106" s="106"/>
      <x:c r="R106" s="10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06"/>
      <x:c r="E107" s="106"/>
      <x:c r="F107" s="106"/>
      <x:c r="G107" s="106"/>
      <x:c r="H107" s="106"/>
      <x:c r="I107" s="106"/>
      <x:c r="J107" s="106"/>
      <x:c r="K107" s="121"/>
      <x:c r="L107" s="121"/>
      <x:c r="M107" s="106"/>
      <x:c r="N107" s="106"/>
      <x:c r="O107" s="113"/>
      <x:c r="P107" s="106"/>
      <x:c r="Q107" s="106"/>
      <x:c r="R107" s="10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06"/>
      <x:c r="E108" s="106"/>
      <x:c r="F108" s="106"/>
      <x:c r="G108" s="106"/>
      <x:c r="H108" s="106"/>
      <x:c r="I108" s="106"/>
      <x:c r="J108" s="106"/>
      <x:c r="K108" s="121"/>
      <x:c r="L108" s="121"/>
      <x:c r="M108" s="106"/>
      <x:c r="N108" s="106"/>
      <x:c r="O108" s="113"/>
      <x:c r="P108" s="106"/>
      <x:c r="Q108" s="106"/>
      <x:c r="R108" s="10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06"/>
      <x:c r="E109" s="106"/>
      <x:c r="F109" s="106"/>
      <x:c r="G109" s="106"/>
      <x:c r="H109" s="106"/>
      <x:c r="I109" s="106"/>
      <x:c r="J109" s="106"/>
      <x:c r="K109" s="121"/>
      <x:c r="L109" s="121"/>
      <x:c r="M109" s="106"/>
      <x:c r="N109" s="106"/>
      <x:c r="O109" s="113"/>
      <x:c r="P109" s="106"/>
      <x:c r="Q109" s="106"/>
      <x:c r="R109" s="10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06"/>
      <x:c r="E110" s="106"/>
      <x:c r="F110" s="106"/>
      <x:c r="G110" s="106"/>
      <x:c r="H110" s="106"/>
      <x:c r="I110" s="106"/>
      <x:c r="J110" s="106"/>
      <x:c r="K110" s="121"/>
      <x:c r="L110" s="121"/>
      <x:c r="M110" s="106"/>
      <x:c r="N110" s="106"/>
      <x:c r="O110" s="113"/>
      <x:c r="P110" s="106"/>
      <x:c r="Q110" s="106"/>
      <x:c r="R110" s="10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06"/>
      <x:c r="E111" s="106"/>
      <x:c r="F111" s="106"/>
      <x:c r="G111" s="106"/>
      <x:c r="H111" s="106"/>
      <x:c r="I111" s="106"/>
      <x:c r="J111" s="106"/>
      <x:c r="K111" s="121"/>
      <x:c r="L111" s="121"/>
      <x:c r="M111" s="106"/>
      <x:c r="N111" s="106"/>
      <x:c r="O111" s="113"/>
      <x:c r="P111" s="106"/>
      <x:c r="Q111" s="106"/>
      <x:c r="R111" s="10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06"/>
      <x:c r="E112" s="106"/>
      <x:c r="F112" s="106"/>
      <x:c r="G112" s="106"/>
      <x:c r="H112" s="106"/>
      <x:c r="I112" s="106"/>
      <x:c r="J112" s="106"/>
      <x:c r="K112" s="121"/>
      <x:c r="L112" s="121"/>
      <x:c r="M112" s="106"/>
      <x:c r="N112" s="106"/>
      <x:c r="O112" s="113"/>
      <x:c r="P112" s="106"/>
      <x:c r="Q112" s="106"/>
      <x:c r="R112" s="10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06"/>
      <x:c r="E113" s="106"/>
      <x:c r="F113" s="106"/>
      <x:c r="G113" s="106"/>
      <x:c r="H113" s="106"/>
      <x:c r="I113" s="106"/>
      <x:c r="J113" s="106"/>
      <x:c r="K113" s="121"/>
      <x:c r="L113" s="121"/>
      <x:c r="M113" s="106"/>
      <x:c r="N113" s="106"/>
      <x:c r="O113" s="113"/>
      <x:c r="P113" s="106"/>
      <x:c r="Q113" s="106"/>
      <x:c r="R113" s="10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06"/>
      <x:c r="E114" s="106"/>
      <x:c r="F114" s="106"/>
      <x:c r="G114" s="106"/>
      <x:c r="H114" s="106"/>
      <x:c r="I114" s="106"/>
      <x:c r="J114" s="106"/>
      <x:c r="K114" s="121"/>
      <x:c r="L114" s="121"/>
      <x:c r="M114" s="106"/>
      <x:c r="N114" s="106"/>
      <x:c r="O114" s="113"/>
      <x:c r="P114" s="106"/>
      <x:c r="Q114" s="106"/>
      <x:c r="R114" s="10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06"/>
      <x:c r="E115" s="106"/>
      <x:c r="F115" s="106"/>
      <x:c r="G115" s="106"/>
      <x:c r="H115" s="106"/>
      <x:c r="I115" s="106"/>
      <x:c r="J115" s="106"/>
      <x:c r="K115" s="121"/>
      <x:c r="L115" s="121"/>
      <x:c r="M115" s="106"/>
      <x:c r="N115" s="106"/>
      <x:c r="O115" s="113"/>
      <x:c r="P115" s="106"/>
      <x:c r="Q115" s="106"/>
      <x:c r="R115" s="10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06"/>
      <x:c r="E116" s="106"/>
      <x:c r="F116" s="106"/>
      <x:c r="G116" s="106"/>
      <x:c r="H116" s="106"/>
      <x:c r="I116" s="106"/>
      <x:c r="J116" s="106"/>
      <x:c r="K116" s="121"/>
      <x:c r="L116" s="121"/>
      <x:c r="M116" s="106"/>
      <x:c r="N116" s="106"/>
      <x:c r="O116" s="113"/>
      <x:c r="P116" s="106"/>
      <x:c r="Q116" s="106"/>
      <x:c r="R116" s="10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06"/>
      <x:c r="E117" s="106"/>
      <x:c r="F117" s="106"/>
      <x:c r="G117" s="106"/>
      <x:c r="H117" s="106"/>
      <x:c r="I117" s="106"/>
      <x:c r="J117" s="106"/>
      <x:c r="K117" s="121"/>
      <x:c r="L117" s="121"/>
      <x:c r="M117" s="106"/>
      <x:c r="N117" s="106"/>
      <x:c r="O117" s="113"/>
      <x:c r="P117" s="106"/>
      <x:c r="Q117" s="106"/>
      <x:c r="R117" s="10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06"/>
      <x:c r="E118" s="106"/>
      <x:c r="F118" s="106"/>
      <x:c r="G118" s="106"/>
      <x:c r="H118" s="106"/>
      <x:c r="I118" s="106"/>
      <x:c r="J118" s="106"/>
      <x:c r="K118" s="121"/>
      <x:c r="L118" s="121"/>
      <x:c r="M118" s="106"/>
      <x:c r="N118" s="106"/>
      <x:c r="O118" s="113"/>
      <x:c r="P118" s="106"/>
      <x:c r="Q118" s="106"/>
      <x:c r="R118" s="10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06"/>
      <x:c r="E119" s="106"/>
      <x:c r="F119" s="106"/>
      <x:c r="G119" s="106"/>
      <x:c r="H119" s="106"/>
      <x:c r="I119" s="106"/>
      <x:c r="J119" s="106"/>
      <x:c r="K119" s="121"/>
      <x:c r="L119" s="121"/>
      <x:c r="M119" s="106"/>
      <x:c r="N119" s="106"/>
      <x:c r="O119" s="113"/>
      <x:c r="P119" s="106"/>
      <x:c r="Q119" s="106"/>
      <x:c r="R119" s="10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06"/>
      <x:c r="E120" s="106"/>
      <x:c r="F120" s="106"/>
      <x:c r="G120" s="106"/>
      <x:c r="H120" s="106"/>
      <x:c r="I120" s="106"/>
      <x:c r="J120" s="106"/>
      <x:c r="K120" s="121"/>
      <x:c r="L120" s="121"/>
      <x:c r="M120" s="106"/>
      <x:c r="N120" s="106"/>
      <x:c r="O120" s="113"/>
      <x:c r="P120" s="106"/>
      <x:c r="Q120" s="106"/>
      <x:c r="R120" s="10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06"/>
      <x:c r="E121" s="106"/>
      <x:c r="F121" s="106"/>
      <x:c r="G121" s="106"/>
      <x:c r="H121" s="106"/>
      <x:c r="I121" s="106"/>
      <x:c r="J121" s="106"/>
      <x:c r="K121" s="121"/>
      <x:c r="L121" s="121"/>
      <x:c r="M121" s="106"/>
      <x:c r="N121" s="106"/>
      <x:c r="O121" s="113"/>
      <x:c r="P121" s="106"/>
      <x:c r="Q121" s="106"/>
      <x:c r="R121" s="10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06"/>
      <x:c r="E122" s="106"/>
      <x:c r="F122" s="106"/>
      <x:c r="G122" s="106"/>
      <x:c r="H122" s="106"/>
      <x:c r="I122" s="106"/>
      <x:c r="J122" s="106"/>
      <x:c r="K122" s="121"/>
      <x:c r="L122" s="121"/>
      <x:c r="M122" s="106"/>
      <x:c r="N122" s="106"/>
      <x:c r="O122" s="113"/>
      <x:c r="P122" s="106"/>
      <x:c r="Q122" s="106"/>
      <x:c r="R122" s="10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06"/>
      <x:c r="E123" s="106"/>
      <x:c r="F123" s="106"/>
      <x:c r="G123" s="106"/>
      <x:c r="H123" s="106"/>
      <x:c r="I123" s="106"/>
      <x:c r="J123" s="106"/>
      <x:c r="K123" s="121"/>
      <x:c r="L123" s="121"/>
      <x:c r="M123" s="106"/>
      <x:c r="N123" s="106"/>
      <x:c r="O123" s="113"/>
      <x:c r="P123" s="106"/>
      <x:c r="Q123" s="106"/>
      <x:c r="R123" s="10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06"/>
      <x:c r="E124" s="106"/>
      <x:c r="F124" s="106"/>
      <x:c r="G124" s="106"/>
      <x:c r="H124" s="106"/>
      <x:c r="I124" s="106"/>
      <x:c r="J124" s="106"/>
      <x:c r="K124" s="121"/>
      <x:c r="L124" s="121"/>
      <x:c r="M124" s="106"/>
      <x:c r="N124" s="106"/>
      <x:c r="O124" s="113"/>
      <x:c r="P124" s="106"/>
      <x:c r="Q124" s="106"/>
      <x:c r="R124" s="10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06"/>
      <x:c r="E125" s="106"/>
      <x:c r="F125" s="106"/>
      <x:c r="G125" s="106"/>
      <x:c r="H125" s="106"/>
      <x:c r="I125" s="106"/>
      <x:c r="J125" s="106"/>
      <x:c r="K125" s="121"/>
      <x:c r="L125" s="121"/>
      <x:c r="M125" s="106"/>
      <x:c r="N125" s="106"/>
      <x:c r="O125" s="113"/>
      <x:c r="P125" s="106"/>
      <x:c r="Q125" s="106"/>
      <x:c r="R125" s="10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06"/>
      <x:c r="E126" s="106"/>
      <x:c r="F126" s="106"/>
      <x:c r="G126" s="106"/>
      <x:c r="H126" s="106"/>
      <x:c r="I126" s="106"/>
      <x:c r="J126" s="106"/>
      <x:c r="K126" s="121"/>
      <x:c r="L126" s="121"/>
      <x:c r="M126" s="106"/>
      <x:c r="N126" s="106"/>
      <x:c r="O126" s="113"/>
      <x:c r="P126" s="106"/>
      <x:c r="Q126" s="106"/>
      <x:c r="R126" s="10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06"/>
      <x:c r="E127" s="106"/>
      <x:c r="F127" s="106"/>
      <x:c r="G127" s="106"/>
      <x:c r="H127" s="106"/>
      <x:c r="I127" s="106"/>
      <x:c r="J127" s="106"/>
      <x:c r="K127" s="121"/>
      <x:c r="L127" s="121"/>
      <x:c r="M127" s="106"/>
      <x:c r="N127" s="106"/>
      <x:c r="O127" s="113"/>
      <x:c r="P127" s="106"/>
      <x:c r="Q127" s="106"/>
      <x:c r="R127" s="10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06"/>
      <x:c r="E128" s="106"/>
      <x:c r="F128" s="106"/>
      <x:c r="G128" s="106"/>
      <x:c r="H128" s="106"/>
      <x:c r="I128" s="106"/>
      <x:c r="J128" s="106"/>
      <x:c r="K128" s="121"/>
      <x:c r="L128" s="121"/>
      <x:c r="M128" s="106"/>
      <x:c r="N128" s="106"/>
      <x:c r="O128" s="113"/>
      <x:c r="P128" s="106"/>
      <x:c r="Q128" s="106"/>
      <x:c r="R128" s="10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06"/>
      <x:c r="E129" s="106"/>
      <x:c r="F129" s="106"/>
      <x:c r="G129" s="106"/>
      <x:c r="H129" s="106"/>
      <x:c r="I129" s="106"/>
      <x:c r="J129" s="106"/>
      <x:c r="K129" s="121"/>
      <x:c r="L129" s="121"/>
      <x:c r="M129" s="106"/>
      <x:c r="N129" s="106"/>
      <x:c r="O129" s="113"/>
      <x:c r="P129" s="106"/>
      <x:c r="Q129" s="106"/>
      <x:c r="R129" s="10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06"/>
      <x:c r="E130" s="106"/>
      <x:c r="F130" s="106"/>
      <x:c r="G130" s="106"/>
      <x:c r="H130" s="106"/>
      <x:c r="I130" s="106"/>
      <x:c r="J130" s="106"/>
      <x:c r="K130" s="121"/>
      <x:c r="L130" s="121"/>
      <x:c r="M130" s="106"/>
      <x:c r="N130" s="106"/>
      <x:c r="O130" s="113"/>
      <x:c r="P130" s="106"/>
      <x:c r="Q130" s="106"/>
      <x:c r="R130" s="10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06"/>
      <x:c r="E131" s="106"/>
      <x:c r="F131" s="106"/>
      <x:c r="G131" s="106"/>
      <x:c r="H131" s="106"/>
      <x:c r="I131" s="106"/>
      <x:c r="J131" s="106"/>
      <x:c r="K131" s="121"/>
      <x:c r="L131" s="121"/>
      <x:c r="M131" s="106"/>
      <x:c r="N131" s="106"/>
      <x:c r="O131" s="113"/>
      <x:c r="P131" s="106"/>
      <x:c r="Q131" s="106"/>
      <x:c r="R131" s="10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06"/>
      <x:c r="E132" s="106"/>
      <x:c r="F132" s="106"/>
      <x:c r="G132" s="106"/>
      <x:c r="H132" s="106"/>
      <x:c r="I132" s="106"/>
      <x:c r="J132" s="106"/>
      <x:c r="K132" s="121"/>
      <x:c r="L132" s="121"/>
      <x:c r="M132" s="106"/>
      <x:c r="N132" s="106"/>
      <x:c r="O132" s="113"/>
      <x:c r="P132" s="106"/>
      <x:c r="Q132" s="106"/>
      <x:c r="R132" s="10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06"/>
      <x:c r="E133" s="106"/>
      <x:c r="F133" s="106"/>
      <x:c r="G133" s="106"/>
      <x:c r="H133" s="106"/>
      <x:c r="I133" s="106"/>
      <x:c r="J133" s="106"/>
      <x:c r="K133" s="121"/>
      <x:c r="L133" s="121"/>
      <x:c r="M133" s="106"/>
      <x:c r="N133" s="106"/>
      <x:c r="O133" s="113"/>
      <x:c r="P133" s="106"/>
      <x:c r="Q133" s="106"/>
      <x:c r="R133" s="10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06"/>
      <x:c r="E134" s="106"/>
      <x:c r="F134" s="106"/>
      <x:c r="G134" s="106"/>
      <x:c r="H134" s="106"/>
      <x:c r="I134" s="106"/>
      <x:c r="J134" s="106"/>
      <x:c r="K134" s="121"/>
      <x:c r="L134" s="121"/>
      <x:c r="M134" s="106"/>
      <x:c r="N134" s="106"/>
      <x:c r="O134" s="113"/>
      <x:c r="P134" s="106"/>
      <x:c r="Q134" s="106"/>
      <x:c r="R134" s="10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06"/>
      <x:c r="E135" s="106"/>
      <x:c r="F135" s="106"/>
      <x:c r="G135" s="106"/>
      <x:c r="H135" s="106"/>
      <x:c r="I135" s="106"/>
      <x:c r="J135" s="106"/>
      <x:c r="K135" s="121"/>
      <x:c r="L135" s="121"/>
      <x:c r="M135" s="106"/>
      <x:c r="N135" s="106"/>
      <x:c r="O135" s="113"/>
      <x:c r="P135" s="106"/>
      <x:c r="Q135" s="106"/>
      <x:c r="R135" s="10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06"/>
      <x:c r="E136" s="106"/>
      <x:c r="F136" s="106"/>
      <x:c r="G136" s="106"/>
      <x:c r="H136" s="106"/>
      <x:c r="I136" s="106"/>
      <x:c r="J136" s="106"/>
      <x:c r="K136" s="121"/>
      <x:c r="L136" s="121"/>
      <x:c r="M136" s="106"/>
      <x:c r="N136" s="106"/>
      <x:c r="O136" s="113"/>
      <x:c r="P136" s="106"/>
      <x:c r="Q136" s="106"/>
      <x:c r="R136" s="10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06"/>
      <x:c r="E137" s="106"/>
      <x:c r="F137" s="106"/>
      <x:c r="G137" s="106"/>
      <x:c r="H137" s="106"/>
      <x:c r="I137" s="106"/>
      <x:c r="J137" s="106"/>
      <x:c r="K137" s="121"/>
      <x:c r="L137" s="121"/>
      <x:c r="M137" s="106"/>
      <x:c r="N137" s="106"/>
      <x:c r="O137" s="113"/>
      <x:c r="P137" s="106"/>
      <x:c r="Q137" s="106"/>
      <x:c r="R137" s="10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06"/>
      <x:c r="E138" s="106"/>
      <x:c r="F138" s="106"/>
      <x:c r="G138" s="106"/>
      <x:c r="H138" s="106"/>
      <x:c r="I138" s="106"/>
      <x:c r="J138" s="106"/>
      <x:c r="K138" s="121"/>
      <x:c r="L138" s="121"/>
      <x:c r="M138" s="106"/>
      <x:c r="N138" s="106"/>
      <x:c r="O138" s="113"/>
      <x:c r="P138" s="106"/>
      <x:c r="Q138" s="106"/>
      <x:c r="R138" s="10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06"/>
      <x:c r="E139" s="106"/>
      <x:c r="F139" s="106"/>
      <x:c r="G139" s="106"/>
      <x:c r="H139" s="106"/>
      <x:c r="I139" s="106"/>
      <x:c r="J139" s="106"/>
      <x:c r="K139" s="121"/>
      <x:c r="L139" s="121"/>
      <x:c r="M139" s="106"/>
      <x:c r="N139" s="106"/>
      <x:c r="O139" s="113"/>
      <x:c r="P139" s="106"/>
      <x:c r="Q139" s="106"/>
      <x:c r="R139" s="10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06"/>
      <x:c r="E140" s="106"/>
      <x:c r="F140" s="106"/>
      <x:c r="G140" s="106"/>
      <x:c r="H140" s="106"/>
      <x:c r="I140" s="106"/>
      <x:c r="J140" s="106"/>
      <x:c r="K140" s="121"/>
      <x:c r="L140" s="121"/>
      <x:c r="M140" s="106"/>
      <x:c r="N140" s="106"/>
      <x:c r="O140" s="113"/>
      <x:c r="P140" s="106"/>
      <x:c r="Q140" s="106"/>
      <x:c r="R140" s="10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06"/>
      <x:c r="E141" s="106"/>
      <x:c r="F141" s="106"/>
      <x:c r="G141" s="106"/>
      <x:c r="H141" s="106"/>
      <x:c r="I141" s="106"/>
      <x:c r="J141" s="106"/>
      <x:c r="K141" s="121"/>
      <x:c r="L141" s="121"/>
      <x:c r="M141" s="106"/>
      <x:c r="N141" s="106"/>
      <x:c r="O141" s="113"/>
      <x:c r="P141" s="106"/>
      <x:c r="Q141" s="106"/>
      <x:c r="R141" s="10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06"/>
      <x:c r="E142" s="106"/>
      <x:c r="F142" s="106"/>
      <x:c r="G142" s="106"/>
      <x:c r="H142" s="106"/>
      <x:c r="I142" s="106"/>
      <x:c r="J142" s="106"/>
      <x:c r="K142" s="121"/>
      <x:c r="L142" s="121"/>
      <x:c r="M142" s="106"/>
      <x:c r="N142" s="106"/>
      <x:c r="O142" s="113"/>
      <x:c r="P142" s="106"/>
      <x:c r="Q142" s="106"/>
      <x:c r="R142" s="10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06"/>
      <x:c r="E143" s="106"/>
      <x:c r="F143" s="106"/>
      <x:c r="G143" s="106"/>
      <x:c r="H143" s="106"/>
      <x:c r="I143" s="106"/>
      <x:c r="J143" s="106"/>
      <x:c r="K143" s="121"/>
      <x:c r="L143" s="121"/>
      <x:c r="M143" s="106"/>
      <x:c r="N143" s="106"/>
      <x:c r="O143" s="113"/>
      <x:c r="P143" s="106"/>
      <x:c r="Q143" s="106"/>
      <x:c r="R143" s="10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06"/>
      <x:c r="E144" s="106"/>
      <x:c r="F144" s="106"/>
      <x:c r="G144" s="106"/>
      <x:c r="H144" s="106"/>
      <x:c r="I144" s="106"/>
      <x:c r="J144" s="106"/>
      <x:c r="K144" s="121"/>
      <x:c r="L144" s="121"/>
      <x:c r="M144" s="106"/>
      <x:c r="N144" s="106"/>
      <x:c r="O144" s="113"/>
      <x:c r="P144" s="106"/>
      <x:c r="Q144" s="106"/>
      <x:c r="R144" s="10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06"/>
      <x:c r="E145" s="106"/>
      <x:c r="F145" s="106"/>
      <x:c r="G145" s="106"/>
      <x:c r="H145" s="106"/>
      <x:c r="I145" s="106"/>
      <x:c r="J145" s="106"/>
      <x:c r="K145" s="121"/>
      <x:c r="L145" s="121"/>
      <x:c r="M145" s="106"/>
      <x:c r="N145" s="106"/>
      <x:c r="O145" s="113"/>
      <x:c r="P145" s="106"/>
      <x:c r="Q145" s="106"/>
      <x:c r="R145" s="10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06"/>
      <x:c r="E146" s="106"/>
      <x:c r="F146" s="106"/>
      <x:c r="G146" s="106"/>
      <x:c r="H146" s="106"/>
      <x:c r="I146" s="106"/>
      <x:c r="J146" s="106"/>
      <x:c r="K146" s="121"/>
      <x:c r="L146" s="121"/>
      <x:c r="M146" s="106"/>
      <x:c r="N146" s="106"/>
      <x:c r="O146" s="113"/>
      <x:c r="P146" s="106"/>
      <x:c r="Q146" s="106"/>
      <x:c r="R146" s="10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06"/>
      <x:c r="E147" s="106"/>
      <x:c r="F147" s="106"/>
      <x:c r="G147" s="106"/>
      <x:c r="H147" s="106"/>
      <x:c r="I147" s="106"/>
      <x:c r="J147" s="106"/>
      <x:c r="K147" s="121"/>
      <x:c r="L147" s="121"/>
      <x:c r="M147" s="106"/>
      <x:c r="N147" s="106"/>
      <x:c r="O147" s="113"/>
      <x:c r="P147" s="106"/>
      <x:c r="Q147" s="106"/>
      <x:c r="R147" s="10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06"/>
      <x:c r="E148" s="106"/>
      <x:c r="F148" s="106"/>
      <x:c r="G148" s="106"/>
      <x:c r="H148" s="106"/>
      <x:c r="I148" s="106"/>
      <x:c r="J148" s="106"/>
      <x:c r="K148" s="121"/>
      <x:c r="L148" s="121"/>
      <x:c r="M148" s="106"/>
      <x:c r="N148" s="106"/>
      <x:c r="O148" s="113"/>
      <x:c r="P148" s="106"/>
      <x:c r="Q148" s="106"/>
      <x:c r="R148" s="10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06"/>
      <x:c r="E149" s="106"/>
      <x:c r="F149" s="106"/>
      <x:c r="G149" s="106"/>
      <x:c r="H149" s="106"/>
      <x:c r="I149" s="106"/>
      <x:c r="J149" s="106"/>
      <x:c r="K149" s="121"/>
      <x:c r="L149" s="121"/>
      <x:c r="M149" s="106"/>
      <x:c r="N149" s="106"/>
      <x:c r="O149" s="113"/>
      <x:c r="P149" s="106"/>
      <x:c r="Q149" s="106"/>
      <x:c r="R149" s="10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06"/>
      <x:c r="E150" s="106"/>
      <x:c r="F150" s="106"/>
      <x:c r="G150" s="106"/>
      <x:c r="H150" s="106"/>
      <x:c r="I150" s="106"/>
      <x:c r="J150" s="106"/>
      <x:c r="K150" s="121"/>
      <x:c r="L150" s="121"/>
      <x:c r="M150" s="106"/>
      <x:c r="N150" s="106"/>
      <x:c r="O150" s="113"/>
      <x:c r="P150" s="106"/>
      <x:c r="Q150" s="106"/>
      <x:c r="R150" s="10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06"/>
      <x:c r="E151" s="106"/>
      <x:c r="F151" s="106"/>
      <x:c r="G151" s="106"/>
      <x:c r="H151" s="106"/>
      <x:c r="I151" s="106"/>
      <x:c r="J151" s="106"/>
      <x:c r="K151" s="121"/>
      <x:c r="L151" s="121"/>
      <x:c r="M151" s="106"/>
      <x:c r="N151" s="106"/>
      <x:c r="O151" s="113"/>
      <x:c r="P151" s="106"/>
      <x:c r="Q151" s="106"/>
      <x:c r="R151" s="10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06"/>
      <x:c r="E152" s="106"/>
      <x:c r="F152" s="106"/>
      <x:c r="G152" s="106"/>
      <x:c r="H152" s="106"/>
      <x:c r="I152" s="106"/>
      <x:c r="J152" s="106"/>
      <x:c r="K152" s="121"/>
      <x:c r="L152" s="121"/>
      <x:c r="M152" s="106"/>
      <x:c r="N152" s="106"/>
      <x:c r="O152" s="113"/>
      <x:c r="P152" s="106"/>
      <x:c r="Q152" s="106"/>
      <x:c r="R152" s="10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06"/>
      <x:c r="E153" s="106"/>
      <x:c r="F153" s="106"/>
      <x:c r="G153" s="106"/>
      <x:c r="H153" s="106"/>
      <x:c r="I153" s="106"/>
      <x:c r="J153" s="106"/>
      <x:c r="K153" s="121"/>
      <x:c r="L153" s="121"/>
      <x:c r="M153" s="106"/>
      <x:c r="N153" s="106"/>
      <x:c r="O153" s="113"/>
      <x:c r="P153" s="106"/>
      <x:c r="Q153" s="106"/>
      <x:c r="R153" s="10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06"/>
      <x:c r="E154" s="106"/>
      <x:c r="F154" s="106"/>
      <x:c r="G154" s="106"/>
      <x:c r="H154" s="106"/>
      <x:c r="I154" s="106"/>
      <x:c r="J154" s="106"/>
      <x:c r="K154" s="121"/>
      <x:c r="L154" s="121"/>
      <x:c r="M154" s="106"/>
      <x:c r="N154" s="106"/>
      <x:c r="O154" s="113"/>
      <x:c r="P154" s="106"/>
      <x:c r="Q154" s="106"/>
      <x:c r="R154" s="10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06"/>
      <x:c r="E155" s="106"/>
      <x:c r="F155" s="106"/>
      <x:c r="G155" s="106"/>
      <x:c r="H155" s="106"/>
      <x:c r="I155" s="106"/>
      <x:c r="J155" s="106"/>
      <x:c r="K155" s="121"/>
      <x:c r="L155" s="121"/>
      <x:c r="M155" s="106"/>
      <x:c r="N155" s="106"/>
      <x:c r="O155" s="113"/>
      <x:c r="P155" s="106"/>
      <x:c r="Q155" s="106"/>
      <x:c r="R155" s="10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06"/>
      <x:c r="E156" s="106"/>
      <x:c r="F156" s="106"/>
      <x:c r="G156" s="106"/>
      <x:c r="H156" s="106"/>
      <x:c r="I156" s="106"/>
      <x:c r="J156" s="106"/>
      <x:c r="K156" s="121"/>
      <x:c r="L156" s="121"/>
      <x:c r="M156" s="106"/>
      <x:c r="N156" s="106"/>
      <x:c r="O156" s="113"/>
      <x:c r="P156" s="106"/>
      <x:c r="Q156" s="106"/>
      <x:c r="R156" s="10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06"/>
      <x:c r="E157" s="106"/>
      <x:c r="F157" s="106"/>
      <x:c r="G157" s="106"/>
      <x:c r="H157" s="106"/>
      <x:c r="I157" s="106"/>
      <x:c r="J157" s="106"/>
      <x:c r="K157" s="121"/>
      <x:c r="L157" s="121"/>
      <x:c r="M157" s="106"/>
      <x:c r="N157" s="106"/>
      <x:c r="O157" s="113"/>
      <x:c r="P157" s="106"/>
      <x:c r="Q157" s="106"/>
      <x:c r="R157" s="10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06"/>
      <x:c r="E158" s="106"/>
      <x:c r="F158" s="106"/>
      <x:c r="G158" s="106"/>
      <x:c r="H158" s="106"/>
      <x:c r="I158" s="106"/>
      <x:c r="J158" s="106"/>
      <x:c r="K158" s="121"/>
      <x:c r="L158" s="121"/>
      <x:c r="M158" s="106"/>
      <x:c r="N158" s="106"/>
      <x:c r="O158" s="113"/>
      <x:c r="P158" s="106"/>
      <x:c r="Q158" s="106"/>
      <x:c r="R158" s="10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06"/>
      <x:c r="E159" s="106"/>
      <x:c r="F159" s="106"/>
      <x:c r="G159" s="106"/>
      <x:c r="H159" s="106"/>
      <x:c r="I159" s="106"/>
      <x:c r="J159" s="106"/>
      <x:c r="K159" s="121"/>
      <x:c r="L159" s="121"/>
      <x:c r="M159" s="106"/>
      <x:c r="N159" s="106"/>
      <x:c r="O159" s="113"/>
      <x:c r="P159" s="106"/>
      <x:c r="Q159" s="106"/>
      <x:c r="R159" s="10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06"/>
      <x:c r="E160" s="106"/>
      <x:c r="F160" s="106"/>
      <x:c r="G160" s="106"/>
      <x:c r="H160" s="106"/>
      <x:c r="I160" s="106"/>
      <x:c r="J160" s="106"/>
      <x:c r="K160" s="121"/>
      <x:c r="L160" s="121"/>
      <x:c r="M160" s="106"/>
      <x:c r="N160" s="106"/>
      <x:c r="O160" s="113"/>
      <x:c r="P160" s="106"/>
      <x:c r="Q160" s="106"/>
      <x:c r="R160" s="10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06"/>
      <x:c r="E161" s="106"/>
      <x:c r="F161" s="106"/>
      <x:c r="G161" s="106"/>
      <x:c r="H161" s="106"/>
      <x:c r="I161" s="106"/>
      <x:c r="J161" s="106"/>
      <x:c r="K161" s="121"/>
      <x:c r="L161" s="121"/>
      <x:c r="M161" s="106"/>
      <x:c r="N161" s="106"/>
      <x:c r="O161" s="113"/>
      <x:c r="P161" s="106"/>
      <x:c r="Q161" s="106"/>
      <x:c r="R161" s="10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06"/>
      <x:c r="E162" s="106"/>
      <x:c r="F162" s="106"/>
      <x:c r="G162" s="106"/>
      <x:c r="H162" s="106"/>
      <x:c r="I162" s="106"/>
      <x:c r="J162" s="106"/>
      <x:c r="K162" s="121"/>
      <x:c r="L162" s="121"/>
      <x:c r="M162" s="106"/>
      <x:c r="N162" s="106"/>
      <x:c r="O162" s="113"/>
      <x:c r="P162" s="106"/>
      <x:c r="Q162" s="106"/>
      <x:c r="R162" s="10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06"/>
      <x:c r="E163" s="106"/>
      <x:c r="F163" s="106"/>
      <x:c r="G163" s="106"/>
      <x:c r="H163" s="106"/>
      <x:c r="I163" s="106"/>
      <x:c r="J163" s="106"/>
      <x:c r="K163" s="121"/>
      <x:c r="L163" s="121"/>
      <x:c r="M163" s="106"/>
      <x:c r="N163" s="106"/>
      <x:c r="O163" s="113"/>
      <x:c r="P163" s="106"/>
      <x:c r="Q163" s="106"/>
      <x:c r="R163" s="10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06"/>
      <x:c r="E164" s="106"/>
      <x:c r="F164" s="106"/>
      <x:c r="G164" s="106"/>
      <x:c r="H164" s="106"/>
      <x:c r="I164" s="106"/>
      <x:c r="J164" s="106"/>
      <x:c r="K164" s="121"/>
      <x:c r="L164" s="121"/>
      <x:c r="M164" s="106"/>
      <x:c r="N164" s="106"/>
      <x:c r="O164" s="113"/>
      <x:c r="P164" s="106"/>
      <x:c r="Q164" s="106"/>
      <x:c r="R164" s="10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06"/>
      <x:c r="E165" s="106"/>
      <x:c r="F165" s="106"/>
      <x:c r="G165" s="106"/>
      <x:c r="H165" s="106"/>
      <x:c r="I165" s="106"/>
      <x:c r="J165" s="106"/>
      <x:c r="K165" s="121"/>
      <x:c r="L165" s="121"/>
      <x:c r="M165" s="106"/>
      <x:c r="N165" s="106"/>
      <x:c r="O165" s="113"/>
      <x:c r="P165" s="106"/>
      <x:c r="Q165" s="106"/>
      <x:c r="R165" s="10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06"/>
      <x:c r="E166" s="106"/>
      <x:c r="F166" s="106"/>
      <x:c r="G166" s="106"/>
      <x:c r="H166" s="106"/>
      <x:c r="I166" s="106"/>
      <x:c r="J166" s="106"/>
      <x:c r="K166" s="121"/>
      <x:c r="L166" s="121"/>
      <x:c r="M166" s="106"/>
      <x:c r="N166" s="106"/>
      <x:c r="O166" s="113"/>
      <x:c r="P166" s="106"/>
      <x:c r="Q166" s="106"/>
      <x:c r="R166" s="10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06"/>
      <x:c r="E167" s="106"/>
      <x:c r="F167" s="106"/>
      <x:c r="G167" s="106"/>
      <x:c r="H167" s="106"/>
      <x:c r="I167" s="106"/>
      <x:c r="J167" s="106"/>
      <x:c r="K167" s="121"/>
      <x:c r="L167" s="121"/>
      <x:c r="M167" s="106"/>
      <x:c r="N167" s="106"/>
      <x:c r="O167" s="113"/>
      <x:c r="P167" s="106"/>
      <x:c r="Q167" s="106"/>
      <x:c r="R167" s="10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06"/>
      <x:c r="E168" s="106"/>
      <x:c r="F168" s="106"/>
      <x:c r="G168" s="106"/>
      <x:c r="H168" s="106"/>
      <x:c r="I168" s="106"/>
      <x:c r="J168" s="106"/>
      <x:c r="K168" s="121"/>
      <x:c r="L168" s="121"/>
      <x:c r="M168" s="106"/>
      <x:c r="N168" s="106"/>
      <x:c r="O168" s="113"/>
      <x:c r="P168" s="106"/>
      <x:c r="Q168" s="106"/>
      <x:c r="R168" s="10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06"/>
      <x:c r="E169" s="106"/>
      <x:c r="F169" s="106"/>
      <x:c r="G169" s="106"/>
      <x:c r="H169" s="106"/>
      <x:c r="I169" s="106"/>
      <x:c r="J169" s="106"/>
      <x:c r="K169" s="121"/>
      <x:c r="L169" s="121"/>
      <x:c r="M169" s="106"/>
      <x:c r="N169" s="106"/>
      <x:c r="O169" s="113"/>
      <x:c r="P169" s="106"/>
      <x:c r="Q169" s="106"/>
      <x:c r="R169" s="10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06"/>
      <x:c r="E170" s="106"/>
      <x:c r="F170" s="106"/>
      <x:c r="G170" s="106"/>
      <x:c r="H170" s="106"/>
      <x:c r="I170" s="106"/>
      <x:c r="J170" s="106"/>
      <x:c r="K170" s="121"/>
      <x:c r="L170" s="121"/>
      <x:c r="M170" s="106"/>
      <x:c r="N170" s="106"/>
      <x:c r="O170" s="113"/>
      <x:c r="P170" s="106"/>
      <x:c r="Q170" s="106"/>
      <x:c r="R170" s="10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06"/>
      <x:c r="E171" s="106"/>
      <x:c r="F171" s="106"/>
      <x:c r="G171" s="106"/>
      <x:c r="H171" s="106"/>
      <x:c r="I171" s="106"/>
      <x:c r="J171" s="106"/>
      <x:c r="K171" s="121"/>
      <x:c r="L171" s="121"/>
      <x:c r="M171" s="106"/>
      <x:c r="N171" s="106"/>
      <x:c r="O171" s="113"/>
      <x:c r="P171" s="106"/>
      <x:c r="Q171" s="106"/>
      <x:c r="R171" s="10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06"/>
      <x:c r="E172" s="106"/>
      <x:c r="F172" s="106"/>
      <x:c r="G172" s="106"/>
      <x:c r="H172" s="106"/>
      <x:c r="I172" s="106"/>
      <x:c r="J172" s="106"/>
      <x:c r="K172" s="121"/>
      <x:c r="L172" s="121"/>
      <x:c r="M172" s="106"/>
      <x:c r="N172" s="106"/>
      <x:c r="O172" s="113"/>
      <x:c r="P172" s="106"/>
      <x:c r="Q172" s="106"/>
      <x:c r="R172" s="10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06"/>
      <x:c r="E173" s="106"/>
      <x:c r="F173" s="106"/>
      <x:c r="G173" s="106"/>
      <x:c r="H173" s="106"/>
      <x:c r="I173" s="106"/>
      <x:c r="J173" s="106"/>
      <x:c r="K173" s="121"/>
      <x:c r="L173" s="121"/>
      <x:c r="M173" s="106"/>
      <x:c r="N173" s="106"/>
      <x:c r="O173" s="113"/>
      <x:c r="P173" s="106"/>
      <x:c r="Q173" s="106"/>
      <x:c r="R173" s="10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06"/>
      <x:c r="E174" s="106"/>
      <x:c r="F174" s="106"/>
      <x:c r="G174" s="106"/>
      <x:c r="H174" s="106"/>
      <x:c r="I174" s="106"/>
      <x:c r="J174" s="106"/>
      <x:c r="K174" s="121"/>
      <x:c r="L174" s="121"/>
      <x:c r="M174" s="106"/>
      <x:c r="N174" s="106"/>
      <x:c r="O174" s="113"/>
      <x:c r="P174" s="106"/>
      <x:c r="Q174" s="106"/>
      <x:c r="R174" s="10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06"/>
      <x:c r="E175" s="106"/>
      <x:c r="F175" s="106"/>
      <x:c r="G175" s="106"/>
      <x:c r="H175" s="106"/>
      <x:c r="I175" s="106"/>
      <x:c r="J175" s="106"/>
      <x:c r="K175" s="121"/>
      <x:c r="L175" s="121"/>
      <x:c r="M175" s="106"/>
      <x:c r="N175" s="106"/>
      <x:c r="O175" s="113"/>
      <x:c r="P175" s="106"/>
      <x:c r="Q175" s="106"/>
      <x:c r="R175" s="10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06"/>
      <x:c r="E176" s="106"/>
      <x:c r="F176" s="106"/>
      <x:c r="G176" s="106"/>
      <x:c r="H176" s="106"/>
      <x:c r="I176" s="106"/>
      <x:c r="J176" s="106"/>
      <x:c r="K176" s="121"/>
      <x:c r="L176" s="121"/>
      <x:c r="M176" s="106"/>
      <x:c r="N176" s="106"/>
      <x:c r="O176" s="113"/>
      <x:c r="P176" s="106"/>
      <x:c r="Q176" s="106"/>
      <x:c r="R176" s="10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06"/>
      <x:c r="E177" s="106"/>
      <x:c r="F177" s="106"/>
      <x:c r="G177" s="106"/>
      <x:c r="H177" s="106"/>
      <x:c r="I177" s="106"/>
      <x:c r="J177" s="106"/>
      <x:c r="K177" s="121"/>
      <x:c r="L177" s="121"/>
      <x:c r="M177" s="106"/>
      <x:c r="N177" s="106"/>
      <x:c r="O177" s="113"/>
      <x:c r="P177" s="106"/>
      <x:c r="Q177" s="106"/>
      <x:c r="R177" s="10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06"/>
      <x:c r="E178" s="106"/>
      <x:c r="F178" s="106"/>
      <x:c r="G178" s="106"/>
      <x:c r="H178" s="106"/>
      <x:c r="I178" s="106"/>
      <x:c r="J178" s="106"/>
      <x:c r="K178" s="121"/>
      <x:c r="L178" s="121"/>
      <x:c r="M178" s="106"/>
      <x:c r="N178" s="106"/>
      <x:c r="O178" s="113"/>
      <x:c r="P178" s="106"/>
      <x:c r="Q178" s="106"/>
      <x:c r="R178" s="10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06"/>
      <x:c r="E179" s="106"/>
      <x:c r="F179" s="106"/>
      <x:c r="G179" s="106"/>
      <x:c r="H179" s="106"/>
      <x:c r="I179" s="106"/>
      <x:c r="J179" s="106"/>
      <x:c r="K179" s="121"/>
      <x:c r="L179" s="121"/>
      <x:c r="M179" s="106"/>
      <x:c r="N179" s="106"/>
      <x:c r="O179" s="113"/>
      <x:c r="P179" s="106"/>
      <x:c r="Q179" s="106"/>
      <x:c r="R179" s="10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06"/>
      <x:c r="E180" s="106"/>
      <x:c r="F180" s="106"/>
      <x:c r="G180" s="106"/>
      <x:c r="H180" s="106"/>
      <x:c r="I180" s="106"/>
      <x:c r="J180" s="106"/>
      <x:c r="K180" s="121"/>
      <x:c r="L180" s="121"/>
      <x:c r="M180" s="106"/>
      <x:c r="N180" s="106"/>
      <x:c r="O180" s="113"/>
      <x:c r="P180" s="106"/>
      <x:c r="Q180" s="106"/>
      <x:c r="R180" s="10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06"/>
      <x:c r="E181" s="106"/>
      <x:c r="F181" s="106"/>
      <x:c r="G181" s="106"/>
      <x:c r="H181" s="106"/>
      <x:c r="I181" s="106"/>
      <x:c r="J181" s="106"/>
      <x:c r="K181" s="121"/>
      <x:c r="L181" s="121"/>
      <x:c r="M181" s="106"/>
      <x:c r="N181" s="106"/>
      <x:c r="O181" s="113"/>
      <x:c r="P181" s="106"/>
      <x:c r="Q181" s="106"/>
      <x:c r="R181" s="10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06"/>
      <x:c r="E182" s="106"/>
      <x:c r="F182" s="106"/>
      <x:c r="G182" s="106"/>
      <x:c r="H182" s="106"/>
      <x:c r="I182" s="106"/>
      <x:c r="J182" s="106"/>
      <x:c r="K182" s="121"/>
      <x:c r="L182" s="121"/>
      <x:c r="M182" s="106"/>
      <x:c r="N182" s="106"/>
      <x:c r="O182" s="113"/>
      <x:c r="P182" s="106"/>
      <x:c r="Q182" s="106"/>
      <x:c r="R182" s="10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06"/>
      <x:c r="E183" s="106"/>
      <x:c r="F183" s="106"/>
      <x:c r="G183" s="106"/>
      <x:c r="H183" s="106"/>
      <x:c r="I183" s="106"/>
      <x:c r="J183" s="106"/>
      <x:c r="K183" s="121"/>
      <x:c r="L183" s="121"/>
      <x:c r="M183" s="106"/>
      <x:c r="N183" s="106"/>
      <x:c r="O183" s="113"/>
      <x:c r="P183" s="106"/>
      <x:c r="Q183" s="106"/>
      <x:c r="R183" s="10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06"/>
      <x:c r="E184" s="106"/>
      <x:c r="F184" s="106"/>
      <x:c r="G184" s="106"/>
      <x:c r="H184" s="106"/>
      <x:c r="I184" s="106"/>
      <x:c r="J184" s="106"/>
      <x:c r="K184" s="121"/>
      <x:c r="L184" s="121"/>
      <x:c r="M184" s="106"/>
      <x:c r="N184" s="106"/>
      <x:c r="O184" s="113"/>
      <x:c r="P184" s="106"/>
      <x:c r="Q184" s="106"/>
      <x:c r="R184" s="10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06"/>
      <x:c r="E185" s="106"/>
      <x:c r="F185" s="106"/>
      <x:c r="G185" s="106"/>
      <x:c r="H185" s="106"/>
      <x:c r="I185" s="106"/>
      <x:c r="J185" s="106"/>
      <x:c r="K185" s="121"/>
      <x:c r="L185" s="121"/>
      <x:c r="M185" s="106"/>
      <x:c r="N185" s="106"/>
      <x:c r="O185" s="113"/>
      <x:c r="P185" s="106"/>
      <x:c r="Q185" s="106"/>
      <x:c r="R185" s="10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06"/>
      <x:c r="E186" s="106"/>
      <x:c r="F186" s="106"/>
      <x:c r="G186" s="106"/>
      <x:c r="H186" s="106"/>
      <x:c r="I186" s="106"/>
      <x:c r="J186" s="106"/>
      <x:c r="K186" s="121"/>
      <x:c r="L186" s="121"/>
      <x:c r="M186" s="106"/>
      <x:c r="N186" s="106"/>
      <x:c r="O186" s="113"/>
      <x:c r="P186" s="106"/>
      <x:c r="Q186" s="106"/>
      <x:c r="R186" s="10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06"/>
      <x:c r="E187" s="106"/>
      <x:c r="F187" s="106"/>
      <x:c r="G187" s="106"/>
      <x:c r="H187" s="106"/>
      <x:c r="I187" s="106"/>
      <x:c r="J187" s="106"/>
      <x:c r="K187" s="121"/>
      <x:c r="L187" s="121"/>
      <x:c r="M187" s="106"/>
      <x:c r="N187" s="106"/>
      <x:c r="O187" s="113"/>
      <x:c r="P187" s="106"/>
      <x:c r="Q187" s="106"/>
      <x:c r="R187" s="10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06"/>
      <x:c r="E188" s="106"/>
      <x:c r="F188" s="106"/>
      <x:c r="G188" s="106"/>
      <x:c r="H188" s="106"/>
      <x:c r="I188" s="106"/>
      <x:c r="J188" s="106"/>
      <x:c r="K188" s="121"/>
      <x:c r="L188" s="121"/>
      <x:c r="M188" s="106"/>
      <x:c r="N188" s="106"/>
      <x:c r="O188" s="113"/>
      <x:c r="P188" s="106"/>
      <x:c r="Q188" s="106"/>
      <x:c r="R188" s="10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06"/>
      <x:c r="E189" s="106"/>
      <x:c r="F189" s="106"/>
      <x:c r="G189" s="106"/>
      <x:c r="H189" s="106"/>
      <x:c r="I189" s="106"/>
      <x:c r="J189" s="106"/>
      <x:c r="K189" s="121"/>
      <x:c r="L189" s="121"/>
      <x:c r="M189" s="106"/>
      <x:c r="N189" s="106"/>
      <x:c r="O189" s="113"/>
      <x:c r="P189" s="106"/>
      <x:c r="Q189" s="106"/>
      <x:c r="R189" s="10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06"/>
      <x:c r="E190" s="106"/>
      <x:c r="F190" s="106"/>
      <x:c r="G190" s="106"/>
      <x:c r="H190" s="106"/>
      <x:c r="I190" s="106"/>
      <x:c r="J190" s="106"/>
      <x:c r="K190" s="121"/>
      <x:c r="L190" s="121"/>
      <x:c r="M190" s="106"/>
      <x:c r="N190" s="106"/>
      <x:c r="O190" s="113"/>
      <x:c r="P190" s="106"/>
      <x:c r="Q190" s="106"/>
      <x:c r="R190" s="10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06"/>
      <x:c r="E191" s="106"/>
      <x:c r="F191" s="106"/>
      <x:c r="G191" s="106"/>
      <x:c r="H191" s="106"/>
      <x:c r="I191" s="106"/>
      <x:c r="J191" s="106"/>
      <x:c r="K191" s="121"/>
      <x:c r="L191" s="121"/>
      <x:c r="M191" s="106"/>
      <x:c r="N191" s="106"/>
      <x:c r="O191" s="113"/>
      <x:c r="P191" s="106"/>
      <x:c r="Q191" s="106"/>
      <x:c r="R191" s="10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06"/>
      <x:c r="E192" s="106"/>
      <x:c r="F192" s="106"/>
      <x:c r="G192" s="106"/>
      <x:c r="H192" s="106"/>
      <x:c r="I192" s="106"/>
      <x:c r="J192" s="106"/>
      <x:c r="K192" s="121"/>
      <x:c r="L192" s="121"/>
      <x:c r="M192" s="106"/>
      <x:c r="N192" s="106"/>
      <x:c r="O192" s="113"/>
      <x:c r="P192" s="106"/>
      <x:c r="Q192" s="106"/>
      <x:c r="R192" s="10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06"/>
      <x:c r="E193" s="106"/>
      <x:c r="F193" s="106"/>
      <x:c r="G193" s="106"/>
      <x:c r="H193" s="106"/>
      <x:c r="I193" s="106"/>
      <x:c r="J193" s="106"/>
      <x:c r="K193" s="121"/>
      <x:c r="L193" s="121"/>
      <x:c r="M193" s="106"/>
      <x:c r="N193" s="106"/>
      <x:c r="O193" s="113"/>
      <x:c r="P193" s="106"/>
      <x:c r="Q193" s="106"/>
      <x:c r="R193" s="10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06"/>
      <x:c r="E194" s="106"/>
      <x:c r="F194" s="106"/>
      <x:c r="G194" s="106"/>
      <x:c r="H194" s="106"/>
      <x:c r="I194" s="106"/>
      <x:c r="J194" s="106"/>
      <x:c r="K194" s="121"/>
      <x:c r="L194" s="121"/>
      <x:c r="M194" s="106"/>
      <x:c r="N194" s="106"/>
      <x:c r="O194" s="113"/>
      <x:c r="P194" s="106"/>
      <x:c r="Q194" s="106"/>
      <x:c r="R194" s="10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06"/>
      <x:c r="E195" s="106"/>
      <x:c r="F195" s="106"/>
      <x:c r="G195" s="106"/>
      <x:c r="H195" s="106"/>
      <x:c r="I195" s="106"/>
      <x:c r="J195" s="106"/>
      <x:c r="K195" s="121"/>
      <x:c r="L195" s="121"/>
      <x:c r="M195" s="106"/>
      <x:c r="N195" s="106"/>
      <x:c r="O195" s="113"/>
      <x:c r="P195" s="106"/>
      <x:c r="Q195" s="106"/>
      <x:c r="R195" s="10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06"/>
      <x:c r="E196" s="106"/>
      <x:c r="F196" s="106"/>
      <x:c r="G196" s="106"/>
      <x:c r="H196" s="106"/>
      <x:c r="I196" s="106"/>
      <x:c r="J196" s="106"/>
      <x:c r="K196" s="121"/>
      <x:c r="L196" s="121"/>
      <x:c r="M196" s="106"/>
      <x:c r="N196" s="106"/>
      <x:c r="O196" s="113"/>
      <x:c r="P196" s="106"/>
      <x:c r="Q196" s="106"/>
      <x:c r="R196" s="10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06"/>
      <x:c r="E197" s="106"/>
      <x:c r="F197" s="106"/>
      <x:c r="G197" s="106"/>
      <x:c r="H197" s="106"/>
      <x:c r="I197" s="106"/>
      <x:c r="J197" s="106"/>
      <x:c r="K197" s="121"/>
      <x:c r="L197" s="121"/>
      <x:c r="M197" s="106"/>
      <x:c r="N197" s="106"/>
      <x:c r="O197" s="113"/>
      <x:c r="P197" s="106"/>
      <x:c r="Q197" s="106"/>
      <x:c r="R197" s="10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06"/>
      <x:c r="E198" s="106"/>
      <x:c r="F198" s="106"/>
      <x:c r="G198" s="106"/>
      <x:c r="H198" s="106"/>
      <x:c r="I198" s="106"/>
      <x:c r="J198" s="106"/>
      <x:c r="K198" s="121"/>
      <x:c r="L198" s="121"/>
      <x:c r="M198" s="106"/>
      <x:c r="N198" s="106"/>
      <x:c r="O198" s="113"/>
      <x:c r="P198" s="106"/>
      <x:c r="Q198" s="106"/>
      <x:c r="R198" s="10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06"/>
      <x:c r="E199" s="106"/>
      <x:c r="F199" s="106"/>
      <x:c r="G199" s="106"/>
      <x:c r="H199" s="106"/>
      <x:c r="I199" s="106"/>
      <x:c r="J199" s="106"/>
      <x:c r="K199" s="121"/>
      <x:c r="L199" s="121"/>
      <x:c r="M199" s="106"/>
      <x:c r="N199" s="106"/>
      <x:c r="O199" s="113"/>
      <x:c r="P199" s="106"/>
      <x:c r="Q199" s="106"/>
      <x:c r="R199" s="10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06"/>
      <x:c r="E200" s="106"/>
      <x:c r="F200" s="106"/>
      <x:c r="G200" s="106"/>
      <x:c r="H200" s="106"/>
      <x:c r="I200" s="106"/>
      <x:c r="J200" s="106"/>
      <x:c r="K200" s="121"/>
      <x:c r="L200" s="121"/>
      <x:c r="M200" s="106"/>
      <x:c r="N200" s="106"/>
      <x:c r="O200" s="113"/>
      <x:c r="P200" s="106"/>
      <x:c r="Q200" s="106"/>
      <x:c r="R200" s="10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/>
      <x:c r="B201" s="106"/>
      <x:c r="C201" s="106"/>
      <x:c r="D201" s="106"/>
      <x:c r="E201" s="106"/>
      <x:c r="F201" s="106"/>
      <x:c r="G201" s="106"/>
      <x:c r="H201" s="106"/>
      <x:c r="I201" s="106"/>
      <x:c r="J201" s="106"/>
      <x:c r="K201" s="121"/>
      <x:c r="L201" s="121"/>
      <x:c r="M201" s="106"/>
      <x:c r="N201" s="106"/>
      <x:c r="O201" s="113"/>
      <x:c r="P201" s="106"/>
      <x:c r="Q201" s="106"/>
      <x:c r="R201" s="10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/>
      <x:c r="B202" s="106"/>
      <x:c r="C202" s="106"/>
      <x:c r="D202" s="106"/>
      <x:c r="E202" s="106"/>
      <x:c r="F202" s="106"/>
      <x:c r="G202" s="106"/>
      <x:c r="H202" s="106"/>
      <x:c r="I202" s="106"/>
      <x:c r="J202" s="106"/>
      <x:c r="K202" s="121"/>
      <x:c r="L202" s="121"/>
      <x:c r="M202" s="106"/>
      <x:c r="N202" s="106"/>
      <x:c r="O202" s="113"/>
      <x:c r="P202" s="106"/>
      <x:c r="Q202" s="106"/>
      <x:c r="R202" s="10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/>
      <x:c r="B203" s="106"/>
      <x:c r="C203" s="106"/>
      <x:c r="D203" s="106"/>
      <x:c r="E203" s="106"/>
      <x:c r="F203" s="106"/>
      <x:c r="G203" s="106"/>
      <x:c r="H203" s="106"/>
      <x:c r="I203" s="106"/>
      <x:c r="J203" s="106"/>
      <x:c r="K203" s="121"/>
      <x:c r="L203" s="121"/>
      <x:c r="M203" s="106"/>
      <x:c r="N203" s="106"/>
      <x:c r="O203" s="113"/>
      <x:c r="P203" s="106"/>
      <x:c r="Q203" s="106"/>
      <x:c r="R203" s="10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/>
      <x:c r="B204" s="106"/>
      <x:c r="C204" s="106"/>
      <x:c r="D204" s="106"/>
      <x:c r="E204" s="106"/>
      <x:c r="F204" s="106"/>
      <x:c r="G204" s="106"/>
      <x:c r="H204" s="106"/>
      <x:c r="I204" s="106"/>
      <x:c r="J204" s="106"/>
      <x:c r="K204" s="121"/>
      <x:c r="L204" s="121"/>
      <x:c r="M204" s="106"/>
      <x:c r="N204" s="106"/>
      <x:c r="O204" s="113"/>
      <x:c r="P204" s="106"/>
      <x:c r="Q204" s="106"/>
      <x:c r="R204" s="10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/>
      <x:c r="B205" s="106"/>
      <x:c r="C205" s="106"/>
      <x:c r="D205" s="106"/>
      <x:c r="E205" s="106"/>
      <x:c r="F205" s="106"/>
      <x:c r="G205" s="106"/>
      <x:c r="H205" s="106"/>
      <x:c r="I205" s="106"/>
      <x:c r="J205" s="106"/>
      <x:c r="K205" s="121"/>
      <x:c r="L205" s="121"/>
      <x:c r="M205" s="106"/>
      <x:c r="N205" s="106"/>
      <x:c r="O205" s="113"/>
      <x:c r="P205" s="106"/>
      <x:c r="Q205" s="106"/>
      <x:c r="R205" s="10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/>
      <x:c r="B206" s="106"/>
      <x:c r="C206" s="106"/>
      <x:c r="D206" s="106"/>
      <x:c r="E206" s="106"/>
      <x:c r="F206" s="106"/>
      <x:c r="G206" s="106"/>
      <x:c r="H206" s="106"/>
      <x:c r="I206" s="106"/>
      <x:c r="J206" s="106"/>
      <x:c r="K206" s="121"/>
      <x:c r="L206" s="121"/>
      <x:c r="M206" s="106"/>
      <x:c r="N206" s="106"/>
      <x:c r="O206" s="113"/>
      <x:c r="P206" s="106"/>
      <x:c r="Q206" s="106"/>
      <x:c r="R206" s="10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/>
      <x:c r="B207" s="106"/>
      <x:c r="C207" s="106"/>
      <x:c r="D207" s="106"/>
      <x:c r="E207" s="106"/>
      <x:c r="F207" s="106"/>
      <x:c r="G207" s="106"/>
      <x:c r="H207" s="106"/>
      <x:c r="I207" s="106"/>
      <x:c r="J207" s="106"/>
      <x:c r="K207" s="121"/>
      <x:c r="L207" s="121"/>
      <x:c r="M207" s="106"/>
      <x:c r="N207" s="106"/>
      <x:c r="O207" s="113"/>
      <x:c r="P207" s="106"/>
      <x:c r="Q207" s="106"/>
      <x:c r="R207" s="10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/>
      <x:c r="B208" s="106"/>
      <x:c r="C208" s="106"/>
      <x:c r="D208" s="106"/>
      <x:c r="E208" s="106"/>
      <x:c r="F208" s="106"/>
      <x:c r="G208" s="106"/>
      <x:c r="H208" s="106"/>
      <x:c r="I208" s="106"/>
      <x:c r="J208" s="106"/>
      <x:c r="K208" s="121"/>
      <x:c r="L208" s="121"/>
      <x:c r="M208" s="106"/>
      <x:c r="N208" s="106"/>
      <x:c r="O208" s="113"/>
      <x:c r="P208" s="106"/>
      <x:c r="Q208" s="106"/>
      <x:c r="R208" s="10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/>
      <x:c r="B209" s="106"/>
      <x:c r="C209" s="106"/>
      <x:c r="D209" s="106"/>
      <x:c r="E209" s="106"/>
      <x:c r="F209" s="106"/>
      <x:c r="G209" s="106"/>
      <x:c r="H209" s="106"/>
      <x:c r="I209" s="106"/>
      <x:c r="J209" s="106"/>
      <x:c r="K209" s="121"/>
      <x:c r="L209" s="121"/>
      <x:c r="M209" s="106"/>
      <x:c r="N209" s="106"/>
      <x:c r="O209" s="113"/>
      <x:c r="P209" s="106"/>
      <x:c r="Q209" s="106"/>
      <x:c r="R209" s="10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/>
      <x:c r="B210" s="106"/>
      <x:c r="C210" s="106"/>
      <x:c r="D210" s="106"/>
      <x:c r="E210" s="106"/>
      <x:c r="F210" s="106"/>
      <x:c r="G210" s="106"/>
      <x:c r="H210" s="106"/>
      <x:c r="I210" s="106"/>
      <x:c r="J210" s="106"/>
      <x:c r="K210" s="121"/>
      <x:c r="L210" s="121"/>
      <x:c r="M210" s="106"/>
      <x:c r="N210" s="106"/>
      <x:c r="O210" s="113"/>
      <x:c r="P210" s="106"/>
      <x:c r="Q210" s="106"/>
      <x:c r="R210" s="10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/>
      <x:c r="B211" s="106"/>
      <x:c r="C211" s="106"/>
      <x:c r="D211" s="106"/>
      <x:c r="E211" s="106"/>
      <x:c r="F211" s="106"/>
      <x:c r="G211" s="106"/>
      <x:c r="H211" s="106"/>
      <x:c r="I211" s="106"/>
      <x:c r="J211" s="106"/>
      <x:c r="K211" s="121"/>
      <x:c r="L211" s="121"/>
      <x:c r="M211" s="106"/>
      <x:c r="N211" s="106"/>
      <x:c r="O211" s="113"/>
      <x:c r="P211" s="106"/>
      <x:c r="Q211" s="106"/>
      <x:c r="R211" s="10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/>
      <x:c r="B212" s="106"/>
      <x:c r="C212" s="106"/>
      <x:c r="D212" s="106"/>
      <x:c r="E212" s="106"/>
      <x:c r="F212" s="106"/>
      <x:c r="G212" s="106"/>
      <x:c r="H212" s="106"/>
      <x:c r="I212" s="106"/>
      <x:c r="J212" s="106"/>
      <x:c r="K212" s="121"/>
      <x:c r="L212" s="121"/>
      <x:c r="M212" s="106"/>
      <x:c r="N212" s="106"/>
      <x:c r="O212" s="113"/>
      <x:c r="P212" s="106"/>
      <x:c r="Q212" s="106"/>
      <x:c r="R212" s="10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/>
      <x:c r="B213" s="106"/>
      <x:c r="C213" s="106"/>
      <x:c r="D213" s="106"/>
      <x:c r="E213" s="106"/>
      <x:c r="F213" s="106"/>
      <x:c r="G213" s="106"/>
      <x:c r="H213" s="106"/>
      <x:c r="I213" s="106"/>
      <x:c r="J213" s="106"/>
      <x:c r="K213" s="121"/>
      <x:c r="L213" s="121"/>
      <x:c r="M213" s="106"/>
      <x:c r="N213" s="106"/>
      <x:c r="O213" s="113"/>
      <x:c r="P213" s="106"/>
      <x:c r="Q213" s="106"/>
      <x:c r="R213" s="10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/>
      <x:c r="B214" s="106"/>
      <x:c r="C214" s="106"/>
      <x:c r="D214" s="106"/>
      <x:c r="E214" s="106"/>
      <x:c r="F214" s="106"/>
      <x:c r="G214" s="106"/>
      <x:c r="H214" s="106"/>
      <x:c r="I214" s="106"/>
      <x:c r="J214" s="106"/>
      <x:c r="K214" s="121"/>
      <x:c r="L214" s="121"/>
      <x:c r="M214" s="106"/>
      <x:c r="N214" s="106"/>
      <x:c r="O214" s="113"/>
      <x:c r="P214" s="106"/>
      <x:c r="Q214" s="106"/>
      <x:c r="R214" s="10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/>
      <x:c r="B215" s="106"/>
      <x:c r="C215" s="106"/>
      <x:c r="D215" s="106"/>
      <x:c r="E215" s="106"/>
      <x:c r="F215" s="106"/>
      <x:c r="G215" s="106"/>
      <x:c r="H215" s="106"/>
      <x:c r="I215" s="106"/>
      <x:c r="J215" s="106"/>
      <x:c r="K215" s="121"/>
      <x:c r="L215" s="121"/>
      <x:c r="M215" s="106"/>
      <x:c r="N215" s="106"/>
      <x:c r="O215" s="113"/>
      <x:c r="P215" s="106"/>
      <x:c r="Q215" s="106"/>
      <x:c r="R215" s="10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/>
      <x:c r="B216" s="106"/>
      <x:c r="C216" s="106"/>
      <x:c r="D216" s="106"/>
      <x:c r="E216" s="106"/>
      <x:c r="F216" s="106"/>
      <x:c r="G216" s="106"/>
      <x:c r="H216" s="106"/>
      <x:c r="I216" s="106"/>
      <x:c r="J216" s="106"/>
      <x:c r="K216" s="121"/>
      <x:c r="L216" s="121"/>
      <x:c r="M216" s="106"/>
      <x:c r="N216" s="106"/>
      <x:c r="O216" s="113"/>
      <x:c r="P216" s="106"/>
      <x:c r="Q216" s="106"/>
      <x:c r="R216" s="10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/>
      <x:c r="B217" s="106"/>
      <x:c r="C217" s="106"/>
      <x:c r="D217" s="106"/>
      <x:c r="E217" s="106"/>
      <x:c r="F217" s="106"/>
      <x:c r="G217" s="106"/>
      <x:c r="H217" s="106"/>
      <x:c r="I217" s="106"/>
      <x:c r="J217" s="106"/>
      <x:c r="K217" s="121"/>
      <x:c r="L217" s="121"/>
      <x:c r="M217" s="106"/>
      <x:c r="N217" s="106"/>
      <x:c r="O217" s="113"/>
      <x:c r="P217" s="106"/>
      <x:c r="Q217" s="106"/>
      <x:c r="R217" s="10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/>
      <x:c r="B218" s="106"/>
      <x:c r="C218" s="106"/>
      <x:c r="D218" s="106"/>
      <x:c r="E218" s="106"/>
      <x:c r="F218" s="106"/>
      <x:c r="G218" s="106"/>
      <x:c r="H218" s="106"/>
      <x:c r="I218" s="106"/>
      <x:c r="J218" s="106"/>
      <x:c r="K218" s="121"/>
      <x:c r="L218" s="121"/>
      <x:c r="M218" s="106"/>
      <x:c r="N218" s="106"/>
      <x:c r="O218" s="113"/>
      <x:c r="P218" s="106"/>
      <x:c r="Q218" s="106"/>
      <x:c r="R218" s="10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/>
      <x:c r="B219" s="106"/>
      <x:c r="C219" s="106"/>
      <x:c r="D219" s="106"/>
      <x:c r="E219" s="106"/>
      <x:c r="F219" s="106"/>
      <x:c r="G219" s="106"/>
      <x:c r="H219" s="106"/>
      <x:c r="I219" s="106"/>
      <x:c r="J219" s="106"/>
      <x:c r="K219" s="121"/>
      <x:c r="L219" s="121"/>
      <x:c r="M219" s="106"/>
      <x:c r="N219" s="106"/>
      <x:c r="O219" s="113"/>
      <x:c r="P219" s="106"/>
      <x:c r="Q219" s="106"/>
      <x:c r="R219" s="10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/>
      <x:c r="B220" s="106"/>
      <x:c r="C220" s="106"/>
      <x:c r="D220" s="106"/>
      <x:c r="E220" s="106"/>
      <x:c r="F220" s="106"/>
      <x:c r="G220" s="106"/>
      <x:c r="H220" s="106"/>
      <x:c r="I220" s="106"/>
      <x:c r="J220" s="106"/>
      <x:c r="K220" s="121"/>
      <x:c r="L220" s="121"/>
      <x:c r="M220" s="106"/>
      <x:c r="N220" s="106"/>
      <x:c r="O220" s="113"/>
      <x:c r="P220" s="106"/>
      <x:c r="Q220" s="106"/>
      <x:c r="R220" s="10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/>
      <x:c r="B221" s="106"/>
      <x:c r="C221" s="106"/>
      <x:c r="D221" s="106"/>
      <x:c r="E221" s="106"/>
      <x:c r="F221" s="106"/>
      <x:c r="G221" s="106"/>
      <x:c r="H221" s="106"/>
      <x:c r="I221" s="106"/>
      <x:c r="J221" s="106"/>
      <x:c r="K221" s="121"/>
      <x:c r="L221" s="121"/>
      <x:c r="M221" s="106"/>
      <x:c r="N221" s="106"/>
      <x:c r="O221" s="113"/>
      <x:c r="P221" s="106"/>
      <x:c r="Q221" s="106"/>
      <x:c r="R221" s="10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/>
      <x:c r="B222" s="106"/>
      <x:c r="C222" s="106"/>
      <x:c r="D222" s="106"/>
      <x:c r="E222" s="106"/>
      <x:c r="F222" s="106"/>
      <x:c r="G222" s="106"/>
      <x:c r="H222" s="106"/>
      <x:c r="I222" s="106"/>
      <x:c r="J222" s="106"/>
      <x:c r="K222" s="121"/>
      <x:c r="L222" s="121"/>
      <x:c r="M222" s="106"/>
      <x:c r="N222" s="106"/>
      <x:c r="O222" s="113"/>
      <x:c r="P222" s="106"/>
      <x:c r="Q222" s="106"/>
      <x:c r="R222" s="10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/>
      <x:c r="B223" s="106"/>
      <x:c r="C223" s="106"/>
      <x:c r="D223" s="106"/>
      <x:c r="E223" s="106"/>
      <x:c r="F223" s="106"/>
      <x:c r="G223" s="106"/>
      <x:c r="H223" s="106"/>
      <x:c r="I223" s="106"/>
      <x:c r="J223" s="106"/>
      <x:c r="K223" s="121"/>
      <x:c r="L223" s="121"/>
      <x:c r="M223" s="106"/>
      <x:c r="N223" s="106"/>
      <x:c r="O223" s="113"/>
      <x:c r="P223" s="106"/>
      <x:c r="Q223" s="106"/>
      <x:c r="R223" s="10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/>
      <x:c r="B224" s="106"/>
      <x:c r="C224" s="106"/>
      <x:c r="D224" s="106"/>
      <x:c r="E224" s="106"/>
      <x:c r="F224" s="106"/>
      <x:c r="G224" s="106"/>
      <x:c r="H224" s="106"/>
      <x:c r="I224" s="106"/>
      <x:c r="J224" s="106"/>
      <x:c r="K224" s="121"/>
      <x:c r="L224" s="121"/>
      <x:c r="M224" s="106"/>
      <x:c r="N224" s="106"/>
      <x:c r="O224" s="113"/>
      <x:c r="P224" s="106"/>
      <x:c r="Q224" s="106"/>
      <x:c r="R224" s="10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/>
      <x:c r="B225" s="106"/>
      <x:c r="C225" s="106"/>
      <x:c r="D225" s="106"/>
      <x:c r="E225" s="106"/>
      <x:c r="F225" s="106"/>
      <x:c r="G225" s="106"/>
      <x:c r="H225" s="106"/>
      <x:c r="I225" s="106"/>
      <x:c r="J225" s="106"/>
      <x:c r="K225" s="121"/>
      <x:c r="L225" s="121"/>
      <x:c r="M225" s="106"/>
      <x:c r="N225" s="106"/>
      <x:c r="O225" s="113"/>
      <x:c r="P225" s="106"/>
      <x:c r="Q225" s="106"/>
      <x:c r="R225" s="10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/>
      <x:c r="B226" s="106"/>
      <x:c r="C226" s="106"/>
      <x:c r="D226" s="106"/>
      <x:c r="E226" s="106"/>
      <x:c r="F226" s="106"/>
      <x:c r="G226" s="106"/>
      <x:c r="H226" s="106"/>
      <x:c r="I226" s="106"/>
      <x:c r="J226" s="106"/>
      <x:c r="K226" s="121"/>
      <x:c r="L226" s="121"/>
      <x:c r="M226" s="106"/>
      <x:c r="N226" s="106"/>
      <x:c r="O226" s="113"/>
      <x:c r="P226" s="106"/>
      <x:c r="Q226" s="106"/>
      <x:c r="R226" s="10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/>
      <x:c r="B227" s="106"/>
      <x:c r="C227" s="106"/>
      <x:c r="D227" s="106"/>
      <x:c r="E227" s="106"/>
      <x:c r="F227" s="106"/>
      <x:c r="G227" s="106"/>
      <x:c r="H227" s="106"/>
      <x:c r="I227" s="106"/>
      <x:c r="J227" s="106"/>
      <x:c r="K227" s="121"/>
      <x:c r="L227" s="121"/>
      <x:c r="M227" s="106"/>
      <x:c r="N227" s="106"/>
      <x:c r="O227" s="113"/>
      <x:c r="P227" s="106"/>
      <x:c r="Q227" s="106"/>
      <x:c r="R227" s="10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/>
      <x:c r="B228" s="106"/>
      <x:c r="C228" s="106"/>
      <x:c r="D228" s="106"/>
      <x:c r="E228" s="106"/>
      <x:c r="F228" s="106"/>
      <x:c r="G228" s="106"/>
      <x:c r="H228" s="106"/>
      <x:c r="I228" s="106"/>
      <x:c r="J228" s="106"/>
      <x:c r="K228" s="121"/>
      <x:c r="L228" s="121"/>
      <x:c r="M228" s="106"/>
      <x:c r="N228" s="106"/>
      <x:c r="O228" s="113"/>
      <x:c r="P228" s="106"/>
      <x:c r="Q228" s="106"/>
      <x:c r="R228" s="10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/>
      <x:c r="B229" s="106"/>
      <x:c r="C229" s="106"/>
      <x:c r="D229" s="106"/>
      <x:c r="E229" s="106"/>
      <x:c r="F229" s="106"/>
      <x:c r="G229" s="106"/>
      <x:c r="H229" s="106"/>
      <x:c r="I229" s="106"/>
      <x:c r="J229" s="106"/>
      <x:c r="K229" s="121"/>
      <x:c r="L229" s="121"/>
      <x:c r="M229" s="106"/>
      <x:c r="N229" s="106"/>
      <x:c r="O229" s="113"/>
      <x:c r="P229" s="106"/>
      <x:c r="Q229" s="106"/>
      <x:c r="R229" s="10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/>
      <x:c r="B230" s="106"/>
      <x:c r="C230" s="106"/>
      <x:c r="D230" s="106"/>
      <x:c r="E230" s="106"/>
      <x:c r="F230" s="106"/>
      <x:c r="G230" s="106"/>
      <x:c r="H230" s="106"/>
      <x:c r="I230" s="106"/>
      <x:c r="J230" s="106"/>
      <x:c r="K230" s="121"/>
      <x:c r="L230" s="121"/>
      <x:c r="M230" s="106"/>
      <x:c r="N230" s="106"/>
      <x:c r="O230" s="113"/>
      <x:c r="P230" s="106"/>
      <x:c r="Q230" s="106"/>
      <x:c r="R230" s="10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/>
      <x:c r="B231" s="106"/>
      <x:c r="C231" s="106"/>
      <x:c r="D231" s="106"/>
      <x:c r="E231" s="106"/>
      <x:c r="F231" s="106"/>
      <x:c r="G231" s="106"/>
      <x:c r="H231" s="106"/>
      <x:c r="I231" s="106"/>
      <x:c r="J231" s="106"/>
      <x:c r="K231" s="121"/>
      <x:c r="L231" s="121"/>
      <x:c r="M231" s="106"/>
      <x:c r="N231" s="106"/>
      <x:c r="O231" s="113"/>
      <x:c r="P231" s="106"/>
      <x:c r="Q231" s="106"/>
      <x:c r="R231" s="10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/>
      <x:c r="B232" s="106"/>
      <x:c r="C232" s="106"/>
      <x:c r="D232" s="106"/>
      <x:c r="E232" s="106"/>
      <x:c r="F232" s="106"/>
      <x:c r="G232" s="106"/>
      <x:c r="H232" s="106"/>
      <x:c r="I232" s="106"/>
      <x:c r="J232" s="106"/>
      <x:c r="K232" s="121"/>
      <x:c r="L232" s="121"/>
      <x:c r="M232" s="106"/>
      <x:c r="N232" s="106"/>
      <x:c r="O232" s="113"/>
      <x:c r="P232" s="106"/>
      <x:c r="Q232" s="106"/>
      <x:c r="R232" s="10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/>
      <x:c r="B233" s="106"/>
      <x:c r="C233" s="106"/>
      <x:c r="D233" s="106"/>
      <x:c r="E233" s="106"/>
      <x:c r="F233" s="106"/>
      <x:c r="G233" s="106"/>
      <x:c r="H233" s="106"/>
      <x:c r="I233" s="106"/>
      <x:c r="J233" s="106"/>
      <x:c r="K233" s="121"/>
      <x:c r="L233" s="121"/>
      <x:c r="M233" s="106"/>
      <x:c r="N233" s="106"/>
      <x:c r="O233" s="113"/>
      <x:c r="P233" s="106"/>
      <x:c r="Q233" s="106"/>
      <x:c r="R233" s="10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/>
      <x:c r="B234" s="106"/>
      <x:c r="C234" s="106"/>
      <x:c r="D234" s="106"/>
      <x:c r="E234" s="106"/>
      <x:c r="F234" s="106"/>
      <x:c r="G234" s="106"/>
      <x:c r="H234" s="106"/>
      <x:c r="I234" s="106"/>
      <x:c r="J234" s="106"/>
      <x:c r="K234" s="121"/>
      <x:c r="L234" s="121"/>
      <x:c r="M234" s="106"/>
      <x:c r="N234" s="106"/>
      <x:c r="O234" s="113"/>
      <x:c r="P234" s="106"/>
      <x:c r="Q234" s="106"/>
      <x:c r="R234" s="10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/>
      <x:c r="B235" s="106"/>
      <x:c r="C235" s="106"/>
      <x:c r="D235" s="106"/>
      <x:c r="E235" s="106"/>
      <x:c r="F235" s="106"/>
      <x:c r="G235" s="106"/>
      <x:c r="H235" s="106"/>
      <x:c r="I235" s="106"/>
      <x:c r="J235" s="106"/>
      <x:c r="K235" s="121"/>
      <x:c r="L235" s="121"/>
      <x:c r="M235" s="106"/>
      <x:c r="N235" s="106"/>
      <x:c r="O235" s="113"/>
      <x:c r="P235" s="106"/>
      <x:c r="Q235" s="106"/>
      <x:c r="R235" s="10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/>
      <x:c r="B236" s="106"/>
      <x:c r="C236" s="106"/>
      <x:c r="D236" s="106"/>
      <x:c r="E236" s="106"/>
      <x:c r="F236" s="106"/>
      <x:c r="G236" s="106"/>
      <x:c r="H236" s="106"/>
      <x:c r="I236" s="106"/>
      <x:c r="J236" s="106"/>
      <x:c r="K236" s="121"/>
      <x:c r="L236" s="121"/>
      <x:c r="M236" s="106"/>
      <x:c r="N236" s="106"/>
      <x:c r="O236" s="113"/>
      <x:c r="P236" s="106"/>
      <x:c r="Q236" s="106"/>
      <x:c r="R236" s="10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/>
      <x:c r="B237" s="106"/>
      <x:c r="C237" s="106"/>
      <x:c r="D237" s="106"/>
      <x:c r="E237" s="106"/>
      <x:c r="F237" s="106"/>
      <x:c r="G237" s="106"/>
      <x:c r="H237" s="106"/>
      <x:c r="I237" s="106"/>
      <x:c r="J237" s="106"/>
      <x:c r="K237" s="121"/>
      <x:c r="L237" s="121"/>
      <x:c r="M237" s="106"/>
      <x:c r="N237" s="106"/>
      <x:c r="O237" s="113"/>
      <x:c r="P237" s="106"/>
      <x:c r="Q237" s="106"/>
      <x:c r="R237" s="10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/>
      <x:c r="B238" s="106"/>
      <x:c r="C238" s="106"/>
      <x:c r="D238" s="106"/>
      <x:c r="E238" s="106"/>
      <x:c r="F238" s="106"/>
      <x:c r="G238" s="106"/>
      <x:c r="H238" s="106"/>
      <x:c r="I238" s="106"/>
      <x:c r="J238" s="106"/>
      <x:c r="K238" s="121"/>
      <x:c r="L238" s="121"/>
      <x:c r="M238" s="106"/>
      <x:c r="N238" s="106"/>
      <x:c r="O238" s="113"/>
      <x:c r="P238" s="106"/>
      <x:c r="Q238" s="106"/>
      <x:c r="R238" s="10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/>
      <x:c r="B239" s="106"/>
      <x:c r="C239" s="106"/>
      <x:c r="D239" s="106"/>
      <x:c r="E239" s="106"/>
      <x:c r="F239" s="106"/>
      <x:c r="G239" s="106"/>
      <x:c r="H239" s="106"/>
      <x:c r="I239" s="106"/>
      <x:c r="J239" s="106"/>
      <x:c r="K239" s="121"/>
      <x:c r="L239" s="121"/>
      <x:c r="M239" s="106"/>
      <x:c r="N239" s="106"/>
      <x:c r="O239" s="113"/>
      <x:c r="P239" s="106"/>
      <x:c r="Q239" s="106"/>
      <x:c r="R239" s="10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/>
      <x:c r="B240" s="106"/>
      <x:c r="C240" s="106"/>
      <x:c r="D240" s="106"/>
      <x:c r="E240" s="106"/>
      <x:c r="F240" s="106"/>
      <x:c r="G240" s="106"/>
      <x:c r="H240" s="106"/>
      <x:c r="I240" s="106"/>
      <x:c r="J240" s="106"/>
      <x:c r="K240" s="121"/>
      <x:c r="L240" s="121"/>
      <x:c r="M240" s="106"/>
      <x:c r="N240" s="106"/>
      <x:c r="O240" s="113"/>
      <x:c r="P240" s="106"/>
      <x:c r="Q240" s="106"/>
      <x:c r="R240" s="10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/>
      <x:c r="B241" s="106"/>
      <x:c r="C241" s="106"/>
      <x:c r="D241" s="106"/>
      <x:c r="E241" s="106"/>
      <x:c r="F241" s="106"/>
      <x:c r="G241" s="106"/>
      <x:c r="H241" s="106"/>
      <x:c r="I241" s="106"/>
      <x:c r="J241" s="106"/>
      <x:c r="K241" s="121"/>
      <x:c r="L241" s="121"/>
      <x:c r="M241" s="106"/>
      <x:c r="N241" s="106"/>
      <x:c r="O241" s="113"/>
      <x:c r="P241" s="106"/>
      <x:c r="Q241" s="106"/>
      <x:c r="R241" s="10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/>
      <x:c r="B242" s="106"/>
      <x:c r="C242" s="106"/>
      <x:c r="D242" s="106"/>
      <x:c r="E242" s="106"/>
      <x:c r="F242" s="106"/>
      <x:c r="G242" s="106"/>
      <x:c r="H242" s="106"/>
      <x:c r="I242" s="106"/>
      <x:c r="J242" s="106"/>
      <x:c r="K242" s="121"/>
      <x:c r="L242" s="121"/>
      <x:c r="M242" s="106"/>
      <x:c r="N242" s="106"/>
      <x:c r="O242" s="113"/>
      <x:c r="P242" s="106"/>
      <x:c r="Q242" s="106"/>
      <x:c r="R242" s="10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/>
      <x:c r="B243" s="106"/>
      <x:c r="C243" s="106"/>
      <x:c r="D243" s="106"/>
      <x:c r="E243" s="106"/>
      <x:c r="F243" s="106"/>
      <x:c r="G243" s="106"/>
      <x:c r="H243" s="106"/>
      <x:c r="I243" s="106"/>
      <x:c r="J243" s="106"/>
      <x:c r="K243" s="121"/>
      <x:c r="L243" s="121"/>
      <x:c r="M243" s="106"/>
      <x:c r="N243" s="106"/>
      <x:c r="O243" s="113"/>
      <x:c r="P243" s="106"/>
      <x:c r="Q243" s="106"/>
      <x:c r="R243" s="10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/>
      <x:c r="B244" s="106"/>
      <x:c r="C244" s="106"/>
      <x:c r="D244" s="106"/>
      <x:c r="E244" s="106"/>
      <x:c r="F244" s="106"/>
      <x:c r="G244" s="106"/>
      <x:c r="H244" s="106"/>
      <x:c r="I244" s="106"/>
      <x:c r="J244" s="106"/>
      <x:c r="K244" s="121"/>
      <x:c r="L244" s="121"/>
      <x:c r="M244" s="106"/>
      <x:c r="N244" s="106"/>
      <x:c r="O244" s="113"/>
      <x:c r="P244" s="106"/>
      <x:c r="Q244" s="106"/>
      <x:c r="R244" s="10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/>
      <x:c r="B245" s="106"/>
      <x:c r="C245" s="106"/>
      <x:c r="D245" s="106"/>
      <x:c r="E245" s="106"/>
      <x:c r="F245" s="106"/>
      <x:c r="G245" s="106"/>
      <x:c r="H245" s="106"/>
      <x:c r="I245" s="106"/>
      <x:c r="J245" s="106"/>
      <x:c r="K245" s="121"/>
      <x:c r="L245" s="121"/>
      <x:c r="M245" s="106"/>
      <x:c r="N245" s="106"/>
      <x:c r="O245" s="113"/>
      <x:c r="P245" s="106"/>
      <x:c r="Q245" s="106"/>
      <x:c r="R245" s="10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/>
      <x:c r="B246" s="106"/>
      <x:c r="C246" s="106"/>
      <x:c r="D246" s="106"/>
      <x:c r="E246" s="106"/>
      <x:c r="F246" s="106"/>
      <x:c r="G246" s="106"/>
      <x:c r="H246" s="106"/>
      <x:c r="I246" s="106"/>
      <x:c r="J246" s="106"/>
      <x:c r="K246" s="121"/>
      <x:c r="L246" s="121"/>
      <x:c r="M246" s="106"/>
      <x:c r="N246" s="106"/>
      <x:c r="O246" s="113"/>
      <x:c r="P246" s="106"/>
      <x:c r="Q246" s="106"/>
      <x:c r="R246" s="10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/>
      <x:c r="B247" s="106"/>
      <x:c r="C247" s="106"/>
      <x:c r="D247" s="106"/>
      <x:c r="E247" s="106"/>
      <x:c r="F247" s="106"/>
      <x:c r="G247" s="106"/>
      <x:c r="H247" s="106"/>
      <x:c r="I247" s="106"/>
      <x:c r="J247" s="106"/>
      <x:c r="K247" s="121"/>
      <x:c r="L247" s="121"/>
      <x:c r="M247" s="106"/>
      <x:c r="N247" s="106"/>
      <x:c r="O247" s="113"/>
      <x:c r="P247" s="106"/>
      <x:c r="Q247" s="106"/>
      <x:c r="R247" s="10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/>
      <x:c r="B248" s="106"/>
      <x:c r="C248" s="106"/>
      <x:c r="D248" s="106"/>
      <x:c r="E248" s="106"/>
      <x:c r="F248" s="106"/>
      <x:c r="G248" s="106"/>
      <x:c r="H248" s="106"/>
      <x:c r="I248" s="106"/>
      <x:c r="J248" s="106"/>
      <x:c r="K248" s="121"/>
      <x:c r="L248" s="121"/>
      <x:c r="M248" s="106"/>
      <x:c r="N248" s="106"/>
      <x:c r="O248" s="113"/>
      <x:c r="P248" s="106"/>
      <x:c r="Q248" s="106"/>
      <x:c r="R248" s="10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/>
      <x:c r="B249" s="106"/>
      <x:c r="C249" s="106"/>
      <x:c r="D249" s="106"/>
      <x:c r="E249" s="106"/>
      <x:c r="F249" s="106"/>
      <x:c r="G249" s="106"/>
      <x:c r="H249" s="106"/>
      <x:c r="I249" s="106"/>
      <x:c r="J249" s="106"/>
      <x:c r="K249" s="121"/>
      <x:c r="L249" s="121"/>
      <x:c r="M249" s="106"/>
      <x:c r="N249" s="106"/>
      <x:c r="O249" s="113"/>
      <x:c r="P249" s="106"/>
      <x:c r="Q249" s="106"/>
      <x:c r="R249" s="10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/>
      <x:c r="B250" s="106"/>
      <x:c r="C250" s="106"/>
      <x:c r="D250" s="106"/>
      <x:c r="E250" s="106"/>
      <x:c r="F250" s="106"/>
      <x:c r="G250" s="106"/>
      <x:c r="H250" s="106"/>
      <x:c r="I250" s="106"/>
      <x:c r="J250" s="106"/>
      <x:c r="K250" s="121"/>
      <x:c r="L250" s="121"/>
      <x:c r="M250" s="106"/>
      <x:c r="N250" s="106"/>
      <x:c r="O250" s="113"/>
      <x:c r="P250" s="106"/>
      <x:c r="Q250" s="106"/>
      <x:c r="R250" s="10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/>
      <x:c r="B251" s="106"/>
      <x:c r="C251" s="106"/>
      <x:c r="D251" s="106"/>
      <x:c r="E251" s="106"/>
      <x:c r="F251" s="106"/>
      <x:c r="G251" s="106"/>
      <x:c r="H251" s="106"/>
      <x:c r="I251" s="106"/>
      <x:c r="J251" s="106"/>
      <x:c r="K251" s="121"/>
      <x:c r="L251" s="121"/>
      <x:c r="M251" s="106"/>
      <x:c r="N251" s="106"/>
      <x:c r="O251" s="113"/>
      <x:c r="P251" s="106"/>
      <x:c r="Q251" s="106"/>
      <x:c r="R251" s="10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/>
      <x:c r="B252" s="106"/>
      <x:c r="C252" s="106"/>
      <x:c r="D252" s="106"/>
      <x:c r="E252" s="106"/>
      <x:c r="F252" s="106"/>
      <x:c r="G252" s="106"/>
      <x:c r="H252" s="106"/>
      <x:c r="I252" s="106"/>
      <x:c r="J252" s="106"/>
      <x:c r="K252" s="121"/>
      <x:c r="L252" s="121"/>
      <x:c r="M252" s="106"/>
      <x:c r="N252" s="106"/>
      <x:c r="O252" s="113"/>
      <x:c r="P252" s="106"/>
      <x:c r="Q252" s="106"/>
      <x:c r="R252" s="10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/>
      <x:c r="B253" s="106"/>
      <x:c r="C253" s="106"/>
      <x:c r="D253" s="106"/>
      <x:c r="E253" s="106"/>
      <x:c r="F253" s="106"/>
      <x:c r="G253" s="106"/>
      <x:c r="H253" s="106"/>
      <x:c r="I253" s="106"/>
      <x:c r="J253" s="106"/>
      <x:c r="K253" s="121"/>
      <x:c r="L253" s="121"/>
      <x:c r="M253" s="106"/>
      <x:c r="N253" s="106"/>
      <x:c r="O253" s="113"/>
      <x:c r="P253" s="106"/>
      <x:c r="Q253" s="106"/>
      <x:c r="R253" s="10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/>
      <x:c r="B254" s="106"/>
      <x:c r="C254" s="106"/>
      <x:c r="D254" s="106"/>
      <x:c r="E254" s="106"/>
      <x:c r="F254" s="106"/>
      <x:c r="G254" s="106"/>
      <x:c r="H254" s="106"/>
      <x:c r="I254" s="106"/>
      <x:c r="J254" s="106"/>
      <x:c r="K254" s="121"/>
      <x:c r="L254" s="121"/>
      <x:c r="M254" s="106"/>
      <x:c r="N254" s="106"/>
      <x:c r="O254" s="113"/>
      <x:c r="P254" s="106"/>
      <x:c r="Q254" s="106"/>
      <x:c r="R254" s="10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/>
      <x:c r="B255" s="106"/>
      <x:c r="C255" s="106"/>
      <x:c r="D255" s="106"/>
      <x:c r="E255" s="106"/>
      <x:c r="F255" s="106"/>
      <x:c r="G255" s="106"/>
      <x:c r="H255" s="106"/>
      <x:c r="I255" s="106"/>
      <x:c r="J255" s="106"/>
      <x:c r="K255" s="121"/>
      <x:c r="L255" s="121"/>
      <x:c r="M255" s="106"/>
      <x:c r="N255" s="106"/>
      <x:c r="O255" s="113"/>
      <x:c r="P255" s="106"/>
      <x:c r="Q255" s="106"/>
      <x:c r="R255" s="10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/>
      <x:c r="B256" s="106"/>
      <x:c r="C256" s="106"/>
      <x:c r="D256" s="106"/>
      <x:c r="E256" s="106"/>
      <x:c r="F256" s="106"/>
      <x:c r="G256" s="106"/>
      <x:c r="H256" s="106"/>
      <x:c r="I256" s="106"/>
      <x:c r="J256" s="106"/>
      <x:c r="K256" s="121"/>
      <x:c r="L256" s="121"/>
      <x:c r="M256" s="106"/>
      <x:c r="N256" s="106"/>
      <x:c r="O256" s="113"/>
      <x:c r="P256" s="106"/>
      <x:c r="Q256" s="106"/>
      <x:c r="R256" s="10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/>
      <x:c r="B257" s="106"/>
      <x:c r="C257" s="106"/>
      <x:c r="D257" s="106"/>
      <x:c r="E257" s="106"/>
      <x:c r="F257" s="106"/>
      <x:c r="G257" s="106"/>
      <x:c r="H257" s="106"/>
      <x:c r="I257" s="106"/>
      <x:c r="J257" s="106"/>
      <x:c r="K257" s="121"/>
      <x:c r="L257" s="121"/>
      <x:c r="M257" s="106"/>
      <x:c r="N257" s="106"/>
      <x:c r="O257" s="113"/>
      <x:c r="P257" s="106"/>
      <x:c r="Q257" s="106"/>
      <x:c r="R257" s="10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/>
      <x:c r="B258" s="106"/>
      <x:c r="C258" s="106"/>
      <x:c r="D258" s="106"/>
      <x:c r="E258" s="106"/>
      <x:c r="F258" s="106"/>
      <x:c r="G258" s="106"/>
      <x:c r="H258" s="106"/>
      <x:c r="I258" s="106"/>
      <x:c r="J258" s="106"/>
      <x:c r="K258" s="121"/>
      <x:c r="L258" s="121"/>
      <x:c r="M258" s="106"/>
      <x:c r="N258" s="106"/>
      <x:c r="O258" s="113"/>
      <x:c r="P258" s="106"/>
      <x:c r="Q258" s="106"/>
      <x:c r="R258" s="10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/>
      <x:c r="B259" s="106"/>
      <x:c r="C259" s="106"/>
      <x:c r="D259" s="106"/>
      <x:c r="E259" s="106"/>
      <x:c r="F259" s="106"/>
      <x:c r="G259" s="106"/>
      <x:c r="H259" s="106"/>
      <x:c r="I259" s="106"/>
      <x:c r="J259" s="106"/>
      <x:c r="K259" s="121"/>
      <x:c r="L259" s="121"/>
      <x:c r="M259" s="106"/>
      <x:c r="N259" s="106"/>
      <x:c r="O259" s="113"/>
      <x:c r="P259" s="106"/>
      <x:c r="Q259" s="106"/>
      <x:c r="R259" s="10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/>
      <x:c r="B260" s="106"/>
      <x:c r="C260" s="106"/>
      <x:c r="D260" s="106"/>
      <x:c r="E260" s="106"/>
      <x:c r="F260" s="106"/>
      <x:c r="G260" s="106"/>
      <x:c r="H260" s="106"/>
      <x:c r="I260" s="106"/>
      <x:c r="J260" s="106"/>
      <x:c r="K260" s="121"/>
      <x:c r="L260" s="121"/>
      <x:c r="M260" s="106"/>
      <x:c r="N260" s="106"/>
      <x:c r="O260" s="113"/>
      <x:c r="P260" s="106"/>
      <x:c r="Q260" s="106"/>
      <x:c r="R260" s="10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/>
      <x:c r="B261" s="106"/>
      <x:c r="C261" s="106"/>
      <x:c r="D261" s="106"/>
      <x:c r="E261" s="106"/>
      <x:c r="F261" s="106"/>
      <x:c r="G261" s="106"/>
      <x:c r="H261" s="106"/>
      <x:c r="I261" s="106"/>
      <x:c r="J261" s="106"/>
      <x:c r="K261" s="121"/>
      <x:c r="L261" s="121"/>
      <x:c r="M261" s="106"/>
      <x:c r="N261" s="106"/>
      <x:c r="O261" s="113"/>
      <x:c r="P261" s="106"/>
      <x:c r="Q261" s="106"/>
      <x:c r="R261" s="10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/>
      <x:c r="B262" s="106"/>
      <x:c r="C262" s="106"/>
      <x:c r="D262" s="106"/>
      <x:c r="E262" s="106"/>
      <x:c r="F262" s="106"/>
      <x:c r="G262" s="106"/>
      <x:c r="H262" s="106"/>
      <x:c r="I262" s="106"/>
      <x:c r="J262" s="106"/>
      <x:c r="K262" s="121"/>
      <x:c r="L262" s="121"/>
      <x:c r="M262" s="106"/>
      <x:c r="N262" s="106"/>
      <x:c r="O262" s="113"/>
      <x:c r="P262" s="106"/>
      <x:c r="Q262" s="106"/>
      <x:c r="R262" s="10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/>
      <x:c r="B263" s="106"/>
      <x:c r="C263" s="106"/>
      <x:c r="D263" s="106"/>
      <x:c r="E263" s="106"/>
      <x:c r="F263" s="106"/>
      <x:c r="G263" s="106"/>
      <x:c r="H263" s="106"/>
      <x:c r="I263" s="106"/>
      <x:c r="J263" s="106"/>
      <x:c r="K263" s="121"/>
      <x:c r="L263" s="121"/>
      <x:c r="M263" s="106"/>
      <x:c r="N263" s="106"/>
      <x:c r="O263" s="113"/>
      <x:c r="P263" s="106"/>
      <x:c r="Q263" s="106"/>
      <x:c r="R263" s="10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/>
      <x:c r="B264" s="106"/>
      <x:c r="C264" s="106"/>
      <x:c r="D264" s="106"/>
      <x:c r="E264" s="106"/>
      <x:c r="F264" s="106"/>
      <x:c r="G264" s="106"/>
      <x:c r="H264" s="106"/>
      <x:c r="I264" s="106"/>
      <x:c r="J264" s="106"/>
      <x:c r="K264" s="121"/>
      <x:c r="L264" s="121"/>
      <x:c r="M264" s="106"/>
      <x:c r="N264" s="106"/>
      <x:c r="O264" s="113"/>
      <x:c r="P264" s="106"/>
      <x:c r="Q264" s="106"/>
      <x:c r="R264" s="10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/>
      <x:c r="B265" s="106"/>
      <x:c r="C265" s="106"/>
      <x:c r="D265" s="106"/>
      <x:c r="E265" s="106"/>
      <x:c r="F265" s="106"/>
      <x:c r="G265" s="106"/>
      <x:c r="H265" s="106"/>
      <x:c r="I265" s="106"/>
      <x:c r="J265" s="106"/>
      <x:c r="K265" s="121"/>
      <x:c r="L265" s="121"/>
      <x:c r="M265" s="106"/>
      <x:c r="N265" s="106"/>
      <x:c r="O265" s="113"/>
      <x:c r="P265" s="106"/>
      <x:c r="Q265" s="106"/>
      <x:c r="R265" s="10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/>
      <x:c r="B266" s="106"/>
      <x:c r="C266" s="106"/>
      <x:c r="D266" s="106"/>
      <x:c r="E266" s="106"/>
      <x:c r="F266" s="106"/>
      <x:c r="G266" s="106"/>
      <x:c r="H266" s="106"/>
      <x:c r="I266" s="106"/>
      <x:c r="J266" s="106"/>
      <x:c r="K266" s="121"/>
      <x:c r="L266" s="121"/>
      <x:c r="M266" s="106"/>
      <x:c r="N266" s="106"/>
      <x:c r="O266" s="113"/>
      <x:c r="P266" s="106"/>
      <x:c r="Q266" s="106"/>
      <x:c r="R266" s="10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/>
      <x:c r="B267" s="106"/>
      <x:c r="C267" s="106"/>
      <x:c r="D267" s="106"/>
      <x:c r="E267" s="106"/>
      <x:c r="F267" s="106"/>
      <x:c r="G267" s="106"/>
      <x:c r="H267" s="106"/>
      <x:c r="I267" s="106"/>
      <x:c r="J267" s="106"/>
      <x:c r="K267" s="121"/>
      <x:c r="L267" s="121"/>
      <x:c r="M267" s="106"/>
      <x:c r="N267" s="106"/>
      <x:c r="O267" s="113"/>
      <x:c r="P267" s="106"/>
      <x:c r="Q267" s="106"/>
      <x:c r="R267" s="10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/>
      <x:c r="B268" s="106"/>
      <x:c r="C268" s="106"/>
      <x:c r="D268" s="106"/>
      <x:c r="E268" s="106"/>
      <x:c r="F268" s="106"/>
      <x:c r="G268" s="106"/>
      <x:c r="H268" s="106"/>
      <x:c r="I268" s="106"/>
      <x:c r="J268" s="106"/>
      <x:c r="K268" s="121"/>
      <x:c r="L268" s="121"/>
      <x:c r="M268" s="106"/>
      <x:c r="N268" s="106"/>
      <x:c r="O268" s="113"/>
      <x:c r="P268" s="106"/>
      <x:c r="Q268" s="106"/>
      <x:c r="R268" s="10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/>
      <x:c r="B269" s="106"/>
      <x:c r="C269" s="106"/>
      <x:c r="D269" s="106"/>
      <x:c r="E269" s="106"/>
      <x:c r="F269" s="106"/>
      <x:c r="G269" s="106"/>
      <x:c r="H269" s="106"/>
      <x:c r="I269" s="106"/>
      <x:c r="J269" s="106"/>
      <x:c r="K269" s="121"/>
      <x:c r="L269" s="121"/>
      <x:c r="M269" s="106"/>
      <x:c r="N269" s="106"/>
      <x:c r="O269" s="113"/>
      <x:c r="P269" s="106"/>
      <x:c r="Q269" s="106"/>
      <x:c r="R269" s="10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/>
      <x:c r="B270" s="106"/>
      <x:c r="C270" s="106"/>
      <x:c r="D270" s="106"/>
      <x:c r="E270" s="106"/>
      <x:c r="F270" s="106"/>
      <x:c r="G270" s="106"/>
      <x:c r="H270" s="106"/>
      <x:c r="I270" s="106"/>
      <x:c r="J270" s="106"/>
      <x:c r="K270" s="121"/>
      <x:c r="L270" s="121"/>
      <x:c r="M270" s="106"/>
      <x:c r="N270" s="106"/>
      <x:c r="O270" s="113"/>
      <x:c r="P270" s="106"/>
      <x:c r="Q270" s="106"/>
      <x:c r="R270" s="10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/>
      <x:c r="B271" s="106"/>
      <x:c r="C271" s="106"/>
      <x:c r="D271" s="106"/>
      <x:c r="E271" s="106"/>
      <x:c r="F271" s="106"/>
      <x:c r="G271" s="106"/>
      <x:c r="H271" s="106"/>
      <x:c r="I271" s="106"/>
      <x:c r="J271" s="106"/>
      <x:c r="K271" s="121"/>
      <x:c r="L271" s="121"/>
      <x:c r="M271" s="106"/>
      <x:c r="N271" s="106"/>
      <x:c r="O271" s="113"/>
      <x:c r="P271" s="106"/>
      <x:c r="Q271" s="106"/>
      <x:c r="R271" s="10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/>
      <x:c r="B272" s="106"/>
      <x:c r="C272" s="106"/>
      <x:c r="D272" s="106"/>
      <x:c r="E272" s="106"/>
      <x:c r="F272" s="106"/>
      <x:c r="G272" s="106"/>
      <x:c r="H272" s="106"/>
      <x:c r="I272" s="106"/>
      <x:c r="J272" s="106"/>
      <x:c r="K272" s="121"/>
      <x:c r="L272" s="121"/>
      <x:c r="M272" s="106"/>
      <x:c r="N272" s="106"/>
      <x:c r="O272" s="113"/>
      <x:c r="P272" s="106"/>
      <x:c r="Q272" s="106"/>
      <x:c r="R272" s="10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/>
      <x:c r="B273" s="106"/>
      <x:c r="C273" s="106"/>
      <x:c r="D273" s="106"/>
      <x:c r="E273" s="106"/>
      <x:c r="F273" s="106"/>
      <x:c r="G273" s="106"/>
      <x:c r="H273" s="106"/>
      <x:c r="I273" s="106"/>
      <x:c r="J273" s="106"/>
      <x:c r="K273" s="121"/>
      <x:c r="L273" s="121"/>
      <x:c r="M273" s="106"/>
      <x:c r="N273" s="106"/>
      <x:c r="O273" s="113"/>
      <x:c r="P273" s="106"/>
      <x:c r="Q273" s="106"/>
      <x:c r="R273" s="10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/>
      <x:c r="B274" s="106"/>
      <x:c r="C274" s="106"/>
      <x:c r="D274" s="106"/>
      <x:c r="E274" s="106"/>
      <x:c r="F274" s="106"/>
      <x:c r="G274" s="106"/>
      <x:c r="H274" s="106"/>
      <x:c r="I274" s="106"/>
      <x:c r="J274" s="106"/>
      <x:c r="K274" s="121"/>
      <x:c r="L274" s="121"/>
      <x:c r="M274" s="106"/>
      <x:c r="N274" s="106"/>
      <x:c r="O274" s="113"/>
      <x:c r="P274" s="106"/>
      <x:c r="Q274" s="106"/>
      <x:c r="R274" s="10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/>
      <x:c r="B275" s="106"/>
      <x:c r="C275" s="106"/>
      <x:c r="D275" s="106"/>
      <x:c r="E275" s="106"/>
      <x:c r="F275" s="106"/>
      <x:c r="G275" s="106"/>
      <x:c r="H275" s="106"/>
      <x:c r="I275" s="106"/>
      <x:c r="J275" s="106"/>
      <x:c r="K275" s="121"/>
      <x:c r="L275" s="121"/>
      <x:c r="M275" s="106"/>
      <x:c r="N275" s="106"/>
      <x:c r="O275" s="113"/>
      <x:c r="P275" s="106"/>
      <x:c r="Q275" s="106"/>
      <x:c r="R275" s="10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/>
      <x:c r="B276" s="106"/>
      <x:c r="C276" s="106"/>
      <x:c r="D276" s="106"/>
      <x:c r="E276" s="106"/>
      <x:c r="F276" s="106"/>
      <x:c r="G276" s="106"/>
      <x:c r="H276" s="106"/>
      <x:c r="I276" s="106"/>
      <x:c r="J276" s="106"/>
      <x:c r="K276" s="121"/>
      <x:c r="L276" s="121"/>
      <x:c r="M276" s="106"/>
      <x:c r="N276" s="106"/>
      <x:c r="O276" s="113"/>
      <x:c r="P276" s="106"/>
      <x:c r="Q276" s="106"/>
      <x:c r="R276" s="10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/>
      <x:c r="B277" s="106"/>
      <x:c r="C277" s="106"/>
      <x:c r="D277" s="106"/>
      <x:c r="E277" s="106"/>
      <x:c r="F277" s="106"/>
      <x:c r="G277" s="106"/>
      <x:c r="H277" s="106"/>
      <x:c r="I277" s="106"/>
      <x:c r="J277" s="106"/>
      <x:c r="K277" s="121"/>
      <x:c r="L277" s="121"/>
      <x:c r="M277" s="106"/>
      <x:c r="N277" s="106"/>
      <x:c r="O277" s="113"/>
      <x:c r="P277" s="106"/>
      <x:c r="Q277" s="106"/>
      <x:c r="R277" s="10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/>
      <x:c r="B278" s="106"/>
      <x:c r="C278" s="106"/>
      <x:c r="D278" s="106"/>
      <x:c r="E278" s="106"/>
      <x:c r="F278" s="106"/>
      <x:c r="G278" s="106"/>
      <x:c r="H278" s="106"/>
      <x:c r="I278" s="106"/>
      <x:c r="J278" s="106"/>
      <x:c r="K278" s="121"/>
      <x:c r="L278" s="121"/>
      <x:c r="M278" s="106"/>
      <x:c r="N278" s="106"/>
      <x:c r="O278" s="113"/>
      <x:c r="P278" s="106"/>
      <x:c r="Q278" s="106"/>
      <x:c r="R278" s="10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/>
      <x:c r="B279" s="106"/>
      <x:c r="C279" s="106"/>
      <x:c r="D279" s="106"/>
      <x:c r="E279" s="106"/>
      <x:c r="F279" s="106"/>
      <x:c r="G279" s="106"/>
      <x:c r="H279" s="106"/>
      <x:c r="I279" s="106"/>
      <x:c r="J279" s="106"/>
      <x:c r="K279" s="121"/>
      <x:c r="L279" s="121"/>
      <x:c r="M279" s="106"/>
      <x:c r="N279" s="106"/>
      <x:c r="O279" s="113"/>
      <x:c r="P279" s="106"/>
      <x:c r="Q279" s="106"/>
      <x:c r="R279" s="10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/>
      <x:c r="B280" s="106"/>
      <x:c r="C280" s="106"/>
      <x:c r="D280" s="106"/>
      <x:c r="E280" s="106"/>
      <x:c r="F280" s="106"/>
      <x:c r="G280" s="106"/>
      <x:c r="H280" s="106"/>
      <x:c r="I280" s="106"/>
      <x:c r="J280" s="106"/>
      <x:c r="K280" s="121"/>
      <x:c r="L280" s="121"/>
      <x:c r="M280" s="106"/>
      <x:c r="N280" s="106"/>
      <x:c r="O280" s="113"/>
      <x:c r="P280" s="106"/>
      <x:c r="Q280" s="106"/>
      <x:c r="R280" s="10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/>
      <x:c r="B281" s="106"/>
      <x:c r="C281" s="106"/>
      <x:c r="D281" s="106"/>
      <x:c r="E281" s="106"/>
      <x:c r="F281" s="106"/>
      <x:c r="G281" s="106"/>
      <x:c r="H281" s="106"/>
      <x:c r="I281" s="106"/>
      <x:c r="J281" s="106"/>
      <x:c r="K281" s="121"/>
      <x:c r="L281" s="121"/>
      <x:c r="M281" s="106"/>
      <x:c r="N281" s="106"/>
      <x:c r="O281" s="113"/>
      <x:c r="P281" s="106"/>
      <x:c r="Q281" s="106"/>
      <x:c r="R281" s="10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/>
      <x:c r="B282" s="106"/>
      <x:c r="C282" s="106"/>
      <x:c r="D282" s="106"/>
      <x:c r="E282" s="106"/>
      <x:c r="F282" s="106"/>
      <x:c r="G282" s="106"/>
      <x:c r="H282" s="106"/>
      <x:c r="I282" s="106"/>
      <x:c r="J282" s="106"/>
      <x:c r="K282" s="121"/>
      <x:c r="L282" s="121"/>
      <x:c r="M282" s="106"/>
      <x:c r="N282" s="106"/>
      <x:c r="O282" s="113"/>
      <x:c r="P282" s="106"/>
      <x:c r="Q282" s="106"/>
      <x:c r="R282" s="10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/>
      <x:c r="B283" s="106"/>
      <x:c r="C283" s="106"/>
      <x:c r="D283" s="106"/>
      <x:c r="E283" s="106"/>
      <x:c r="F283" s="106"/>
      <x:c r="G283" s="106"/>
      <x:c r="H283" s="106"/>
      <x:c r="I283" s="106"/>
      <x:c r="J283" s="106"/>
      <x:c r="K283" s="121"/>
      <x:c r="L283" s="121"/>
      <x:c r="M283" s="106"/>
      <x:c r="N283" s="106"/>
      <x:c r="O283" s="113"/>
      <x:c r="P283" s="106"/>
      <x:c r="Q283" s="106"/>
      <x:c r="R283" s="10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/>
      <x:c r="B284" s="106"/>
      <x:c r="C284" s="106"/>
      <x:c r="D284" s="106"/>
      <x:c r="E284" s="106"/>
      <x:c r="F284" s="106"/>
      <x:c r="G284" s="106"/>
      <x:c r="H284" s="106"/>
      <x:c r="I284" s="106"/>
      <x:c r="J284" s="106"/>
      <x:c r="K284" s="121"/>
      <x:c r="L284" s="121"/>
      <x:c r="M284" s="106"/>
      <x:c r="N284" s="106"/>
      <x:c r="O284" s="113"/>
      <x:c r="P284" s="106"/>
      <x:c r="Q284" s="106"/>
      <x:c r="R284" s="10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/>
      <x:c r="B285" s="106"/>
      <x:c r="C285" s="106"/>
      <x:c r="D285" s="106"/>
      <x:c r="E285" s="106"/>
      <x:c r="F285" s="106"/>
      <x:c r="G285" s="106"/>
      <x:c r="H285" s="106"/>
      <x:c r="I285" s="106"/>
      <x:c r="J285" s="106"/>
      <x:c r="K285" s="121"/>
      <x:c r="L285" s="121"/>
      <x:c r="M285" s="106"/>
      <x:c r="N285" s="106"/>
      <x:c r="O285" s="113"/>
      <x:c r="P285" s="106"/>
      <x:c r="Q285" s="106"/>
      <x:c r="R285" s="10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/>
      <x:c r="B286" s="106"/>
      <x:c r="C286" s="106"/>
      <x:c r="D286" s="106"/>
      <x:c r="E286" s="106"/>
      <x:c r="F286" s="106"/>
      <x:c r="G286" s="106"/>
      <x:c r="H286" s="106"/>
      <x:c r="I286" s="106"/>
      <x:c r="J286" s="106"/>
      <x:c r="K286" s="121"/>
      <x:c r="L286" s="121"/>
      <x:c r="M286" s="106"/>
      <x:c r="N286" s="106"/>
      <x:c r="O286" s="113"/>
      <x:c r="P286" s="106"/>
      <x:c r="Q286" s="106"/>
      <x:c r="R286" s="10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/>
      <x:c r="B287" s="106"/>
      <x:c r="C287" s="106"/>
      <x:c r="D287" s="106"/>
      <x:c r="E287" s="106"/>
      <x:c r="F287" s="106"/>
      <x:c r="G287" s="106"/>
      <x:c r="H287" s="106"/>
      <x:c r="I287" s="106"/>
      <x:c r="J287" s="106"/>
      <x:c r="K287" s="121"/>
      <x:c r="L287" s="121"/>
      <x:c r="M287" s="106"/>
      <x:c r="N287" s="106"/>
      <x:c r="O287" s="113"/>
      <x:c r="P287" s="106"/>
      <x:c r="Q287" s="106"/>
      <x:c r="R287" s="10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/>
      <x:c r="B288" s="106"/>
      <x:c r="C288" s="106"/>
      <x:c r="D288" s="106"/>
      <x:c r="E288" s="106"/>
      <x:c r="F288" s="106"/>
      <x:c r="G288" s="106"/>
      <x:c r="H288" s="106"/>
      <x:c r="I288" s="106"/>
      <x:c r="J288" s="106"/>
      <x:c r="K288" s="121"/>
      <x:c r="L288" s="121"/>
      <x:c r="M288" s="106"/>
      <x:c r="N288" s="106"/>
      <x:c r="O288" s="113"/>
      <x:c r="P288" s="106"/>
      <x:c r="Q288" s="106"/>
      <x:c r="R288" s="10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/>
      <x:c r="B289" s="106"/>
      <x:c r="C289" s="106"/>
      <x:c r="D289" s="106"/>
      <x:c r="E289" s="106"/>
      <x:c r="F289" s="106"/>
      <x:c r="G289" s="106"/>
      <x:c r="H289" s="106"/>
      <x:c r="I289" s="106"/>
      <x:c r="J289" s="106"/>
      <x:c r="K289" s="121"/>
      <x:c r="L289" s="121"/>
      <x:c r="M289" s="106"/>
      <x:c r="N289" s="106"/>
      <x:c r="O289" s="113"/>
      <x:c r="P289" s="106"/>
      <x:c r="Q289" s="106"/>
      <x:c r="R289" s="10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/>
      <x:c r="B290" s="106"/>
      <x:c r="C290" s="106"/>
      <x:c r="D290" s="106"/>
      <x:c r="E290" s="106"/>
      <x:c r="F290" s="106"/>
      <x:c r="G290" s="106"/>
      <x:c r="H290" s="106"/>
      <x:c r="I290" s="106"/>
      <x:c r="J290" s="106"/>
      <x:c r="K290" s="121"/>
      <x:c r="L290" s="121"/>
      <x:c r="M290" s="106"/>
      <x:c r="N290" s="106"/>
      <x:c r="O290" s="113"/>
      <x:c r="P290" s="106"/>
      <x:c r="Q290" s="106"/>
      <x:c r="R290" s="10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/>
      <x:c r="B291" s="106"/>
      <x:c r="C291" s="106"/>
      <x:c r="D291" s="106"/>
      <x:c r="E291" s="106"/>
      <x:c r="F291" s="106"/>
      <x:c r="G291" s="106"/>
      <x:c r="H291" s="106"/>
      <x:c r="I291" s="106"/>
      <x:c r="J291" s="106"/>
      <x:c r="K291" s="121"/>
      <x:c r="L291" s="121"/>
      <x:c r="M291" s="106"/>
      <x:c r="N291" s="106"/>
      <x:c r="O291" s="113"/>
      <x:c r="P291" s="106"/>
      <x:c r="Q291" s="106"/>
      <x:c r="R291" s="10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/>
      <x:c r="B292" s="106"/>
      <x:c r="C292" s="106"/>
      <x:c r="D292" s="106"/>
      <x:c r="E292" s="106"/>
      <x:c r="F292" s="106"/>
      <x:c r="G292" s="106"/>
      <x:c r="H292" s="106"/>
      <x:c r="I292" s="106"/>
      <x:c r="J292" s="106"/>
      <x:c r="K292" s="121"/>
      <x:c r="L292" s="121"/>
      <x:c r="M292" s="106"/>
      <x:c r="N292" s="106"/>
      <x:c r="O292" s="113"/>
      <x:c r="P292" s="106"/>
      <x:c r="Q292" s="106"/>
      <x:c r="R292" s="10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/>
      <x:c r="B293" s="106"/>
      <x:c r="C293" s="106"/>
      <x:c r="D293" s="106"/>
      <x:c r="E293" s="106"/>
      <x:c r="F293" s="106"/>
      <x:c r="G293" s="106"/>
      <x:c r="H293" s="106"/>
      <x:c r="I293" s="106"/>
      <x:c r="J293" s="106"/>
      <x:c r="K293" s="121"/>
      <x:c r="L293" s="121"/>
      <x:c r="M293" s="106"/>
      <x:c r="N293" s="106"/>
      <x:c r="O293" s="113"/>
      <x:c r="P293" s="106"/>
      <x:c r="Q293" s="106"/>
      <x:c r="R293" s="10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/>
      <x:c r="B294" s="106"/>
      <x:c r="C294" s="106"/>
      <x:c r="D294" s="106"/>
      <x:c r="E294" s="106"/>
      <x:c r="F294" s="106"/>
      <x:c r="G294" s="106"/>
      <x:c r="H294" s="106"/>
      <x:c r="I294" s="106"/>
      <x:c r="J294" s="106"/>
      <x:c r="K294" s="121"/>
      <x:c r="L294" s="121"/>
      <x:c r="M294" s="106"/>
      <x:c r="N294" s="106"/>
      <x:c r="O294" s="113"/>
      <x:c r="P294" s="106"/>
      <x:c r="Q294" s="106"/>
      <x:c r="R294" s="10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/>
      <x:c r="B295" s="106"/>
      <x:c r="C295" s="106"/>
      <x:c r="D295" s="106"/>
      <x:c r="E295" s="106"/>
      <x:c r="F295" s="106"/>
      <x:c r="G295" s="106"/>
      <x:c r="H295" s="106"/>
      <x:c r="I295" s="106"/>
      <x:c r="J295" s="106"/>
      <x:c r="K295" s="121"/>
      <x:c r="L295" s="121"/>
      <x:c r="M295" s="106"/>
      <x:c r="N295" s="106"/>
      <x:c r="O295" s="113"/>
      <x:c r="P295" s="106"/>
      <x:c r="Q295" s="106"/>
      <x:c r="R295" s="10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/>
      <x:c r="B296" s="106"/>
      <x:c r="C296" s="106"/>
      <x:c r="D296" s="106"/>
      <x:c r="E296" s="106"/>
      <x:c r="F296" s="106"/>
      <x:c r="G296" s="106"/>
      <x:c r="H296" s="106"/>
      <x:c r="I296" s="106"/>
      <x:c r="J296" s="106"/>
      <x:c r="K296" s="121"/>
      <x:c r="L296" s="121"/>
      <x:c r="M296" s="106"/>
      <x:c r="N296" s="106"/>
      <x:c r="O296" s="113"/>
      <x:c r="P296" s="106"/>
      <x:c r="Q296" s="106"/>
      <x:c r="R296" s="10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/>
      <x:c r="B297" s="106"/>
      <x:c r="C297" s="106"/>
      <x:c r="D297" s="106"/>
      <x:c r="E297" s="106"/>
      <x:c r="F297" s="106"/>
      <x:c r="G297" s="106"/>
      <x:c r="H297" s="106"/>
      <x:c r="I297" s="106"/>
      <x:c r="J297" s="106"/>
      <x:c r="K297" s="121"/>
      <x:c r="L297" s="121"/>
      <x:c r="M297" s="106"/>
      <x:c r="N297" s="106"/>
      <x:c r="O297" s="113"/>
      <x:c r="P297" s="106"/>
      <x:c r="Q297" s="106"/>
      <x:c r="R297" s="10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/>
      <x:c r="B298" s="106"/>
      <x:c r="C298" s="106"/>
      <x:c r="D298" s="106"/>
      <x:c r="E298" s="106"/>
      <x:c r="F298" s="106"/>
      <x:c r="G298" s="106"/>
      <x:c r="H298" s="106"/>
      <x:c r="I298" s="106"/>
      <x:c r="J298" s="106"/>
      <x:c r="K298" s="121"/>
      <x:c r="L298" s="121"/>
      <x:c r="M298" s="106"/>
      <x:c r="N298" s="106"/>
      <x:c r="O298" s="113"/>
      <x:c r="P298" s="106"/>
      <x:c r="Q298" s="106"/>
      <x:c r="R298" s="10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/>
      <x:c r="B299" s="106"/>
      <x:c r="C299" s="106"/>
      <x:c r="D299" s="106"/>
      <x:c r="E299" s="106"/>
      <x:c r="F299" s="106"/>
      <x:c r="G299" s="106"/>
      <x:c r="H299" s="106"/>
      <x:c r="I299" s="106"/>
      <x:c r="J299" s="106"/>
      <x:c r="K299" s="121"/>
      <x:c r="L299" s="121"/>
      <x:c r="M299" s="106"/>
      <x:c r="N299" s="106"/>
      <x:c r="O299" s="113"/>
      <x:c r="P299" s="106"/>
      <x:c r="Q299" s="106"/>
      <x:c r="R299" s="10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/>
      <x:c r="B300" s="106"/>
      <x:c r="C300" s="106"/>
      <x:c r="D300" s="106"/>
      <x:c r="E300" s="106"/>
      <x:c r="F300" s="106"/>
      <x:c r="G300" s="106"/>
      <x:c r="H300" s="106"/>
      <x:c r="I300" s="106"/>
      <x:c r="J300" s="106"/>
      <x:c r="K300" s="121"/>
      <x:c r="L300" s="121"/>
      <x:c r="M300" s="106"/>
      <x:c r="N300" s="106"/>
      <x:c r="O300" s="113"/>
      <x:c r="P300" s="106"/>
      <x:c r="Q300" s="106"/>
      <x:c r="R300" s="10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/>
      <x:c r="B301" s="106"/>
      <x:c r="C301" s="106"/>
      <x:c r="D301" s="106"/>
      <x:c r="E301" s="106"/>
      <x:c r="F301" s="106"/>
      <x:c r="G301" s="106"/>
      <x:c r="H301" s="106"/>
      <x:c r="I301" s="106"/>
      <x:c r="J301" s="106"/>
      <x:c r="K301" s="121"/>
      <x:c r="L301" s="121"/>
      <x:c r="M301" s="106"/>
      <x:c r="N301" s="106"/>
      <x:c r="O301" s="113"/>
      <x:c r="P301" s="106"/>
      <x:c r="Q301" s="106"/>
      <x:c r="R301" s="10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/>
      <x:c r="B302" s="106"/>
      <x:c r="C302" s="106"/>
      <x:c r="D302" s="106"/>
      <x:c r="E302" s="106"/>
      <x:c r="F302" s="106"/>
      <x:c r="G302" s="106"/>
      <x:c r="H302" s="106"/>
      <x:c r="I302" s="106"/>
      <x:c r="J302" s="106"/>
      <x:c r="K302" s="121"/>
      <x:c r="L302" s="121"/>
      <x:c r="M302" s="106"/>
      <x:c r="N302" s="106"/>
      <x:c r="O302" s="113"/>
      <x:c r="P302" s="106"/>
      <x:c r="Q302" s="106"/>
      <x:c r="R302" s="10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/>
      <x:c r="B303" s="106"/>
      <x:c r="C303" s="106"/>
      <x:c r="D303" s="106"/>
      <x:c r="E303" s="106"/>
      <x:c r="F303" s="106"/>
      <x:c r="G303" s="106"/>
      <x:c r="H303" s="106"/>
      <x:c r="I303" s="106"/>
      <x:c r="J303" s="106"/>
      <x:c r="K303" s="121"/>
      <x:c r="L303" s="121"/>
      <x:c r="M303" s="106"/>
      <x:c r="N303" s="106"/>
      <x:c r="O303" s="113"/>
      <x:c r="P303" s="106"/>
      <x:c r="Q303" s="106"/>
      <x:c r="R303" s="10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/>
      <x:c r="B304" s="106"/>
      <x:c r="C304" s="106"/>
      <x:c r="D304" s="106"/>
      <x:c r="E304" s="106"/>
      <x:c r="F304" s="106"/>
      <x:c r="G304" s="106"/>
      <x:c r="H304" s="106"/>
      <x:c r="I304" s="106"/>
      <x:c r="J304" s="106"/>
      <x:c r="K304" s="121"/>
      <x:c r="L304" s="121"/>
      <x:c r="M304" s="106"/>
      <x:c r="N304" s="106"/>
      <x:c r="O304" s="113"/>
      <x:c r="P304" s="106"/>
      <x:c r="Q304" s="106"/>
      <x:c r="R304" s="10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/>
      <x:c r="B305" s="106"/>
      <x:c r="C305" s="106"/>
      <x:c r="D305" s="106"/>
      <x:c r="E305" s="106"/>
      <x:c r="F305" s="106"/>
      <x:c r="G305" s="106"/>
      <x:c r="H305" s="106"/>
      <x:c r="I305" s="106"/>
      <x:c r="J305" s="106"/>
      <x:c r="K305" s="121"/>
      <x:c r="L305" s="121"/>
      <x:c r="M305" s="106"/>
      <x:c r="N305" s="106"/>
      <x:c r="O305" s="113"/>
      <x:c r="P305" s="106"/>
      <x:c r="Q305" s="106"/>
      <x:c r="R305" s="10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/>
      <x:c r="B306" s="106"/>
      <x:c r="C306" s="106"/>
      <x:c r="D306" s="106"/>
      <x:c r="E306" s="106"/>
      <x:c r="F306" s="106"/>
      <x:c r="G306" s="106"/>
      <x:c r="H306" s="106"/>
      <x:c r="I306" s="106"/>
      <x:c r="J306" s="106"/>
      <x:c r="K306" s="121"/>
      <x:c r="L306" s="121"/>
      <x:c r="M306" s="106"/>
      <x:c r="N306" s="106"/>
      <x:c r="O306" s="113"/>
      <x:c r="P306" s="106"/>
      <x:c r="Q306" s="106"/>
      <x:c r="R306" s="10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/>
      <x:c r="B307" s="106"/>
      <x:c r="C307" s="106"/>
      <x:c r="D307" s="106"/>
      <x:c r="E307" s="106"/>
      <x:c r="F307" s="106"/>
      <x:c r="G307" s="106"/>
      <x:c r="H307" s="106"/>
      <x:c r="I307" s="106"/>
      <x:c r="J307" s="106"/>
      <x:c r="K307" s="121"/>
      <x:c r="L307" s="121"/>
      <x:c r="M307" s="106"/>
      <x:c r="N307" s="106"/>
      <x:c r="O307" s="113"/>
      <x:c r="P307" s="106"/>
      <x:c r="Q307" s="106"/>
      <x:c r="R307" s="10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/>
      <x:c r="B308" s="106"/>
      <x:c r="C308" s="106"/>
      <x:c r="D308" s="106"/>
      <x:c r="E308" s="106"/>
      <x:c r="F308" s="106"/>
      <x:c r="G308" s="106"/>
      <x:c r="H308" s="106"/>
      <x:c r="I308" s="106"/>
      <x:c r="J308" s="106"/>
      <x:c r="K308" s="121"/>
      <x:c r="L308" s="121"/>
      <x:c r="M308" s="106"/>
      <x:c r="N308" s="106"/>
      <x:c r="O308" s="113"/>
      <x:c r="P308" s="106"/>
      <x:c r="Q308" s="106"/>
      <x:c r="R308" s="10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/>
      <x:c r="B309" s="106"/>
      <x:c r="C309" s="106"/>
      <x:c r="D309" s="106"/>
      <x:c r="E309" s="106"/>
      <x:c r="F309" s="106"/>
      <x:c r="G309" s="106"/>
      <x:c r="H309" s="106"/>
      <x:c r="I309" s="106"/>
      <x:c r="J309" s="106"/>
      <x:c r="K309" s="121"/>
      <x:c r="L309" s="121"/>
      <x:c r="M309" s="106"/>
      <x:c r="N309" s="106"/>
      <x:c r="O309" s="113"/>
      <x:c r="P309" s="106"/>
      <x:c r="Q309" s="106"/>
      <x:c r="R309" s="10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/>
      <x:c r="B310" s="106"/>
      <x:c r="C310" s="106"/>
      <x:c r="D310" s="106"/>
      <x:c r="E310" s="106"/>
      <x:c r="F310" s="106"/>
      <x:c r="G310" s="106"/>
      <x:c r="H310" s="106"/>
      <x:c r="I310" s="106"/>
      <x:c r="J310" s="106"/>
      <x:c r="K310" s="121"/>
      <x:c r="L310" s="121"/>
      <x:c r="M310" s="106"/>
      <x:c r="N310" s="106"/>
      <x:c r="O310" s="113"/>
      <x:c r="P310" s="106"/>
      <x:c r="Q310" s="106"/>
      <x:c r="R310" s="10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/>
      <x:c r="B311" s="106"/>
      <x:c r="C311" s="106"/>
      <x:c r="D311" s="106"/>
      <x:c r="E311" s="106"/>
      <x:c r="F311" s="106"/>
      <x:c r="G311" s="106"/>
      <x:c r="H311" s="106"/>
      <x:c r="I311" s="106"/>
      <x:c r="J311" s="106"/>
      <x:c r="K311" s="121"/>
      <x:c r="L311" s="121"/>
      <x:c r="M311" s="106"/>
      <x:c r="N311" s="106"/>
      <x:c r="O311" s="113"/>
      <x:c r="P311" s="106"/>
      <x:c r="Q311" s="106"/>
      <x:c r="R311" s="10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/>
      <x:c r="B312" s="106"/>
      <x:c r="C312" s="106"/>
      <x:c r="D312" s="106"/>
      <x:c r="E312" s="106"/>
      <x:c r="F312" s="106"/>
      <x:c r="G312" s="106"/>
      <x:c r="H312" s="106"/>
      <x:c r="I312" s="106"/>
      <x:c r="J312" s="106"/>
      <x:c r="K312" s="121"/>
      <x:c r="L312" s="121"/>
      <x:c r="M312" s="106"/>
      <x:c r="N312" s="106"/>
      <x:c r="O312" s="113"/>
      <x:c r="P312" s="106"/>
      <x:c r="Q312" s="106"/>
      <x:c r="R312" s="10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/>
      <x:c r="B313" s="106"/>
      <x:c r="C313" s="106"/>
      <x:c r="D313" s="106"/>
      <x:c r="E313" s="106"/>
      <x:c r="F313" s="106"/>
      <x:c r="G313" s="106"/>
      <x:c r="H313" s="106"/>
      <x:c r="I313" s="106"/>
      <x:c r="J313" s="106"/>
      <x:c r="K313" s="121"/>
      <x:c r="L313" s="121"/>
      <x:c r="M313" s="106"/>
      <x:c r="N313" s="106"/>
      <x:c r="O313" s="113"/>
      <x:c r="P313" s="106"/>
      <x:c r="Q313" s="106"/>
      <x:c r="R313" s="10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/>
      <x:c r="B314" s="106"/>
      <x:c r="C314" s="106"/>
      <x:c r="D314" s="106"/>
      <x:c r="E314" s="106"/>
      <x:c r="F314" s="106"/>
      <x:c r="G314" s="106"/>
      <x:c r="H314" s="106"/>
      <x:c r="I314" s="106"/>
      <x:c r="J314" s="106"/>
      <x:c r="K314" s="121"/>
      <x:c r="L314" s="121"/>
      <x:c r="M314" s="106"/>
      <x:c r="N314" s="106"/>
      <x:c r="O314" s="113"/>
      <x:c r="P314" s="106"/>
      <x:c r="Q314" s="106"/>
      <x:c r="R314" s="10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/>
      <x:c r="B315" s="106"/>
      <x:c r="C315" s="106"/>
      <x:c r="D315" s="106"/>
      <x:c r="E315" s="106"/>
      <x:c r="F315" s="106"/>
      <x:c r="G315" s="106"/>
      <x:c r="H315" s="106"/>
      <x:c r="I315" s="106"/>
      <x:c r="J315" s="106"/>
      <x:c r="K315" s="121"/>
      <x:c r="L315" s="121"/>
      <x:c r="M315" s="106"/>
      <x:c r="N315" s="106"/>
      <x:c r="O315" s="113"/>
      <x:c r="P315" s="106"/>
      <x:c r="Q315" s="106"/>
      <x:c r="R315" s="10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/>
      <x:c r="B316" s="106"/>
      <x:c r="C316" s="106"/>
      <x:c r="D316" s="106"/>
      <x:c r="E316" s="106"/>
      <x:c r="F316" s="106"/>
      <x:c r="G316" s="106"/>
      <x:c r="H316" s="106"/>
      <x:c r="I316" s="106"/>
      <x:c r="J316" s="106"/>
      <x:c r="K316" s="121"/>
      <x:c r="L316" s="121"/>
      <x:c r="M316" s="106"/>
      <x:c r="N316" s="106"/>
      <x:c r="O316" s="113"/>
      <x:c r="P316" s="106"/>
      <x:c r="Q316" s="106"/>
      <x:c r="R316" s="10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/>
      <x:c r="B317" s="106"/>
      <x:c r="C317" s="106"/>
      <x:c r="D317" s="106"/>
      <x:c r="E317" s="106"/>
      <x:c r="F317" s="106"/>
      <x:c r="G317" s="106"/>
      <x:c r="H317" s="106"/>
      <x:c r="I317" s="106"/>
      <x:c r="J317" s="106"/>
      <x:c r="K317" s="121"/>
      <x:c r="L317" s="121"/>
      <x:c r="M317" s="106"/>
      <x:c r="N317" s="106"/>
      <x:c r="O317" s="113"/>
      <x:c r="P317" s="106"/>
      <x:c r="Q317" s="106"/>
      <x:c r="R317" s="10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/>
      <x:c r="B318" s="106"/>
      <x:c r="C318" s="106"/>
      <x:c r="D318" s="106"/>
      <x:c r="E318" s="106"/>
      <x:c r="F318" s="106"/>
      <x:c r="G318" s="106"/>
      <x:c r="H318" s="106"/>
      <x:c r="I318" s="106"/>
      <x:c r="J318" s="106"/>
      <x:c r="K318" s="121"/>
      <x:c r="L318" s="121"/>
      <x:c r="M318" s="106"/>
      <x:c r="N318" s="106"/>
      <x:c r="O318" s="113"/>
      <x:c r="P318" s="106"/>
      <x:c r="Q318" s="106"/>
      <x:c r="R318" s="10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/>
      <x:c r="B319" s="106"/>
      <x:c r="C319" s="106"/>
      <x:c r="D319" s="106"/>
      <x:c r="E319" s="106"/>
      <x:c r="F319" s="106"/>
      <x:c r="G319" s="106"/>
      <x:c r="H319" s="106"/>
      <x:c r="I319" s="106"/>
      <x:c r="J319" s="106"/>
      <x:c r="K319" s="121"/>
      <x:c r="L319" s="121"/>
      <x:c r="M319" s="106"/>
      <x:c r="N319" s="106"/>
      <x:c r="O319" s="113"/>
      <x:c r="P319" s="106"/>
      <x:c r="Q319" s="106"/>
      <x:c r="R319" s="10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/>
      <x:c r="B320" s="106"/>
      <x:c r="C320" s="106"/>
      <x:c r="D320" s="106"/>
      <x:c r="E320" s="106"/>
      <x:c r="F320" s="106"/>
      <x:c r="G320" s="106"/>
      <x:c r="H320" s="106"/>
      <x:c r="I320" s="106"/>
      <x:c r="J320" s="106"/>
      <x:c r="K320" s="121"/>
      <x:c r="L320" s="121"/>
      <x:c r="M320" s="106"/>
      <x:c r="N320" s="106"/>
      <x:c r="O320" s="113"/>
      <x:c r="P320" s="106"/>
      <x:c r="Q320" s="106"/>
      <x:c r="R320" s="10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/>
      <x:c r="B321" s="106"/>
      <x:c r="C321" s="106"/>
      <x:c r="D321" s="106"/>
      <x:c r="E321" s="106"/>
      <x:c r="F321" s="106"/>
      <x:c r="G321" s="106"/>
      <x:c r="H321" s="106"/>
      <x:c r="I321" s="106"/>
      <x:c r="J321" s="106"/>
      <x:c r="K321" s="121"/>
      <x:c r="L321" s="121"/>
      <x:c r="M321" s="106"/>
      <x:c r="N321" s="106"/>
      <x:c r="O321" s="113"/>
      <x:c r="P321" s="106"/>
      <x:c r="Q321" s="106"/>
      <x:c r="R321" s="10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/>
      <x:c r="B322" s="106"/>
      <x:c r="C322" s="106"/>
      <x:c r="D322" s="106"/>
      <x:c r="E322" s="106"/>
      <x:c r="F322" s="106"/>
      <x:c r="G322" s="106"/>
      <x:c r="H322" s="106"/>
      <x:c r="I322" s="106"/>
      <x:c r="J322" s="106"/>
      <x:c r="K322" s="121"/>
      <x:c r="L322" s="121"/>
      <x:c r="M322" s="106"/>
      <x:c r="N322" s="106"/>
      <x:c r="O322" s="113"/>
      <x:c r="P322" s="106"/>
      <x:c r="Q322" s="106"/>
      <x:c r="R322" s="10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/>
      <x:c r="B323" s="106"/>
      <x:c r="C323" s="106"/>
      <x:c r="D323" s="106"/>
      <x:c r="E323" s="106"/>
      <x:c r="F323" s="106"/>
      <x:c r="G323" s="106"/>
      <x:c r="H323" s="106"/>
      <x:c r="I323" s="106"/>
      <x:c r="J323" s="106"/>
      <x:c r="K323" s="121"/>
      <x:c r="L323" s="121"/>
      <x:c r="M323" s="106"/>
      <x:c r="N323" s="106"/>
      <x:c r="O323" s="113"/>
      <x:c r="P323" s="106"/>
      <x:c r="Q323" s="106"/>
      <x:c r="R323" s="10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/>
      <x:c r="B324" s="106"/>
      <x:c r="C324" s="106"/>
      <x:c r="D324" s="106"/>
      <x:c r="E324" s="106"/>
      <x:c r="F324" s="106"/>
      <x:c r="G324" s="106"/>
      <x:c r="H324" s="106"/>
      <x:c r="I324" s="106"/>
      <x:c r="J324" s="106"/>
      <x:c r="K324" s="121"/>
      <x:c r="L324" s="121"/>
      <x:c r="M324" s="106"/>
      <x:c r="N324" s="106"/>
      <x:c r="O324" s="113"/>
      <x:c r="P324" s="106"/>
      <x:c r="Q324" s="106"/>
      <x:c r="R324" s="10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/>
      <x:c r="B325" s="106"/>
      <x:c r="C325" s="106"/>
      <x:c r="D325" s="106"/>
      <x:c r="E325" s="106"/>
      <x:c r="F325" s="106"/>
      <x:c r="G325" s="106"/>
      <x:c r="H325" s="106"/>
      <x:c r="I325" s="106"/>
      <x:c r="J325" s="106"/>
      <x:c r="K325" s="121"/>
      <x:c r="L325" s="121"/>
      <x:c r="M325" s="106"/>
      <x:c r="N325" s="106"/>
      <x:c r="O325" s="113"/>
      <x:c r="P325" s="106"/>
      <x:c r="Q325" s="106"/>
      <x:c r="R325" s="10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/>
      <x:c r="B326" s="106"/>
      <x:c r="C326" s="106"/>
      <x:c r="D326" s="106"/>
      <x:c r="E326" s="106"/>
      <x:c r="F326" s="106"/>
      <x:c r="G326" s="106"/>
      <x:c r="H326" s="106"/>
      <x:c r="I326" s="106"/>
      <x:c r="J326" s="106"/>
      <x:c r="K326" s="121"/>
      <x:c r="L326" s="121"/>
      <x:c r="M326" s="106"/>
      <x:c r="N326" s="106"/>
      <x:c r="O326" s="113"/>
      <x:c r="P326" s="106"/>
      <x:c r="Q326" s="106"/>
      <x:c r="R326" s="10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/>
      <x:c r="B327" s="106"/>
      <x:c r="C327" s="106"/>
      <x:c r="D327" s="106"/>
      <x:c r="E327" s="106"/>
      <x:c r="F327" s="106"/>
      <x:c r="G327" s="106"/>
      <x:c r="H327" s="106"/>
      <x:c r="I327" s="106"/>
      <x:c r="J327" s="106"/>
      <x:c r="K327" s="121"/>
      <x:c r="L327" s="121"/>
      <x:c r="M327" s="106"/>
      <x:c r="N327" s="106"/>
      <x:c r="O327" s="113"/>
      <x:c r="P327" s="106"/>
      <x:c r="Q327" s="106"/>
      <x:c r="R327" s="10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/>
      <x:c r="B328" s="106"/>
      <x:c r="C328" s="106"/>
      <x:c r="D328" s="106"/>
      <x:c r="E328" s="106"/>
      <x:c r="F328" s="106"/>
      <x:c r="G328" s="106"/>
      <x:c r="H328" s="106"/>
      <x:c r="I328" s="106"/>
      <x:c r="J328" s="106"/>
      <x:c r="K328" s="121"/>
      <x:c r="L328" s="121"/>
      <x:c r="M328" s="106"/>
      <x:c r="N328" s="106"/>
      <x:c r="O328" s="113"/>
      <x:c r="P328" s="106"/>
      <x:c r="Q328" s="106"/>
      <x:c r="R328" s="10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/>
      <x:c r="B329" s="106"/>
      <x:c r="C329" s="106"/>
      <x:c r="D329" s="106"/>
      <x:c r="E329" s="106"/>
      <x:c r="F329" s="106"/>
      <x:c r="G329" s="106"/>
      <x:c r="H329" s="106"/>
      <x:c r="I329" s="106"/>
      <x:c r="J329" s="106"/>
      <x:c r="K329" s="121"/>
      <x:c r="L329" s="121"/>
      <x:c r="M329" s="106"/>
      <x:c r="N329" s="106"/>
      <x:c r="O329" s="113"/>
      <x:c r="P329" s="106"/>
      <x:c r="Q329" s="106"/>
      <x:c r="R329" s="10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/>
      <x:c r="B330" s="106"/>
      <x:c r="C330" s="106"/>
      <x:c r="D330" s="106"/>
      <x:c r="E330" s="106"/>
      <x:c r="F330" s="106"/>
      <x:c r="G330" s="106"/>
      <x:c r="H330" s="106"/>
      <x:c r="I330" s="106"/>
      <x:c r="J330" s="106"/>
      <x:c r="K330" s="121"/>
      <x:c r="L330" s="121"/>
      <x:c r="M330" s="106"/>
      <x:c r="N330" s="106"/>
      <x:c r="O330" s="113"/>
      <x:c r="P330" s="106"/>
      <x:c r="Q330" s="106"/>
      <x:c r="R330" s="10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/>
      <x:c r="B331" s="106"/>
      <x:c r="C331" s="106"/>
      <x:c r="D331" s="106"/>
      <x:c r="E331" s="106"/>
      <x:c r="F331" s="106"/>
      <x:c r="G331" s="106"/>
      <x:c r="H331" s="106"/>
      <x:c r="I331" s="106"/>
      <x:c r="J331" s="106"/>
      <x:c r="K331" s="121"/>
      <x:c r="L331" s="121"/>
      <x:c r="M331" s="106"/>
      <x:c r="N331" s="106"/>
      <x:c r="O331" s="113"/>
      <x:c r="P331" s="106"/>
      <x:c r="Q331" s="106"/>
      <x:c r="R331" s="10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/>
      <x:c r="B332" s="106"/>
      <x:c r="C332" s="106"/>
      <x:c r="D332" s="106"/>
      <x:c r="E332" s="106"/>
      <x:c r="F332" s="106"/>
      <x:c r="G332" s="106"/>
      <x:c r="H332" s="106"/>
      <x:c r="I332" s="106"/>
      <x:c r="J332" s="106"/>
      <x:c r="K332" s="121"/>
      <x:c r="L332" s="121"/>
      <x:c r="M332" s="106"/>
      <x:c r="N332" s="106"/>
      <x:c r="O332" s="113"/>
      <x:c r="P332" s="106"/>
      <x:c r="Q332" s="106"/>
      <x:c r="R332" s="10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/>
      <x:c r="B333" s="106"/>
      <x:c r="C333" s="106"/>
      <x:c r="D333" s="106"/>
      <x:c r="E333" s="106"/>
      <x:c r="F333" s="106"/>
      <x:c r="G333" s="106"/>
      <x:c r="H333" s="106"/>
      <x:c r="I333" s="106"/>
      <x:c r="J333" s="106"/>
      <x:c r="K333" s="121"/>
      <x:c r="L333" s="121"/>
      <x:c r="M333" s="106"/>
      <x:c r="N333" s="106"/>
      <x:c r="O333" s="113"/>
      <x:c r="P333" s="106"/>
      <x:c r="Q333" s="106"/>
      <x:c r="R333" s="10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/>
      <x:c r="B334" s="106"/>
      <x:c r="C334" s="106"/>
      <x:c r="D334" s="106"/>
      <x:c r="E334" s="106"/>
      <x:c r="F334" s="106"/>
      <x:c r="G334" s="106"/>
      <x:c r="H334" s="106"/>
      <x:c r="I334" s="106"/>
      <x:c r="J334" s="106"/>
      <x:c r="K334" s="121"/>
      <x:c r="L334" s="121"/>
      <x:c r="M334" s="106"/>
      <x:c r="N334" s="106"/>
      <x:c r="O334" s="113"/>
      <x:c r="P334" s="106"/>
      <x:c r="Q334" s="106"/>
      <x:c r="R334" s="10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/>
      <x:c r="B335" s="106"/>
      <x:c r="C335" s="106"/>
      <x:c r="D335" s="106"/>
      <x:c r="E335" s="106"/>
      <x:c r="F335" s="106"/>
      <x:c r="G335" s="106"/>
      <x:c r="H335" s="106"/>
      <x:c r="I335" s="106"/>
      <x:c r="J335" s="106"/>
      <x:c r="K335" s="121"/>
      <x:c r="L335" s="121"/>
      <x:c r="M335" s="106"/>
      <x:c r="N335" s="106"/>
      <x:c r="O335" s="113"/>
      <x:c r="P335" s="106"/>
      <x:c r="Q335" s="106"/>
      <x:c r="R335" s="10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/>
      <x:c r="B336" s="106"/>
      <x:c r="C336" s="106"/>
      <x:c r="D336" s="106"/>
      <x:c r="E336" s="106"/>
      <x:c r="F336" s="106"/>
      <x:c r="G336" s="106"/>
      <x:c r="H336" s="106"/>
      <x:c r="I336" s="106"/>
      <x:c r="J336" s="106"/>
      <x:c r="K336" s="121"/>
      <x:c r="L336" s="121"/>
      <x:c r="M336" s="106"/>
      <x:c r="N336" s="106"/>
      <x:c r="O336" s="113"/>
      <x:c r="P336" s="106"/>
      <x:c r="Q336" s="106"/>
      <x:c r="R336" s="10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/>
      <x:c r="B337" s="106"/>
      <x:c r="C337" s="106"/>
      <x:c r="D337" s="106"/>
      <x:c r="E337" s="106"/>
      <x:c r="F337" s="106"/>
      <x:c r="G337" s="106"/>
      <x:c r="H337" s="106"/>
      <x:c r="I337" s="106"/>
      <x:c r="J337" s="106"/>
      <x:c r="K337" s="121"/>
      <x:c r="L337" s="121"/>
      <x:c r="M337" s="106"/>
      <x:c r="N337" s="106"/>
      <x:c r="O337" s="113"/>
      <x:c r="P337" s="106"/>
      <x:c r="Q337" s="106"/>
      <x:c r="R337" s="10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/>
      <x:c r="B338" s="106"/>
      <x:c r="C338" s="106"/>
      <x:c r="D338" s="106"/>
      <x:c r="E338" s="106"/>
      <x:c r="F338" s="106"/>
      <x:c r="G338" s="106"/>
      <x:c r="H338" s="106"/>
      <x:c r="I338" s="106"/>
      <x:c r="J338" s="106"/>
      <x:c r="K338" s="121"/>
      <x:c r="L338" s="121"/>
      <x:c r="M338" s="106"/>
      <x:c r="N338" s="106"/>
      <x:c r="O338" s="113"/>
      <x:c r="P338" s="106"/>
      <x:c r="Q338" s="106"/>
      <x:c r="R338" s="10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/>
      <x:c r="B339" s="106"/>
      <x:c r="C339" s="106"/>
      <x:c r="D339" s="106"/>
      <x:c r="E339" s="106"/>
      <x:c r="F339" s="106"/>
      <x:c r="G339" s="106"/>
      <x:c r="H339" s="106"/>
      <x:c r="I339" s="106"/>
      <x:c r="J339" s="106"/>
      <x:c r="K339" s="121"/>
      <x:c r="L339" s="121"/>
      <x:c r="M339" s="106"/>
      <x:c r="N339" s="106"/>
      <x:c r="O339" s="113"/>
      <x:c r="P339" s="106"/>
      <x:c r="Q339" s="106"/>
      <x:c r="R339" s="10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/>
      <x:c r="B340" s="106"/>
      <x:c r="C340" s="106"/>
      <x:c r="D340" s="106"/>
      <x:c r="E340" s="106"/>
      <x:c r="F340" s="106"/>
      <x:c r="G340" s="106"/>
      <x:c r="H340" s="106"/>
      <x:c r="I340" s="106"/>
      <x:c r="J340" s="106"/>
      <x:c r="K340" s="121"/>
      <x:c r="L340" s="121"/>
      <x:c r="M340" s="106"/>
      <x:c r="N340" s="106"/>
      <x:c r="O340" s="113"/>
      <x:c r="P340" s="106"/>
      <x:c r="Q340" s="106"/>
      <x:c r="R340" s="10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/>
      <x:c r="B341" s="106"/>
      <x:c r="C341" s="106"/>
      <x:c r="D341" s="106"/>
      <x:c r="E341" s="106"/>
      <x:c r="F341" s="106"/>
      <x:c r="G341" s="106"/>
      <x:c r="H341" s="106"/>
      <x:c r="I341" s="106"/>
      <x:c r="J341" s="106"/>
      <x:c r="K341" s="121"/>
      <x:c r="L341" s="121"/>
      <x:c r="M341" s="106"/>
      <x:c r="N341" s="106"/>
      <x:c r="O341" s="113"/>
      <x:c r="P341" s="106"/>
      <x:c r="Q341" s="106"/>
      <x:c r="R341" s="10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/>
      <x:c r="B342" s="106"/>
      <x:c r="C342" s="106"/>
      <x:c r="D342" s="106"/>
      <x:c r="E342" s="106"/>
      <x:c r="F342" s="106"/>
      <x:c r="G342" s="106"/>
      <x:c r="H342" s="106"/>
      <x:c r="I342" s="106"/>
      <x:c r="J342" s="106"/>
      <x:c r="K342" s="121"/>
      <x:c r="L342" s="121"/>
      <x:c r="M342" s="106"/>
      <x:c r="N342" s="106"/>
      <x:c r="O342" s="113"/>
      <x:c r="P342" s="106"/>
      <x:c r="Q342" s="106"/>
      <x:c r="R342" s="10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/>
      <x:c r="B343" s="106"/>
      <x:c r="C343" s="106"/>
      <x:c r="D343" s="106"/>
      <x:c r="E343" s="106"/>
      <x:c r="F343" s="106"/>
      <x:c r="G343" s="106"/>
      <x:c r="H343" s="106"/>
      <x:c r="I343" s="106"/>
      <x:c r="J343" s="106"/>
      <x:c r="K343" s="121"/>
      <x:c r="L343" s="121"/>
      <x:c r="M343" s="106"/>
      <x:c r="N343" s="106"/>
      <x:c r="O343" s="113"/>
      <x:c r="P343" s="106"/>
      <x:c r="Q343" s="106"/>
      <x:c r="R343" s="10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/>
      <x:c r="B344" s="106"/>
      <x:c r="C344" s="106"/>
      <x:c r="D344" s="106"/>
      <x:c r="E344" s="106"/>
      <x:c r="F344" s="106"/>
      <x:c r="G344" s="106"/>
      <x:c r="H344" s="106"/>
      <x:c r="I344" s="106"/>
      <x:c r="J344" s="106"/>
      <x:c r="K344" s="121"/>
      <x:c r="L344" s="121"/>
      <x:c r="M344" s="106"/>
      <x:c r="N344" s="106"/>
      <x:c r="O344" s="113"/>
      <x:c r="P344" s="106"/>
      <x:c r="Q344" s="106"/>
      <x:c r="R344" s="10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/>
      <x:c r="B345" s="106"/>
      <x:c r="C345" s="106"/>
      <x:c r="D345" s="106"/>
      <x:c r="E345" s="106"/>
      <x:c r="F345" s="106"/>
      <x:c r="G345" s="106"/>
      <x:c r="H345" s="106"/>
      <x:c r="I345" s="106"/>
      <x:c r="J345" s="106"/>
      <x:c r="K345" s="121"/>
      <x:c r="L345" s="121"/>
      <x:c r="M345" s="106"/>
      <x:c r="N345" s="106"/>
      <x:c r="O345" s="113"/>
      <x:c r="P345" s="106"/>
      <x:c r="Q345" s="106"/>
      <x:c r="R345" s="10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/>
      <x:c r="B346" s="106"/>
      <x:c r="C346" s="106"/>
      <x:c r="D346" s="106"/>
      <x:c r="E346" s="106"/>
      <x:c r="F346" s="106"/>
      <x:c r="G346" s="106"/>
      <x:c r="H346" s="106"/>
      <x:c r="I346" s="106"/>
      <x:c r="J346" s="106"/>
      <x:c r="K346" s="121"/>
      <x:c r="L346" s="121"/>
      <x:c r="M346" s="106"/>
      <x:c r="N346" s="106"/>
      <x:c r="O346" s="113"/>
      <x:c r="P346" s="106"/>
      <x:c r="Q346" s="106"/>
      <x:c r="R346" s="10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/>
      <x:c r="B347" s="106"/>
      <x:c r="C347" s="106"/>
      <x:c r="D347" s="106"/>
      <x:c r="E347" s="106"/>
      <x:c r="F347" s="106"/>
      <x:c r="G347" s="106"/>
      <x:c r="H347" s="106"/>
      <x:c r="I347" s="106"/>
      <x:c r="J347" s="106"/>
      <x:c r="K347" s="121"/>
      <x:c r="L347" s="121"/>
      <x:c r="M347" s="106"/>
      <x:c r="N347" s="106"/>
      <x:c r="O347" s="113"/>
      <x:c r="P347" s="106"/>
      <x:c r="Q347" s="106"/>
      <x:c r="R347" s="10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/>
      <x:c r="B348" s="106"/>
      <x:c r="C348" s="106"/>
      <x:c r="D348" s="106"/>
      <x:c r="E348" s="106"/>
      <x:c r="F348" s="106"/>
      <x:c r="G348" s="106"/>
      <x:c r="H348" s="106"/>
      <x:c r="I348" s="106"/>
      <x:c r="J348" s="106"/>
      <x:c r="K348" s="121"/>
      <x:c r="L348" s="121"/>
      <x:c r="M348" s="106"/>
      <x:c r="N348" s="106"/>
      <x:c r="O348" s="113"/>
      <x:c r="P348" s="106"/>
      <x:c r="Q348" s="106"/>
      <x:c r="R348" s="10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/>
      <x:c r="B349" s="106"/>
      <x:c r="C349" s="106"/>
      <x:c r="D349" s="106"/>
      <x:c r="E349" s="106"/>
      <x:c r="F349" s="106"/>
      <x:c r="G349" s="106"/>
      <x:c r="H349" s="106"/>
      <x:c r="I349" s="106"/>
      <x:c r="J349" s="106"/>
      <x:c r="K349" s="121"/>
      <x:c r="L349" s="121"/>
      <x:c r="M349" s="106"/>
      <x:c r="N349" s="106"/>
      <x:c r="O349" s="113"/>
      <x:c r="P349" s="106"/>
      <x:c r="Q349" s="106"/>
      <x:c r="R349" s="10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/>
      <x:c r="B350" s="106"/>
      <x:c r="C350" s="106"/>
      <x:c r="D350" s="106"/>
      <x:c r="E350" s="106"/>
      <x:c r="F350" s="106"/>
      <x:c r="G350" s="106"/>
      <x:c r="H350" s="106"/>
      <x:c r="I350" s="106"/>
      <x:c r="J350" s="106"/>
      <x:c r="K350" s="121"/>
      <x:c r="L350" s="121"/>
      <x:c r="M350" s="106"/>
      <x:c r="N350" s="106"/>
      <x:c r="O350" s="113"/>
      <x:c r="P350" s="106"/>
      <x:c r="Q350" s="106"/>
      <x:c r="R350" s="10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/>
      <x:c r="B351" s="106"/>
      <x:c r="C351" s="106"/>
      <x:c r="D351" s="106"/>
      <x:c r="E351" s="106"/>
      <x:c r="F351" s="106"/>
      <x:c r="G351" s="106"/>
      <x:c r="H351" s="106"/>
      <x:c r="I351" s="106"/>
      <x:c r="J351" s="106"/>
      <x:c r="K351" s="121"/>
      <x:c r="L351" s="121"/>
      <x:c r="M351" s="106"/>
      <x:c r="N351" s="106"/>
      <x:c r="O351" s="113"/>
      <x:c r="P351" s="106"/>
      <x:c r="Q351" s="106"/>
      <x:c r="R351" s="10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/>
      <x:c r="B352" s="106"/>
      <x:c r="C352" s="106"/>
      <x:c r="D352" s="106"/>
      <x:c r="E352" s="106"/>
      <x:c r="F352" s="106"/>
      <x:c r="G352" s="106"/>
      <x:c r="H352" s="106"/>
      <x:c r="I352" s="106"/>
      <x:c r="J352" s="106"/>
      <x:c r="K352" s="121"/>
      <x:c r="L352" s="121"/>
      <x:c r="M352" s="106"/>
      <x:c r="N352" s="106"/>
      <x:c r="O352" s="113"/>
      <x:c r="P352" s="106"/>
      <x:c r="Q352" s="106"/>
      <x:c r="R352" s="10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/>
      <x:c r="B353" s="106"/>
      <x:c r="C353" s="106"/>
      <x:c r="D353" s="106"/>
      <x:c r="E353" s="106"/>
      <x:c r="F353" s="106"/>
      <x:c r="G353" s="106"/>
      <x:c r="H353" s="106"/>
      <x:c r="I353" s="106"/>
      <x:c r="J353" s="106"/>
      <x:c r="K353" s="121"/>
      <x:c r="L353" s="121"/>
      <x:c r="M353" s="106"/>
      <x:c r="N353" s="106"/>
      <x:c r="O353" s="113"/>
      <x:c r="P353" s="106"/>
      <x:c r="Q353" s="106"/>
      <x:c r="R353" s="10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/>
      <x:c r="B354" s="106"/>
      <x:c r="C354" s="106"/>
      <x:c r="D354" s="106"/>
      <x:c r="E354" s="106"/>
      <x:c r="F354" s="106"/>
      <x:c r="G354" s="106"/>
      <x:c r="H354" s="106"/>
      <x:c r="I354" s="106"/>
      <x:c r="J354" s="106"/>
      <x:c r="K354" s="121"/>
      <x:c r="L354" s="121"/>
      <x:c r="M354" s="106"/>
      <x:c r="N354" s="106"/>
      <x:c r="O354" s="113"/>
      <x:c r="P354" s="106"/>
      <x:c r="Q354" s="106"/>
      <x:c r="R354" s="10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/>
      <x:c r="B355" s="106"/>
      <x:c r="C355" s="106"/>
      <x:c r="D355" s="106"/>
      <x:c r="E355" s="106"/>
      <x:c r="F355" s="106"/>
      <x:c r="G355" s="106"/>
      <x:c r="H355" s="106"/>
      <x:c r="I355" s="106"/>
      <x:c r="J355" s="106"/>
      <x:c r="K355" s="121"/>
      <x:c r="L355" s="121"/>
      <x:c r="M355" s="106"/>
      <x:c r="N355" s="106"/>
      <x:c r="O355" s="113"/>
      <x:c r="P355" s="106"/>
      <x:c r="Q355" s="106"/>
      <x:c r="R355" s="10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/>
      <x:c r="B356" s="106"/>
      <x:c r="C356" s="106"/>
      <x:c r="D356" s="106"/>
      <x:c r="E356" s="106"/>
      <x:c r="F356" s="106"/>
      <x:c r="G356" s="106"/>
      <x:c r="H356" s="106"/>
      <x:c r="I356" s="106"/>
      <x:c r="J356" s="106"/>
      <x:c r="K356" s="121"/>
      <x:c r="L356" s="121"/>
      <x:c r="M356" s="106"/>
      <x:c r="N356" s="106"/>
      <x:c r="O356" s="113"/>
      <x:c r="P356" s="106"/>
      <x:c r="Q356" s="106"/>
      <x:c r="R356" s="10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/>
      <x:c r="B357" s="106"/>
      <x:c r="C357" s="106"/>
      <x:c r="D357" s="106"/>
      <x:c r="E357" s="106"/>
      <x:c r="F357" s="106"/>
      <x:c r="G357" s="106"/>
      <x:c r="H357" s="106"/>
      <x:c r="I357" s="106"/>
      <x:c r="J357" s="106"/>
      <x:c r="K357" s="121"/>
      <x:c r="L357" s="121"/>
      <x:c r="M357" s="106"/>
      <x:c r="N357" s="106"/>
      <x:c r="O357" s="113"/>
      <x:c r="P357" s="106"/>
      <x:c r="Q357" s="106"/>
      <x:c r="R357" s="10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/>
      <x:c r="B358" s="106"/>
      <x:c r="C358" s="106"/>
      <x:c r="D358" s="106"/>
      <x:c r="E358" s="106"/>
      <x:c r="F358" s="106"/>
      <x:c r="G358" s="106"/>
      <x:c r="H358" s="106"/>
      <x:c r="I358" s="106"/>
      <x:c r="J358" s="106"/>
      <x:c r="K358" s="121"/>
      <x:c r="L358" s="121"/>
      <x:c r="M358" s="106"/>
      <x:c r="N358" s="106"/>
      <x:c r="O358" s="113"/>
      <x:c r="P358" s="106"/>
      <x:c r="Q358" s="106"/>
      <x:c r="R358" s="10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/>
      <x:c r="B359" s="106"/>
      <x:c r="C359" s="106"/>
      <x:c r="D359" s="106"/>
      <x:c r="E359" s="106"/>
      <x:c r="F359" s="106"/>
      <x:c r="G359" s="106"/>
      <x:c r="H359" s="106"/>
      <x:c r="I359" s="106"/>
      <x:c r="J359" s="106"/>
      <x:c r="K359" s="121"/>
      <x:c r="L359" s="121"/>
      <x:c r="M359" s="106"/>
      <x:c r="N359" s="106"/>
      <x:c r="O359" s="113"/>
      <x:c r="P359" s="106"/>
      <x:c r="Q359" s="106"/>
      <x:c r="R359" s="10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/>
      <x:c r="B360" s="106"/>
      <x:c r="C360" s="106"/>
      <x:c r="D360" s="106"/>
      <x:c r="E360" s="106"/>
      <x:c r="F360" s="106"/>
      <x:c r="G360" s="106"/>
      <x:c r="H360" s="106"/>
      <x:c r="I360" s="106"/>
      <x:c r="J360" s="106"/>
      <x:c r="K360" s="121"/>
      <x:c r="L360" s="121"/>
      <x:c r="M360" s="106"/>
      <x:c r="N360" s="106"/>
      <x:c r="O360" s="113"/>
      <x:c r="P360" s="106"/>
      <x:c r="Q360" s="106"/>
      <x:c r="R360" s="10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/>
      <x:c r="B361" s="106"/>
      <x:c r="C361" s="106"/>
      <x:c r="D361" s="106"/>
      <x:c r="E361" s="106"/>
      <x:c r="F361" s="106"/>
      <x:c r="G361" s="106"/>
      <x:c r="H361" s="106"/>
      <x:c r="I361" s="106"/>
      <x:c r="J361" s="106"/>
      <x:c r="K361" s="121"/>
      <x:c r="L361" s="121"/>
      <x:c r="M361" s="106"/>
      <x:c r="N361" s="106"/>
      <x:c r="O361" s="113"/>
      <x:c r="P361" s="106"/>
      <x:c r="Q361" s="106"/>
      <x:c r="R361" s="10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/>
      <x:c r="B362" s="106"/>
      <x:c r="C362" s="106"/>
      <x:c r="D362" s="106"/>
      <x:c r="E362" s="106"/>
      <x:c r="F362" s="106"/>
      <x:c r="G362" s="106"/>
      <x:c r="H362" s="106"/>
      <x:c r="I362" s="106"/>
      <x:c r="J362" s="106"/>
      <x:c r="K362" s="121"/>
      <x:c r="L362" s="121"/>
      <x:c r="M362" s="106"/>
      <x:c r="N362" s="106"/>
      <x:c r="O362" s="113"/>
      <x:c r="P362" s="106"/>
      <x:c r="Q362" s="106"/>
      <x:c r="R362" s="10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/>
      <x:c r="B363" s="106"/>
      <x:c r="C363" s="106"/>
      <x:c r="D363" s="106"/>
      <x:c r="E363" s="106"/>
      <x:c r="F363" s="106"/>
      <x:c r="G363" s="106"/>
      <x:c r="H363" s="106"/>
      <x:c r="I363" s="106"/>
      <x:c r="J363" s="106"/>
      <x:c r="K363" s="121"/>
      <x:c r="L363" s="121"/>
      <x:c r="M363" s="106"/>
      <x:c r="N363" s="106"/>
      <x:c r="O363" s="113"/>
      <x:c r="P363" s="106"/>
      <x:c r="Q363" s="106"/>
      <x:c r="R363" s="10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/>
      <x:c r="B364" s="106"/>
      <x:c r="C364" s="106"/>
      <x:c r="D364" s="106"/>
      <x:c r="E364" s="106"/>
      <x:c r="F364" s="106"/>
      <x:c r="G364" s="106"/>
      <x:c r="H364" s="106"/>
      <x:c r="I364" s="106"/>
      <x:c r="J364" s="106"/>
      <x:c r="K364" s="121"/>
      <x:c r="L364" s="121"/>
      <x:c r="M364" s="106"/>
      <x:c r="N364" s="106"/>
      <x:c r="O364" s="113"/>
      <x:c r="P364" s="106"/>
      <x:c r="Q364" s="106"/>
      <x:c r="R364" s="10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/>
      <x:c r="B365" s="106"/>
      <x:c r="C365" s="106"/>
      <x:c r="D365" s="106"/>
      <x:c r="E365" s="106"/>
      <x:c r="F365" s="106"/>
      <x:c r="G365" s="106"/>
      <x:c r="H365" s="106"/>
      <x:c r="I365" s="106"/>
      <x:c r="J365" s="106"/>
      <x:c r="K365" s="121"/>
      <x:c r="L365" s="121"/>
      <x:c r="M365" s="106"/>
      <x:c r="N365" s="106"/>
      <x:c r="O365" s="113"/>
      <x:c r="P365" s="106"/>
      <x:c r="Q365" s="106"/>
      <x:c r="R365" s="10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/>
      <x:c r="B366" s="106"/>
      <x:c r="C366" s="106"/>
      <x:c r="D366" s="106"/>
      <x:c r="E366" s="106"/>
      <x:c r="F366" s="106"/>
      <x:c r="G366" s="106"/>
      <x:c r="H366" s="106"/>
      <x:c r="I366" s="106"/>
      <x:c r="J366" s="106"/>
      <x:c r="K366" s="121"/>
      <x:c r="L366" s="121"/>
      <x:c r="M366" s="106"/>
      <x:c r="N366" s="106"/>
      <x:c r="O366" s="113"/>
      <x:c r="P366" s="106"/>
      <x:c r="Q366" s="106"/>
      <x:c r="R366" s="10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/>
      <x:c r="B367" s="106"/>
      <x:c r="C367" s="106"/>
      <x:c r="D367" s="106"/>
      <x:c r="E367" s="106"/>
      <x:c r="F367" s="106"/>
      <x:c r="G367" s="106"/>
      <x:c r="H367" s="106"/>
      <x:c r="I367" s="106"/>
      <x:c r="J367" s="106"/>
      <x:c r="K367" s="121"/>
      <x:c r="L367" s="121"/>
      <x:c r="M367" s="106"/>
      <x:c r="N367" s="106"/>
      <x:c r="O367" s="113"/>
      <x:c r="P367" s="106"/>
      <x:c r="Q367" s="106"/>
      <x:c r="R367" s="10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/>
      <x:c r="B368" s="106"/>
      <x:c r="C368" s="106"/>
      <x:c r="D368" s="106"/>
      <x:c r="E368" s="106"/>
      <x:c r="F368" s="106"/>
      <x:c r="G368" s="106"/>
      <x:c r="H368" s="106"/>
      <x:c r="I368" s="106"/>
      <x:c r="J368" s="106"/>
      <x:c r="K368" s="121"/>
      <x:c r="L368" s="121"/>
      <x:c r="M368" s="106"/>
      <x:c r="N368" s="106"/>
      <x:c r="O368" s="113"/>
      <x:c r="P368" s="106"/>
      <x:c r="Q368" s="106"/>
      <x:c r="R368" s="10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/>
      <x:c r="B369" s="106"/>
      <x:c r="C369" s="106"/>
      <x:c r="D369" s="106"/>
      <x:c r="E369" s="106"/>
      <x:c r="F369" s="106"/>
      <x:c r="G369" s="106"/>
      <x:c r="H369" s="106"/>
      <x:c r="I369" s="106"/>
      <x:c r="J369" s="106"/>
      <x:c r="K369" s="121"/>
      <x:c r="L369" s="121"/>
      <x:c r="M369" s="106"/>
      <x:c r="N369" s="106"/>
      <x:c r="O369" s="113"/>
      <x:c r="P369" s="106"/>
      <x:c r="Q369" s="106"/>
      <x:c r="R369" s="10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/>
      <x:c r="B370" s="106"/>
      <x:c r="C370" s="106"/>
      <x:c r="D370" s="106"/>
      <x:c r="E370" s="106"/>
      <x:c r="F370" s="106"/>
      <x:c r="G370" s="106"/>
      <x:c r="H370" s="106"/>
      <x:c r="I370" s="106"/>
      <x:c r="J370" s="106"/>
      <x:c r="K370" s="121"/>
      <x:c r="L370" s="121"/>
      <x:c r="M370" s="106"/>
      <x:c r="N370" s="106"/>
      <x:c r="O370" s="113"/>
      <x:c r="P370" s="106"/>
      <x:c r="Q370" s="106"/>
      <x:c r="R370" s="10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/>
      <x:c r="B371" s="106"/>
      <x:c r="C371" s="106"/>
      <x:c r="D371" s="106"/>
      <x:c r="E371" s="106"/>
      <x:c r="F371" s="106"/>
      <x:c r="G371" s="106"/>
      <x:c r="H371" s="106"/>
      <x:c r="I371" s="106"/>
      <x:c r="J371" s="106"/>
      <x:c r="K371" s="121"/>
      <x:c r="L371" s="121"/>
      <x:c r="M371" s="106"/>
      <x:c r="N371" s="106"/>
      <x:c r="O371" s="113"/>
      <x:c r="P371" s="106"/>
      <x:c r="Q371" s="106"/>
      <x:c r="R371" s="10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/>
      <x:c r="B372" s="106"/>
      <x:c r="C372" s="106"/>
      <x:c r="D372" s="106"/>
      <x:c r="E372" s="106"/>
      <x:c r="F372" s="106"/>
      <x:c r="G372" s="106"/>
      <x:c r="H372" s="106"/>
      <x:c r="I372" s="106"/>
      <x:c r="J372" s="106"/>
      <x:c r="K372" s="121"/>
      <x:c r="L372" s="121"/>
      <x:c r="M372" s="106"/>
      <x:c r="N372" s="106"/>
      <x:c r="O372" s="113"/>
      <x:c r="P372" s="106"/>
      <x:c r="Q372" s="106"/>
      <x:c r="R372" s="10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/>
      <x:c r="B373" s="106"/>
      <x:c r="C373" s="106"/>
      <x:c r="D373" s="106"/>
      <x:c r="E373" s="106"/>
      <x:c r="F373" s="106"/>
      <x:c r="G373" s="106"/>
      <x:c r="H373" s="106"/>
      <x:c r="I373" s="106"/>
      <x:c r="J373" s="106"/>
      <x:c r="K373" s="121"/>
      <x:c r="L373" s="121"/>
      <x:c r="M373" s="106"/>
      <x:c r="N373" s="106"/>
      <x:c r="O373" s="113"/>
      <x:c r="P373" s="106"/>
      <x:c r="Q373" s="106"/>
      <x:c r="R373" s="10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/>
      <x:c r="B374" s="106"/>
      <x:c r="C374" s="106"/>
      <x:c r="D374" s="106"/>
      <x:c r="E374" s="106"/>
      <x:c r="F374" s="106"/>
      <x:c r="G374" s="106"/>
      <x:c r="H374" s="106"/>
      <x:c r="I374" s="106"/>
      <x:c r="J374" s="106"/>
      <x:c r="K374" s="121"/>
      <x:c r="L374" s="121"/>
      <x:c r="M374" s="106"/>
      <x:c r="N374" s="106"/>
      <x:c r="O374" s="113"/>
      <x:c r="P374" s="106"/>
      <x:c r="Q374" s="106"/>
      <x:c r="R374" s="10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/>
      <x:c r="B375" s="106"/>
      <x:c r="C375" s="106"/>
      <x:c r="D375" s="106"/>
      <x:c r="E375" s="106"/>
      <x:c r="F375" s="106"/>
      <x:c r="G375" s="106"/>
      <x:c r="H375" s="106"/>
      <x:c r="I375" s="106"/>
      <x:c r="J375" s="106"/>
      <x:c r="K375" s="121"/>
      <x:c r="L375" s="121"/>
      <x:c r="M375" s="106"/>
      <x:c r="N375" s="106"/>
      <x:c r="O375" s="113"/>
      <x:c r="P375" s="106"/>
      <x:c r="Q375" s="106"/>
      <x:c r="R375" s="10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/>
      <x:c r="B376" s="106"/>
      <x:c r="C376" s="106"/>
      <x:c r="D376" s="106"/>
      <x:c r="E376" s="106"/>
      <x:c r="F376" s="106"/>
      <x:c r="G376" s="106"/>
      <x:c r="H376" s="106"/>
      <x:c r="I376" s="106"/>
      <x:c r="J376" s="106"/>
      <x:c r="K376" s="121"/>
      <x:c r="L376" s="121"/>
      <x:c r="M376" s="106"/>
      <x:c r="N376" s="106"/>
      <x:c r="O376" s="113"/>
      <x:c r="P376" s="106"/>
      <x:c r="Q376" s="106"/>
      <x:c r="R376" s="10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/>
      <x:c r="B377" s="106"/>
      <x:c r="C377" s="106"/>
      <x:c r="D377" s="106"/>
      <x:c r="E377" s="106"/>
      <x:c r="F377" s="106"/>
      <x:c r="G377" s="106"/>
      <x:c r="H377" s="106"/>
      <x:c r="I377" s="106"/>
      <x:c r="J377" s="106"/>
      <x:c r="K377" s="121"/>
      <x:c r="L377" s="121"/>
      <x:c r="M377" s="106"/>
      <x:c r="N377" s="106"/>
      <x:c r="O377" s="113"/>
      <x:c r="P377" s="106"/>
      <x:c r="Q377" s="106"/>
      <x:c r="R377" s="10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/>
      <x:c r="B378" s="106"/>
      <x:c r="C378" s="106"/>
      <x:c r="D378" s="106"/>
      <x:c r="E378" s="106"/>
      <x:c r="F378" s="106"/>
      <x:c r="G378" s="106"/>
      <x:c r="H378" s="106"/>
      <x:c r="I378" s="106"/>
      <x:c r="J378" s="106"/>
      <x:c r="K378" s="121"/>
      <x:c r="L378" s="121"/>
      <x:c r="M378" s="106"/>
      <x:c r="N378" s="106"/>
      <x:c r="O378" s="113"/>
      <x:c r="P378" s="106"/>
      <x:c r="Q378" s="106"/>
      <x:c r="R378" s="10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/>
      <x:c r="B379" s="106"/>
      <x:c r="C379" s="106"/>
      <x:c r="D379" s="106"/>
      <x:c r="E379" s="106"/>
      <x:c r="F379" s="106"/>
      <x:c r="G379" s="106"/>
      <x:c r="H379" s="106"/>
      <x:c r="I379" s="106"/>
      <x:c r="J379" s="106"/>
      <x:c r="K379" s="121"/>
      <x:c r="L379" s="121"/>
      <x:c r="M379" s="106"/>
      <x:c r="N379" s="106"/>
      <x:c r="O379" s="113"/>
      <x:c r="P379" s="106"/>
      <x:c r="Q379" s="106"/>
      <x:c r="R379" s="10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/>
      <x:c r="B380" s="106"/>
      <x:c r="C380" s="106"/>
      <x:c r="D380" s="106"/>
      <x:c r="E380" s="106"/>
      <x:c r="F380" s="106"/>
      <x:c r="G380" s="106"/>
      <x:c r="H380" s="106"/>
      <x:c r="I380" s="106"/>
      <x:c r="J380" s="106"/>
      <x:c r="K380" s="121"/>
      <x:c r="L380" s="121"/>
      <x:c r="M380" s="106"/>
      <x:c r="N380" s="106"/>
      <x:c r="O380" s="113"/>
      <x:c r="P380" s="106"/>
      <x:c r="Q380" s="106"/>
      <x:c r="R380" s="10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/>
      <x:c r="B381" s="106"/>
      <x:c r="C381" s="106"/>
      <x:c r="D381" s="106"/>
      <x:c r="E381" s="106"/>
      <x:c r="F381" s="106"/>
      <x:c r="G381" s="106"/>
      <x:c r="H381" s="106"/>
      <x:c r="I381" s="106"/>
      <x:c r="J381" s="106"/>
      <x:c r="K381" s="121"/>
      <x:c r="L381" s="121"/>
      <x:c r="M381" s="106"/>
      <x:c r="N381" s="106"/>
      <x:c r="O381" s="113"/>
      <x:c r="P381" s="106"/>
      <x:c r="Q381" s="106"/>
      <x:c r="R381" s="10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/>
      <x:c r="B382" s="106"/>
      <x:c r="C382" s="106"/>
      <x:c r="D382" s="106"/>
      <x:c r="E382" s="106"/>
      <x:c r="F382" s="106"/>
      <x:c r="G382" s="106"/>
      <x:c r="H382" s="106"/>
      <x:c r="I382" s="106"/>
      <x:c r="J382" s="106"/>
      <x:c r="K382" s="121"/>
      <x:c r="L382" s="121"/>
      <x:c r="M382" s="106"/>
      <x:c r="N382" s="106"/>
      <x:c r="O382" s="113"/>
      <x:c r="P382" s="106"/>
      <x:c r="Q382" s="106"/>
      <x:c r="R382" s="10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/>
      <x:c r="B383" s="106"/>
      <x:c r="C383" s="106"/>
      <x:c r="D383" s="106"/>
      <x:c r="E383" s="106"/>
      <x:c r="F383" s="106"/>
      <x:c r="G383" s="106"/>
      <x:c r="H383" s="106"/>
      <x:c r="I383" s="106"/>
      <x:c r="J383" s="106"/>
      <x:c r="K383" s="121"/>
      <x:c r="L383" s="121"/>
      <x:c r="M383" s="106"/>
      <x:c r="N383" s="106"/>
      <x:c r="O383" s="113"/>
      <x:c r="P383" s="106"/>
      <x:c r="Q383" s="106"/>
      <x:c r="R383" s="10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/>
      <x:c r="B384" s="106"/>
      <x:c r="C384" s="106"/>
      <x:c r="D384" s="106"/>
      <x:c r="E384" s="106"/>
      <x:c r="F384" s="106"/>
      <x:c r="G384" s="106"/>
      <x:c r="H384" s="106"/>
      <x:c r="I384" s="106"/>
      <x:c r="J384" s="106"/>
      <x:c r="K384" s="121"/>
      <x:c r="L384" s="121"/>
      <x:c r="M384" s="106"/>
      <x:c r="N384" s="106"/>
      <x:c r="O384" s="113"/>
      <x:c r="P384" s="106"/>
      <x:c r="Q384" s="106"/>
      <x:c r="R384" s="10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/>
      <x:c r="B385" s="106"/>
      <x:c r="C385" s="106"/>
      <x:c r="D385" s="106"/>
      <x:c r="E385" s="106"/>
      <x:c r="F385" s="106"/>
      <x:c r="G385" s="106"/>
      <x:c r="H385" s="106"/>
      <x:c r="I385" s="106"/>
      <x:c r="J385" s="106"/>
      <x:c r="K385" s="121"/>
      <x:c r="L385" s="121"/>
      <x:c r="M385" s="106"/>
      <x:c r="N385" s="106"/>
      <x:c r="O385" s="113"/>
      <x:c r="P385" s="106"/>
      <x:c r="Q385" s="106"/>
      <x:c r="R385" s="10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/>
      <x:c r="B386" s="106"/>
      <x:c r="C386" s="106"/>
      <x:c r="D386" s="106"/>
      <x:c r="E386" s="106"/>
      <x:c r="F386" s="106"/>
      <x:c r="G386" s="106"/>
      <x:c r="H386" s="106"/>
      <x:c r="I386" s="106"/>
      <x:c r="J386" s="106"/>
      <x:c r="K386" s="121"/>
      <x:c r="L386" s="121"/>
      <x:c r="M386" s="106"/>
      <x:c r="N386" s="106"/>
      <x:c r="O386" s="113"/>
      <x:c r="P386" s="106"/>
      <x:c r="Q386" s="106"/>
      <x:c r="R386" s="10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/>
      <x:c r="B387" s="106"/>
      <x:c r="C387" s="106"/>
      <x:c r="D387" s="106"/>
      <x:c r="E387" s="106"/>
      <x:c r="F387" s="106"/>
      <x:c r="G387" s="106"/>
      <x:c r="H387" s="106"/>
      <x:c r="I387" s="106"/>
      <x:c r="J387" s="106"/>
      <x:c r="K387" s="121"/>
      <x:c r="L387" s="121"/>
      <x:c r="M387" s="106"/>
      <x:c r="N387" s="106"/>
      <x:c r="O387" s="113"/>
      <x:c r="P387" s="106"/>
      <x:c r="Q387" s="106"/>
      <x:c r="R387" s="10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/>
      <x:c r="B388" s="106"/>
      <x:c r="C388" s="106"/>
      <x:c r="D388" s="106"/>
      <x:c r="E388" s="106"/>
      <x:c r="F388" s="106"/>
      <x:c r="G388" s="106"/>
      <x:c r="H388" s="106"/>
      <x:c r="I388" s="106"/>
      <x:c r="J388" s="106"/>
      <x:c r="K388" s="121"/>
      <x:c r="L388" s="121"/>
      <x:c r="M388" s="106"/>
      <x:c r="N388" s="106"/>
      <x:c r="O388" s="113"/>
      <x:c r="P388" s="106"/>
      <x:c r="Q388" s="106"/>
      <x:c r="R388" s="10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/>
      <x:c r="B389" s="106"/>
      <x:c r="C389" s="106"/>
      <x:c r="D389" s="106"/>
      <x:c r="E389" s="106"/>
      <x:c r="F389" s="106"/>
      <x:c r="G389" s="106"/>
      <x:c r="H389" s="106"/>
      <x:c r="I389" s="106"/>
      <x:c r="J389" s="106"/>
      <x:c r="K389" s="121"/>
      <x:c r="L389" s="121"/>
      <x:c r="M389" s="106"/>
      <x:c r="N389" s="106"/>
      <x:c r="O389" s="113"/>
      <x:c r="P389" s="106"/>
      <x:c r="Q389" s="106"/>
      <x:c r="R389" s="10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/>
      <x:c r="B390" s="106"/>
      <x:c r="C390" s="106"/>
      <x:c r="D390" s="106"/>
      <x:c r="E390" s="106"/>
      <x:c r="F390" s="106"/>
      <x:c r="G390" s="106"/>
      <x:c r="H390" s="106"/>
      <x:c r="I390" s="106"/>
      <x:c r="J390" s="106"/>
      <x:c r="K390" s="121"/>
      <x:c r="L390" s="121"/>
      <x:c r="M390" s="106"/>
      <x:c r="N390" s="106"/>
      <x:c r="O390" s="113"/>
      <x:c r="P390" s="106"/>
      <x:c r="Q390" s="106"/>
      <x:c r="R390" s="10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/>
      <x:c r="B391" s="106"/>
      <x:c r="C391" s="106"/>
      <x:c r="D391" s="106"/>
      <x:c r="E391" s="106"/>
      <x:c r="F391" s="106"/>
      <x:c r="G391" s="106"/>
      <x:c r="H391" s="106"/>
      <x:c r="I391" s="106"/>
      <x:c r="J391" s="106"/>
      <x:c r="K391" s="121"/>
      <x:c r="L391" s="121"/>
      <x:c r="M391" s="106"/>
      <x:c r="N391" s="106"/>
      <x:c r="O391" s="113"/>
      <x:c r="P391" s="106"/>
      <x:c r="Q391" s="106"/>
      <x:c r="R391" s="10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/>
      <x:c r="B392" s="106"/>
      <x:c r="C392" s="106"/>
      <x:c r="D392" s="106"/>
      <x:c r="E392" s="106"/>
      <x:c r="F392" s="106"/>
      <x:c r="G392" s="106"/>
      <x:c r="H392" s="106"/>
      <x:c r="I392" s="106"/>
      <x:c r="J392" s="106"/>
      <x:c r="K392" s="121"/>
      <x:c r="L392" s="121"/>
      <x:c r="M392" s="106"/>
      <x:c r="N392" s="106"/>
      <x:c r="O392" s="113"/>
      <x:c r="P392" s="106"/>
      <x:c r="Q392" s="106"/>
      <x:c r="R392" s="10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/>
      <x:c r="B393" s="106"/>
      <x:c r="C393" s="106"/>
      <x:c r="D393" s="106"/>
      <x:c r="E393" s="106"/>
      <x:c r="F393" s="106"/>
      <x:c r="G393" s="106"/>
      <x:c r="H393" s="106"/>
      <x:c r="I393" s="106"/>
      <x:c r="J393" s="106"/>
      <x:c r="K393" s="121"/>
      <x:c r="L393" s="121"/>
      <x:c r="M393" s="106"/>
      <x:c r="N393" s="106"/>
      <x:c r="O393" s="113"/>
      <x:c r="P393" s="106"/>
      <x:c r="Q393" s="106"/>
      <x:c r="R393" s="10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/>
      <x:c r="B394" s="106"/>
      <x:c r="C394" s="106"/>
      <x:c r="D394" s="106"/>
      <x:c r="E394" s="106"/>
      <x:c r="F394" s="106"/>
      <x:c r="G394" s="106"/>
      <x:c r="H394" s="106"/>
      <x:c r="I394" s="106"/>
      <x:c r="J394" s="106"/>
      <x:c r="K394" s="121"/>
      <x:c r="L394" s="121"/>
      <x:c r="M394" s="106"/>
      <x:c r="N394" s="106"/>
      <x:c r="O394" s="113"/>
      <x:c r="P394" s="106"/>
      <x:c r="Q394" s="106"/>
      <x:c r="R394" s="10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/>
      <x:c r="B395" s="106"/>
      <x:c r="C395" s="106"/>
      <x:c r="D395" s="106"/>
      <x:c r="E395" s="106"/>
      <x:c r="F395" s="106"/>
      <x:c r="G395" s="106"/>
      <x:c r="H395" s="106"/>
      <x:c r="I395" s="106"/>
      <x:c r="J395" s="106"/>
      <x:c r="K395" s="121"/>
      <x:c r="L395" s="121"/>
      <x:c r="M395" s="106"/>
      <x:c r="N395" s="106"/>
      <x:c r="O395" s="113"/>
      <x:c r="P395" s="106"/>
      <x:c r="Q395" s="106"/>
      <x:c r="R395" s="10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/>
      <x:c r="B396" s="106"/>
      <x:c r="C396" s="106"/>
      <x:c r="D396" s="106"/>
      <x:c r="E396" s="106"/>
      <x:c r="F396" s="106"/>
      <x:c r="G396" s="106"/>
      <x:c r="H396" s="106"/>
      <x:c r="I396" s="106"/>
      <x:c r="J396" s="106"/>
      <x:c r="K396" s="121"/>
      <x:c r="L396" s="121"/>
      <x:c r="M396" s="106"/>
      <x:c r="N396" s="106"/>
      <x:c r="O396" s="113"/>
      <x:c r="P396" s="106"/>
      <x:c r="Q396" s="106"/>
      <x:c r="R396" s="10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/>
      <x:c r="B397" s="106"/>
      <x:c r="C397" s="106"/>
      <x:c r="D397" s="106"/>
      <x:c r="E397" s="106"/>
      <x:c r="F397" s="106"/>
      <x:c r="G397" s="106"/>
      <x:c r="H397" s="106"/>
      <x:c r="I397" s="106"/>
      <x:c r="J397" s="106"/>
      <x:c r="K397" s="121"/>
      <x:c r="L397" s="121"/>
      <x:c r="M397" s="106"/>
      <x:c r="N397" s="106"/>
      <x:c r="O397" s="113"/>
      <x:c r="P397" s="106"/>
      <x:c r="Q397" s="106"/>
      <x:c r="R397" s="10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/>
      <x:c r="B398" s="106"/>
      <x:c r="C398" s="106"/>
      <x:c r="D398" s="106"/>
      <x:c r="E398" s="106"/>
      <x:c r="F398" s="106"/>
      <x:c r="G398" s="106"/>
      <x:c r="H398" s="106"/>
      <x:c r="I398" s="106"/>
      <x:c r="J398" s="106"/>
      <x:c r="K398" s="121"/>
      <x:c r="L398" s="121"/>
      <x:c r="M398" s="106"/>
      <x:c r="N398" s="106"/>
      <x:c r="O398" s="113"/>
      <x:c r="P398" s="106"/>
      <x:c r="Q398" s="106"/>
      <x:c r="R398" s="10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/>
      <x:c r="B399" s="106"/>
      <x:c r="C399" s="106"/>
      <x:c r="D399" s="106"/>
      <x:c r="E399" s="106"/>
      <x:c r="F399" s="106"/>
      <x:c r="G399" s="106"/>
      <x:c r="H399" s="106"/>
      <x:c r="I399" s="106"/>
      <x:c r="J399" s="106"/>
      <x:c r="K399" s="121"/>
      <x:c r="L399" s="121"/>
      <x:c r="M399" s="106"/>
      <x:c r="N399" s="106"/>
      <x:c r="O399" s="113"/>
      <x:c r="P399" s="106"/>
      <x:c r="Q399" s="106"/>
      <x:c r="R399" s="10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/>
      <x:c r="B400" s="106"/>
      <x:c r="C400" s="106"/>
      <x:c r="D400" s="106"/>
      <x:c r="E400" s="106"/>
      <x:c r="F400" s="106"/>
      <x:c r="G400" s="106"/>
      <x:c r="H400" s="106"/>
      <x:c r="I400" s="106"/>
      <x:c r="J400" s="106"/>
      <x:c r="K400" s="121"/>
      <x:c r="L400" s="121"/>
      <x:c r="M400" s="106"/>
      <x:c r="N400" s="106"/>
      <x:c r="O400" s="113"/>
      <x:c r="P400" s="106"/>
      <x:c r="Q400" s="106"/>
      <x:c r="R400" s="10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/>
      <x:c r="B401" s="106"/>
      <x:c r="C401" s="106"/>
      <x:c r="D401" s="106"/>
      <x:c r="E401" s="106"/>
      <x:c r="F401" s="106"/>
      <x:c r="G401" s="106"/>
      <x:c r="H401" s="106"/>
      <x:c r="I401" s="106"/>
      <x:c r="J401" s="106"/>
      <x:c r="K401" s="121"/>
      <x:c r="L401" s="121"/>
      <x:c r="M401" s="106"/>
      <x:c r="N401" s="106"/>
      <x:c r="O401" s="113"/>
      <x:c r="P401" s="106"/>
      <x:c r="Q401" s="106"/>
      <x:c r="R401" s="10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/>
      <x:c r="B402" s="106"/>
      <x:c r="C402" s="106"/>
      <x:c r="D402" s="106"/>
      <x:c r="E402" s="106"/>
      <x:c r="F402" s="106"/>
      <x:c r="G402" s="106"/>
      <x:c r="H402" s="106"/>
      <x:c r="I402" s="106"/>
      <x:c r="J402" s="106"/>
      <x:c r="K402" s="121"/>
      <x:c r="L402" s="121"/>
      <x:c r="M402" s="106"/>
      <x:c r="N402" s="106"/>
      <x:c r="O402" s="113"/>
      <x:c r="P402" s="106"/>
      <x:c r="Q402" s="106"/>
      <x:c r="R402" s="10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/>
      <x:c r="B403" s="106"/>
      <x:c r="C403" s="106"/>
      <x:c r="D403" s="106"/>
      <x:c r="E403" s="106"/>
      <x:c r="F403" s="106"/>
      <x:c r="G403" s="106"/>
      <x:c r="H403" s="106"/>
      <x:c r="I403" s="106"/>
      <x:c r="J403" s="106"/>
      <x:c r="K403" s="121"/>
      <x:c r="L403" s="121"/>
      <x:c r="M403" s="106"/>
      <x:c r="N403" s="106"/>
      <x:c r="O403" s="113"/>
      <x:c r="P403" s="106"/>
      <x:c r="Q403" s="106"/>
      <x:c r="R403" s="10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/>
      <x:c r="B404" s="106"/>
      <x:c r="C404" s="106"/>
      <x:c r="D404" s="106"/>
      <x:c r="E404" s="106"/>
      <x:c r="F404" s="106"/>
      <x:c r="G404" s="106"/>
      <x:c r="H404" s="106"/>
      <x:c r="I404" s="106"/>
      <x:c r="J404" s="106"/>
      <x:c r="K404" s="121"/>
      <x:c r="L404" s="121"/>
      <x:c r="M404" s="106"/>
      <x:c r="N404" s="106"/>
      <x:c r="O404" s="113"/>
      <x:c r="P404" s="106"/>
      <x:c r="Q404" s="106"/>
      <x:c r="R404" s="10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/>
      <x:c r="B405" s="106"/>
      <x:c r="C405" s="106"/>
      <x:c r="D405" s="106"/>
      <x:c r="E405" s="106"/>
      <x:c r="F405" s="106"/>
      <x:c r="G405" s="106"/>
      <x:c r="H405" s="106"/>
      <x:c r="I405" s="106"/>
      <x:c r="J405" s="106"/>
      <x:c r="K405" s="121"/>
      <x:c r="L405" s="121"/>
      <x:c r="M405" s="106"/>
      <x:c r="N405" s="106"/>
      <x:c r="O405" s="113"/>
      <x:c r="P405" s="106"/>
      <x:c r="Q405" s="106"/>
      <x:c r="R405" s="10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/>
      <x:c r="B406" s="106"/>
      <x:c r="C406" s="106"/>
      <x:c r="D406" s="106"/>
      <x:c r="E406" s="106"/>
      <x:c r="F406" s="106"/>
      <x:c r="G406" s="106"/>
      <x:c r="H406" s="106"/>
      <x:c r="I406" s="106"/>
      <x:c r="J406" s="106"/>
      <x:c r="K406" s="121"/>
      <x:c r="L406" s="121"/>
      <x:c r="M406" s="106"/>
      <x:c r="N406" s="106"/>
      <x:c r="O406" s="113"/>
      <x:c r="P406" s="106"/>
      <x:c r="Q406" s="106"/>
      <x:c r="R406" s="10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/>
      <x:c r="B407" s="106"/>
      <x:c r="C407" s="106"/>
      <x:c r="D407" s="106"/>
      <x:c r="E407" s="106"/>
      <x:c r="F407" s="106"/>
      <x:c r="G407" s="106"/>
      <x:c r="H407" s="106"/>
      <x:c r="I407" s="106"/>
      <x:c r="J407" s="106"/>
      <x:c r="K407" s="121"/>
      <x:c r="L407" s="121"/>
      <x:c r="M407" s="106"/>
      <x:c r="N407" s="106"/>
      <x:c r="O407" s="113"/>
      <x:c r="P407" s="106"/>
      <x:c r="Q407" s="106"/>
      <x:c r="R407" s="10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/>
      <x:c r="B408" s="106"/>
      <x:c r="C408" s="106"/>
      <x:c r="D408" s="106"/>
      <x:c r="E408" s="106"/>
      <x:c r="F408" s="106"/>
      <x:c r="G408" s="106"/>
      <x:c r="H408" s="106"/>
      <x:c r="I408" s="106"/>
      <x:c r="J408" s="106"/>
      <x:c r="K408" s="121"/>
      <x:c r="L408" s="121"/>
      <x:c r="M408" s="106"/>
      <x:c r="N408" s="106"/>
      <x:c r="O408" s="113"/>
      <x:c r="P408" s="106"/>
      <x:c r="Q408" s="106"/>
      <x:c r="R408" s="10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/>
      <x:c r="B409" s="106"/>
      <x:c r="C409" s="106"/>
      <x:c r="D409" s="106"/>
      <x:c r="E409" s="106"/>
      <x:c r="F409" s="106"/>
      <x:c r="G409" s="106"/>
      <x:c r="H409" s="106"/>
      <x:c r="I409" s="106"/>
      <x:c r="J409" s="106"/>
      <x:c r="K409" s="121"/>
      <x:c r="L409" s="121"/>
      <x:c r="M409" s="106"/>
      <x:c r="N409" s="106"/>
      <x:c r="O409" s="113"/>
      <x:c r="P409" s="106"/>
      <x:c r="Q409" s="106"/>
      <x:c r="R409" s="10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/>
      <x:c r="B410" s="106"/>
      <x:c r="C410" s="106"/>
      <x:c r="D410" s="106"/>
      <x:c r="E410" s="106"/>
      <x:c r="F410" s="106"/>
      <x:c r="G410" s="106"/>
      <x:c r="H410" s="106"/>
      <x:c r="I410" s="106"/>
      <x:c r="J410" s="106"/>
      <x:c r="K410" s="121"/>
      <x:c r="L410" s="121"/>
      <x:c r="M410" s="106"/>
      <x:c r="N410" s="106"/>
      <x:c r="O410" s="113"/>
      <x:c r="P410" s="106"/>
      <x:c r="Q410" s="106"/>
      <x:c r="R410" s="10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/>
      <x:c r="B411" s="106"/>
      <x:c r="C411" s="106"/>
      <x:c r="D411" s="106"/>
      <x:c r="E411" s="106"/>
      <x:c r="F411" s="106"/>
      <x:c r="G411" s="106"/>
      <x:c r="H411" s="106"/>
      <x:c r="I411" s="106"/>
      <x:c r="J411" s="106"/>
      <x:c r="K411" s="121"/>
      <x:c r="L411" s="121"/>
      <x:c r="M411" s="106"/>
      <x:c r="N411" s="106"/>
      <x:c r="O411" s="113"/>
      <x:c r="P411" s="106"/>
      <x:c r="Q411" s="106"/>
      <x:c r="R411" s="10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/>
      <x:c r="B412" s="106"/>
      <x:c r="C412" s="106"/>
      <x:c r="D412" s="106"/>
      <x:c r="E412" s="106"/>
      <x:c r="F412" s="106"/>
      <x:c r="G412" s="106"/>
      <x:c r="H412" s="106"/>
      <x:c r="I412" s="106"/>
      <x:c r="J412" s="106"/>
      <x:c r="K412" s="121"/>
      <x:c r="L412" s="121"/>
      <x:c r="M412" s="106"/>
      <x:c r="N412" s="106"/>
      <x:c r="O412" s="113"/>
      <x:c r="P412" s="106"/>
      <x:c r="Q412" s="106"/>
      <x:c r="R412" s="10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/>
      <x:c r="B413" s="106"/>
      <x:c r="C413" s="106"/>
      <x:c r="D413" s="106"/>
      <x:c r="E413" s="106"/>
      <x:c r="F413" s="106"/>
      <x:c r="G413" s="106"/>
      <x:c r="H413" s="106"/>
      <x:c r="I413" s="106"/>
      <x:c r="J413" s="106"/>
      <x:c r="K413" s="121"/>
      <x:c r="L413" s="121"/>
      <x:c r="M413" s="106"/>
      <x:c r="N413" s="106"/>
      <x:c r="O413" s="113"/>
      <x:c r="P413" s="106"/>
      <x:c r="Q413" s="106"/>
      <x:c r="R413" s="10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/>
      <x:c r="B414" s="106"/>
      <x:c r="C414" s="106"/>
      <x:c r="D414" s="106"/>
      <x:c r="E414" s="106"/>
      <x:c r="F414" s="106"/>
      <x:c r="G414" s="106"/>
      <x:c r="H414" s="106"/>
      <x:c r="I414" s="106"/>
      <x:c r="J414" s="106"/>
      <x:c r="K414" s="121"/>
      <x:c r="L414" s="121"/>
      <x:c r="M414" s="106"/>
      <x:c r="N414" s="106"/>
      <x:c r="O414" s="113"/>
      <x:c r="P414" s="106"/>
      <x:c r="Q414" s="106"/>
      <x:c r="R414" s="10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/>
      <x:c r="B415" s="106"/>
      <x:c r="C415" s="106"/>
      <x:c r="D415" s="106"/>
      <x:c r="E415" s="106"/>
      <x:c r="F415" s="106"/>
      <x:c r="G415" s="106"/>
      <x:c r="H415" s="106"/>
      <x:c r="I415" s="106"/>
      <x:c r="J415" s="106"/>
      <x:c r="K415" s="121"/>
      <x:c r="L415" s="121"/>
      <x:c r="M415" s="106"/>
      <x:c r="N415" s="106"/>
      <x:c r="O415" s="113"/>
      <x:c r="P415" s="106"/>
      <x:c r="Q415" s="106"/>
      <x:c r="R415" s="10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/>
      <x:c r="B416" s="106"/>
      <x:c r="C416" s="106"/>
      <x:c r="D416" s="106"/>
      <x:c r="E416" s="106"/>
      <x:c r="F416" s="106"/>
      <x:c r="G416" s="106"/>
      <x:c r="H416" s="106"/>
      <x:c r="I416" s="106"/>
      <x:c r="J416" s="106"/>
      <x:c r="K416" s="121"/>
      <x:c r="L416" s="121"/>
      <x:c r="M416" s="106"/>
      <x:c r="N416" s="106"/>
      <x:c r="O416" s="113"/>
      <x:c r="P416" s="106"/>
      <x:c r="Q416" s="106"/>
      <x:c r="R416" s="10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/>
      <x:c r="B417" s="106"/>
      <x:c r="C417" s="106"/>
      <x:c r="D417" s="106"/>
      <x:c r="E417" s="106"/>
      <x:c r="F417" s="106"/>
      <x:c r="G417" s="106"/>
      <x:c r="H417" s="106"/>
      <x:c r="I417" s="106"/>
      <x:c r="J417" s="106"/>
      <x:c r="K417" s="121"/>
      <x:c r="L417" s="121"/>
      <x:c r="M417" s="106"/>
      <x:c r="N417" s="106"/>
      <x:c r="O417" s="113"/>
      <x:c r="P417" s="106"/>
      <x:c r="Q417" s="106"/>
      <x:c r="R417" s="10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/>
      <x:c r="B418" s="106"/>
      <x:c r="C418" s="106"/>
      <x:c r="D418" s="106"/>
      <x:c r="E418" s="106"/>
      <x:c r="F418" s="106"/>
      <x:c r="G418" s="106"/>
      <x:c r="H418" s="106"/>
      <x:c r="I418" s="106"/>
      <x:c r="J418" s="106"/>
      <x:c r="K418" s="121"/>
      <x:c r="L418" s="121"/>
      <x:c r="M418" s="106"/>
      <x:c r="N418" s="106"/>
      <x:c r="O418" s="113"/>
      <x:c r="P418" s="106"/>
      <x:c r="Q418" s="106"/>
      <x:c r="R418" s="10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/>
      <x:c r="B419" s="106"/>
      <x:c r="C419" s="106"/>
      <x:c r="D419" s="106"/>
      <x:c r="E419" s="106"/>
      <x:c r="F419" s="106"/>
      <x:c r="G419" s="106"/>
      <x:c r="H419" s="106"/>
      <x:c r="I419" s="106"/>
      <x:c r="J419" s="106"/>
      <x:c r="K419" s="121"/>
      <x:c r="L419" s="121"/>
      <x:c r="M419" s="106"/>
      <x:c r="N419" s="106"/>
      <x:c r="O419" s="113"/>
      <x:c r="P419" s="106"/>
      <x:c r="Q419" s="106"/>
      <x:c r="R419" s="10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/>
      <x:c r="B420" s="106"/>
      <x:c r="C420" s="106"/>
      <x:c r="D420" s="106"/>
      <x:c r="E420" s="106"/>
      <x:c r="F420" s="106"/>
      <x:c r="G420" s="106"/>
      <x:c r="H420" s="106"/>
      <x:c r="I420" s="106"/>
      <x:c r="J420" s="106"/>
      <x:c r="K420" s="121"/>
      <x:c r="L420" s="121"/>
      <x:c r="M420" s="106"/>
      <x:c r="N420" s="106"/>
      <x:c r="O420" s="113"/>
      <x:c r="P420" s="106"/>
      <x:c r="Q420" s="106"/>
      <x:c r="R420" s="10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/>
      <x:c r="B421" s="106"/>
      <x:c r="C421" s="106"/>
      <x:c r="D421" s="106"/>
      <x:c r="E421" s="106"/>
      <x:c r="F421" s="106"/>
      <x:c r="G421" s="106"/>
      <x:c r="H421" s="106"/>
      <x:c r="I421" s="106"/>
      <x:c r="J421" s="106"/>
      <x:c r="K421" s="121"/>
      <x:c r="L421" s="121"/>
      <x:c r="M421" s="106"/>
      <x:c r="N421" s="106"/>
      <x:c r="O421" s="113"/>
      <x:c r="P421" s="106"/>
      <x:c r="Q421" s="106"/>
      <x:c r="R421" s="10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/>
      <x:c r="B422" s="106"/>
      <x:c r="C422" s="106"/>
      <x:c r="D422" s="106"/>
      <x:c r="E422" s="106"/>
      <x:c r="F422" s="106"/>
      <x:c r="G422" s="106"/>
      <x:c r="H422" s="106"/>
      <x:c r="I422" s="106"/>
      <x:c r="J422" s="106"/>
      <x:c r="K422" s="121"/>
      <x:c r="L422" s="121"/>
      <x:c r="M422" s="106"/>
      <x:c r="N422" s="106"/>
      <x:c r="O422" s="113"/>
      <x:c r="P422" s="106"/>
      <x:c r="Q422" s="106"/>
      <x:c r="R422" s="10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/>
      <x:c r="B423" s="106"/>
      <x:c r="C423" s="106"/>
      <x:c r="D423" s="106"/>
      <x:c r="E423" s="106"/>
      <x:c r="F423" s="106"/>
      <x:c r="G423" s="106"/>
      <x:c r="H423" s="106"/>
      <x:c r="I423" s="106"/>
      <x:c r="J423" s="106"/>
      <x:c r="K423" s="121"/>
      <x:c r="L423" s="121"/>
      <x:c r="M423" s="106"/>
      <x:c r="N423" s="106"/>
      <x:c r="O423" s="113"/>
      <x:c r="P423" s="106"/>
      <x:c r="Q423" s="106"/>
      <x:c r="R423" s="10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/>
      <x:c r="B424" s="106"/>
      <x:c r="C424" s="106"/>
      <x:c r="D424" s="106"/>
      <x:c r="E424" s="106"/>
      <x:c r="F424" s="106"/>
      <x:c r="G424" s="106"/>
      <x:c r="H424" s="106"/>
      <x:c r="I424" s="106"/>
      <x:c r="J424" s="106"/>
      <x:c r="K424" s="121"/>
      <x:c r="L424" s="121"/>
      <x:c r="M424" s="106"/>
      <x:c r="N424" s="106"/>
      <x:c r="O424" s="113"/>
      <x:c r="P424" s="106"/>
      <x:c r="Q424" s="106"/>
      <x:c r="R424" s="10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/>
      <x:c r="B425" s="106"/>
      <x:c r="C425" s="106"/>
      <x:c r="D425" s="106"/>
      <x:c r="E425" s="106"/>
      <x:c r="F425" s="106"/>
      <x:c r="G425" s="106"/>
      <x:c r="H425" s="106"/>
      <x:c r="I425" s="106"/>
      <x:c r="J425" s="106"/>
      <x:c r="K425" s="121"/>
      <x:c r="L425" s="121"/>
      <x:c r="M425" s="106"/>
      <x:c r="N425" s="106"/>
      <x:c r="O425" s="113"/>
      <x:c r="P425" s="106"/>
      <x:c r="Q425" s="106"/>
      <x:c r="R425" s="10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