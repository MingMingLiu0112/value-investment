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4fd352df1844e5" /></Relationships>
</file>

<file path=xl/workbook.xml><?xml version="1.0" encoding="utf-8"?>
<x:workbook xmlns:x="http://schemas.openxmlformats.org/spreadsheetml/2006/main">
  <x:sheets>
    <x:sheet xmlns:r="http://schemas.openxmlformats.org/officeDocument/2006/relationships" name="00_首页Dashboard" sheetId="1" r:id="R13d9de75cb054a83"/>
    <x:sheet xmlns:r="http://schemas.openxmlformats.org/officeDocument/2006/relationships" name="01_观察名单" sheetId="2" r:id="R32ea47a0bf0746fc"/>
    <x:sheet xmlns:r="http://schemas.openxmlformats.org/officeDocument/2006/relationships" name="02_质量评分" sheetId="3" r:id="R5b547675198847bb"/>
    <x:sheet xmlns:r="http://schemas.openxmlformats.org/officeDocument/2006/relationships" name="03_财务指标" sheetId="4" r:id="Rcdae2c84b5d744d3"/>
    <x:sheet xmlns:r="http://schemas.openxmlformats.org/officeDocument/2006/relationships" name="04_估值跟踪" sheetId="5" r:id="R11d8f14659e84e4a"/>
    <x:sheet xmlns:r="http://schemas.openxmlformats.org/officeDocument/2006/relationships" name="05_仓位管理" sheetId="6" r:id="R1a401eb8672740ac"/>
    <x:sheet xmlns:r="http://schemas.openxmlformats.org/officeDocument/2006/relationships" name="06_月度跟踪" sheetId="7" r:id="Re03aa08f6d5c4456"/>
    <x:sheet xmlns:r="http://schemas.openxmlformats.org/officeDocument/2006/relationships" name="07_月度复盘" sheetId="8" r:id="R9ccd8c9c854646bc"/>
    <x:sheet xmlns:r="http://schemas.openxmlformats.org/officeDocument/2006/relationships" name="08_交易记录" sheetId="9" r:id="R5dd905180cb645fb"/>
    <x:sheet xmlns:r="http://schemas.openxmlformats.org/officeDocument/2006/relationships" name="09_公司研究" sheetId="10" r:id="Rd252d3e7ef484dea"/>
    <x:sheet xmlns:r="http://schemas.openxmlformats.org/officeDocument/2006/relationships" name="10_年报跟踪" sheetId="11" r:id="Re8b92722a7a24c67"/>
    <x:sheet xmlns:r="http://schemas.openxmlformats.org/officeDocument/2006/relationships" name="11_数据源审计" sheetId="12" r:id="R4a3d6ab3b07a4498"/>
    <x:sheet xmlns:r="http://schemas.openxmlformats.org/officeDocument/2006/relationships" name="12_系统设置" sheetId="13" r:id="Rcd5c22bef7954db1"/>
    <x:sheet xmlns:r="http://schemas.openxmlformats.org/officeDocument/2006/relationships" name="12_提醒" sheetId="14" r:id="R04b13341821e416f"/>
    <x:sheet xmlns:r="http://schemas.openxmlformats.org/officeDocument/2006/relationships" name="13_全市场初筛" sheetId="15" r:id="R66130091524e41da"/>
    <x:sheet xmlns:r="http://schemas.openxmlformats.org/officeDocument/2006/relationships" name="14_财报候选" sheetId="16" r:id="Rd8c0191cc20a4919"/>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Red](0.0%);-"/>
    <x:numFmt numFmtId="201" formatCode="¥#,##0.00;[Red](¥#,##0.00);-"/>
    <x:numFmt numFmtId="202" formatCode="0.0x;[Red](0.0x);-"/>
    <x:numFmt numFmtId="203" formatCode="yyyy-mm-dd hh:mm"/>
    <x:numFmt numFmtId="204" formatCode="0.0"/>
    <x:numFmt numFmtId="205" formatCode="#,##0.00;[Red](#,##0.00);-"/>
    <x:numFmt numFmtId="206" formatCode="yyyy-mm-dd"/>
  </x:numFmts>
  <x:fonts count="8">
    <x:font>
      <x:sz val="11"/>
      <x:name val="Carlito"/>
    </x:font>
    <x:font>
      <x:b/>
      <x:sz val="18"/>
      <x:color rgb="FFFFFFFF"/>
      <x:name val="Carlito"/>
    </x:font>
    <x:font>
      <x:b/>
      <x:sz val="11"/>
      <x:color rgb="FFFFFFFF"/>
      <x:name val="Carlito"/>
    </x:font>
    <x:font>
      <x:sz val="11"/>
      <x:color rgb="FF0000FF"/>
      <x:name val="Carlito"/>
    </x:font>
    <x:font>
      <x:sz val="11"/>
      <x:color rgb="FF7F6000"/>
      <x:name val="Carlito"/>
    </x:font>
    <x:font>
      <x:sz val="11"/>
      <x:color rgb="FF008000"/>
      <x:name val="Carlito"/>
    </x:font>
    <x:font>
      <x:sz val="11"/>
      <x:color rgb="FF000000"/>
      <x:name val="Carlito"/>
    </x:font>
    <x:font>
      <x:b/>
      <x:sz val="14"/>
      <x:color rgb="FF008000"/>
      <x:name val="Carlito"/>
    </x:font>
  </x:fonts>
  <x:fills count="6">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0" fillId="4" borderId="1" xfId="0" applyNumberFormat="1" applyFont="1" applyFill="1" applyBorder="1"/>
    <x:xf numFmtId="0" fontId="2" fillId="4"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1" fontId="3" fillId="0" borderId="0" xfId="0" applyNumberFormat="1" applyFont="1" applyFill="1" applyBorder="1"/>
    <x:xf numFmtId="201" fontId="3" fillId="0" borderId="1" xfId="0" applyNumberFormat="1" applyFont="1" applyFill="1" applyBorder="1"/>
    <x:xf numFmtId="202" fontId="6" fillId="0" borderId="0" xfId="0" applyNumberFormat="1" applyFont="1" applyFill="1" applyBorder="1"/>
    <x:xf numFmtId="202" fontId="6" fillId="0"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202" fontId="3" fillId="0" borderId="0" xfId="0" applyNumberFormat="1" applyFont="1" applyFill="1" applyBorder="1"/>
    <x:xf numFmtId="202" fontId="3" fillId="0" borderId="1" xfId="0" applyNumberFormat="1" applyFont="1" applyFill="1" applyBorder="1"/>
    <x:xf numFmtId="201" fontId="5" fillId="0" borderId="0" xfId="0" applyNumberFormat="1" applyFont="1" applyFill="1" applyBorder="1"/>
    <x:xf numFmtId="201" fontId="5" fillId="0" borderId="1" xfId="0" applyNumberFormat="1" applyFont="1" applyFill="1" applyBorder="1"/>
    <x:xf numFmtId="200" fontId="5" fillId="0" borderId="0" xfId="0" applyNumberFormat="1" applyFont="1" applyFill="1" applyBorder="1"/>
    <x:xf numFmtId="200" fontId="5" fillId="0" borderId="1" xfId="0" applyNumberFormat="1" applyFont="1" applyFill="1" applyBorder="1"/>
    <x:xf numFmtId="203" fontId="3" fillId="0" borderId="0" xfId="0" applyNumberFormat="1" applyFont="1" applyFill="1" applyBorder="1"/>
    <x:xf numFmtId="203" fontId="3" fillId="0" borderId="1" xfId="0" applyNumberFormat="1" applyFont="1" applyFill="1" applyBorder="1"/>
    <x:xf numFmtId="204" fontId="5" fillId="0" borderId="0" xfId="0" applyNumberFormat="1" applyFont="1" applyFill="1" applyBorder="1"/>
    <x:xf numFmtId="204" fontId="5" fillId="0" borderId="1" xfId="0" applyNumberFormat="1" applyFont="1" applyFill="1" applyBorder="1"/>
    <x:xf numFmtId="203" fontId="5" fillId="0" borderId="0" xfId="0" applyNumberFormat="1" applyFont="1" applyFill="1" applyBorder="1"/>
    <x:xf numFmtId="203" fontId="5" fillId="0" borderId="1" xfId="0" applyNumberFormat="1" applyFont="1" applyFill="1" applyBorder="1"/>
    <x:xf numFmtId="205" fontId="3" fillId="0" borderId="0" xfId="0" applyNumberFormat="1" applyFont="1" applyFill="1" applyBorder="1"/>
    <x:xf numFmtId="205" fontId="3" fillId="0" borderId="1" xfId="0" applyNumberFormat="1" applyFont="1" applyFill="1" applyBorder="1"/>
    <x:xf numFmtId="0" fontId="2" fillId="4" borderId="0" xfId="0" applyNumberFormat="1" applyFont="1" applyFill="1" applyBorder="1" applyAlignment="1">
      <x:alignment horizontal="left"/>
    </x:xf>
    <x:xf numFmtId="0" fontId="2" fillId="4" borderId="0" xfId="0" applyNumberFormat="1" applyFont="1" applyFill="1" applyBorder="1" applyAlignment="1">
      <x:alignment horizontal="left" vertical="center"/>
    </x:xf>
    <x:xf numFmtId="0" fontId="2" fillId="4" borderId="1" xfId="0" applyNumberFormat="1" applyFont="1" applyFill="1" applyBorder="1" applyAlignment="1">
      <x:alignment horizontal="left"/>
    </x:xf>
    <x:xf numFmtId="0" fontId="2" fillId="4" borderId="1" xfId="0" applyNumberFormat="1" applyFont="1" applyFill="1" applyBorder="1" applyAlignment="1">
      <x:alignment horizontal="left" vertical="center"/>
    </x:xf>
    <x:xf numFmtId="206" fontId="3" fillId="0" borderId="0" xfId="0" applyNumberFormat="1" applyFont="1" applyFill="1" applyBorder="1"/>
    <x:xf numFmtId="206" fontId="3" fillId="0" borderId="1" xfId="0" applyNumberFormat="1" applyFont="1" applyFill="1" applyBorder="1"/>
    <x:xf numFmtId="201" fontId="6" fillId="0" borderId="0" xfId="0" applyNumberFormat="1" applyFont="1" applyFill="1" applyBorder="1"/>
    <x:xf numFmtId="201" fontId="6"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5" fillId="5" borderId="0" xfId="0" applyNumberFormat="1" applyFont="1" applyFill="1" applyBorder="1"/>
    <x:xf numFmtId="0" fontId="5" fillId="5" borderId="1" xfId="0" applyNumberFormat="1" applyFont="1" applyFill="1" applyBorder="1"/>
    <x:xf numFmtId="0" fontId="7" fillId="5" borderId="0" xfId="0" applyNumberFormat="1" applyFont="1" applyFill="1" applyBorder="1"/>
    <x:xf numFmtId="0" fontId="7" fillId="5" borderId="1" xfId="0" applyNumberFormat="1" applyFont="1" applyFill="1" applyBorder="1"/>
    <x:xf numFmtId="200" fontId="7" fillId="5" borderId="0" xfId="0" applyNumberFormat="1" applyFont="1" applyFill="1" applyBorder="1"/>
    <x:xf numFmtId="200" fontId="2" fillId="4" borderId="0" xfId="0" applyNumberFormat="1" applyFont="1" applyFill="1" applyBorder="1" applyAlignment="1">
      <x:alignment horizontal="left" vertical="center"/>
    </x:xf>
    <x:xf numFmtId="200" fontId="7" fillId="5" borderId="1" xfId="0" applyNumberFormat="1" applyFont="1" applyFill="1" applyBorder="1"/>
    <x:xf numFmtId="200" fontId="2" fillId="4" borderId="1" xfId="0" applyNumberFormat="1" applyFont="1" applyFill="1" applyBorder="1" applyAlignment="1">
      <x:alignment horizontal="left" vertical="center"/>
    </x:xf>
    <x:xf numFmtId="204" fontId="7" fillId="5" borderId="0" xfId="0" applyNumberFormat="1" applyFont="1" applyFill="1" applyBorder="1"/>
    <x:xf numFmtId="204" fontId="7" fillId="5" borderId="1" xfId="0" applyNumberFormat="1" applyFont="1" applyFill="1" applyBorder="1"/>
    <x:xf numFmtId="0" fontId="0" fillId="4" borderId="0" xfId="0" applyNumberFormat="1" applyFont="1" applyFill="1" applyBorder="1" applyAlignment="1">
      <x:alignment wrapText="1"/>
    </x:xf>
    <x:xf numFmtId="0" fontId="2" fillId="4" borderId="0" xfId="0" applyNumberFormat="1" applyFont="1" applyFill="1" applyBorder="1" applyAlignment="1">
      <x:alignment wrapText="1"/>
    </x:xf>
    <x:xf numFmtId="0" fontId="2" fillId="4" borderId="0" xfId="0" applyNumberFormat="1" applyFont="1" applyFill="1" applyBorder="1" applyAlignment="1">
      <x:alignment horizontal="left" wrapText="1"/>
    </x:xf>
    <x:xf numFmtId="0" fontId="2" fillId="4" borderId="0" xfId="0" applyNumberFormat="1" applyFont="1" applyFill="1" applyBorder="1" applyAlignment="1">
      <x:alignment horizontal="left" vertical="center" wrapText="1"/>
    </x:xf>
    <x:xf numFmtId="0" fontId="0" fillId="4" borderId="1"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1" xfId="0" applyNumberFormat="1" applyFont="1" applyFill="1" applyBorder="1" applyAlignment="1">
      <x:alignment horizontal="left" wrapText="1"/>
    </x:xf>
    <x:xf numFmtId="0" fontId="2" fillId="4" borderId="1" xfId="0" applyNumberFormat="1" applyFont="1" applyFill="1" applyBorder="1" applyAlignment="1">
      <x:alignment horizontal="left" vertical="center" wrapText="1"/>
    </x:xf>
    <x:xf numFmtId="0" fontId="0" fillId="0"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7" fillId="5" borderId="0" xfId="0" applyNumberFormat="1" applyFont="1" applyFill="1" applyBorder="1" applyAlignment="1">
      <x:alignment vertical="center"/>
    </x:xf>
    <x:xf numFmtId="204" fontId="7" fillId="5" borderId="0" xfId="0" applyNumberFormat="1" applyFont="1" applyFill="1" applyBorder="1" applyAlignment="1">
      <x:alignment vertical="center"/>
    </x:xf>
    <x:xf numFmtId="200" fontId="7" fillId="5"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5" fillId="0" borderId="0" xfId="0" applyNumberFormat="1" applyFont="1" applyFill="1" applyBorder="1" applyAlignment="1">
      <x:alignment vertical="center"/>
    </x:xf>
    <x:xf numFmtId="200" fontId="5" fillId="0" borderId="0" xfId="0" applyNumberFormat="1" applyFont="1" applyFill="1" applyBorder="1" applyAlignment="1">
      <x:alignment vertical="center"/>
    </x:xf>
    <x:xf numFmtId="203" fontId="5"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4" fillId="3" borderId="1" xfId="0" applyNumberFormat="1" applyFont="1" applyFill="1" applyBorder="1" applyAlignment="1">
      <x:alignment vertical="center" wrapText="1"/>
    </x:xf>
    <x:xf numFmtId="0" fontId="7" fillId="5" borderId="1" xfId="0" applyNumberFormat="1" applyFont="1" applyFill="1" applyBorder="1" applyAlignment="1">
      <x:alignment vertical="center"/>
    </x:xf>
    <x:xf numFmtId="204" fontId="7" fillId="5" borderId="1" xfId="0" applyNumberFormat="1" applyFont="1" applyFill="1" applyBorder="1" applyAlignment="1">
      <x:alignment vertical="center"/>
    </x:xf>
    <x:xf numFmtId="200" fontId="7" fillId="5" borderId="1" xfId="0" applyNumberFormat="1" applyFont="1" applyFill="1" applyBorder="1" applyAlignment="1">
      <x:alignment vertical="center"/>
    </x:xf>
    <x:xf numFmtId="0" fontId="2" fillId="4" borderId="1" xfId="0" applyNumberFormat="1" applyFont="1" applyFill="1" applyBorder="1" applyAlignment="1">
      <x:alignment vertical="center"/>
    </x:xf>
    <x:xf numFmtId="0" fontId="5" fillId="0" borderId="1" xfId="0" applyNumberFormat="1" applyFont="1" applyFill="1" applyBorder="1" applyAlignment="1">
      <x:alignment vertical="center"/>
    </x:xf>
    <x:xf numFmtId="200" fontId="5" fillId="0" borderId="1" xfId="0" applyNumberFormat="1" applyFont="1" applyFill="1" applyBorder="1" applyAlignment="1">
      <x:alignment vertical="center"/>
    </x:xf>
    <x:xf numFmtId="203" fontId="5"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0" borderId="0" xfId="0" applyNumberFormat="1" applyFont="1" applyFill="1" applyBorder="1" applyAlignment="1">
      <x:alignment vertical="center"/>
    </x:xf>
    <x:xf numFmtId="201" fontId="5" fillId="0" borderId="0" xfId="0" applyNumberFormat="1" applyFont="1" applyFill="1" applyBorder="1" applyAlignment="1">
      <x:alignment vertical="center"/>
    </x:xf>
    <x:xf numFmtId="204" fontId="5" fillId="0" borderId="0" xfId="0" applyNumberFormat="1" applyFont="1" applyFill="1" applyBorder="1" applyAlignment="1">
      <x:alignment vertical="center"/>
    </x:xf>
    <x:xf numFmtId="0" fontId="3" fillId="0" borderId="1" xfId="0" applyNumberFormat="1" applyFont="1" applyFill="1" applyBorder="1" applyAlignment="1">
      <x:alignment vertical="center"/>
    </x:xf>
    <x:xf numFmtId="201" fontId="5" fillId="0" borderId="1" xfId="0" applyNumberFormat="1" applyFont="1" applyFill="1" applyBorder="1" applyAlignment="1">
      <x:alignment vertical="center"/>
    </x:xf>
    <x:xf numFmtId="204" fontId="5" fillId="0" borderId="1" xfId="0" applyNumberFormat="1" applyFont="1" applyFill="1" applyBorder="1" applyAlignment="1">
      <x:alignment vertical="center"/>
    </x:xf>
    <x:xf numFmtId="205"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1" fontId="3" fillId="0" borderId="0" xfId="0" applyNumberFormat="1" applyFont="1" applyFill="1" applyBorder="1" applyAlignment="1">
      <x:alignment vertical="center"/>
    </x:xf>
    <x:xf numFmtId="205" fontId="3" fillId="0" borderId="1" xfId="0" applyNumberFormat="1" applyFont="1" applyFill="1" applyBorder="1" applyAlignment="1">
      <x:alignment vertical="center"/>
    </x:xf>
    <x:xf numFmtId="200" fontId="3" fillId="0" borderId="1" xfId="0" applyNumberFormat="1" applyFont="1" applyFill="1" applyBorder="1" applyAlignment="1">
      <x:alignment vertical="center"/>
    </x:xf>
    <x:xf numFmtId="201" fontId="3" fillId="0" borderId="1" xfId="0" applyNumberFormat="1" applyFont="1" applyFill="1" applyBorder="1" applyAlignment="1">
      <x:alignment vertical="center"/>
    </x:xf>
    <x:xf numFmtId="202" fontId="6" fillId="0" borderId="0" xfId="0" applyNumberFormat="1" applyFont="1" applyFill="1" applyBorder="1" applyAlignment="1">
      <x:alignment vertical="center"/>
    </x:xf>
    <x:xf numFmtId="200" fontId="6"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203" fontId="3" fillId="0" borderId="0" xfId="0" applyNumberFormat="1" applyFont="1" applyFill="1" applyBorder="1" applyAlignment="1">
      <x:alignment vertical="center"/>
    </x:xf>
    <x:xf numFmtId="202" fontId="6" fillId="0" borderId="1" xfId="0" applyNumberFormat="1" applyFont="1" applyFill="1" applyBorder="1" applyAlignment="1">
      <x:alignment vertical="center"/>
    </x:xf>
    <x:xf numFmtId="200" fontId="6" fillId="0" borderId="1" xfId="0" applyNumberFormat="1" applyFont="1" applyFill="1" applyBorder="1" applyAlignment="1">
      <x:alignment vertical="center"/>
    </x:xf>
    <x:xf numFmtId="202" fontId="3" fillId="0" borderId="1" xfId="0" applyNumberFormat="1" applyFont="1" applyFill="1" applyBorder="1" applyAlignment="1">
      <x:alignment vertical="center"/>
    </x:xf>
    <x:xf numFmtId="203" fontId="3" fillId="0" borderId="1" xfId="0" applyNumberFormat="1" applyFont="1" applyFill="1" applyBorder="1" applyAlignment="1">
      <x:alignment vertical="center"/>
    </x:xf>
    <x:xf numFmtId="206" fontId="3" fillId="0" borderId="0" xfId="0" applyNumberFormat="1" applyFont="1" applyFill="1" applyBorder="1" applyAlignment="1">
      <x:alignment vertical="center"/>
    </x:xf>
    <x:xf numFmtId="206" fontId="3" fillId="0" borderId="1" xfId="0" applyNumberFormat="1" applyFont="1" applyFill="1" applyBorder="1" applyAlignment="1">
      <x:alignment vertical="center"/>
    </x:xf>
    <x:xf numFmtId="201" fontId="6" fillId="0" borderId="0" xfId="0" applyNumberFormat="1" applyFont="1" applyFill="1" applyBorder="1" applyAlignment="1">
      <x:alignment vertical="center"/>
    </x:xf>
    <x:xf numFmtId="201" fontId="6" fillId="0" borderId="1"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0"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cellXfs>
  <x:cellStyles count="1">
    <x:cellStyle name="Normal" xfId="0"/>
  </x:cellStyles>
  <x:dxfs count="11">
    <x:dxf>
      <x:font>
        <x:b/>
        <x:color rgb="FF006100"/>
      </x:font>
      <x:fill>
        <x:patternFill>
          <x:bgColor rgb="FFC6EFCE"/>
        </x:patternFill>
      </x:fill>
    </x:dxf>
    <x:dxf>
      <x:font>
        <x:color rgb="FF9C0006"/>
      </x:font>
      <x:fill>
        <x:patternFill>
          <x:bgColor rgb="FFFFC7CE"/>
        </x:patternFill>
      </x:fill>
    </x:dxf>
    <x:dxf>
      <x:font>
        <x:b/>
        <x:color rgb="FFC00000"/>
      </x:font>
      <x:fill>
        <x:patternFill>
          <x:bgColor rgb="FFFCE4D6"/>
        </x:patternFill>
      </x:fill>
    </x:dxf>
    <x:dxf>
      <x:font>
        <x:b/>
        <x:color rgb="FF006100"/>
      </x:font>
      <x:fill>
        <x:patternFill>
          <x:bgColor rgb="FFC6EFCE"/>
        </x:patternFill>
      </x:fill>
    </x:dxf>
    <x:dxf>
      <x:font>
        <x:b/>
      </x:font>
      <x:fill>
        <x:patternFill>
          <x:bgColor rgb="FFE2F0D9"/>
        </x:patternFill>
      </x:fill>
    </x:dxf>
    <x:dxf>
      <x:font>
        <x:b/>
        <x:color rgb="FFC00000"/>
      </x:font>
      <x:fill>
        <x:patternFill>
          <x:bgColor rgb="FFFCE4D6"/>
        </x:patternFill>
      </x:fill>
    </x:dxf>
    <x:dxf>
      <x:fill>
        <x:patternFill>
          <x:bgColor rgb="FFE2F0D9"/>
        </x:patternFill>
      </x:fill>
    </x:dxf>
    <x:dxf>
      <x:font>
        <x:color rgb="FFC00000"/>
      </x:font>
      <x:fill>
        <x:patternFill>
          <x:bgColor rgb="FFFCE4D6"/>
        </x:patternFill>
      </x:fill>
    </x:dxf>
    <x:dxf>
      <x:font>
        <x:b/>
        <x:color rgb="FF9C0006"/>
      </x:font>
      <x:fill>
        <x:patternFill>
          <x:bgColor rgb="FFFFC7CE"/>
        </x:patternFill>
      </x:fill>
    </x:dxf>
    <x:dxf>
      <x:font>
        <x:b/>
        <x:color rgb="FF006100"/>
      </x:font>
      <x:fill>
        <x:patternFill>
          <x:bgColor rgb="FFC6EFCE"/>
        </x:patternFill>
      </x:fill>
    </x:dxf>
    <x:dxf>
      <x:font>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33a7fa66da74508" /><Relationship Type="http://schemas.openxmlformats.org/officeDocument/2006/relationships/theme" Target="/xl/theme/theme1.xml" Id="Rfbca9d1e45984e74" /><Relationship Type="http://schemas.openxmlformats.org/officeDocument/2006/relationships/sharedStrings" Target="/xl/sharedStrings.xml" Id="R7b6a9768c3264085" /><Relationship Type="http://schemas.openxmlformats.org/officeDocument/2006/relationships/worksheet" Target="/xl/worksheets/sheet1.xml" Id="R13d9de75cb054a83" /><Relationship Type="http://schemas.openxmlformats.org/officeDocument/2006/relationships/worksheet" Target="/xl/worksheets/sheet2.xml" Id="R32ea47a0bf0746fc" /><Relationship Type="http://schemas.openxmlformats.org/officeDocument/2006/relationships/worksheet" Target="/xl/worksheets/sheet3.xml" Id="R5b547675198847bb" /><Relationship Type="http://schemas.openxmlformats.org/officeDocument/2006/relationships/worksheet" Target="/xl/worksheets/sheet4.xml" Id="Rcdae2c84b5d744d3" /><Relationship Type="http://schemas.openxmlformats.org/officeDocument/2006/relationships/worksheet" Target="/xl/worksheets/sheet5.xml" Id="R11d8f14659e84e4a" /><Relationship Type="http://schemas.openxmlformats.org/officeDocument/2006/relationships/worksheet" Target="/xl/worksheets/sheet6.xml" Id="R1a401eb8672740ac" /><Relationship Type="http://schemas.openxmlformats.org/officeDocument/2006/relationships/worksheet" Target="/xl/worksheets/sheet7.xml" Id="Re03aa08f6d5c4456" /><Relationship Type="http://schemas.openxmlformats.org/officeDocument/2006/relationships/worksheet" Target="/xl/worksheets/sheet8.xml" Id="R9ccd8c9c854646bc" /><Relationship Type="http://schemas.openxmlformats.org/officeDocument/2006/relationships/worksheet" Target="/xl/worksheets/sheet9.xml" Id="R5dd905180cb645fb" /><Relationship Type="http://schemas.openxmlformats.org/officeDocument/2006/relationships/worksheet" Target="/xl/worksheets/sheet10.xml" Id="Rd252d3e7ef484dea" /><Relationship Type="http://schemas.openxmlformats.org/officeDocument/2006/relationships/worksheet" Target="/xl/worksheets/sheet11.xml" Id="Re8b92722a7a24c67" /><Relationship Type="http://schemas.openxmlformats.org/officeDocument/2006/relationships/worksheet" Target="/xl/worksheets/sheet12.xml" Id="R4a3d6ab3b07a4498" /><Relationship Type="http://schemas.openxmlformats.org/officeDocument/2006/relationships/worksheet" Target="/xl/worksheets/sheet13.xml" Id="Rcd5c22bef7954db1" /><Relationship Type="http://schemas.openxmlformats.org/officeDocument/2006/relationships/worksheet" Target="/xl/worksheets/sheet14.xml" Id="R04b13341821e416f" /><Relationship Type="http://schemas.openxmlformats.org/officeDocument/2006/relationships/worksheet" Target="/xl/worksheets/sheet15.xml" Id="R66130091524e41da" /><Relationship Type="http://schemas.openxmlformats.org/officeDocument/2006/relationships/worksheet" Target="/xl/worksheets/sheet16.xml" Id="Rd8c0191cc20a49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b00c4cc96fe54219" /><Relationship Type="http://schemas.openxmlformats.org/officeDocument/2006/relationships/chart" Target="/xl/drawings/charts/chart2.xml" Id="Rca6b2f9f854a42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建仓信号分布</a:t>
            </a:r>
          </a:p>
        </c:rich>
      </c:tx>
      <c:overlay val="0"/>
    </c:title>
    <c:autoTitleDeleted val="0"/>
    <c:plotArea>
      <c:layout/>
      <c:barChart>
        <c:barDir val="col"/>
        <c:grouping val="clustered"/>
        <c:varyColors val="0"/>
        <c:ser>
          <c:idx val="0"/>
          <c:order val="0"/>
          <c:tx>
            <c:v>数量</c:v>
          </c:tx>
          <c:cat>
            <c:strRef>
              <c:f>'00_首页Dashboard'!$L$4:$L$8</c:f>
              <c:strCache>
                <c:ptCount val="0"/>
              </c:strCache>
            </c:strRef>
          </c:cat>
          <c:val>
            <c:numRef>
              <c:f>'00_首页Dashboard'!$M$4:$M$8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观察池策略类型</a:t>
            </a:r>
          </a:p>
        </c:rich>
      </c:tx>
      <c:overlay val="0"/>
    </c:title>
    <c:autoTitleDeleted val="0"/>
    <c:plotArea>
      <c:layout/>
      <c:barChart>
        <c:barDir val="col"/>
        <c:varyColors val="0"/>
        <c:ser>
          <c:idx val="0"/>
          <c:order val="0"/>
          <c:tx>
            <c:v>数量</c:v>
          </c:tx>
          <c:cat>
            <c:strRef>
              <c:f>'00_首页Dashboard'!$O$4:$O$10</c:f>
              <c:strCache>
                <c:ptCount val="0"/>
              </c:strCache>
            </c:strRef>
          </c:cat>
          <c:val>
            <c:numRef>
              <c:f>'00_首页Dashboard'!$P$4:$P$10</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9</xdr:row>
      <xdr:rowOff>0</xdr:rowOff>
    </xdr:from>
    <xdr:to>
      <xdr:col>18</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00c4cc96fe54219"/>
        </a:graphicData>
      </a:graphic>
    </xdr:graphicFrame>
    <xdr:clientData/>
  </xdr:twoCellAnchor>
  <xdr:twoCellAnchor>
    <xdr:from>
      <xdr:col>18</xdr:col>
      <xdr:colOff>0</xdr:colOff>
      <xdr:row>9</xdr:row>
      <xdr:rowOff>0</xdr:rowOff>
    </xdr:from>
    <xdr:to>
      <xdr:col>25</xdr:col>
      <xdr:colOff>0</xdr:colOff>
      <xdr:row>23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6b2f9f854a42a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7e1ee82d62147b7" /></Relationships>
</file>

<file path=xl/worksheets/sheet1.xml><?xml version="1.0" encoding="utf-8"?>
<x:worksheet xmlns:x="http://schemas.openxmlformats.org/spreadsheetml/2006/main">
  <x:sheetFormatPr defaultRowHeight="15"/>
  <x:cols>
    <x:col min="1" max="1" width="14" hidden="0" customWidth="1"/>
    <x:col min="2" max="2" width="18" hidden="0" customWidth="1"/>
    <x:col min="3" max="3" width="17" hidden="0" customWidth="1"/>
    <x:col min="4" max="4" width="14" hidden="0" customWidth="1"/>
    <x:col min="5" max="5" width="17" hidden="0" customWidth="1"/>
    <x:col min="6" max="6" width="14" hidden="0" customWidth="1"/>
    <x:col min="7" max="7" width="14" hidden="0" customWidth="1"/>
    <x:col min="8" max="8" width="22" hidden="0" customWidth="1"/>
    <x:col min="9" max="9" width="14" hidden="0" customWidth="1"/>
    <x:col min="10" max="10" width="19" hidden="0" customWidth="1"/>
    <x:col min="12" max="12" width="16" hidden="0" customWidth="1"/>
    <x:col min="13" max="13" width="10" hidden="0" customWidth="1"/>
    <x:col min="15" max="15" width="16" hidden="0" customWidth="1"/>
    <x:col min="16" max="16" width="10" hidden="0" customWidth="1"/>
  </x:cols>
  <x:sheetData>
    <x:row r="1">
      <x:c r="A1" s="5" t="str">
        <x:v>A股价值投资 · Agent前端智能跟踪 Dashboard</x:v>
      </x:c>
      <x:c r="B1" s="5"/>
      <x:c r="C1" s="5"/>
      <x:c r="D1" s="5"/>
      <x:c r="E1" s="5"/>
      <x:c r="F1" s="5"/>
      <x:c r="G1" s="5"/>
      <x:c r="H1" s="5"/>
      <x:c r="I1" s="5"/>
      <x:c r="J1" s="5"/>
      <x:c r="K1" s="86"/>
      <x:c r="L1" s="86"/>
      <x:c r="M1" s="86"/>
      <x:c r="N1" s="86"/>
      <x:c r="O1" s="86"/>
      <x:c r="P1" s="86"/>
      <x:c r="Q1" s="86"/>
      <x:c r="R1" s="86"/>
      <x:c r="S1" s="86"/>
      <x:c r="T1" s="86"/>
      <x:c r="U1" s="86"/>
      <x:c r="V1" s="86"/>
      <x:c r="W1" s="86"/>
      <x:c r="X1" s="86"/>
      <x:c r="Y1" s="86"/>
      <x:c r="Z1" s="86"/>
    </x:row>
    <x:row r="2">
      <x:c r="A2" s="87" t="str">
        <x:v>重要：当前工作簿尚未接入实时行情/财报API。示例公司与示例评分用于展示框架；行情、估值、财务数值必须由可追溯数据源自动更新后，才能用于交易决策。</x:v>
      </x:c>
      <x:c r="B2" s="87"/>
      <x:c r="C2" s="87"/>
      <x:c r="D2" s="87"/>
      <x:c r="E2" s="87"/>
      <x:c r="F2" s="87"/>
      <x:c r="G2" s="87"/>
      <x:c r="H2" s="87"/>
      <x:c r="I2" s="87"/>
      <x:c r="J2" s="87"/>
      <x:c r="K2" s="86"/>
      <x:c r="L2" s="86"/>
      <x:c r="M2" s="86"/>
      <x:c r="N2" s="86"/>
      <x:c r="O2" s="86"/>
      <x:c r="P2" s="86"/>
      <x:c r="Q2" s="86"/>
      <x:c r="R2" s="86"/>
      <x:c r="S2" s="86"/>
      <x:c r="T2" s="86"/>
      <x:c r="U2" s="86"/>
      <x:c r="V2" s="86"/>
      <x:c r="W2" s="86"/>
      <x:c r="X2" s="86"/>
      <x:c r="Y2" s="86"/>
      <x:c r="Z2" s="86"/>
    </x:row>
    <x:row r="3">
      <x:c r="A3" s="86"/>
      <x:c r="B3" s="86"/>
      <x:c r="C3" s="86"/>
      <x:c r="D3" s="86"/>
      <x:c r="E3" s="86"/>
      <x:c r="F3" s="86"/>
      <x:c r="G3" s="86"/>
      <x:c r="H3" s="86"/>
      <x:c r="I3" s="86"/>
      <x:c r="J3" s="86"/>
      <x:c r="K3" s="86"/>
      <x:c r="L3" s="13" t="str">
        <x:v>建仓信号</x:v>
      </x:c>
      <x:c r="M3" s="13" t="str">
        <x:v>数量</x:v>
      </x:c>
      <x:c r="N3" s="86"/>
      <x:c r="O3" s="13" t="str">
        <x:v>策略类型</x:v>
      </x:c>
      <x:c r="P3" s="13" t="str">
        <x:v>数量</x:v>
      </x:c>
      <x:c r="Q3" s="86"/>
      <x:c r="R3" s="86"/>
      <x:c r="S3" s="86"/>
      <x:c r="T3" s="86"/>
      <x:c r="U3" s="86"/>
      <x:c r="V3" s="86"/>
      <x:c r="W3" s="86"/>
      <x:c r="X3" s="86"/>
      <x:c r="Y3" s="86"/>
      <x:c r="Z3" s="86"/>
    </x:row>
    <x:row r="4">
      <x:c r="A4" s="57" t="str">
        <x:v>观察公司数</x:v>
      </x:c>
      <x:c r="B4" s="88" t="n">
        <x:f>COUNTA('01_观察名单'!B4:B100)</x:f>
        <x:v>10</x:v>
      </x:c>
      <x:c r="C4" s="57" t="str">
        <x:v>可建仓信号(A/B)</x:v>
      </x:c>
      <x:c r="D4" s="88" t="n">
        <x:f>COUNTIF('01_观察名单'!K4:K100,"A*")+COUNTIF('01_观察名单'!K4:K100,"B*")</x:f>
        <x:v>0</x:v>
      </x:c>
      <x:c r="E4" s="57" t="str">
        <x:v>深度低估公司</x:v>
      </x:c>
      <x:c r="F4" s="88" t="n">
        <x:f>COUNTIF('01_观察名单'!I4:I100,"深度低估")</x:f>
        <x:v>0</x:v>
      </x:c>
      <x:c r="G4" s="57" t="str">
        <x:v>平均质量分</x:v>
      </x:c>
      <x:c r="H4" s="89" t="n">
        <x:f>IFERROR(AVERAGE('02_质量评分'!M4:M100),"")</x:f>
        <x:v>81.31</x:v>
      </x:c>
      <x:c r="I4" s="86" t="str">
        <x:v>全市场初筛候选</x:v>
      </x:c>
      <x:c r="J4" s="86" t="n">
        <x:v>876</x:v>
      </x:c>
      <x:c r="K4" s="86"/>
      <x:c r="L4" s="86" t="str">
        <x:v>A-重点建仓</x:v>
      </x:c>
      <x:c r="M4" s="86" t="n">
        <x:f>COUNTIF('01_观察名单'!K4:K100,"A*")</x:f>
        <x:v>0</x:v>
      </x:c>
      <x:c r="N4" s="86"/>
      <x:c r="O4" s="86" t="str">
        <x:v>稳健高股息</x:v>
      </x:c>
      <x:c r="P4" s="86" t="n">
        <x:f>COUNTIF('01_观察名单'!D4:D100,"稳健高股息")</x:f>
        <x:v>2</x:v>
      </x:c>
      <x:c r="Q4" s="86"/>
      <x:c r="R4" s="86"/>
      <x:c r="S4" s="86"/>
      <x:c r="T4" s="86"/>
      <x:c r="U4" s="86"/>
      <x:c r="V4" s="86"/>
      <x:c r="W4" s="86"/>
      <x:c r="X4" s="86"/>
      <x:c r="Y4" s="86"/>
      <x:c r="Z4" s="86"/>
    </x:row>
    <x:row r="5">
      <x:c r="A5" s="86"/>
      <x:c r="B5" s="86"/>
      <x:c r="C5" s="86"/>
      <x:c r="D5" s="86"/>
      <x:c r="E5" s="86"/>
      <x:c r="F5" s="86"/>
      <x:c r="G5" s="86"/>
      <x:c r="H5" s="86"/>
      <x:c r="I5" s="86" t="str">
        <x:v>自动验证通过</x:v>
      </x:c>
      <x:c r="J5" s="86" t="n">
        <x:v>1</x:v>
      </x:c>
      <x:c r="K5" s="86"/>
      <x:c r="L5" s="86" t="str">
        <x:v>B-分批建仓</x:v>
      </x:c>
      <x:c r="M5" s="86" t="n">
        <x:f>COUNTIF('01_观察名单'!K4:K100,"B*")</x:f>
        <x:v>0</x:v>
      </x:c>
      <x:c r="N5" s="86"/>
      <x:c r="O5" s="86" t="str">
        <x:v>稳健现金流</x:v>
      </x:c>
      <x:c r="P5" s="86" t="n">
        <x:f>COUNTIF('01_观察名单'!D4:D100,"稳健现金流")</x:f>
        <x:v>1</x:v>
      </x:c>
      <x:c r="Q5" s="86"/>
      <x:c r="R5" s="86"/>
      <x:c r="S5" s="86"/>
      <x:c r="T5" s="86"/>
      <x:c r="U5" s="86"/>
      <x:c r="V5" s="86"/>
      <x:c r="W5" s="86"/>
      <x:c r="X5" s="86"/>
      <x:c r="Y5" s="86"/>
      <x:c r="Z5" s="86"/>
    </x:row>
    <x:row r="6">
      <x:c r="A6" s="86"/>
      <x:c r="B6" s="86"/>
      <x:c r="C6" s="86"/>
      <x:c r="D6" s="86"/>
      <x:c r="E6" s="86"/>
      <x:c r="F6" s="86"/>
      <x:c r="G6" s="86"/>
      <x:c r="H6" s="86"/>
      <x:c r="I6" s="86" t="str">
        <x:v>自动补证队列</x:v>
      </x:c>
      <x:c r="J6" s="86" t="n">
        <x:v>904</x:v>
      </x:c>
      <x:c r="K6" s="86"/>
      <x:c r="L6" s="86" t="str">
        <x:v>C-观察</x:v>
      </x:c>
      <x:c r="M6" s="86" t="n">
        <x:f>COUNTIF('01_观察名单'!K4:K100,"C*")</x:f>
        <x:v>0</x:v>
      </x:c>
      <x:c r="N6" s="86"/>
      <x:c r="O6" s="86" t="str">
        <x:v>消费龙头</x:v>
      </x:c>
      <x:c r="P6" s="86" t="n">
        <x:f>COUNTIF('01_观察名单'!D4:D100,"消费龙头")</x:f>
        <x:v>1</x:v>
      </x:c>
      <x:c r="Q6" s="86"/>
      <x:c r="R6" s="86"/>
      <x:c r="S6" s="86"/>
      <x:c r="T6" s="86"/>
      <x:c r="U6" s="86"/>
      <x:c r="V6" s="86"/>
      <x:c r="W6" s="86"/>
      <x:c r="X6" s="86"/>
      <x:c r="Y6" s="86"/>
      <x:c r="Z6" s="86"/>
    </x:row>
    <x:row r="7">
      <x:c r="A7" s="57" t="str">
        <x:v>平均安全边际</x:v>
      </x:c>
      <x:c r="B7" s="90" t="n">
        <x:f>IFERROR(AVERAGEIF('01_观察名单'!H4:H100,"&gt;-100",'01_观察名单'!H4:H100),"")</x:f>
        <x:v>-0.15752671928817202</x:v>
      </x:c>
      <x:c r="C7" s="73" t="str">
        <x:v>当前现金比例</x:v>
      </x:c>
      <x:c r="D7" s="90" t="n">
        <x:f>'05_仓位管理'!B6</x:f>
        <x:v>1</x:v>
      </x:c>
      <x:c r="E7" s="57" t="str">
        <x:v>数据正常率</x:v>
      </x:c>
      <x:c r="F7" s="90" t="n">
        <x:f>IFERROR(COUNTIF('01_观察名单'!P4:P100,"正常")/COUNTA('01_观察名单'!B4:B100),"")</x:f>
        <x:v>0</x:v>
      </x:c>
      <x:c r="G7" s="57" t="str">
        <x:v>本月复盘状态</x:v>
      </x:c>
      <x:c r="H7" s="88" t="str">
        <x:f>IF(COUNTIF('07_月度复盘'!A4:A100,TEXT(TODAY(),"yyyy-mm"))=0,"未建记录",IF(COUNTIFS('07_月度复盘'!A4:A100,TEXT(TODAY(),"yyyy-mm"),'07_月度复盘'!P4:P100,"已完成")&gt;0,"已完成","待完成"))</x:f>
        <x:v>待完成</x:v>
      </x:c>
      <x:c r="I7" s="86" t="str">
        <x:v>当前行情来源</x:v>
      </x:c>
      <x:c r="J7" s="86" t="str">
        <x:v>AkShare / Tencent all-A market snapshot</x:v>
      </x:c>
      <x:c r="K7" s="86"/>
      <x:c r="L7" s="86" t="str">
        <x:v>等待</x:v>
      </x:c>
      <x:c r="M7" s="86" t="n">
        <x:f>COUNTIF('01_观察名单'!K4:K100,"等待")</x:f>
        <x:v>0</x:v>
      </x:c>
      <x:c r="N7" s="86"/>
      <x:c r="O7" s="86" t="str">
        <x:v>质量价值</x:v>
      </x:c>
      <x:c r="P7" s="86" t="n">
        <x:f>COUNTIF('01_观察名单'!D4:D100,"质量价值")</x:f>
        <x:v>3</x:v>
      </x:c>
      <x:c r="Q7" s="86"/>
      <x:c r="R7" s="86"/>
      <x:c r="S7" s="86"/>
      <x:c r="T7" s="86"/>
      <x:c r="U7" s="86"/>
      <x:c r="V7" s="86"/>
      <x:c r="W7" s="86"/>
      <x:c r="X7" s="86"/>
      <x:c r="Y7" s="86"/>
      <x:c r="Z7" s="86"/>
    </x:row>
    <x:row r="8">
      <x:c r="A8" s="86"/>
      <x:c r="B8" s="86"/>
      <x:c r="C8" s="86"/>
      <x:c r="D8" s="86"/>
      <x:c r="E8" s="86"/>
      <x:c r="F8" s="86"/>
      <x:c r="G8" s="86"/>
      <x:c r="H8" s="86"/>
      <x:c r="I8" s="86"/>
      <x:c r="J8" s="86"/>
      <x:c r="K8" s="86"/>
      <x:c r="L8" s="86" t="str">
        <x:v>待数据</x:v>
      </x:c>
      <x:c r="M8" s="86" t="n">
        <x:f>COUNTIF('01_观察名单'!K4:K100,"待数据")</x:f>
        <x:v>0</x:v>
      </x:c>
      <x:c r="N8" s="86"/>
      <x:c r="O8" s="86" t="str">
        <x:v>周期高股息</x:v>
      </x:c>
      <x:c r="P8" s="86" t="n">
        <x:f>COUNTIF('01_观察名单'!D4:D100,"周期高股息")</x:f>
        <x:v>1</x:v>
      </x:c>
      <x:c r="Q8" s="86"/>
      <x:c r="R8" s="86"/>
      <x:c r="S8" s="86"/>
      <x:c r="T8" s="86"/>
      <x:c r="U8" s="86"/>
      <x:c r="V8" s="86"/>
      <x:c r="W8" s="86"/>
      <x:c r="X8" s="86"/>
      <x:c r="Y8" s="86"/>
      <x:c r="Z8" s="86"/>
    </x:row>
    <x:row r="9">
      <x:c r="A9" s="86"/>
      <x:c r="B9" s="86"/>
      <x:c r="C9" s="86"/>
      <x:c r="D9" s="86"/>
      <x:c r="E9" s="86"/>
      <x:c r="F9" s="86"/>
      <x:c r="G9" s="86"/>
      <x:c r="H9" s="86"/>
      <x:c r="I9" s="86"/>
      <x:c r="J9" s="86"/>
      <x:c r="K9" s="86"/>
      <x:c r="L9" s="86"/>
      <x:c r="M9" s="86"/>
      <x:c r="N9" s="86"/>
      <x:c r="O9" s="86" t="str">
        <x:v>成长价值</x:v>
      </x:c>
      <x:c r="P9" s="86" t="n">
        <x:f>COUNTIF('01_观察名单'!D4:D100,"成长价值")</x:f>
        <x:v>1</x:v>
      </x:c>
      <x:c r="Q9" s="86"/>
      <x:c r="R9" s="86"/>
      <x:c r="S9" s="86"/>
      <x:c r="T9" s="86"/>
      <x:c r="U9" s="86"/>
      <x:c r="V9" s="86"/>
      <x:c r="W9" s="86"/>
      <x:c r="X9" s="86"/>
      <x:c r="Y9" s="86"/>
      <x:c r="Z9" s="86"/>
    </x:row>
    <x:row r="10">
      <x:c r="A10" s="91" t="str">
        <x:v>决策队列（自动从观察名单拉取）</x:v>
      </x:c>
      <x:c r="B10" s="91"/>
      <x:c r="C10" s="91"/>
      <x:c r="D10" s="91"/>
      <x:c r="E10" s="91"/>
      <x:c r="F10" s="91"/>
      <x:c r="G10" s="91"/>
      <x:c r="H10" s="91"/>
      <x:c r="I10" s="91"/>
      <x:c r="J10" s="91"/>
      <x:c r="K10" s="86"/>
      <x:c r="L10" s="86"/>
      <x:c r="M10" s="86"/>
      <x:c r="N10" s="86"/>
      <x:c r="O10" s="86" t="str">
        <x:v>消费稳定</x:v>
      </x:c>
      <x:c r="P10" s="86" t="n">
        <x:f>COUNTIF('01_观察名单'!D4:D100,"消费稳定")</x:f>
        <x:v>1</x:v>
      </x:c>
      <x:c r="Q10" s="86"/>
      <x:c r="R10" s="86"/>
      <x:c r="S10" s="86"/>
      <x:c r="T10" s="86"/>
      <x:c r="U10" s="86"/>
      <x:c r="V10" s="86"/>
      <x:c r="W10" s="86"/>
      <x:c r="X10" s="86"/>
      <x:c r="Y10" s="86"/>
      <x:c r="Z10" s="86"/>
    </x:row>
    <x:row r="11">
      <x:c r="A11" s="13" t="str">
        <x:v>代码</x:v>
      </x:c>
      <x:c r="B11" s="13" t="str">
        <x:v>公司</x:v>
      </x:c>
      <x:c r="C11" s="13" t="str">
        <x:v>估值温度</x:v>
      </x:c>
      <x:c r="D11" s="13" t="str">
        <x:v>质量分</x:v>
      </x:c>
      <x:c r="E11" s="13" t="str">
        <x:v>建仓信号</x:v>
      </x:c>
      <x:c r="F11" s="13" t="str">
        <x:v>目标仓位</x:v>
      </x:c>
      <x:c r="G11" s="13" t="str">
        <x:v>当前仓位</x:v>
      </x:c>
      <x:c r="H11" s="13" t="str">
        <x:v>下一步动作</x:v>
      </x:c>
      <x:c r="I11" s="13" t="str">
        <x:v>数据状态</x:v>
      </x:c>
      <x:c r="J11" s="13" t="str">
        <x:v>最近更新</x:v>
      </x:c>
      <x:c r="K11" s="86"/>
      <x:c r="L11" s="86"/>
      <x:c r="M11" s="86"/>
      <x:c r="N11" s="86"/>
      <x:c r="O11" s="86"/>
      <x:c r="P11" s="86"/>
      <x:c r="Q11" s="86"/>
      <x:c r="R11" s="86"/>
      <x:c r="S11" s="86"/>
      <x:c r="T11" s="86"/>
      <x:c r="U11" s="86"/>
      <x:c r="V11" s="86"/>
      <x:c r="W11" s="86"/>
      <x:c r="X11" s="86"/>
      <x:c r="Y11" s="86"/>
      <x:c r="Z11" s="86"/>
    </x:row>
    <x:row r="12">
      <x:c r="A12" s="92" t="str">
        <x:f>'01_观察名单'!A4</x:f>
        <x:v>600941</x:v>
      </x:c>
      <x:c r="B12" s="92" t="str">
        <x:f>'01_观察名单'!B4</x:f>
        <x:v>中国移动</x:v>
      </x:c>
      <x:c r="C12" s="92" t="str">
        <x:f>'01_观察名单'!I4</x:f>
        <x:v>模型估值待复核</x:v>
      </x:c>
      <x:c r="D12" s="92" t="n">
        <x:f>'01_观察名单'!J4</x:f>
        <x:v>82.1</x:v>
      </x:c>
      <x:c r="E12" s="92" t="str">
        <x:f>'01_观察名单'!K4</x:f>
        <x:v>等待复核</x:v>
      </x:c>
      <x:c r="F12" s="93" t="n">
        <x:f>'01_观察名单'!L4</x:f>
        <x:v>0</x:v>
      </x:c>
      <x:c r="G12" s="93" t="n">
        <x:f>'01_观察名单'!M4</x:f>
        <x:v>0</x:v>
      </x:c>
      <x:c r="H12" s="92" t="str">
        <x:f>'01_观察名单'!N4</x:f>
        <x:v>Agent 自动验证</x:v>
      </x:c>
      <x:c r="I12" s="92" t="str">
        <x:f>'01_观察名单'!P4</x:f>
        <x:v>模型估值待复核</x:v>
      </x:c>
      <x:c r="J12" s="94" t="n">
        <x:f>'01_观察名单'!O4</x:f>
        <x:v>46269.70660899305</x:v>
      </x:c>
      <x:c r="K12" s="86"/>
      <x:c r="L12" s="86"/>
      <x:c r="M12" s="86"/>
      <x:c r="N12" s="86"/>
      <x:c r="O12" s="86"/>
      <x:c r="P12" s="86"/>
      <x:c r="Q12" s="86"/>
      <x:c r="R12" s="86"/>
      <x:c r="S12" s="86"/>
      <x:c r="T12" s="86"/>
      <x:c r="U12" s="86"/>
      <x:c r="V12" s="86"/>
      <x:c r="W12" s="86"/>
      <x:c r="X12" s="86"/>
      <x:c r="Y12" s="86"/>
      <x:c r="Z12" s="86"/>
    </x:row>
    <x:row r="13">
      <x:c r="A13" s="92" t="str">
        <x:f>'01_观察名单'!A5</x:f>
        <x:v>600900</x:v>
      </x:c>
      <x:c r="B13" s="92" t="str">
        <x:f>'01_观察名单'!B5</x:f>
        <x:v>长江电力</x:v>
      </x:c>
      <x:c r="C13" s="92" t="str">
        <x:f>'01_观察名单'!I5</x:f>
        <x:v>模型估值待复核</x:v>
      </x:c>
      <x:c r="D13" s="92" t="n">
        <x:f>'01_观察名单'!J5</x:f>
        <x:v>81.3</x:v>
      </x:c>
      <x:c r="E13" s="92" t="str">
        <x:f>'01_观察名单'!K5</x:f>
        <x:v>等待复核</x:v>
      </x:c>
      <x:c r="F13" s="93" t="n">
        <x:f>'01_观察名单'!L5</x:f>
        <x:v>0</x:v>
      </x:c>
      <x:c r="G13" s="93" t="n">
        <x:f>'01_观察名单'!M5</x:f>
        <x:v>0</x:v>
      </x:c>
      <x:c r="H13" s="92" t="str">
        <x:f>'01_观察名单'!N5</x:f>
        <x:v>Agent 自动验证</x:v>
      </x:c>
      <x:c r="I13" s="92" t="str">
        <x:f>'01_观察名单'!P5</x:f>
        <x:v>模型估值待复核</x:v>
      </x:c>
      <x:c r="J13" s="94" t="n">
        <x:f>'01_观察名单'!O5</x:f>
        <x:v>46269.70660899305</x:v>
      </x:c>
      <x:c r="K13" s="86"/>
      <x:c r="L13" s="86"/>
      <x:c r="M13" s="86"/>
      <x:c r="N13" s="86"/>
      <x:c r="O13" s="86"/>
      <x:c r="P13" s="86"/>
      <x:c r="Q13" s="86"/>
      <x:c r="R13" s="86"/>
      <x:c r="S13" s="86"/>
      <x:c r="T13" s="86"/>
      <x:c r="U13" s="86"/>
      <x:c r="V13" s="86"/>
      <x:c r="W13" s="86"/>
      <x:c r="X13" s="86"/>
      <x:c r="Y13" s="86"/>
      <x:c r="Z13" s="86"/>
    </x:row>
    <x:row r="14">
      <x:c r="A14" s="92" t="str">
        <x:f>'01_观察名单'!A6</x:f>
        <x:v>600519</x:v>
      </x:c>
      <x:c r="B14" s="92" t="str">
        <x:f>'01_观察名单'!B6</x:f>
        <x:v>贵州茅台</x:v>
      </x:c>
      <x:c r="C14" s="92" t="str">
        <x:f>'01_观察名单'!I6</x:f>
        <x:v>模型估值待复核</x:v>
      </x:c>
      <x:c r="D14" s="92" t="n">
        <x:f>'01_观察名单'!J6</x:f>
        <x:v>87.8</x:v>
      </x:c>
      <x:c r="E14" s="92" t="str">
        <x:f>'01_观察名单'!K6</x:f>
        <x:v>等待复核</x:v>
      </x:c>
      <x:c r="F14" s="93" t="n">
        <x:f>'01_观察名单'!L6</x:f>
        <x:v>0</x:v>
      </x:c>
      <x:c r="G14" s="93" t="n">
        <x:f>'01_观察名单'!M6</x:f>
        <x:v>0</x:v>
      </x:c>
      <x:c r="H14" s="92" t="str">
        <x:f>'01_观察名单'!N6</x:f>
        <x:v>Agent 自动验证</x:v>
      </x:c>
      <x:c r="I14" s="92" t="str">
        <x:f>'01_观察名单'!P6</x:f>
        <x:v>模型估值待复核</x:v>
      </x:c>
      <x:c r="J14" s="94" t="n">
        <x:f>'01_观察名单'!O6</x:f>
        <x:v>46269.70660899305</x:v>
      </x:c>
      <x:c r="K14" s="86"/>
      <x:c r="L14" s="86"/>
      <x:c r="M14" s="86"/>
      <x:c r="N14" s="86"/>
      <x:c r="O14" s="86"/>
      <x:c r="P14" s="86"/>
      <x:c r="Q14" s="86"/>
      <x:c r="R14" s="86"/>
      <x:c r="S14" s="86"/>
      <x:c r="T14" s="86"/>
      <x:c r="U14" s="86"/>
      <x:c r="V14" s="86"/>
      <x:c r="W14" s="86"/>
      <x:c r="X14" s="86"/>
      <x:c r="Y14" s="86"/>
      <x:c r="Z14" s="86"/>
    </x:row>
    <x:row r="15">
      <x:c r="A15" s="92" t="str">
        <x:f>'01_观察名单'!A7</x:f>
        <x:v>000333</x:v>
      </x:c>
      <x:c r="B15" s="92" t="str">
        <x:f>'01_观察名单'!B7</x:f>
        <x:v>美的集团</x:v>
      </x:c>
      <x:c r="C15" s="92" t="str">
        <x:f>'01_观察名单'!I7</x:f>
        <x:v>模型估值待复核</x:v>
      </x:c>
      <x:c r="D15" s="92" t="n">
        <x:f>'01_观察名单'!J7</x:f>
        <x:v>84</x:v>
      </x:c>
      <x:c r="E15" s="92" t="str">
        <x:f>'01_观察名单'!K7</x:f>
        <x:v>等待复核</x:v>
      </x:c>
      <x:c r="F15" s="93" t="n">
        <x:f>'01_观察名单'!L7</x:f>
        <x:v>0</x:v>
      </x:c>
      <x:c r="G15" s="93" t="n">
        <x:f>'01_观察名单'!M7</x:f>
        <x:v>0</x:v>
      </x:c>
      <x:c r="H15" s="92" t="str">
        <x:f>'01_观察名单'!N7</x:f>
        <x:v>Agent 自动验证</x:v>
      </x:c>
      <x:c r="I15" s="92" t="str">
        <x:f>'01_观察名单'!P7</x:f>
        <x:v>模型估值待复核</x:v>
      </x:c>
      <x:c r="J15" s="94" t="n">
        <x:f>'01_观察名单'!O7</x:f>
        <x:v>46269.70660899305</x:v>
      </x:c>
      <x:c r="K15" s="86"/>
      <x:c r="L15" s="86"/>
      <x:c r="M15" s="86"/>
      <x:c r="N15" s="86"/>
      <x:c r="O15" s="86"/>
      <x:c r="P15" s="86"/>
      <x:c r="Q15" s="86"/>
      <x:c r="R15" s="86"/>
      <x:c r="S15" s="86"/>
      <x:c r="T15" s="86"/>
      <x:c r="U15" s="86"/>
      <x:c r="V15" s="86"/>
      <x:c r="W15" s="86"/>
      <x:c r="X15" s="86"/>
      <x:c r="Y15" s="86"/>
      <x:c r="Z15" s="86"/>
    </x:row>
    <x:row r="16">
      <x:c r="A16" s="92" t="str">
        <x:f>'01_观察名单'!A8</x:f>
        <x:v>600036</x:v>
      </x:c>
      <x:c r="B16" s="92" t="str">
        <x:f>'01_观察名单'!B8</x:f>
        <x:v>招商银行</x:v>
      </x:c>
      <x:c r="C16" s="92" t="str">
        <x:f>'01_观察名单'!I8</x:f>
        <x:v>模型估值待复核</x:v>
      </x:c>
      <x:c r="D16" s="92" t="n">
        <x:f>'01_观察名单'!J8</x:f>
        <x:v>80.4</x:v>
      </x:c>
      <x:c r="E16" s="92" t="str">
        <x:f>'01_观察名单'!K8</x:f>
        <x:v>等待复核</x:v>
      </x:c>
      <x:c r="F16" s="93" t="n">
        <x:f>'01_观察名单'!L8</x:f>
        <x:v>0</x:v>
      </x:c>
      <x:c r="G16" s="93" t="n">
        <x:f>'01_观察名单'!M8</x:f>
        <x:v>0</x:v>
      </x:c>
      <x:c r="H16" s="92" t="str">
        <x:f>'01_观察名单'!N8</x:f>
        <x:v>Agent 自动验证</x:v>
      </x:c>
      <x:c r="I16" s="92" t="str">
        <x:f>'01_观察名单'!P8</x:f>
        <x:v>模型估值待复核</x:v>
      </x:c>
      <x:c r="J16" s="94" t="n">
        <x:f>'01_观察名单'!O8</x:f>
        <x:v>46269.70660899305</x:v>
      </x:c>
      <x:c r="K16" s="86"/>
      <x:c r="L16" s="86"/>
      <x:c r="M16" s="86"/>
      <x:c r="N16" s="86"/>
      <x:c r="O16" s="86"/>
      <x:c r="P16" s="86"/>
      <x:c r="Q16" s="86"/>
      <x:c r="R16" s="86"/>
      <x:c r="S16" s="86"/>
      <x:c r="T16" s="86"/>
      <x:c r="U16" s="86"/>
      <x:c r="V16" s="86"/>
      <x:c r="W16" s="86"/>
      <x:c r="X16" s="86"/>
      <x:c r="Y16" s="86"/>
      <x:c r="Z16" s="86"/>
    </x:row>
    <x:row r="17">
      <x:c r="A17" s="92" t="str">
        <x:f>'01_观察名单'!A9</x:f>
        <x:v>601288</x:v>
      </x:c>
      <x:c r="B17" s="92" t="str">
        <x:f>'01_观察名单'!B9</x:f>
        <x:v>农业银行</x:v>
      </x:c>
      <x:c r="C17" s="92" t="str">
        <x:f>'01_观察名单'!I9</x:f>
        <x:v>模型估值待复核</x:v>
      </x:c>
      <x:c r="D17" s="92" t="n">
        <x:f>'01_观察名单'!J9</x:f>
        <x:v>77.2</x:v>
      </x:c>
      <x:c r="E17" s="92" t="str">
        <x:f>'01_观察名单'!K9</x:f>
        <x:v>等待复核</x:v>
      </x:c>
      <x:c r="F17" s="93" t="n">
        <x:f>'01_观察名单'!L9</x:f>
        <x:v>0</x:v>
      </x:c>
      <x:c r="G17" s="93" t="n">
        <x:f>'01_观察名单'!M9</x:f>
        <x:v>0</x:v>
      </x:c>
      <x:c r="H17" s="92" t="str">
        <x:f>'01_观察名单'!N9</x:f>
        <x:v>Agent 自动验证</x:v>
      </x:c>
      <x:c r="I17" s="92" t="str">
        <x:f>'01_观察名单'!P9</x:f>
        <x:v>模型估值待复核</x:v>
      </x:c>
      <x:c r="J17" s="94" t="n">
        <x:f>'01_观察名单'!O9</x:f>
        <x:v>46269.70660899305</x:v>
      </x:c>
      <x:c r="K17" s="86"/>
      <x:c r="L17" s="86"/>
      <x:c r="M17" s="86"/>
      <x:c r="N17" s="86"/>
      <x:c r="O17" s="86"/>
      <x:c r="P17" s="86"/>
      <x:c r="Q17" s="86"/>
      <x:c r="R17" s="86"/>
      <x:c r="S17" s="86"/>
      <x:c r="T17" s="86"/>
      <x:c r="U17" s="86"/>
      <x:c r="V17" s="86"/>
      <x:c r="W17" s="86"/>
      <x:c r="X17" s="86"/>
      <x:c r="Y17" s="86"/>
      <x:c r="Z17" s="86"/>
    </x:row>
    <x:row r="18">
      <x:c r="A18" s="92" t="str">
        <x:f>'01_观察名单'!A10</x:f>
        <x:v>601088</x:v>
      </x:c>
      <x:c r="B18" s="92" t="str">
        <x:f>'01_观察名单'!B10</x:f>
        <x:v>中国神华</x:v>
      </x:c>
      <x:c r="C18" s="92" t="str">
        <x:f>'01_观察名单'!I10</x:f>
        <x:v>模型估值待复核</x:v>
      </x:c>
      <x:c r="D18" s="92" t="n">
        <x:f>'01_观察名单'!J10</x:f>
        <x:v>83.4</x:v>
      </x:c>
      <x:c r="E18" s="92" t="str">
        <x:f>'01_观察名单'!K10</x:f>
        <x:v>等待复核</x:v>
      </x:c>
      <x:c r="F18" s="93" t="n">
        <x:f>'01_观察名单'!L10</x:f>
        <x:v>0</x:v>
      </x:c>
      <x:c r="G18" s="93" t="n">
        <x:f>'01_观察名单'!M10</x:f>
        <x:v>0</x:v>
      </x:c>
      <x:c r="H18" s="92" t="str">
        <x:f>'01_观察名单'!N10</x:f>
        <x:v>Agent 自动验证</x:v>
      </x:c>
      <x:c r="I18" s="92" t="str">
        <x:f>'01_观察名单'!P10</x:f>
        <x:v>模型估值待复核</x:v>
      </x:c>
      <x:c r="J18" s="94" t="n">
        <x:f>'01_观察名单'!O10</x:f>
        <x:v>46269.70660899305</x:v>
      </x:c>
      <x:c r="K18" s="86"/>
      <x:c r="L18" s="86"/>
      <x:c r="M18" s="86"/>
      <x:c r="N18" s="86"/>
      <x:c r="O18" s="86"/>
      <x:c r="P18" s="86"/>
      <x:c r="Q18" s="86"/>
      <x:c r="R18" s="86"/>
      <x:c r="S18" s="86"/>
      <x:c r="T18" s="86"/>
      <x:c r="U18" s="86"/>
      <x:c r="V18" s="86"/>
      <x:c r="W18" s="86"/>
      <x:c r="X18" s="86"/>
      <x:c r="Y18" s="86"/>
      <x:c r="Z18" s="86"/>
    </x:row>
    <x:row r="19">
      <x:c r="A19" s="92" t="str">
        <x:f>'01_观察名单'!A11</x:f>
        <x:v>600690</x:v>
      </x:c>
      <x:c r="B19" s="92" t="str">
        <x:f>'01_观察名单'!B11</x:f>
        <x:v>海尔智家</x:v>
      </x:c>
      <x:c r="C19" s="92" t="str">
        <x:f>'01_观察名单'!I11</x:f>
        <x:v>模型估值待复核</x:v>
      </x:c>
      <x:c r="D19" s="92" t="n">
        <x:f>'01_观察名单'!J11</x:f>
        <x:v>79</x:v>
      </x:c>
      <x:c r="E19" s="92" t="str">
        <x:f>'01_观察名单'!K11</x:f>
        <x:v>等待复核</x:v>
      </x:c>
      <x:c r="F19" s="93" t="n">
        <x:f>'01_观察名单'!L11</x:f>
        <x:v>0</x:v>
      </x:c>
      <x:c r="G19" s="93" t="n">
        <x:f>'01_观察名单'!M11</x:f>
        <x:v>0</x:v>
      </x:c>
      <x:c r="H19" s="92" t="str">
        <x:f>'01_观察名单'!N11</x:f>
        <x:v>Agent 自动验证</x:v>
      </x:c>
      <x:c r="I19" s="92" t="str">
        <x:f>'01_观察名单'!P11</x:f>
        <x:v>模型估值待复核</x:v>
      </x:c>
      <x:c r="J19" s="94" t="n">
        <x:f>'01_观察名单'!O11</x:f>
        <x:v>46269.70660899305</x:v>
      </x:c>
      <x:c r="K19" s="86"/>
      <x:c r="L19" s="86"/>
      <x:c r="M19" s="86"/>
      <x:c r="N19" s="86"/>
      <x:c r="O19" s="86"/>
      <x:c r="P19" s="86"/>
      <x:c r="Q19" s="86"/>
      <x:c r="R19" s="86"/>
      <x:c r="S19" s="86"/>
      <x:c r="T19" s="86"/>
      <x:c r="U19" s="86"/>
      <x:c r="V19" s="86"/>
      <x:c r="W19" s="86"/>
      <x:c r="X19" s="86"/>
      <x:c r="Y19" s="86"/>
      <x:c r="Z19" s="86"/>
    </x:row>
    <x:row r="20">
      <x:c r="A20" s="92" t="str">
        <x:f>'01_观察名单'!A12</x:f>
        <x:v>300750</x:v>
      </x:c>
      <x:c r="B20" s="92" t="str">
        <x:f>'01_观察名单'!B12</x:f>
        <x:v>宁德时代</x:v>
      </x:c>
      <x:c r="C20" s="92" t="str">
        <x:f>'01_观察名单'!I12</x:f>
        <x:v>模型估值待复核</x:v>
      </x:c>
      <x:c r="D20" s="92" t="n">
        <x:f>'01_观察名单'!J12</x:f>
        <x:v>83.8</x:v>
      </x:c>
      <x:c r="E20" s="92" t="str">
        <x:f>'01_观察名单'!K12</x:f>
        <x:v>等待复核</x:v>
      </x:c>
      <x:c r="F20" s="93" t="n">
        <x:f>'01_观察名单'!L12</x:f>
        <x:v>0</x:v>
      </x:c>
      <x:c r="G20" s="93" t="n">
        <x:f>'01_观察名单'!M12</x:f>
        <x:v>0</x:v>
      </x:c>
      <x:c r="H20" s="92" t="str">
        <x:f>'01_观察名单'!N12</x:f>
        <x:v>Agent 自动验证</x:v>
      </x:c>
      <x:c r="I20" s="92" t="str">
        <x:f>'01_观察名单'!P12</x:f>
        <x:v>模型估值待复核</x:v>
      </x:c>
      <x:c r="J20" s="94" t="n">
        <x:f>'01_观察名单'!O12</x:f>
        <x:v>46269.70660899305</x:v>
      </x:c>
      <x:c r="K20" s="86"/>
      <x:c r="L20" s="86"/>
      <x:c r="M20" s="86"/>
      <x:c r="N20" s="86"/>
      <x:c r="O20" s="86"/>
      <x:c r="P20" s="86"/>
      <x:c r="Q20" s="86"/>
      <x:c r="R20" s="86"/>
      <x:c r="S20" s="86"/>
      <x:c r="T20" s="86"/>
      <x:c r="U20" s="86"/>
      <x:c r="V20" s="86"/>
      <x:c r="W20" s="86"/>
      <x:c r="X20" s="86"/>
      <x:c r="Y20" s="86"/>
      <x:c r="Z20" s="86"/>
    </x:row>
    <x:row r="21">
      <x:c r="A21" s="92" t="str">
        <x:f>'01_观察名单'!A13</x:f>
        <x:v>600887</x:v>
      </x:c>
      <x:c r="B21" s="92" t="str">
        <x:f>'01_观察名单'!B13</x:f>
        <x:v>伊利股份</x:v>
      </x:c>
      <x:c r="C21" s="92" t="str">
        <x:f>'01_观察名单'!I13</x:f>
        <x:v>模型估值待复核</x:v>
      </x:c>
      <x:c r="D21" s="92" t="n">
        <x:f>'01_观察名单'!J13</x:f>
        <x:v>74.1</x:v>
      </x:c>
      <x:c r="E21" s="92" t="str">
        <x:f>'01_观察名单'!K13</x:f>
        <x:v>等待复核</x:v>
      </x:c>
      <x:c r="F21" s="93" t="n">
        <x:f>'01_观察名单'!L13</x:f>
        <x:v>0</x:v>
      </x:c>
      <x:c r="G21" s="93" t="n">
        <x:f>'01_观察名单'!M13</x:f>
        <x:v>0</x:v>
      </x:c>
      <x:c r="H21" s="92" t="str">
        <x:f>'01_观察名单'!N13</x:f>
        <x:v>Agent 自动验证</x:v>
      </x:c>
      <x:c r="I21" s="92" t="str">
        <x:f>'01_观察名单'!P13</x:f>
        <x:v>模型估值待复核</x:v>
      </x:c>
      <x:c r="J21" s="94" t="n">
        <x:f>'01_观察名单'!O13</x:f>
        <x:v>46269.70660899305</x:v>
      </x:c>
      <x:c r="K21" s="86"/>
      <x:c r="L21" s="86"/>
      <x:c r="M21" s="86"/>
      <x:c r="N21" s="86"/>
      <x:c r="O21" s="86"/>
      <x:c r="P21" s="86"/>
      <x:c r="Q21" s="86"/>
      <x:c r="R21" s="86"/>
      <x:c r="S21" s="86"/>
      <x:c r="T21" s="86"/>
      <x:c r="U21" s="86"/>
      <x:c r="V21" s="86"/>
      <x:c r="W21" s="86"/>
      <x:c r="X21" s="86"/>
      <x:c r="Y21" s="86"/>
      <x:c r="Z21" s="86"/>
    </x:row>
    <x:row r="22">
      <x:c r="A22" s="86"/>
      <x:c r="B22" s="86"/>
      <x:c r="C22" s="86"/>
      <x:c r="D22" s="86"/>
      <x:c r="E22" s="86"/>
      <x:c r="F22" s="86"/>
      <x:c r="G22" s="86"/>
      <x:c r="H22" s="86"/>
      <x:c r="I22" s="86"/>
      <x:c r="J22" s="86"/>
      <x:c r="K22" s="86"/>
      <x:c r="L22" s="86"/>
      <x:c r="M22" s="86"/>
      <x:c r="N22" s="86"/>
      <x:c r="O22" s="86"/>
      <x:c r="P22" s="86"/>
      <x:c r="Q22" s="86"/>
      <x:c r="R22" s="86"/>
      <x:c r="S22" s="86"/>
      <x:c r="T22" s="86"/>
      <x:c r="U22" s="86"/>
      <x:c r="V22" s="86"/>
      <x:c r="W22" s="86"/>
      <x:c r="X22" s="86"/>
      <x:c r="Y22" s="86"/>
      <x:c r="Z22" s="86"/>
    </x:row>
    <x:row r="23">
      <x:c r="A23" s="86"/>
      <x:c r="B23" s="86"/>
      <x:c r="C23" s="86"/>
      <x:c r="D23" s="86"/>
      <x:c r="E23" s="86"/>
      <x:c r="F23" s="86"/>
      <x:c r="G23" s="86"/>
      <x:c r="H23" s="86"/>
      <x:c r="I23" s="86"/>
      <x:c r="J23" s="86"/>
      <x:c r="K23" s="86"/>
      <x:c r="L23" s="86"/>
      <x:c r="M23" s="86"/>
      <x:c r="N23" s="86"/>
      <x:c r="O23" s="86"/>
      <x:c r="P23" s="86"/>
      <x:c r="Q23" s="86"/>
      <x:c r="R23" s="86"/>
      <x:c r="S23" s="86"/>
      <x:c r="T23" s="86"/>
      <x:c r="U23" s="86"/>
      <x:c r="V23" s="86"/>
      <x:c r="W23" s="86"/>
      <x:c r="X23" s="86"/>
      <x:c r="Y23" s="86"/>
      <x:c r="Z23" s="86"/>
    </x:row>
    <x:row r="24">
      <x:c r="A24" s="91" t="str">
        <x:v>推荐使用流程</x:v>
      </x:c>
      <x:c r="B24" s="91"/>
      <x:c r="C24" s="91"/>
      <x:c r="D24" s="91"/>
      <x:c r="E24" s="91"/>
      <x:c r="F24" s="91"/>
      <x:c r="G24" s="91"/>
      <x:c r="H24" s="91"/>
      <x:c r="I24" s="91"/>
      <x:c r="J24" s="91"/>
      <x:c r="K24" s="86"/>
      <x:c r="L24" s="86"/>
      <x:c r="M24" s="86"/>
      <x:c r="N24" s="86"/>
      <x:c r="O24" s="86"/>
      <x:c r="P24" s="86"/>
      <x:c r="Q24" s="86"/>
      <x:c r="R24" s="86"/>
      <x:c r="S24" s="86"/>
      <x:c r="T24" s="86"/>
      <x:c r="U24" s="86"/>
      <x:c r="V24" s="86"/>
      <x:c r="W24" s="86"/>
      <x:c r="X24" s="86"/>
      <x:c r="Y24" s="86"/>
      <x:c r="Z24" s="86"/>
    </x:row>
    <x:row r="25">
      <x:c r="A25" s="81" t="str">
        <x:v>1</x:v>
      </x:c>
      <x:c r="B25" s="95" t="str">
        <x:v>Agent/脚本更新</x:v>
      </x:c>
      <x:c r="C25" s="95" t="str">
        <x:v>03财务指标、04估值跟踪、11数据源审计</x:v>
      </x:c>
      <x:c r="D25" s="95" t="str">
        <x:v>关键字段同时写 source_id / URL / 时间戳 / Hash</x:v>
      </x:c>
      <x:c r="E25" s="86"/>
      <x:c r="F25" s="86"/>
      <x:c r="G25" s="86"/>
      <x:c r="H25" s="86"/>
      <x:c r="I25" s="86"/>
      <x:c r="J25" s="86"/>
      <x:c r="K25" s="86"/>
      <x:c r="L25" s="86"/>
      <x:c r="M25" s="86"/>
      <x:c r="N25" s="86"/>
      <x:c r="O25" s="86"/>
      <x:c r="P25" s="86"/>
      <x:c r="Q25" s="86"/>
      <x:c r="R25" s="86"/>
      <x:c r="S25" s="86"/>
      <x:c r="T25" s="86"/>
      <x:c r="U25" s="86"/>
      <x:c r="V25" s="86"/>
      <x:c r="W25" s="86"/>
      <x:c r="X25" s="86"/>
      <x:c r="Y25" s="86"/>
      <x:c r="Z25" s="86"/>
    </x:row>
    <x:row r="26">
      <x:c r="A26" s="81" t="str">
        <x:v>2</x:v>
      </x:c>
      <x:c r="B26" s="95" t="str">
        <x:v>自动校验</x:v>
      </x:c>
      <x:c r="C26" s="95" t="str">
        <x:v>11数据源审计</x:v>
      </x:c>
      <x:c r="D26" s="95" t="str">
        <x:v>双源差异超阈值时，数据状态标红并阻断有效建仓信号</x:v>
      </x:c>
      <x:c r="E26" s="86"/>
      <x:c r="F26" s="86"/>
      <x:c r="G26" s="86"/>
      <x:c r="H26" s="86"/>
      <x:c r="I26" s="86"/>
      <x:c r="J26" s="86"/>
      <x:c r="K26" s="86"/>
      <x:c r="L26" s="86"/>
      <x:c r="M26" s="86"/>
      <x:c r="N26" s="86"/>
      <x:c r="O26" s="86"/>
      <x:c r="P26" s="86"/>
      <x:c r="Q26" s="86"/>
      <x:c r="R26" s="86"/>
      <x:c r="S26" s="86"/>
      <x:c r="T26" s="86"/>
      <x:c r="U26" s="86"/>
      <x:c r="V26" s="86"/>
      <x:c r="W26" s="86"/>
      <x:c r="X26" s="86"/>
      <x:c r="Y26" s="86"/>
      <x:c r="Z26" s="86"/>
    </x:row>
    <x:row r="27">
      <x:c r="A27" s="81" t="str">
        <x:v>3</x:v>
      </x:c>
      <x:c r="B27" s="95" t="str">
        <x:v>自动计算</x:v>
      </x:c>
      <x:c r="C27" s="95" t="str">
        <x:v>01观察名单、02质量评分、04估值跟踪</x:v>
      </x:c>
      <x:c r="D27" s="95" t="str">
        <x:v>评分/安全边际/建仓信号全部公式透明</x:v>
      </x:c>
      <x:c r="E27" s="86"/>
      <x:c r="F27" s="86"/>
      <x:c r="G27" s="86"/>
      <x:c r="H27" s="86"/>
      <x:c r="I27" s="86"/>
      <x:c r="J27" s="86"/>
      <x:c r="K27" s="86"/>
      <x:c r="L27" s="86"/>
      <x:c r="M27" s="86"/>
      <x:c r="N27" s="86"/>
      <x:c r="O27" s="86"/>
      <x:c r="P27" s="86"/>
      <x:c r="Q27" s="86"/>
      <x:c r="R27" s="86"/>
      <x:c r="S27" s="86"/>
      <x:c r="T27" s="86"/>
      <x:c r="U27" s="86"/>
      <x:c r="V27" s="86"/>
      <x:c r="W27" s="86"/>
      <x:c r="X27" s="86"/>
      <x:c r="Y27" s="86"/>
      <x:c r="Z27" s="86"/>
    </x:row>
    <x:row r="28">
      <x:c r="A28" s="81" t="str">
        <x:v>4</x:v>
      </x:c>
      <x:c r="B28" s="95" t="str">
        <x:v>仓位约束</x:v>
      </x:c>
      <x:c r="C28" s="95" t="str">
        <x:v>05仓位管理</x:v>
      </x:c>
      <x:c r="D28" s="95" t="str">
        <x:v>信号只决定目标仓位上限，最终交易仍由你确认</x:v>
      </x:c>
      <x:c r="E28" s="86"/>
      <x:c r="F28" s="86"/>
      <x:c r="G28" s="86"/>
      <x:c r="H28" s="86"/>
      <x:c r="I28" s="86"/>
      <x:c r="J28" s="86"/>
      <x:c r="K28" s="86"/>
      <x:c r="L28" s="86"/>
      <x:c r="M28" s="86"/>
      <x:c r="N28" s="86"/>
      <x:c r="O28" s="86"/>
      <x:c r="P28" s="86"/>
      <x:c r="Q28" s="86"/>
      <x:c r="R28" s="86"/>
      <x:c r="S28" s="86"/>
      <x:c r="T28" s="86"/>
      <x:c r="U28" s="86"/>
      <x:c r="V28" s="86"/>
      <x:c r="W28" s="86"/>
      <x:c r="X28" s="86"/>
      <x:c r="Y28" s="86"/>
      <x:c r="Z28" s="86"/>
    </x:row>
    <x:row r="29">
      <x:c r="A29" s="81" t="str">
        <x:v>5</x:v>
      </x:c>
      <x:c r="B29" s="95" t="str">
        <x:v>历史留痕</x:v>
      </x:c>
      <x:c r="C29" s="95" t="str">
        <x:v>06月度跟踪、07月度复盘、08交易记录</x:v>
      </x:c>
      <x:c r="D29" s="95" t="str">
        <x:v>每月保存快照，避免历史被最新值覆盖</x:v>
      </x:c>
      <x:c r="E29" s="86"/>
      <x:c r="F29" s="86"/>
      <x:c r="G29" s="86"/>
      <x:c r="H29" s="86"/>
      <x:c r="I29" s="86"/>
      <x:c r="J29" s="86"/>
      <x:c r="K29" s="86"/>
      <x:c r="L29" s="86"/>
      <x:c r="M29" s="86"/>
      <x:c r="N29" s="86"/>
      <x:c r="O29" s="86"/>
      <x:c r="P29" s="86"/>
      <x:c r="Q29" s="86"/>
      <x:c r="R29" s="86"/>
      <x:c r="S29" s="86"/>
      <x:c r="T29" s="86"/>
      <x:c r="U29" s="86"/>
      <x:c r="V29" s="86"/>
      <x:c r="W29" s="86"/>
      <x:c r="X29" s="86"/>
      <x:c r="Y29" s="86"/>
      <x:c r="Z29" s="86"/>
    </x:row>
    <x:row r="30">
      <x:c r="A30" s="86"/>
      <x:c r="B30" s="86"/>
      <x:c r="C30" s="86"/>
      <x:c r="D30" s="86"/>
      <x:c r="E30" s="86"/>
      <x:c r="F30" s="86"/>
      <x:c r="G30" s="86"/>
      <x:c r="H30" s="86"/>
      <x:c r="I30" s="86"/>
      <x:c r="J30" s="86"/>
      <x:c r="K30" s="86"/>
      <x:c r="L30" s="86"/>
      <x:c r="M30" s="86"/>
      <x:c r="N30" s="86"/>
      <x:c r="O30" s="86"/>
      <x:c r="P30" s="86"/>
      <x:c r="Q30" s="86"/>
      <x:c r="R30" s="86"/>
      <x:c r="S30" s="86"/>
      <x:c r="T30" s="86"/>
      <x:c r="U30" s="86"/>
      <x:c r="V30" s="86"/>
      <x:c r="W30" s="86"/>
      <x:c r="X30" s="86"/>
      <x:c r="Y30" s="86"/>
      <x:c r="Z30" s="86"/>
    </x:row>
    <x:row r="31">
      <x:c r="A31" s="86"/>
      <x:c r="B31" s="86"/>
      <x:c r="C31" s="86"/>
      <x:c r="D31" s="86"/>
      <x:c r="E31" s="86"/>
      <x:c r="F31" s="86"/>
      <x:c r="G31" s="86"/>
      <x:c r="H31" s="86"/>
      <x:c r="I31" s="86"/>
      <x:c r="J31" s="86"/>
      <x:c r="K31" s="86"/>
      <x:c r="L31" s="86"/>
      <x:c r="M31" s="86"/>
      <x:c r="N31" s="86"/>
      <x:c r="O31" s="86"/>
      <x:c r="P31" s="86"/>
      <x:c r="Q31" s="86"/>
      <x:c r="R31" s="86"/>
      <x:c r="S31" s="86"/>
      <x:c r="T31" s="86"/>
      <x:c r="U31" s="86"/>
      <x:c r="V31" s="86"/>
      <x:c r="W31" s="86"/>
      <x:c r="X31" s="86"/>
      <x:c r="Y31" s="86"/>
      <x:c r="Z31" s="86"/>
    </x:row>
    <x:row r="32">
      <x:c r="A32" s="86"/>
      <x:c r="B32" s="86"/>
      <x:c r="C32" s="86"/>
      <x:c r="D32" s="86"/>
      <x:c r="E32" s="86"/>
      <x:c r="F32" s="86"/>
      <x:c r="G32" s="86"/>
      <x:c r="H32" s="86"/>
      <x:c r="I32" s="86"/>
      <x:c r="J32" s="86"/>
      <x:c r="K32" s="86"/>
      <x:c r="L32" s="86"/>
      <x:c r="M32" s="86"/>
      <x:c r="N32" s="86"/>
      <x:c r="O32" s="86"/>
      <x:c r="P32" s="86"/>
      <x:c r="Q32" s="86"/>
      <x:c r="R32" s="86"/>
      <x:c r="S32" s="86"/>
      <x:c r="T32" s="86"/>
      <x:c r="U32" s="86"/>
      <x:c r="V32" s="86"/>
      <x:c r="W32" s="86"/>
      <x:c r="X32" s="86"/>
      <x:c r="Y32" s="86"/>
      <x:c r="Z32" s="86"/>
    </x:row>
    <x:row r="33">
      <x:c r="A33" s="86"/>
      <x:c r="B33" s="86"/>
      <x:c r="C33" s="86"/>
      <x:c r="D33" s="86"/>
      <x:c r="E33" s="86"/>
      <x:c r="F33" s="86"/>
      <x:c r="G33" s="86"/>
      <x:c r="H33" s="86"/>
      <x:c r="I33" s="86"/>
      <x:c r="J33" s="86"/>
      <x:c r="K33" s="86"/>
      <x:c r="L33" s="86"/>
      <x:c r="M33" s="86"/>
      <x:c r="N33" s="86"/>
      <x:c r="O33" s="86"/>
      <x:c r="P33" s="86"/>
      <x:c r="Q33" s="86"/>
      <x:c r="R33" s="86"/>
      <x:c r="S33" s="86"/>
      <x:c r="T33" s="86"/>
      <x:c r="U33" s="86"/>
      <x:c r="V33" s="86"/>
      <x:c r="W33" s="86"/>
      <x:c r="X33" s="86"/>
      <x:c r="Y33" s="86"/>
      <x:c r="Z33" s="86"/>
    </x:row>
    <x:row r="34">
      <x:c r="A34" s="86"/>
      <x:c r="B34" s="86"/>
      <x:c r="C34" s="86"/>
      <x:c r="D34" s="86"/>
      <x:c r="E34" s="86"/>
      <x:c r="F34" s="86"/>
      <x:c r="G34" s="86"/>
      <x:c r="H34" s="86"/>
      <x:c r="I34" s="86"/>
      <x:c r="J34" s="86"/>
      <x:c r="K34" s="86"/>
      <x:c r="L34" s="86"/>
      <x:c r="M34" s="86"/>
      <x:c r="N34" s="86"/>
      <x:c r="O34" s="86"/>
      <x:c r="P34" s="86"/>
      <x:c r="Q34" s="86"/>
      <x:c r="R34" s="86"/>
      <x:c r="S34" s="86"/>
      <x:c r="T34" s="86"/>
      <x:c r="U34" s="86"/>
      <x:c r="V34" s="86"/>
      <x:c r="W34" s="86"/>
      <x:c r="X34" s="86"/>
      <x:c r="Y34" s="86"/>
      <x:c r="Z34" s="86"/>
    </x:row>
    <x:row r="35">
      <x:c r="A35" s="86"/>
      <x:c r="B35" s="86"/>
      <x:c r="C35" s="86"/>
      <x:c r="D35" s="86"/>
      <x:c r="E35" s="86"/>
      <x:c r="F35" s="86"/>
      <x:c r="G35" s="86"/>
      <x:c r="H35" s="86"/>
      <x:c r="I35" s="86"/>
      <x:c r="J35" s="86"/>
      <x:c r="K35" s="86"/>
      <x:c r="L35" s="86"/>
      <x:c r="M35" s="86"/>
      <x:c r="N35" s="86"/>
      <x:c r="O35" s="86"/>
      <x:c r="P35" s="86"/>
      <x:c r="Q35" s="86"/>
      <x:c r="R35" s="86"/>
      <x:c r="S35" s="86"/>
      <x:c r="T35" s="86"/>
      <x:c r="U35" s="86"/>
      <x:c r="V35" s="86"/>
      <x:c r="W35" s="86"/>
      <x:c r="X35" s="86"/>
      <x:c r="Y35" s="86"/>
      <x:c r="Z35" s="86"/>
    </x:row>
    <x:row r="36">
      <x:c r="A36" s="86"/>
      <x:c r="B36" s="86"/>
      <x:c r="C36" s="86"/>
      <x:c r="D36" s="86"/>
      <x:c r="E36" s="86"/>
      <x:c r="F36" s="86"/>
      <x:c r="G36" s="86"/>
      <x:c r="H36" s="86"/>
      <x:c r="I36" s="86"/>
      <x:c r="J36" s="86"/>
      <x:c r="K36" s="86"/>
      <x:c r="L36" s="86"/>
      <x:c r="M36" s="86"/>
      <x:c r="N36" s="86"/>
      <x:c r="O36" s="86"/>
      <x:c r="P36" s="86"/>
      <x:c r="Q36" s="86"/>
      <x:c r="R36" s="86"/>
      <x:c r="S36" s="86"/>
      <x:c r="T36" s="86"/>
      <x:c r="U36" s="86"/>
      <x:c r="V36" s="86"/>
      <x:c r="W36" s="86"/>
      <x:c r="X36" s="86"/>
      <x:c r="Y36" s="86"/>
      <x:c r="Z36" s="86"/>
    </x:row>
    <x:row r="37">
      <x:c r="A37" s="86"/>
      <x:c r="B37" s="86"/>
      <x:c r="C37" s="86"/>
      <x:c r="D37" s="86"/>
      <x:c r="E37" s="86"/>
      <x:c r="F37" s="86"/>
      <x:c r="G37" s="86"/>
      <x:c r="H37" s="86"/>
      <x:c r="I37" s="86"/>
      <x:c r="J37" s="86"/>
      <x:c r="K37" s="86"/>
      <x:c r="L37" s="86"/>
      <x:c r="M37" s="86"/>
      <x:c r="N37" s="86"/>
      <x:c r="O37" s="86"/>
      <x:c r="P37" s="86"/>
      <x:c r="Q37" s="86"/>
      <x:c r="R37" s="86"/>
      <x:c r="S37" s="86"/>
      <x:c r="T37" s="86"/>
      <x:c r="U37" s="86"/>
      <x:c r="V37" s="86"/>
      <x:c r="W37" s="86"/>
      <x:c r="X37" s="86"/>
      <x:c r="Y37" s="86"/>
      <x:c r="Z37" s="86"/>
    </x:row>
    <x:row r="38">
      <x:c r="A38" s="86"/>
      <x:c r="B38" s="86"/>
      <x:c r="C38" s="86"/>
      <x:c r="D38" s="86"/>
      <x:c r="E38" s="86"/>
      <x:c r="F38" s="86"/>
      <x:c r="G38" s="86"/>
      <x:c r="H38" s="86"/>
      <x:c r="I38" s="86"/>
      <x:c r="J38" s="86"/>
      <x:c r="K38" s="86"/>
      <x:c r="L38" s="86"/>
      <x:c r="M38" s="86"/>
      <x:c r="N38" s="86"/>
      <x:c r="O38" s="86"/>
      <x:c r="P38" s="86"/>
      <x:c r="Q38" s="86"/>
      <x:c r="R38" s="86"/>
      <x:c r="S38" s="86"/>
      <x:c r="T38" s="86"/>
      <x:c r="U38" s="86"/>
      <x:c r="V38" s="86"/>
      <x:c r="W38" s="86"/>
      <x:c r="X38" s="86"/>
      <x:c r="Y38" s="86"/>
      <x:c r="Z38" s="86"/>
    </x:row>
    <x:row r="39">
      <x:c r="A39" s="86"/>
      <x:c r="B39" s="86"/>
      <x:c r="C39" s="86"/>
      <x:c r="D39" s="86"/>
      <x:c r="E39" s="86"/>
      <x:c r="F39" s="86"/>
      <x:c r="G39" s="86"/>
      <x:c r="H39" s="86"/>
      <x:c r="I39" s="86"/>
      <x:c r="J39" s="86"/>
      <x:c r="K39" s="86"/>
      <x:c r="L39" s="86"/>
      <x:c r="M39" s="86"/>
      <x:c r="N39" s="86"/>
      <x:c r="O39" s="86"/>
      <x:c r="P39" s="86"/>
      <x:c r="Q39" s="86"/>
      <x:c r="R39" s="86"/>
      <x:c r="S39" s="86"/>
      <x:c r="T39" s="86"/>
      <x:c r="U39" s="86"/>
      <x:c r="V39" s="86"/>
      <x:c r="W39" s="86"/>
      <x:c r="X39" s="86"/>
      <x:c r="Y39" s="86"/>
      <x:c r="Z39" s="86"/>
    </x:row>
    <x:row r="40">
      <x:c r="A40" s="86"/>
      <x:c r="B40" s="86"/>
      <x:c r="C40" s="86"/>
      <x:c r="D40" s="86"/>
      <x:c r="E40" s="86"/>
      <x:c r="F40" s="86"/>
      <x:c r="G40" s="86"/>
      <x:c r="H40" s="86"/>
      <x:c r="I40" s="86"/>
      <x:c r="J40" s="86"/>
      <x:c r="K40" s="86"/>
      <x:c r="L40" s="86"/>
      <x:c r="M40" s="86"/>
      <x:c r="N40" s="86"/>
      <x:c r="O40" s="86"/>
      <x:c r="P40" s="86"/>
      <x:c r="Q40" s="86"/>
      <x:c r="R40" s="86"/>
      <x:c r="S40" s="86"/>
      <x:c r="T40" s="86"/>
      <x:c r="U40" s="86"/>
      <x:c r="V40" s="86"/>
      <x:c r="W40" s="86"/>
      <x:c r="X40" s="86"/>
      <x:c r="Y40" s="86"/>
      <x:c r="Z40" s="86"/>
    </x:row>
    <x:row r="41">
      <x:c r="A41" s="86"/>
      <x:c r="B41" s="86"/>
      <x:c r="C41" s="86"/>
      <x:c r="D41" s="86"/>
      <x:c r="E41" s="86"/>
      <x:c r="F41" s="86"/>
      <x:c r="G41" s="86"/>
      <x:c r="H41" s="86"/>
      <x:c r="I41" s="86"/>
      <x:c r="J41" s="86"/>
      <x:c r="K41" s="86"/>
      <x:c r="L41" s="86"/>
      <x:c r="M41" s="86"/>
      <x:c r="N41" s="86"/>
      <x:c r="O41" s="86"/>
      <x:c r="P41" s="86"/>
      <x:c r="Q41" s="86"/>
      <x:c r="R41" s="86"/>
      <x:c r="S41" s="86"/>
      <x:c r="T41" s="86"/>
      <x:c r="U41" s="86"/>
      <x:c r="V41" s="86"/>
      <x:c r="W41" s="86"/>
      <x:c r="X41" s="86"/>
      <x:c r="Y41" s="86"/>
      <x:c r="Z41" s="86"/>
    </x:row>
    <x:row r="42">
      <x:c r="A42" s="86"/>
      <x:c r="B42" s="86"/>
      <x:c r="C42" s="86"/>
      <x:c r="D42" s="86"/>
      <x:c r="E42" s="86"/>
      <x:c r="F42" s="86"/>
      <x:c r="G42" s="86"/>
      <x:c r="H42" s="86"/>
      <x:c r="I42" s="86"/>
      <x:c r="J42" s="86"/>
      <x:c r="K42" s="86"/>
      <x:c r="L42" s="86"/>
      <x:c r="M42" s="86"/>
      <x:c r="N42" s="86"/>
      <x:c r="O42" s="86"/>
      <x:c r="P42" s="86"/>
      <x:c r="Q42" s="86"/>
      <x:c r="R42" s="86"/>
      <x:c r="S42" s="86"/>
      <x:c r="T42" s="86"/>
      <x:c r="U42" s="86"/>
      <x:c r="V42" s="86"/>
      <x:c r="W42" s="86"/>
      <x:c r="X42" s="86"/>
      <x:c r="Y42" s="86"/>
      <x:c r="Z42" s="86"/>
    </x:row>
    <x:row r="43">
      <x:c r="A43" s="86"/>
      <x:c r="B43" s="86"/>
      <x:c r="C43" s="86"/>
      <x:c r="D43" s="86"/>
      <x:c r="E43" s="86"/>
      <x:c r="F43" s="86"/>
      <x:c r="G43" s="86"/>
      <x:c r="H43" s="86"/>
      <x:c r="I43" s="86"/>
      <x:c r="J43" s="86"/>
      <x:c r="K43" s="86"/>
      <x:c r="L43" s="86"/>
      <x:c r="M43" s="86"/>
      <x:c r="N43" s="86"/>
      <x:c r="O43" s="86"/>
      <x:c r="P43" s="86"/>
      <x:c r="Q43" s="86"/>
      <x:c r="R43" s="86"/>
      <x:c r="S43" s="86"/>
      <x:c r="T43" s="86"/>
      <x:c r="U43" s="86"/>
      <x:c r="V43" s="86"/>
      <x:c r="W43" s="86"/>
      <x:c r="X43" s="86"/>
      <x:c r="Y43" s="86"/>
      <x:c r="Z43" s="86"/>
    </x:row>
    <x:row r="44">
      <x:c r="A44" s="86"/>
      <x:c r="B44" s="86"/>
      <x:c r="C44" s="86"/>
      <x:c r="D44" s="86"/>
      <x:c r="E44" s="86"/>
      <x:c r="F44" s="86"/>
      <x:c r="G44" s="86"/>
      <x:c r="H44" s="86"/>
      <x:c r="I44" s="86"/>
      <x:c r="J44" s="86"/>
      <x:c r="K44" s="86"/>
      <x:c r="L44" s="86"/>
      <x:c r="M44" s="86"/>
      <x:c r="N44" s="86"/>
      <x:c r="O44" s="86"/>
      <x:c r="P44" s="86"/>
      <x:c r="Q44" s="86"/>
      <x:c r="R44" s="86"/>
      <x:c r="S44" s="86"/>
      <x:c r="T44" s="86"/>
      <x:c r="U44" s="86"/>
      <x:c r="V44" s="86"/>
      <x:c r="W44" s="86"/>
      <x:c r="X44" s="86"/>
      <x:c r="Y44" s="86"/>
      <x:c r="Z44" s="86"/>
    </x:row>
    <x:row r="45">
      <x:c r="A45" s="86"/>
      <x:c r="B45" s="86"/>
      <x:c r="C45" s="86"/>
      <x:c r="D45" s="86"/>
      <x:c r="E45" s="86"/>
      <x:c r="F45" s="86"/>
      <x:c r="G45" s="86"/>
      <x:c r="H45" s="86"/>
      <x:c r="I45" s="86"/>
      <x:c r="J45" s="86"/>
      <x:c r="K45" s="86"/>
      <x:c r="L45" s="86"/>
      <x:c r="M45" s="86"/>
      <x:c r="N45" s="86"/>
      <x:c r="O45" s="86"/>
      <x:c r="P45" s="86"/>
      <x:c r="Q45" s="86"/>
      <x:c r="R45" s="86"/>
      <x:c r="S45" s="86"/>
      <x:c r="T45" s="86"/>
      <x:c r="U45" s="86"/>
      <x:c r="V45" s="86"/>
      <x:c r="W45" s="86"/>
      <x:c r="X45" s="86"/>
      <x:c r="Y45" s="86"/>
      <x:c r="Z45" s="86"/>
    </x:row>
    <x:row r="46">
      <x:c r="A46" s="86"/>
      <x:c r="B46" s="86"/>
      <x:c r="C46" s="86"/>
      <x:c r="D46" s="86"/>
      <x:c r="E46" s="86"/>
      <x:c r="F46" s="86"/>
      <x:c r="G46" s="86"/>
      <x:c r="H46" s="86"/>
      <x:c r="I46" s="86"/>
      <x:c r="J46" s="86"/>
      <x:c r="K46" s="86"/>
      <x:c r="L46" s="86"/>
      <x:c r="M46" s="86"/>
      <x:c r="N46" s="86"/>
      <x:c r="O46" s="86"/>
      <x:c r="P46" s="86"/>
      <x:c r="Q46" s="86"/>
      <x:c r="R46" s="86"/>
      <x:c r="S46" s="86"/>
      <x:c r="T46" s="86"/>
      <x:c r="U46" s="86"/>
      <x:c r="V46" s="86"/>
      <x:c r="W46" s="86"/>
      <x:c r="X46" s="86"/>
      <x:c r="Y46" s="86"/>
      <x:c r="Z46" s="86"/>
    </x:row>
    <x:row r="47">
      <x:c r="A47" s="86"/>
      <x:c r="B47" s="86"/>
      <x:c r="C47" s="86"/>
      <x:c r="D47" s="86"/>
      <x:c r="E47" s="86"/>
      <x:c r="F47" s="86"/>
      <x:c r="G47" s="86"/>
      <x:c r="H47" s="86"/>
      <x:c r="I47" s="86"/>
      <x:c r="J47" s="86"/>
      <x:c r="K47" s="86"/>
      <x:c r="L47" s="86"/>
      <x:c r="M47" s="86"/>
      <x:c r="N47" s="86"/>
      <x:c r="O47" s="86"/>
      <x:c r="P47" s="86"/>
      <x:c r="Q47" s="86"/>
      <x:c r="R47" s="86"/>
      <x:c r="S47" s="86"/>
      <x:c r="T47" s="86"/>
      <x:c r="U47" s="86"/>
      <x:c r="V47" s="86"/>
      <x:c r="W47" s="86"/>
      <x:c r="X47" s="86"/>
      <x:c r="Y47" s="86"/>
      <x:c r="Z47" s="86"/>
    </x:row>
    <x:row r="48">
      <x:c r="A48" s="86"/>
      <x:c r="B48" s="86"/>
      <x:c r="C48" s="86"/>
      <x:c r="D48" s="86"/>
      <x:c r="E48" s="86"/>
      <x:c r="F48" s="86"/>
      <x:c r="G48" s="86"/>
      <x:c r="H48" s="86"/>
      <x:c r="I48" s="86"/>
      <x:c r="J48" s="86"/>
      <x:c r="K48" s="86"/>
      <x:c r="L48" s="86"/>
      <x:c r="M48" s="86"/>
      <x:c r="N48" s="86"/>
      <x:c r="O48" s="86"/>
      <x:c r="P48" s="86"/>
      <x:c r="Q48" s="86"/>
      <x:c r="R48" s="86"/>
      <x:c r="S48" s="86"/>
      <x:c r="T48" s="86"/>
      <x:c r="U48" s="86"/>
      <x:c r="V48" s="86"/>
      <x:c r="W48" s="86"/>
      <x:c r="X48" s="86"/>
      <x:c r="Y48" s="86"/>
      <x:c r="Z48" s="86"/>
    </x:row>
    <x:row r="49">
      <x:c r="A49" s="86"/>
      <x:c r="B49" s="86"/>
      <x:c r="C49" s="86"/>
      <x:c r="D49" s="86"/>
      <x:c r="E49" s="86"/>
      <x:c r="F49" s="86"/>
      <x:c r="G49" s="86"/>
      <x:c r="H49" s="86"/>
      <x:c r="I49" s="86"/>
      <x:c r="J49" s="86"/>
      <x:c r="K49" s="86"/>
      <x:c r="L49" s="86"/>
      <x:c r="M49" s="86"/>
      <x:c r="N49" s="86"/>
      <x:c r="O49" s="86"/>
      <x:c r="P49" s="86"/>
      <x:c r="Q49" s="86"/>
      <x:c r="R49" s="86"/>
      <x:c r="S49" s="86"/>
      <x:c r="T49" s="86"/>
      <x:c r="U49" s="86"/>
      <x:c r="V49" s="86"/>
      <x:c r="W49" s="86"/>
      <x:c r="X49" s="86"/>
      <x:c r="Y49" s="86"/>
      <x:c r="Z49" s="86"/>
    </x:row>
    <x:row r="50">
      <x:c r="A50" s="86"/>
      <x:c r="B50" s="86"/>
      <x:c r="C50" s="86"/>
      <x:c r="D50" s="86"/>
      <x:c r="E50" s="86"/>
      <x:c r="F50" s="86"/>
      <x:c r="G50" s="86"/>
      <x:c r="H50" s="86"/>
      <x:c r="I50" s="86"/>
      <x:c r="J50" s="86"/>
      <x:c r="K50" s="86"/>
      <x:c r="L50" s="86"/>
      <x:c r="M50" s="86"/>
      <x:c r="N50" s="86"/>
      <x:c r="O50" s="86"/>
      <x:c r="P50" s="86"/>
      <x:c r="Q50" s="86"/>
      <x:c r="R50" s="86"/>
      <x:c r="S50" s="86"/>
      <x:c r="T50" s="86"/>
      <x:c r="U50" s="86"/>
      <x:c r="V50" s="86"/>
      <x:c r="W50" s="86"/>
      <x:c r="X50" s="86"/>
      <x:c r="Y50" s="86"/>
      <x:c r="Z50" s="86"/>
    </x:row>
    <x:row r="51">
      <x:c r="A51" s="86"/>
      <x:c r="B51" s="86"/>
      <x:c r="C51" s="86"/>
      <x:c r="D51" s="86"/>
      <x:c r="E51" s="86"/>
      <x:c r="F51" s="86"/>
      <x:c r="G51" s="86"/>
      <x:c r="H51" s="86"/>
      <x:c r="I51" s="86"/>
      <x:c r="J51" s="86"/>
      <x:c r="K51" s="86"/>
      <x:c r="L51" s="86"/>
      <x:c r="M51" s="86"/>
      <x:c r="N51" s="86"/>
      <x:c r="O51" s="86"/>
      <x:c r="P51" s="86"/>
      <x:c r="Q51" s="86"/>
      <x:c r="R51" s="86"/>
      <x:c r="S51" s="86"/>
      <x:c r="T51" s="86"/>
      <x:c r="U51" s="86"/>
      <x:c r="V51" s="86"/>
      <x:c r="W51" s="86"/>
      <x:c r="X51" s="86"/>
      <x:c r="Y51" s="86"/>
      <x:c r="Z51" s="86"/>
    </x:row>
    <x:row r="52">
      <x:c r="A52" s="86"/>
      <x:c r="B52" s="86"/>
      <x:c r="C52" s="86"/>
      <x:c r="D52" s="86"/>
      <x:c r="E52" s="86"/>
      <x:c r="F52" s="86"/>
      <x:c r="G52" s="86"/>
      <x:c r="H52" s="86"/>
      <x:c r="I52" s="86"/>
      <x:c r="J52" s="86"/>
      <x:c r="K52" s="86"/>
      <x:c r="L52" s="86"/>
      <x:c r="M52" s="86"/>
      <x:c r="N52" s="86"/>
      <x:c r="O52" s="86"/>
      <x:c r="P52" s="86"/>
      <x:c r="Q52" s="86"/>
      <x:c r="R52" s="86"/>
      <x:c r="S52" s="86"/>
      <x:c r="T52" s="86"/>
      <x:c r="U52" s="86"/>
      <x:c r="V52" s="86"/>
      <x:c r="W52" s="86"/>
      <x:c r="X52" s="86"/>
      <x:c r="Y52" s="86"/>
      <x:c r="Z52" s="86"/>
    </x:row>
    <x:row r="53">
      <x:c r="A53" s="86"/>
      <x:c r="B53" s="86"/>
      <x:c r="C53" s="86"/>
      <x:c r="D53" s="86"/>
      <x:c r="E53" s="86"/>
      <x:c r="F53" s="86"/>
      <x:c r="G53" s="86"/>
      <x:c r="H53" s="86"/>
      <x:c r="I53" s="86"/>
      <x:c r="J53" s="86"/>
      <x:c r="K53" s="86"/>
      <x:c r="L53" s="86"/>
      <x:c r="M53" s="86"/>
      <x:c r="N53" s="86"/>
      <x:c r="O53" s="86"/>
      <x:c r="P53" s="86"/>
      <x:c r="Q53" s="86"/>
      <x:c r="R53" s="86"/>
      <x:c r="S53" s="86"/>
      <x:c r="T53" s="86"/>
      <x:c r="U53" s="86"/>
      <x:c r="V53" s="86"/>
      <x:c r="W53" s="86"/>
      <x:c r="X53" s="86"/>
      <x:c r="Y53" s="86"/>
      <x:c r="Z53" s="86"/>
    </x:row>
    <x:row r="54">
      <x:c r="A54" s="86"/>
      <x:c r="B54" s="86"/>
      <x:c r="C54" s="86"/>
      <x:c r="D54" s="86"/>
      <x:c r="E54" s="86"/>
      <x:c r="F54" s="86"/>
      <x:c r="G54" s="86"/>
      <x:c r="H54" s="86"/>
      <x:c r="I54" s="86"/>
      <x:c r="J54" s="86"/>
      <x:c r="K54" s="86"/>
      <x:c r="L54" s="86"/>
      <x:c r="M54" s="86"/>
      <x:c r="N54" s="86"/>
      <x:c r="O54" s="86"/>
      <x:c r="P54" s="86"/>
      <x:c r="Q54" s="86"/>
      <x:c r="R54" s="86"/>
      <x:c r="S54" s="86"/>
      <x:c r="T54" s="86"/>
      <x:c r="U54" s="86"/>
      <x:c r="V54" s="86"/>
      <x:c r="W54" s="86"/>
      <x:c r="X54" s="86"/>
      <x:c r="Y54" s="86"/>
      <x:c r="Z54" s="86"/>
    </x:row>
    <x:row r="55">
      <x:c r="A55" s="86"/>
      <x:c r="B55" s="86"/>
      <x:c r="C55" s="86"/>
      <x:c r="D55" s="86"/>
      <x:c r="E55" s="86"/>
      <x:c r="F55" s="86"/>
      <x:c r="G55" s="86"/>
      <x:c r="H55" s="86"/>
      <x:c r="I55" s="86"/>
      <x:c r="J55" s="86"/>
      <x:c r="K55" s="86"/>
      <x:c r="L55" s="86"/>
      <x:c r="M55" s="86"/>
      <x:c r="N55" s="86"/>
      <x:c r="O55" s="86"/>
      <x:c r="P55" s="86"/>
      <x:c r="Q55" s="86"/>
      <x:c r="R55" s="86"/>
      <x:c r="S55" s="86"/>
      <x:c r="T55" s="86"/>
      <x:c r="U55" s="86"/>
      <x:c r="V55" s="86"/>
      <x:c r="W55" s="86"/>
      <x:c r="X55" s="86"/>
      <x:c r="Y55" s="86"/>
      <x:c r="Z55" s="86"/>
    </x:row>
    <x:row r="56">
      <x:c r="A56" s="86"/>
      <x:c r="B56" s="86"/>
      <x:c r="C56" s="86"/>
      <x:c r="D56" s="86"/>
      <x:c r="E56" s="86"/>
      <x:c r="F56" s="86"/>
      <x:c r="G56" s="86"/>
      <x:c r="H56" s="86"/>
      <x:c r="I56" s="86"/>
      <x:c r="J56" s="86"/>
      <x:c r="K56" s="86"/>
      <x:c r="L56" s="86"/>
      <x:c r="M56" s="86"/>
      <x:c r="N56" s="86"/>
      <x:c r="O56" s="86"/>
      <x:c r="P56" s="86"/>
      <x:c r="Q56" s="86"/>
      <x:c r="R56" s="86"/>
      <x:c r="S56" s="86"/>
      <x:c r="T56" s="86"/>
      <x:c r="U56" s="86"/>
      <x:c r="V56" s="86"/>
      <x:c r="W56" s="86"/>
      <x:c r="X56" s="86"/>
      <x:c r="Y56" s="86"/>
      <x:c r="Z56" s="86"/>
    </x:row>
    <x:row r="57">
      <x:c r="A57" s="86"/>
      <x:c r="B57" s="86"/>
      <x:c r="C57" s="86"/>
      <x:c r="D57" s="86"/>
      <x:c r="E57" s="86"/>
      <x:c r="F57" s="86"/>
      <x:c r="G57" s="86"/>
      <x:c r="H57" s="86"/>
      <x:c r="I57" s="86"/>
      <x:c r="J57" s="86"/>
      <x:c r="K57" s="86"/>
      <x:c r="L57" s="86"/>
      <x:c r="M57" s="86"/>
      <x:c r="N57" s="86"/>
      <x:c r="O57" s="86"/>
      <x:c r="P57" s="86"/>
      <x:c r="Q57" s="86"/>
      <x:c r="R57" s="86"/>
      <x:c r="S57" s="86"/>
      <x:c r="T57" s="86"/>
      <x:c r="U57" s="86"/>
      <x:c r="V57" s="86"/>
      <x:c r="W57" s="86"/>
      <x:c r="X57" s="86"/>
      <x:c r="Y57" s="86"/>
      <x:c r="Z57" s="86"/>
    </x:row>
    <x:row r="58">
      <x:c r="A58" s="86"/>
      <x:c r="B58" s="86"/>
      <x:c r="C58" s="86"/>
      <x:c r="D58" s="86"/>
      <x:c r="E58" s="86"/>
      <x:c r="F58" s="86"/>
      <x:c r="G58" s="86"/>
      <x:c r="H58" s="86"/>
      <x:c r="I58" s="86"/>
      <x:c r="J58" s="86"/>
      <x:c r="K58" s="86"/>
      <x:c r="L58" s="86"/>
      <x:c r="M58" s="86"/>
      <x:c r="N58" s="86"/>
      <x:c r="O58" s="86"/>
      <x:c r="P58" s="86"/>
      <x:c r="Q58" s="86"/>
      <x:c r="R58" s="86"/>
      <x:c r="S58" s="86"/>
      <x:c r="T58" s="86"/>
      <x:c r="U58" s="86"/>
      <x:c r="V58" s="86"/>
      <x:c r="W58" s="86"/>
      <x:c r="X58" s="86"/>
      <x:c r="Y58" s="86"/>
      <x:c r="Z58" s="86"/>
    </x:row>
    <x:row r="59">
      <x:c r="A59" s="86"/>
      <x:c r="B59" s="86"/>
      <x:c r="C59" s="86"/>
      <x:c r="D59" s="86"/>
      <x:c r="E59" s="86"/>
      <x:c r="F59" s="86"/>
      <x:c r="G59" s="86"/>
      <x:c r="H59" s="86"/>
      <x:c r="I59" s="86"/>
      <x:c r="J59" s="86"/>
      <x:c r="K59" s="86"/>
      <x:c r="L59" s="86"/>
      <x:c r="M59" s="86"/>
      <x:c r="N59" s="86"/>
      <x:c r="O59" s="86"/>
      <x:c r="P59" s="86"/>
      <x:c r="Q59" s="86"/>
      <x:c r="R59" s="86"/>
      <x:c r="S59" s="86"/>
      <x:c r="T59" s="86"/>
      <x:c r="U59" s="86"/>
      <x:c r="V59" s="86"/>
      <x:c r="W59" s="86"/>
      <x:c r="X59" s="86"/>
      <x:c r="Y59" s="86"/>
      <x:c r="Z59" s="86"/>
    </x:row>
    <x:row r="60">
      <x:c r="A60" s="86"/>
      <x:c r="B60" s="86"/>
      <x:c r="C60" s="86"/>
      <x:c r="D60" s="86"/>
      <x:c r="E60" s="86"/>
      <x:c r="F60" s="86"/>
      <x:c r="G60" s="86"/>
      <x:c r="H60" s="86"/>
      <x:c r="I60" s="86"/>
      <x:c r="J60" s="86"/>
      <x:c r="K60" s="86"/>
      <x:c r="L60" s="86"/>
      <x:c r="M60" s="86"/>
      <x:c r="N60" s="86"/>
      <x:c r="O60" s="86"/>
      <x:c r="P60" s="86"/>
      <x:c r="Q60" s="86"/>
      <x:c r="R60" s="86"/>
      <x:c r="S60" s="86"/>
      <x:c r="T60" s="86"/>
      <x:c r="U60" s="86"/>
      <x:c r="V60" s="86"/>
      <x:c r="W60" s="86"/>
      <x:c r="X60" s="86"/>
      <x:c r="Y60" s="86"/>
      <x:c r="Z60" s="86"/>
    </x:row>
    <x:row r="61">
      <x:c r="A61" s="86"/>
      <x:c r="B61" s="86"/>
      <x:c r="C61" s="86"/>
      <x:c r="D61" s="86"/>
      <x:c r="E61" s="86"/>
      <x:c r="F61" s="86"/>
      <x:c r="G61" s="86"/>
      <x:c r="H61" s="86"/>
      <x:c r="I61" s="86"/>
      <x:c r="J61" s="86"/>
      <x:c r="K61" s="86"/>
      <x:c r="L61" s="86"/>
      <x:c r="M61" s="86"/>
      <x:c r="N61" s="86"/>
      <x:c r="O61" s="86"/>
      <x:c r="P61" s="86"/>
      <x:c r="Q61" s="86"/>
      <x:c r="R61" s="86"/>
      <x:c r="S61" s="86"/>
      <x:c r="T61" s="86"/>
      <x:c r="U61" s="86"/>
      <x:c r="V61" s="86"/>
      <x:c r="W61" s="86"/>
      <x:c r="X61" s="86"/>
      <x:c r="Y61" s="86"/>
      <x:c r="Z61" s="86"/>
    </x:row>
    <x:row r="62">
      <x:c r="A62" s="86"/>
      <x:c r="B62" s="86"/>
      <x:c r="C62" s="86"/>
      <x:c r="D62" s="86"/>
      <x:c r="E62" s="86"/>
      <x:c r="F62" s="86"/>
      <x:c r="G62" s="86"/>
      <x:c r="H62" s="86"/>
      <x:c r="I62" s="86"/>
      <x:c r="J62" s="86"/>
      <x:c r="K62" s="86"/>
      <x:c r="L62" s="86"/>
      <x:c r="M62" s="86"/>
      <x:c r="N62" s="86"/>
      <x:c r="O62" s="86"/>
      <x:c r="P62" s="86"/>
      <x:c r="Q62" s="86"/>
      <x:c r="R62" s="86"/>
      <x:c r="S62" s="86"/>
      <x:c r="T62" s="86"/>
      <x:c r="U62" s="86"/>
      <x:c r="V62" s="86"/>
      <x:c r="W62" s="86"/>
      <x:c r="X62" s="86"/>
      <x:c r="Y62" s="86"/>
      <x:c r="Z62" s="86"/>
    </x:row>
    <x:row r="63">
      <x:c r="A63" s="86"/>
      <x:c r="B63" s="86"/>
      <x:c r="C63" s="86"/>
      <x:c r="D63" s="86"/>
      <x:c r="E63" s="86"/>
      <x:c r="F63" s="86"/>
      <x:c r="G63" s="86"/>
      <x:c r="H63" s="86"/>
      <x:c r="I63" s="86"/>
      <x:c r="J63" s="86"/>
      <x:c r="K63" s="86"/>
      <x:c r="L63" s="86"/>
      <x:c r="M63" s="86"/>
      <x:c r="N63" s="86"/>
      <x:c r="O63" s="86"/>
      <x:c r="P63" s="86"/>
      <x:c r="Q63" s="86"/>
      <x:c r="R63" s="86"/>
      <x:c r="S63" s="86"/>
      <x:c r="T63" s="86"/>
      <x:c r="U63" s="86"/>
      <x:c r="V63" s="86"/>
      <x:c r="W63" s="86"/>
      <x:c r="X63" s="86"/>
      <x:c r="Y63" s="86"/>
      <x:c r="Z63" s="86"/>
    </x:row>
    <x:row r="64">
      <x:c r="A64" s="86"/>
      <x:c r="B64" s="86"/>
      <x:c r="C64" s="86"/>
      <x:c r="D64" s="86"/>
      <x:c r="E64" s="86"/>
      <x:c r="F64" s="86"/>
      <x:c r="G64" s="86"/>
      <x:c r="H64" s="86"/>
      <x:c r="I64" s="86"/>
      <x:c r="J64" s="86"/>
      <x:c r="K64" s="86"/>
      <x:c r="L64" s="86"/>
      <x:c r="M64" s="86"/>
      <x:c r="N64" s="86"/>
      <x:c r="O64" s="86"/>
      <x:c r="P64" s="86"/>
      <x:c r="Q64" s="86"/>
      <x:c r="R64" s="86"/>
      <x:c r="S64" s="86"/>
      <x:c r="T64" s="86"/>
      <x:c r="U64" s="86"/>
      <x:c r="V64" s="86"/>
      <x:c r="W64" s="86"/>
      <x:c r="X64" s="86"/>
      <x:c r="Y64" s="86"/>
      <x:c r="Z64" s="86"/>
    </x:row>
    <x:row r="65">
      <x:c r="A65" s="86"/>
      <x:c r="B65" s="86"/>
      <x:c r="C65" s="86"/>
      <x:c r="D65" s="86"/>
      <x:c r="E65" s="86"/>
      <x:c r="F65" s="86"/>
      <x:c r="G65" s="86"/>
      <x:c r="H65" s="86"/>
      <x:c r="I65" s="86"/>
      <x:c r="J65" s="86"/>
      <x:c r="K65" s="86"/>
      <x:c r="L65" s="86"/>
      <x:c r="M65" s="86"/>
      <x:c r="N65" s="86"/>
      <x:c r="O65" s="86"/>
      <x:c r="P65" s="86"/>
      <x:c r="Q65" s="86"/>
      <x:c r="R65" s="86"/>
      <x:c r="S65" s="86"/>
      <x:c r="T65" s="86"/>
      <x:c r="U65" s="86"/>
      <x:c r="V65" s="86"/>
      <x:c r="W65" s="86"/>
      <x:c r="X65" s="86"/>
      <x:c r="Y65" s="86"/>
      <x:c r="Z65" s="86"/>
    </x:row>
    <x:row r="66">
      <x:c r="A66" s="86"/>
      <x:c r="B66" s="86"/>
      <x:c r="C66" s="86"/>
      <x:c r="D66" s="86"/>
      <x:c r="E66" s="86"/>
      <x:c r="F66" s="86"/>
      <x:c r="G66" s="86"/>
      <x:c r="H66" s="86"/>
      <x:c r="I66" s="86"/>
      <x:c r="J66" s="86"/>
      <x:c r="K66" s="86"/>
      <x:c r="L66" s="86"/>
      <x:c r="M66" s="86"/>
      <x:c r="N66" s="86"/>
      <x:c r="O66" s="86"/>
      <x:c r="P66" s="86"/>
      <x:c r="Q66" s="86"/>
      <x:c r="R66" s="86"/>
      <x:c r="S66" s="86"/>
      <x:c r="T66" s="86"/>
      <x:c r="U66" s="86"/>
      <x:c r="V66" s="86"/>
      <x:c r="W66" s="86"/>
      <x:c r="X66" s="86"/>
      <x:c r="Y66" s="86"/>
      <x:c r="Z66" s="86"/>
    </x:row>
    <x:row r="67">
      <x:c r="A67" s="86"/>
      <x:c r="B67" s="86"/>
      <x:c r="C67" s="86"/>
      <x:c r="D67" s="86"/>
      <x:c r="E67" s="86"/>
      <x:c r="F67" s="86"/>
      <x:c r="G67" s="86"/>
      <x:c r="H67" s="86"/>
      <x:c r="I67" s="86"/>
      <x:c r="J67" s="86"/>
      <x:c r="K67" s="86"/>
      <x:c r="L67" s="86"/>
      <x:c r="M67" s="86"/>
      <x:c r="N67" s="86"/>
      <x:c r="O67" s="86"/>
      <x:c r="P67" s="86"/>
      <x:c r="Q67" s="86"/>
      <x:c r="R67" s="86"/>
      <x:c r="S67" s="86"/>
      <x:c r="T67" s="86"/>
      <x:c r="U67" s="86"/>
      <x:c r="V67" s="86"/>
      <x:c r="W67" s="86"/>
      <x:c r="X67" s="86"/>
      <x:c r="Y67" s="86"/>
      <x:c r="Z67" s="86"/>
    </x:row>
    <x:row r="68">
      <x:c r="A68" s="86"/>
      <x:c r="B68" s="86"/>
      <x:c r="C68" s="86"/>
      <x:c r="D68" s="86"/>
      <x:c r="E68" s="86"/>
      <x:c r="F68" s="86"/>
      <x:c r="G68" s="86"/>
      <x:c r="H68" s="86"/>
      <x:c r="I68" s="86"/>
      <x:c r="J68" s="86"/>
      <x:c r="K68" s="86"/>
      <x:c r="L68" s="86"/>
      <x:c r="M68" s="86"/>
      <x:c r="N68" s="86"/>
      <x:c r="O68" s="86"/>
      <x:c r="P68" s="86"/>
      <x:c r="Q68" s="86"/>
      <x:c r="R68" s="86"/>
      <x:c r="S68" s="86"/>
      <x:c r="T68" s="86"/>
      <x:c r="U68" s="86"/>
      <x:c r="V68" s="86"/>
      <x:c r="W68" s="86"/>
      <x:c r="X68" s="86"/>
      <x:c r="Y68" s="86"/>
      <x:c r="Z68" s="86"/>
    </x:row>
    <x:row r="69">
      <x:c r="A69" s="86"/>
      <x:c r="B69" s="86"/>
      <x:c r="C69" s="86"/>
      <x:c r="D69" s="86"/>
      <x:c r="E69" s="86"/>
      <x:c r="F69" s="86"/>
      <x:c r="G69" s="86"/>
      <x:c r="H69" s="86"/>
      <x:c r="I69" s="86"/>
      <x:c r="J69" s="86"/>
      <x:c r="K69" s="86"/>
      <x:c r="L69" s="86"/>
      <x:c r="M69" s="86"/>
      <x:c r="N69" s="86"/>
      <x:c r="O69" s="86"/>
      <x:c r="P69" s="86"/>
      <x:c r="Q69" s="86"/>
      <x:c r="R69" s="86"/>
      <x:c r="S69" s="86"/>
      <x:c r="T69" s="86"/>
      <x:c r="U69" s="86"/>
      <x:c r="V69" s="86"/>
      <x:c r="W69" s="86"/>
      <x:c r="X69" s="86"/>
      <x:c r="Y69" s="86"/>
      <x:c r="Z69" s="86"/>
    </x:row>
    <x:row r="70">
      <x:c r="A70" s="86"/>
      <x:c r="B70" s="86"/>
      <x:c r="C70" s="86"/>
      <x:c r="D70" s="86"/>
      <x:c r="E70" s="86"/>
      <x:c r="F70" s="86"/>
      <x:c r="G70" s="86"/>
      <x:c r="H70" s="86"/>
      <x:c r="I70" s="86"/>
      <x:c r="J70" s="86"/>
      <x:c r="K70" s="86"/>
      <x:c r="L70" s="86"/>
      <x:c r="M70" s="86"/>
      <x:c r="N70" s="86"/>
      <x:c r="O70" s="86"/>
      <x:c r="P70" s="86"/>
      <x:c r="Q70" s="86"/>
      <x:c r="R70" s="86"/>
      <x:c r="S70" s="86"/>
      <x:c r="T70" s="86"/>
      <x:c r="U70" s="86"/>
      <x:c r="V70" s="86"/>
      <x:c r="W70" s="86"/>
      <x:c r="X70" s="86"/>
      <x:c r="Y70" s="86"/>
      <x:c r="Z70" s="86"/>
    </x:row>
    <x:row r="71">
      <x:c r="A71" s="86"/>
      <x:c r="B71" s="86"/>
      <x:c r="C71" s="86"/>
      <x:c r="D71" s="86"/>
      <x:c r="E71" s="86"/>
      <x:c r="F71" s="86"/>
      <x:c r="G71" s="86"/>
      <x:c r="H71" s="86"/>
      <x:c r="I71" s="86"/>
      <x:c r="J71" s="86"/>
      <x:c r="K71" s="86"/>
      <x:c r="L71" s="86"/>
      <x:c r="M71" s="86"/>
      <x:c r="N71" s="86"/>
      <x:c r="O71" s="86"/>
      <x:c r="P71" s="86"/>
      <x:c r="Q71" s="86"/>
      <x:c r="R71" s="86"/>
      <x:c r="S71" s="86"/>
      <x:c r="T71" s="86"/>
      <x:c r="U71" s="86"/>
      <x:c r="V71" s="86"/>
      <x:c r="W71" s="86"/>
      <x:c r="X71" s="86"/>
      <x:c r="Y71" s="86"/>
      <x:c r="Z71" s="86"/>
    </x:row>
    <x:row r="72">
      <x:c r="A72" s="86"/>
      <x:c r="B72" s="86"/>
      <x:c r="C72" s="86"/>
      <x:c r="D72" s="86"/>
      <x:c r="E72" s="86"/>
      <x:c r="F72" s="86"/>
      <x:c r="G72" s="86"/>
      <x:c r="H72" s="86"/>
      <x:c r="I72" s="86"/>
      <x:c r="J72" s="86"/>
      <x:c r="K72" s="86"/>
      <x:c r="L72" s="86"/>
      <x:c r="M72" s="86"/>
      <x:c r="N72" s="86"/>
      <x:c r="O72" s="86"/>
      <x:c r="P72" s="86"/>
      <x:c r="Q72" s="86"/>
      <x:c r="R72" s="86"/>
      <x:c r="S72" s="86"/>
      <x:c r="T72" s="86"/>
      <x:c r="U72" s="86"/>
      <x:c r="V72" s="86"/>
      <x:c r="W72" s="86"/>
      <x:c r="X72" s="86"/>
      <x:c r="Y72" s="86"/>
      <x:c r="Z72" s="86"/>
    </x:row>
    <x:row r="73">
      <x:c r="A73" s="86"/>
      <x:c r="B73" s="86"/>
      <x:c r="C73" s="86"/>
      <x:c r="D73" s="86"/>
      <x:c r="E73" s="86"/>
      <x:c r="F73" s="86"/>
      <x:c r="G73" s="86"/>
      <x:c r="H73" s="86"/>
      <x:c r="I73" s="86"/>
      <x:c r="J73" s="86"/>
      <x:c r="K73" s="86"/>
      <x:c r="L73" s="86"/>
      <x:c r="M73" s="86"/>
      <x:c r="N73" s="86"/>
      <x:c r="O73" s="86"/>
      <x:c r="P73" s="86"/>
      <x:c r="Q73" s="86"/>
      <x:c r="R73" s="86"/>
      <x:c r="S73" s="86"/>
      <x:c r="T73" s="86"/>
      <x:c r="U73" s="86"/>
      <x:c r="V73" s="86"/>
      <x:c r="W73" s="86"/>
      <x:c r="X73" s="86"/>
      <x:c r="Y73" s="86"/>
      <x:c r="Z73" s="86"/>
    </x:row>
    <x:row r="74">
      <x:c r="A74" s="86"/>
      <x:c r="B74" s="86"/>
      <x:c r="C74" s="86"/>
      <x:c r="D74" s="86"/>
      <x:c r="E74" s="86"/>
      <x:c r="F74" s="86"/>
      <x:c r="G74" s="86"/>
      <x:c r="H74" s="86"/>
      <x:c r="I74" s="86"/>
      <x:c r="J74" s="86"/>
      <x:c r="K74" s="86"/>
      <x:c r="L74" s="86"/>
      <x:c r="M74" s="86"/>
      <x:c r="N74" s="86"/>
      <x:c r="O74" s="86"/>
      <x:c r="P74" s="86"/>
      <x:c r="Q74" s="86"/>
      <x:c r="R74" s="86"/>
      <x:c r="S74" s="86"/>
      <x:c r="T74" s="86"/>
      <x:c r="U74" s="86"/>
      <x:c r="V74" s="86"/>
      <x:c r="W74" s="86"/>
      <x:c r="X74" s="86"/>
      <x:c r="Y74" s="86"/>
      <x:c r="Z74" s="86"/>
    </x:row>
    <x:row r="75">
      <x:c r="A75" s="86"/>
      <x:c r="B75" s="86"/>
      <x:c r="C75" s="86"/>
      <x:c r="D75" s="86"/>
      <x:c r="E75" s="86"/>
      <x:c r="F75" s="86"/>
      <x:c r="G75" s="86"/>
      <x:c r="H75" s="86"/>
      <x:c r="I75" s="86"/>
      <x:c r="J75" s="86"/>
      <x:c r="K75" s="86"/>
      <x:c r="L75" s="86"/>
      <x:c r="M75" s="86"/>
      <x:c r="N75" s="86"/>
      <x:c r="O75" s="86"/>
      <x:c r="P75" s="86"/>
      <x:c r="Q75" s="86"/>
      <x:c r="R75" s="86"/>
      <x:c r="S75" s="86"/>
      <x:c r="T75" s="86"/>
      <x:c r="U75" s="86"/>
      <x:c r="V75" s="86"/>
      <x:c r="W75" s="86"/>
      <x:c r="X75" s="86"/>
      <x:c r="Y75" s="86"/>
      <x:c r="Z75" s="86"/>
    </x:row>
    <x:row r="76">
      <x:c r="A76" s="86"/>
      <x:c r="B76" s="86"/>
      <x:c r="C76" s="86"/>
      <x:c r="D76" s="86"/>
      <x:c r="E76" s="86"/>
      <x:c r="F76" s="86"/>
      <x:c r="G76" s="86"/>
      <x:c r="H76" s="86"/>
      <x:c r="I76" s="86"/>
      <x:c r="J76" s="86"/>
      <x:c r="K76" s="86"/>
      <x:c r="L76" s="86"/>
      <x:c r="M76" s="86"/>
      <x:c r="N76" s="86"/>
      <x:c r="O76" s="86"/>
      <x:c r="P76" s="86"/>
      <x:c r="Q76" s="86"/>
      <x:c r="R76" s="86"/>
      <x:c r="S76" s="86"/>
      <x:c r="T76" s="86"/>
      <x:c r="U76" s="86"/>
      <x:c r="V76" s="86"/>
      <x:c r="W76" s="86"/>
      <x:c r="X76" s="86"/>
      <x:c r="Y76" s="86"/>
      <x:c r="Z76" s="86"/>
    </x:row>
    <x:row r="77">
      <x:c r="A77" s="86"/>
      <x:c r="B77" s="86"/>
      <x:c r="C77" s="86"/>
      <x:c r="D77" s="86"/>
      <x:c r="E77" s="86"/>
      <x:c r="F77" s="86"/>
      <x:c r="G77" s="86"/>
      <x:c r="H77" s="86"/>
      <x:c r="I77" s="86"/>
      <x:c r="J77" s="86"/>
      <x:c r="K77" s="86"/>
      <x:c r="L77" s="86"/>
      <x:c r="M77" s="86"/>
      <x:c r="N77" s="86"/>
      <x:c r="O77" s="86"/>
      <x:c r="P77" s="86"/>
      <x:c r="Q77" s="86"/>
      <x:c r="R77" s="86"/>
      <x:c r="S77" s="86"/>
      <x:c r="T77" s="86"/>
      <x:c r="U77" s="86"/>
      <x:c r="V77" s="86"/>
      <x:c r="W77" s="86"/>
      <x:c r="X77" s="86"/>
      <x:c r="Y77" s="86"/>
      <x:c r="Z77" s="86"/>
    </x:row>
    <x:row r="78">
      <x:c r="A78" s="86"/>
      <x:c r="B78" s="86"/>
      <x:c r="C78" s="86"/>
      <x:c r="D78" s="86"/>
      <x:c r="E78" s="86"/>
      <x:c r="F78" s="86"/>
      <x:c r="G78" s="86"/>
      <x:c r="H78" s="86"/>
      <x:c r="I78" s="86"/>
      <x:c r="J78" s="86"/>
      <x:c r="K78" s="86"/>
      <x:c r="L78" s="86"/>
      <x:c r="M78" s="86"/>
      <x:c r="N78" s="86"/>
      <x:c r="O78" s="86"/>
      <x:c r="P78" s="86"/>
      <x:c r="Q78" s="86"/>
      <x:c r="R78" s="86"/>
      <x:c r="S78" s="86"/>
      <x:c r="T78" s="86"/>
      <x:c r="U78" s="86"/>
      <x:c r="V78" s="86"/>
      <x:c r="W78" s="86"/>
      <x:c r="X78" s="86"/>
      <x:c r="Y78" s="86"/>
      <x:c r="Z78" s="86"/>
    </x:row>
    <x:row r="79">
      <x:c r="A79" s="86"/>
      <x:c r="B79" s="86"/>
      <x:c r="C79" s="86"/>
      <x:c r="D79" s="86"/>
      <x:c r="E79" s="86"/>
      <x:c r="F79" s="86"/>
      <x:c r="G79" s="86"/>
      <x:c r="H79" s="86"/>
      <x:c r="I79" s="86"/>
      <x:c r="J79" s="86"/>
      <x:c r="K79" s="86"/>
      <x:c r="L79" s="86"/>
      <x:c r="M79" s="86"/>
      <x:c r="N79" s="86"/>
      <x:c r="O79" s="86"/>
      <x:c r="P79" s="86"/>
      <x:c r="Q79" s="86"/>
      <x:c r="R79" s="86"/>
      <x:c r="S79" s="86"/>
      <x:c r="T79" s="86"/>
      <x:c r="U79" s="86"/>
      <x:c r="V79" s="86"/>
      <x:c r="W79" s="86"/>
      <x:c r="X79" s="86"/>
      <x:c r="Y79" s="86"/>
      <x:c r="Z79" s="86"/>
    </x:row>
    <x:row r="80">
      <x:c r="A80" s="86"/>
      <x:c r="B80" s="86"/>
      <x:c r="C80" s="86"/>
      <x:c r="D80" s="86"/>
      <x:c r="E80" s="86"/>
      <x:c r="F80" s="86"/>
      <x:c r="G80" s="86"/>
      <x:c r="H80" s="86"/>
      <x:c r="I80" s="86"/>
      <x:c r="J80" s="86"/>
      <x:c r="K80" s="86"/>
      <x:c r="L80" s="86"/>
      <x:c r="M80" s="86"/>
      <x:c r="N80" s="86"/>
      <x:c r="O80" s="86"/>
      <x:c r="P80" s="86"/>
      <x:c r="Q80" s="86"/>
      <x:c r="R80" s="86"/>
      <x:c r="S80" s="86"/>
      <x:c r="T80" s="86"/>
      <x:c r="U80" s="86"/>
      <x:c r="V80" s="86"/>
      <x:c r="W80" s="86"/>
      <x:c r="X80" s="86"/>
      <x:c r="Y80" s="86"/>
      <x:c r="Z80" s="86"/>
    </x:row>
    <x:row r="81">
      <x:c r="A81" s="86"/>
      <x:c r="B81" s="86"/>
      <x:c r="C81" s="86"/>
      <x:c r="D81" s="86"/>
      <x:c r="E81" s="86"/>
      <x:c r="F81" s="86"/>
      <x:c r="G81" s="86"/>
      <x:c r="H81" s="86"/>
      <x:c r="I81" s="86"/>
      <x:c r="J81" s="86"/>
      <x:c r="K81" s="86"/>
      <x:c r="L81" s="86"/>
      <x:c r="M81" s="86"/>
      <x:c r="N81" s="86"/>
      <x:c r="O81" s="86"/>
      <x:c r="P81" s="86"/>
      <x:c r="Q81" s="86"/>
      <x:c r="R81" s="86"/>
      <x:c r="S81" s="86"/>
      <x:c r="T81" s="86"/>
      <x:c r="U81" s="86"/>
      <x:c r="V81" s="86"/>
      <x:c r="W81" s="86"/>
      <x:c r="X81" s="86"/>
      <x:c r="Y81" s="86"/>
      <x:c r="Z81" s="86"/>
    </x:row>
    <x:row r="82">
      <x:c r="A82" s="86"/>
      <x:c r="B82" s="86"/>
      <x:c r="C82" s="86"/>
      <x:c r="D82" s="86"/>
      <x:c r="E82" s="86"/>
      <x:c r="F82" s="86"/>
      <x:c r="G82" s="86"/>
      <x:c r="H82" s="86"/>
      <x:c r="I82" s="86"/>
      <x:c r="J82" s="86"/>
      <x:c r="K82" s="86"/>
      <x:c r="L82" s="86"/>
      <x:c r="M82" s="86"/>
      <x:c r="N82" s="86"/>
      <x:c r="O82" s="86"/>
      <x:c r="P82" s="86"/>
      <x:c r="Q82" s="86"/>
      <x:c r="R82" s="86"/>
      <x:c r="S82" s="86"/>
      <x:c r="T82" s="86"/>
      <x:c r="U82" s="86"/>
      <x:c r="V82" s="86"/>
      <x:c r="W82" s="86"/>
      <x:c r="X82" s="86"/>
      <x:c r="Y82" s="86"/>
      <x:c r="Z82" s="86"/>
    </x:row>
    <x:row r="83">
      <x:c r="A83" s="86"/>
      <x:c r="B83" s="86"/>
      <x:c r="C83" s="86"/>
      <x:c r="D83" s="86"/>
      <x:c r="E83" s="86"/>
      <x:c r="F83" s="86"/>
      <x:c r="G83" s="86"/>
      <x:c r="H83" s="86"/>
      <x:c r="I83" s="86"/>
      <x:c r="J83" s="86"/>
      <x:c r="K83" s="86"/>
      <x:c r="L83" s="86"/>
      <x:c r="M83" s="86"/>
      <x:c r="N83" s="86"/>
      <x:c r="O83" s="86"/>
      <x:c r="P83" s="86"/>
      <x:c r="Q83" s="86"/>
      <x:c r="R83" s="86"/>
      <x:c r="S83" s="86"/>
      <x:c r="T83" s="86"/>
      <x:c r="U83" s="86"/>
      <x:c r="V83" s="86"/>
      <x:c r="W83" s="86"/>
      <x:c r="X83" s="86"/>
      <x:c r="Y83" s="86"/>
      <x:c r="Z83" s="86"/>
    </x:row>
    <x:row r="84">
      <x:c r="A84" s="86"/>
      <x:c r="B84" s="86"/>
      <x:c r="C84" s="86"/>
      <x:c r="D84" s="86"/>
      <x:c r="E84" s="86"/>
      <x:c r="F84" s="86"/>
      <x:c r="G84" s="86"/>
      <x:c r="H84" s="86"/>
      <x:c r="I84" s="86"/>
      <x:c r="J84" s="86"/>
      <x:c r="K84" s="86"/>
      <x:c r="L84" s="86"/>
      <x:c r="M84" s="86"/>
      <x:c r="N84" s="86"/>
      <x:c r="O84" s="86"/>
      <x:c r="P84" s="86"/>
      <x:c r="Q84" s="86"/>
      <x:c r="R84" s="86"/>
      <x:c r="S84" s="86"/>
      <x:c r="T84" s="86"/>
      <x:c r="U84" s="86"/>
      <x:c r="V84" s="86"/>
      <x:c r="W84" s="86"/>
      <x:c r="X84" s="86"/>
      <x:c r="Y84" s="86"/>
      <x:c r="Z84" s="86"/>
    </x:row>
    <x:row r="85">
      <x:c r="A85" s="86"/>
      <x:c r="B85" s="86"/>
      <x:c r="C85" s="86"/>
      <x:c r="D85" s="86"/>
      <x:c r="E85" s="86"/>
      <x:c r="F85" s="86"/>
      <x:c r="G85" s="86"/>
      <x:c r="H85" s="86"/>
      <x:c r="I85" s="86"/>
      <x:c r="J85" s="86"/>
      <x:c r="K85" s="86"/>
      <x:c r="L85" s="86"/>
      <x:c r="M85" s="86"/>
      <x:c r="N85" s="86"/>
      <x:c r="O85" s="86"/>
      <x:c r="P85" s="86"/>
      <x:c r="Q85" s="86"/>
      <x:c r="R85" s="86"/>
      <x:c r="S85" s="86"/>
      <x:c r="T85" s="86"/>
      <x:c r="U85" s="86"/>
      <x:c r="V85" s="86"/>
      <x:c r="W85" s="86"/>
      <x:c r="X85" s="86"/>
      <x:c r="Y85" s="86"/>
      <x:c r="Z85" s="86"/>
    </x:row>
    <x:row r="86">
      <x:c r="A86" s="86"/>
      <x:c r="B86" s="86"/>
      <x:c r="C86" s="86"/>
      <x:c r="D86" s="86"/>
      <x:c r="E86" s="86"/>
      <x:c r="F86" s="86"/>
      <x:c r="G86" s="86"/>
      <x:c r="H86" s="86"/>
      <x:c r="I86" s="86"/>
      <x:c r="J86" s="86"/>
      <x:c r="K86" s="86"/>
      <x:c r="L86" s="86"/>
      <x:c r="M86" s="86"/>
      <x:c r="N86" s="86"/>
      <x:c r="O86" s="86"/>
      <x:c r="P86" s="86"/>
      <x:c r="Q86" s="86"/>
      <x:c r="R86" s="86"/>
      <x:c r="S86" s="86"/>
      <x:c r="T86" s="86"/>
      <x:c r="U86" s="86"/>
      <x:c r="V86" s="86"/>
      <x:c r="W86" s="86"/>
      <x:c r="X86" s="86"/>
      <x:c r="Y86" s="86"/>
      <x:c r="Z86" s="86"/>
    </x:row>
    <x:row r="87">
      <x:c r="A87" s="86"/>
      <x:c r="B87" s="86"/>
      <x:c r="C87" s="86"/>
      <x:c r="D87" s="86"/>
      <x:c r="E87" s="86"/>
      <x:c r="F87" s="86"/>
      <x:c r="G87" s="86"/>
      <x:c r="H87" s="86"/>
      <x:c r="I87" s="86"/>
      <x:c r="J87" s="86"/>
      <x:c r="K87" s="86"/>
      <x:c r="L87" s="86"/>
      <x:c r="M87" s="86"/>
      <x:c r="N87" s="86"/>
      <x:c r="O87" s="86"/>
      <x:c r="P87" s="86"/>
      <x:c r="Q87" s="86"/>
      <x:c r="R87" s="86"/>
      <x:c r="S87" s="86"/>
      <x:c r="T87" s="86"/>
      <x:c r="U87" s="86"/>
      <x:c r="V87" s="86"/>
      <x:c r="W87" s="86"/>
      <x:c r="X87" s="86"/>
      <x:c r="Y87" s="86"/>
      <x:c r="Z87" s="86"/>
    </x:row>
    <x:row r="88">
      <x:c r="A88" s="86"/>
      <x:c r="B88" s="86"/>
      <x:c r="C88" s="86"/>
      <x:c r="D88" s="86"/>
      <x:c r="E88" s="86"/>
      <x:c r="F88" s="86"/>
      <x:c r="G88" s="86"/>
      <x:c r="H88" s="86"/>
      <x:c r="I88" s="86"/>
      <x:c r="J88" s="86"/>
      <x:c r="K88" s="86"/>
      <x:c r="L88" s="86"/>
      <x:c r="M88" s="86"/>
      <x:c r="N88" s="86"/>
      <x:c r="O88" s="86"/>
      <x:c r="P88" s="86"/>
      <x:c r="Q88" s="86"/>
      <x:c r="R88" s="86"/>
      <x:c r="S88" s="86"/>
      <x:c r="T88" s="86"/>
      <x:c r="U88" s="86"/>
      <x:c r="V88" s="86"/>
      <x:c r="W88" s="86"/>
      <x:c r="X88" s="86"/>
      <x:c r="Y88" s="86"/>
      <x:c r="Z88" s="86"/>
    </x:row>
    <x:row r="89">
      <x:c r="A89" s="86"/>
      <x:c r="B89" s="86"/>
      <x:c r="C89" s="86"/>
      <x:c r="D89" s="86"/>
      <x:c r="E89" s="86"/>
      <x:c r="F89" s="86"/>
      <x:c r="G89" s="86"/>
      <x:c r="H89" s="86"/>
      <x:c r="I89" s="86"/>
      <x:c r="J89" s="86"/>
      <x:c r="K89" s="86"/>
      <x:c r="L89" s="86"/>
      <x:c r="M89" s="86"/>
      <x:c r="N89" s="86"/>
      <x:c r="O89" s="86"/>
      <x:c r="P89" s="86"/>
      <x:c r="Q89" s="86"/>
      <x:c r="R89" s="86"/>
      <x:c r="S89" s="86"/>
      <x:c r="T89" s="86"/>
      <x:c r="U89" s="86"/>
      <x:c r="V89" s="86"/>
      <x:c r="W89" s="86"/>
      <x:c r="X89" s="86"/>
      <x:c r="Y89" s="86"/>
      <x:c r="Z89" s="86"/>
    </x:row>
    <x:row r="90">
      <x:c r="A90" s="86"/>
      <x:c r="B90" s="86"/>
      <x:c r="C90" s="86"/>
      <x:c r="D90" s="86"/>
      <x:c r="E90" s="86"/>
      <x:c r="F90" s="86"/>
      <x:c r="G90" s="86"/>
      <x:c r="H90" s="86"/>
      <x:c r="I90" s="86"/>
      <x:c r="J90" s="86"/>
      <x:c r="K90" s="86"/>
      <x:c r="L90" s="86"/>
      <x:c r="M90" s="86"/>
      <x:c r="N90" s="86"/>
      <x:c r="O90" s="86"/>
      <x:c r="P90" s="86"/>
      <x:c r="Q90" s="86"/>
      <x:c r="R90" s="86"/>
      <x:c r="S90" s="86"/>
      <x:c r="T90" s="86"/>
      <x:c r="U90" s="86"/>
      <x:c r="V90" s="86"/>
      <x:c r="W90" s="86"/>
      <x:c r="X90" s="86"/>
      <x:c r="Y90" s="86"/>
      <x:c r="Z90" s="86"/>
    </x:row>
    <x:row r="91">
      <x:c r="A91" s="86"/>
      <x:c r="B91" s="86"/>
      <x:c r="C91" s="86"/>
      <x:c r="D91" s="86"/>
      <x:c r="E91" s="86"/>
      <x:c r="F91" s="86"/>
      <x:c r="G91" s="86"/>
      <x:c r="H91" s="86"/>
      <x:c r="I91" s="86"/>
      <x:c r="J91" s="86"/>
      <x:c r="K91" s="86"/>
      <x:c r="L91" s="86"/>
      <x:c r="M91" s="86"/>
      <x:c r="N91" s="86"/>
      <x:c r="O91" s="86"/>
      <x:c r="P91" s="86"/>
      <x:c r="Q91" s="86"/>
      <x:c r="R91" s="86"/>
      <x:c r="S91" s="86"/>
      <x:c r="T91" s="86"/>
      <x:c r="U91" s="86"/>
      <x:c r="V91" s="86"/>
      <x:c r="W91" s="86"/>
      <x:c r="X91" s="86"/>
      <x:c r="Y91" s="86"/>
      <x:c r="Z91" s="86"/>
    </x:row>
    <x:row r="92">
      <x:c r="A92" s="86"/>
      <x:c r="B92" s="86"/>
      <x:c r="C92" s="86"/>
      <x:c r="D92" s="86"/>
      <x:c r="E92" s="86"/>
      <x:c r="F92" s="86"/>
      <x:c r="G92" s="86"/>
      <x:c r="H92" s="86"/>
      <x:c r="I92" s="86"/>
      <x:c r="J92" s="86"/>
      <x:c r="K92" s="86"/>
      <x:c r="L92" s="86"/>
      <x:c r="M92" s="86"/>
      <x:c r="N92" s="86"/>
      <x:c r="O92" s="86"/>
      <x:c r="P92" s="86"/>
      <x:c r="Q92" s="86"/>
      <x:c r="R92" s="86"/>
      <x:c r="S92" s="86"/>
      <x:c r="T92" s="86"/>
      <x:c r="U92" s="86"/>
      <x:c r="V92" s="86"/>
      <x:c r="W92" s="86"/>
      <x:c r="X92" s="86"/>
      <x:c r="Y92" s="86"/>
      <x:c r="Z92" s="86"/>
    </x:row>
    <x:row r="93">
      <x:c r="A93" s="86"/>
      <x:c r="B93" s="86"/>
      <x:c r="C93" s="86"/>
      <x:c r="D93" s="86"/>
      <x:c r="E93" s="86"/>
      <x:c r="F93" s="86"/>
      <x:c r="G93" s="86"/>
      <x:c r="H93" s="86"/>
      <x:c r="I93" s="86"/>
      <x:c r="J93" s="86"/>
      <x:c r="K93" s="86"/>
      <x:c r="L93" s="86"/>
      <x:c r="M93" s="86"/>
      <x:c r="N93" s="86"/>
      <x:c r="O93" s="86"/>
      <x:c r="P93" s="86"/>
      <x:c r="Q93" s="86"/>
      <x:c r="R93" s="86"/>
      <x:c r="S93" s="86"/>
      <x:c r="T93" s="86"/>
      <x:c r="U93" s="86"/>
      <x:c r="V93" s="86"/>
      <x:c r="W93" s="86"/>
      <x:c r="X93" s="86"/>
      <x:c r="Y93" s="86"/>
      <x:c r="Z93" s="86"/>
    </x:row>
    <x:row r="94">
      <x:c r="A94" s="86"/>
      <x:c r="B94" s="86"/>
      <x:c r="C94" s="86"/>
      <x:c r="D94" s="86"/>
      <x:c r="E94" s="86"/>
      <x:c r="F94" s="86"/>
      <x:c r="G94" s="86"/>
      <x:c r="H94" s="86"/>
      <x:c r="I94" s="86"/>
      <x:c r="J94" s="86"/>
      <x:c r="K94" s="86"/>
      <x:c r="L94" s="86"/>
      <x:c r="M94" s="86"/>
      <x:c r="N94" s="86"/>
      <x:c r="O94" s="86"/>
      <x:c r="P94" s="86"/>
      <x:c r="Q94" s="86"/>
      <x:c r="R94" s="86"/>
      <x:c r="S94" s="86"/>
      <x:c r="T94" s="86"/>
      <x:c r="U94" s="86"/>
      <x:c r="V94" s="86"/>
      <x:c r="W94" s="86"/>
      <x:c r="X94" s="86"/>
      <x:c r="Y94" s="86"/>
      <x:c r="Z94" s="86"/>
    </x:row>
    <x:row r="95">
      <x:c r="A95" s="86"/>
      <x:c r="B95" s="86"/>
      <x:c r="C95" s="86"/>
      <x:c r="D95" s="86"/>
      <x:c r="E95" s="86"/>
      <x:c r="F95" s="86"/>
      <x:c r="G95" s="86"/>
      <x:c r="H95" s="86"/>
      <x:c r="I95" s="86"/>
      <x:c r="J95" s="86"/>
      <x:c r="K95" s="86"/>
      <x:c r="L95" s="86"/>
      <x:c r="M95" s="86"/>
      <x:c r="N95" s="86"/>
      <x:c r="O95" s="86"/>
      <x:c r="P95" s="86"/>
      <x:c r="Q95" s="86"/>
      <x:c r="R95" s="86"/>
      <x:c r="S95" s="86"/>
      <x:c r="T95" s="86"/>
      <x:c r="U95" s="86"/>
      <x:c r="V95" s="86"/>
      <x:c r="W95" s="86"/>
      <x:c r="X95" s="86"/>
      <x:c r="Y95" s="86"/>
      <x:c r="Z95" s="86"/>
    </x:row>
    <x:row r="96">
      <x:c r="A96" s="86"/>
      <x:c r="B96" s="86"/>
      <x:c r="C96" s="86"/>
      <x:c r="D96" s="86"/>
      <x:c r="E96" s="86"/>
      <x:c r="F96" s="86"/>
      <x:c r="G96" s="86"/>
      <x:c r="H96" s="86"/>
      <x:c r="I96" s="86"/>
      <x:c r="J96" s="86"/>
      <x:c r="K96" s="86"/>
      <x:c r="L96" s="86"/>
      <x:c r="M96" s="86"/>
      <x:c r="N96" s="86"/>
      <x:c r="O96" s="86"/>
      <x:c r="P96" s="86"/>
      <x:c r="Q96" s="86"/>
      <x:c r="R96" s="86"/>
      <x:c r="S96" s="86"/>
      <x:c r="T96" s="86"/>
      <x:c r="U96" s="86"/>
      <x:c r="V96" s="86"/>
      <x:c r="W96" s="86"/>
      <x:c r="X96" s="86"/>
      <x:c r="Y96" s="86"/>
      <x:c r="Z96" s="86"/>
    </x:row>
    <x:row r="97">
      <x:c r="A97" s="86"/>
      <x:c r="B97" s="86"/>
      <x:c r="C97" s="86"/>
      <x:c r="D97" s="86"/>
      <x:c r="E97" s="86"/>
      <x:c r="F97" s="86"/>
      <x:c r="G97" s="86"/>
      <x:c r="H97" s="86"/>
      <x:c r="I97" s="86"/>
      <x:c r="J97" s="86"/>
      <x:c r="K97" s="86"/>
      <x:c r="L97" s="86"/>
      <x:c r="M97" s="86"/>
      <x:c r="N97" s="86"/>
      <x:c r="O97" s="86"/>
      <x:c r="P97" s="86"/>
      <x:c r="Q97" s="86"/>
      <x:c r="R97" s="86"/>
      <x:c r="S97" s="86"/>
      <x:c r="T97" s="86"/>
      <x:c r="U97" s="86"/>
      <x:c r="V97" s="86"/>
      <x:c r="W97" s="86"/>
      <x:c r="X97" s="86"/>
      <x:c r="Y97" s="86"/>
      <x:c r="Z97" s="86"/>
    </x:row>
    <x:row r="98">
      <x:c r="A98" s="86"/>
      <x:c r="B98" s="86"/>
      <x:c r="C98" s="86"/>
      <x:c r="D98" s="86"/>
      <x:c r="E98" s="86"/>
      <x:c r="F98" s="86"/>
      <x:c r="G98" s="86"/>
      <x:c r="H98" s="86"/>
      <x:c r="I98" s="86"/>
      <x:c r="J98" s="86"/>
      <x:c r="K98" s="86"/>
      <x:c r="L98" s="86"/>
      <x:c r="M98" s="86"/>
      <x:c r="N98" s="86"/>
      <x:c r="O98" s="86"/>
      <x:c r="P98" s="86"/>
      <x:c r="Q98" s="86"/>
      <x:c r="R98" s="86"/>
      <x:c r="S98" s="86"/>
      <x:c r="T98" s="86"/>
      <x:c r="U98" s="86"/>
      <x:c r="V98" s="86"/>
      <x:c r="W98" s="86"/>
      <x:c r="X98" s="86"/>
      <x:c r="Y98" s="86"/>
      <x:c r="Z98" s="86"/>
    </x:row>
    <x:row r="99">
      <x:c r="A99" s="86"/>
      <x:c r="B99" s="86"/>
      <x:c r="C99" s="86"/>
      <x:c r="D99" s="86"/>
      <x:c r="E99" s="86"/>
      <x:c r="F99" s="86"/>
      <x:c r="G99" s="86"/>
      <x:c r="H99" s="86"/>
      <x:c r="I99" s="86"/>
      <x:c r="J99" s="86"/>
      <x:c r="K99" s="86"/>
      <x:c r="L99" s="86"/>
      <x:c r="M99" s="86"/>
      <x:c r="N99" s="86"/>
      <x:c r="O99" s="86"/>
      <x:c r="P99" s="86"/>
      <x:c r="Q99" s="86"/>
      <x:c r="R99" s="86"/>
      <x:c r="S99" s="86"/>
      <x:c r="T99" s="86"/>
      <x:c r="U99" s="86"/>
      <x:c r="V99" s="86"/>
      <x:c r="W99" s="86"/>
      <x:c r="X99" s="86"/>
      <x:c r="Y99" s="86"/>
      <x:c r="Z99" s="86"/>
    </x:row>
    <x:row r="100">
      <x:c r="A100" s="86"/>
      <x:c r="B100" s="86"/>
      <x:c r="C100" s="86"/>
      <x:c r="D100" s="86"/>
      <x:c r="E100" s="86"/>
      <x:c r="F100" s="86"/>
      <x:c r="G100" s="86"/>
      <x:c r="H100" s="86"/>
      <x:c r="I100" s="86"/>
      <x:c r="J100" s="86"/>
      <x:c r="K100" s="86"/>
      <x:c r="L100" s="86"/>
      <x:c r="M100" s="86"/>
      <x:c r="N100" s="86"/>
      <x:c r="O100" s="86"/>
      <x:c r="P100" s="86"/>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J1"/>
    <x:mergeCell ref="A2:J2"/>
    <x:mergeCell ref="A10:J10"/>
    <x:mergeCell ref="A24:J24"/>
  </x:mergeCells>
  <x:conditionalFormatting sqref="E12:E21">
    <x:cfRule type="expression" dxfId="9" priority="1">
      <x:formula>LEFT(E12,1)="A"</x:formula>
    </x:cfRule>
  </x:conditionalFormatting>
  <x:conditionalFormatting sqref="I12:I21">
    <x:cfRule type="expression" dxfId="10" priority="2">
      <x:formula>I12&lt;&gt;"正常"</x:formula>
    </x:cfRule>
  </x:conditionalFormatting>
  <x:pageMargins left="0.7" right="0.7" top="0.75" bottom="0.75" header="0.3" footer="0.3"/>
  <x:drawing xmlns:r="http://schemas.openxmlformats.org/officeDocument/2006/relationships" r:id="Rf7e1ee82d62147b7"/>
</x:worksheet>
</file>

<file path=xl/worksheets/sheet2.xml><?xml version="1.0" encoding="utf-8"?>
<x:worksheet xmlns:x="http://schemas.openxmlformats.org/spreadsheetml/2006/main">
  <x:sheetFormatPr defaultRowHeight="15"/>
  <x:cols>
    <x:col min="1" max="1" width="11" hidden="0" customWidth="1"/>
    <x:col min="2" max="2" width="14" hidden="0" customWidth="1"/>
    <x:col min="3" max="3" width="16" hidden="0" customWidth="1"/>
    <x:col min="4" max="4" width="14" hidden="0" customWidth="1"/>
    <x:col min="5" max="5" width="12" hidden="0" customWidth="1"/>
    <x:col min="6" max="6" width="12" hidden="0" customWidth="1"/>
    <x:col min="7" max="7" width="14" hidden="0" customWidth="1"/>
    <x:col min="8" max="8" width="12" hidden="0" customWidth="1"/>
    <x:col min="9" max="9" width="12" hidden="0" customWidth="1"/>
    <x:col min="10" max="10" width="12" hidden="0" customWidth="1"/>
    <x:col min="11" max="11" width="15" hidden="0" customWidth="1"/>
    <x:col min="12" max="12" width="12" hidden="0" customWidth="1"/>
    <x:col min="13" max="13" width="12" hidden="0" customWidth="1"/>
    <x:col min="14" max="14" width="20" hidden="0" customWidth="1"/>
    <x:col min="15" max="15" width="19" hidden="0" customWidth="1"/>
    <x:col min="16" max="16" width="12" hidden="0" customWidth="1"/>
  </x:cols>
  <x:sheetData>
    <x:row r="1">
      <x:c r="A1" s="5" t="str">
        <x:v>长期观察名单 / 决策总览</x:v>
      </x:c>
      <x:c r="B1" s="5"/>
      <x:c r="C1" s="5"/>
      <x:c r="D1" s="5"/>
      <x:c r="E1" s="5"/>
      <x:c r="F1" s="5"/>
      <x:c r="G1" s="5"/>
      <x:c r="H1" s="5"/>
      <x:c r="I1" s="5"/>
      <x:c r="J1" s="5"/>
      <x:c r="K1" s="5"/>
      <x:c r="L1" s="5"/>
      <x:c r="M1" s="5"/>
      <x:c r="N1" s="5"/>
      <x:c r="O1" s="5"/>
      <x:c r="P1" s="5"/>
      <x:c r="Q1" s="86"/>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股票代码</x:v>
      </x:c>
      <x:c r="B3" s="13" t="str">
        <x:v>公司名称</x:v>
      </x:c>
      <x:c r="C3" s="13" t="str">
        <x:v>行业</x:v>
      </x:c>
      <x:c r="D3" s="13" t="str">
        <x:v>策略类型</x:v>
      </x:c>
      <x:c r="E3" s="13" t="str">
        <x:v>关注状态</x:v>
      </x:c>
      <x:c r="F3" s="13" t="str">
        <x:v>当前价(元)</x:v>
      </x:c>
      <x:c r="G3" s="13" t="str">
        <x:v>综合合理价(元)</x:v>
      </x:c>
      <x:c r="H3" s="13" t="str">
        <x:v>安全边际</x:v>
      </x:c>
      <x:c r="I3" s="13" t="str">
        <x:v>估值温度</x:v>
      </x:c>
      <x:c r="J3" s="13" t="str">
        <x:v>质量综合分</x:v>
      </x:c>
      <x:c r="K3" s="13" t="str">
        <x:v>建仓信号</x:v>
      </x:c>
      <x:c r="L3" s="13" t="str">
        <x:v>目标仓位</x:v>
      </x:c>
      <x:c r="M3" s="13" t="str">
        <x:v>当前仓位</x:v>
      </x:c>
      <x:c r="N3" s="13" t="str">
        <x:v>下一步动作</x:v>
      </x:c>
      <x:c r="O3" s="13" t="str">
        <x:v>最近更新</x:v>
      </x:c>
      <x:c r="P3" s="13" t="str">
        <x:v>数据状态</x:v>
      </x:c>
      <x:c r="Q3" s="86"/>
      <x:c r="R3" s="86"/>
      <x:c r="S3" s="86"/>
      <x:c r="T3" s="86"/>
      <x:c r="U3" s="86"/>
      <x:c r="V3" s="86"/>
      <x:c r="W3" s="86"/>
      <x:c r="X3" s="86"/>
      <x:c r="Y3" s="86"/>
      <x:c r="Z3" s="86"/>
    </x:row>
    <x:row r="4">
      <x:c r="A4" s="86" t="str">
        <x:v>600941</x:v>
      </x:c>
      <x:c r="B4" s="86" t="str">
        <x:v>中国移动</x:v>
      </x:c>
      <x:c r="C4" s="86" t="str">
        <x:v>通信运营</x:v>
      </x:c>
      <x:c r="D4" s="106" t="str">
        <x:v>稳健高股息</x:v>
      </x:c>
      <x:c r="E4" s="106" t="str">
        <x:v>重点观察</x:v>
      </x:c>
      <x:c r="F4" s="107" t="n">
        <x:v>100.53</x:v>
      </x:c>
      <x:c r="G4" s="107" t="n">
        <x:v>85.84</x:v>
      </x:c>
      <x:c r="H4" s="93" t="n">
        <x:v>-0.17113233923578752</x:v>
      </x:c>
      <x:c r="I4" s="92" t="str">
        <x:v>模型估值待复核</x:v>
      </x:c>
      <x:c r="J4" s="108" t="n">
        <x:f>IFERROR(INDEX('02_质量评分'!$M$4:$M$100,MATCH(A4,'02_质量评分'!$A$4:$A$100,0)),"")</x:f>
        <x:v>82.1</x:v>
      </x:c>
      <x:c r="K4" s="92" t="str">
        <x:v>等待复核</x:v>
      </x:c>
      <x:c r="L4" s="93" t="n">
        <x:v>0</x:v>
      </x:c>
      <x:c r="M4" s="93" t="n">
        <x:f>'05_仓位管理'!H10</x:f>
        <x:v>0</x:v>
      </x:c>
      <x:c r="N4" s="92" t="str">
        <x:v>Agent 自动验证</x:v>
      </x:c>
      <x:c r="O4" s="94" t="n">
        <x:v>46269.70660899305</x:v>
      </x:c>
      <x:c r="P4" s="92" t="str">
        <x:v>模型估值待复核</x:v>
      </x:c>
      <x:c r="Q4" s="86"/>
      <x:c r="R4" s="86"/>
      <x:c r="S4" s="86"/>
      <x:c r="T4" s="86"/>
      <x:c r="U4" s="86"/>
      <x:c r="V4" s="86"/>
      <x:c r="W4" s="86"/>
      <x:c r="X4" s="86"/>
      <x:c r="Y4" s="86"/>
      <x:c r="Z4" s="86"/>
    </x:row>
    <x:row r="5">
      <x:c r="A5" s="86" t="str">
        <x:v>600900</x:v>
      </x:c>
      <x:c r="B5" s="86" t="str">
        <x:v>长江电力</x:v>
      </x:c>
      <x:c r="C5" s="86" t="str">
        <x:v>电力公用事业</x:v>
      </x:c>
      <x:c r="D5" s="106" t="str">
        <x:v>稳健现金流</x:v>
      </x:c>
      <x:c r="E5" s="106" t="str">
        <x:v>重点观察</x:v>
      </x:c>
      <x:c r="F5" s="107" t="n">
        <x:v>28.44</x:v>
      </x:c>
      <x:c r="G5" s="107" t="n">
        <x:v>15.99</x:v>
      </x:c>
      <x:c r="H5" s="93" t="n">
        <x:v>-0.7786116322701688</x:v>
      </x:c>
      <x:c r="I5" s="92" t="str">
        <x:v>模型估值待复核</x:v>
      </x:c>
      <x:c r="J5" s="108" t="n">
        <x:f>IFERROR(INDEX('02_质量评分'!$M$4:$M$100,MATCH(A5,'02_质量评分'!$A$4:$A$100,0)),"")</x:f>
        <x:v>81.3</x:v>
      </x:c>
      <x:c r="K5" s="92" t="str">
        <x:v>等待复核</x:v>
      </x:c>
      <x:c r="L5" s="93" t="n">
        <x:v>0</x:v>
      </x:c>
      <x:c r="M5" s="93" t="n">
        <x:f>'05_仓位管理'!H11</x:f>
        <x:v>0</x:v>
      </x:c>
      <x:c r="N5" s="92" t="str">
        <x:v>Agent 自动验证</x:v>
      </x:c>
      <x:c r="O5" s="94" t="n">
        <x:v>46269.70660899305</x:v>
      </x:c>
      <x:c r="P5" s="92" t="str">
        <x:v>模型估值待复核</x:v>
      </x:c>
      <x:c r="Q5" s="86"/>
      <x:c r="R5" s="86"/>
      <x:c r="S5" s="86"/>
      <x:c r="T5" s="86"/>
      <x:c r="U5" s="86"/>
      <x:c r="V5" s="86"/>
      <x:c r="W5" s="86"/>
      <x:c r="X5" s="86"/>
      <x:c r="Y5" s="86"/>
      <x:c r="Z5" s="86"/>
    </x:row>
    <x:row r="6">
      <x:c r="A6" s="86" t="str">
        <x:v>600519</x:v>
      </x:c>
      <x:c r="B6" s="86" t="str">
        <x:v>贵州茅台</x:v>
      </x:c>
      <x:c r="C6" s="86" t="str">
        <x:v>白酒</x:v>
      </x:c>
      <x:c r="D6" s="106" t="str">
        <x:v>消费龙头</x:v>
      </x:c>
      <x:c r="E6" s="106" t="str">
        <x:v>重点观察</x:v>
      </x:c>
      <x:c r="F6" s="107" t="n">
        <x:v>1298.88</x:v>
      </x:c>
      <x:c r="G6" s="107" t="n">
        <x:v>1027.23</x:v>
      </x:c>
      <x:c r="H6" s="93" t="n">
        <x:v>-0.26444905230571536</x:v>
      </x:c>
      <x:c r="I6" s="92" t="str">
        <x:v>模型估值待复核</x:v>
      </x:c>
      <x:c r="J6" s="108" t="n">
        <x:f>IFERROR(INDEX('02_质量评分'!$M$4:$M$100,MATCH(A6,'02_质量评分'!$A$4:$A$100,0)),"")</x:f>
        <x:v>87.8</x:v>
      </x:c>
      <x:c r="K6" s="92" t="str">
        <x:v>等待复核</x:v>
      </x:c>
      <x:c r="L6" s="93" t="n">
        <x:v>0</x:v>
      </x:c>
      <x:c r="M6" s="93" t="n">
        <x:f>'05_仓位管理'!H12</x:f>
        <x:v>0</x:v>
      </x:c>
      <x:c r="N6" s="92" t="str">
        <x:v>Agent 自动验证</x:v>
      </x:c>
      <x:c r="O6" s="94" t="n">
        <x:v>46269.70660899305</x:v>
      </x:c>
      <x:c r="P6" s="92" t="str">
        <x:v>模型估值待复核</x:v>
      </x:c>
      <x:c r="Q6" s="86"/>
      <x:c r="R6" s="86"/>
      <x:c r="S6" s="86"/>
      <x:c r="T6" s="86"/>
      <x:c r="U6" s="86"/>
      <x:c r="V6" s="86"/>
      <x:c r="W6" s="86"/>
      <x:c r="X6" s="86"/>
      <x:c r="Y6" s="86"/>
      <x:c r="Z6" s="86"/>
    </x:row>
    <x:row r="7">
      <x:c r="A7" s="86" t="str">
        <x:v>000333</x:v>
      </x:c>
      <x:c r="B7" s="86" t="str">
        <x:v>美的集团</x:v>
      </x:c>
      <x:c r="C7" s="86" t="str">
        <x:v>家电</x:v>
      </x:c>
      <x:c r="D7" s="106" t="str">
        <x:v>质量价值</x:v>
      </x:c>
      <x:c r="E7" s="106" t="str">
        <x:v>重点观察</x:v>
      </x:c>
      <x:c r="F7" s="107" t="n">
        <x:v>87.25</x:v>
      </x:c>
      <x:c r="G7" s="107" t="n">
        <x:v>81.14</x:v>
      </x:c>
      <x:c r="H7" s="93" t="n">
        <x:v>-0.0753019472516638</x:v>
      </x:c>
      <x:c r="I7" s="92" t="str">
        <x:v>模型估值待复核</x:v>
      </x:c>
      <x:c r="J7" s="108" t="n">
        <x:f>IFERROR(INDEX('02_质量评分'!$M$4:$M$100,MATCH(A7,'02_质量评分'!$A$4:$A$100,0)),"")</x:f>
        <x:v>84</x:v>
      </x:c>
      <x:c r="K7" s="92" t="str">
        <x:v>等待复核</x:v>
      </x:c>
      <x:c r="L7" s="93" t="n">
        <x:v>0</x:v>
      </x:c>
      <x:c r="M7" s="93" t="n">
        <x:f>'05_仓位管理'!H13</x:f>
        <x:v>0</x:v>
      </x:c>
      <x:c r="N7" s="92" t="str">
        <x:v>Agent 自动验证</x:v>
      </x:c>
      <x:c r="O7" s="94" t="n">
        <x:v>46269.70660899305</x:v>
      </x:c>
      <x:c r="P7" s="92" t="str">
        <x:v>模型估值待复核</x:v>
      </x:c>
      <x:c r="Q7" s="86"/>
      <x:c r="R7" s="86"/>
      <x:c r="S7" s="86"/>
      <x:c r="T7" s="86"/>
      <x:c r="U7" s="86"/>
      <x:c r="V7" s="86"/>
      <x:c r="W7" s="86"/>
      <x:c r="X7" s="86"/>
      <x:c r="Y7" s="86"/>
      <x:c r="Z7" s="86"/>
    </x:row>
    <x:row r="8">
      <x:c r="A8" s="86" t="str">
        <x:v>600036</x:v>
      </x:c>
      <x:c r="B8" s="86" t="str">
        <x:v>招商银行</x:v>
      </x:c>
      <x:c r="C8" s="86" t="str">
        <x:v>银行</x:v>
      </x:c>
      <x:c r="D8" s="106" t="str">
        <x:v>质量价值</x:v>
      </x:c>
      <x:c r="E8" s="106" t="str">
        <x:v>重点观察</x:v>
      </x:c>
      <x:c r="F8" s="107" t="n">
        <x:v>41.07</x:v>
      </x:c>
      <x:c r="G8" s="107" t="n">
        <x:v>48.36</x:v>
      </x:c>
      <x:c r="H8" s="93" t="n">
        <x:v>0.15074441687344914</x:v>
      </x:c>
      <x:c r="I8" s="92" t="str">
        <x:v>模型估值待复核</x:v>
      </x:c>
      <x:c r="J8" s="108" t="n">
        <x:f>IFERROR(INDEX('02_质量评分'!$M$4:$M$100,MATCH(A8,'02_质量评分'!$A$4:$A$100,0)),"")</x:f>
        <x:v>80.4</x:v>
      </x:c>
      <x:c r="K8" s="92" t="str">
        <x:v>等待复核</x:v>
      </x:c>
      <x:c r="L8" s="93" t="n">
        <x:v>0</x:v>
      </x:c>
      <x:c r="M8" s="93" t="n">
        <x:f>'05_仓位管理'!H14</x:f>
        <x:v>0</x:v>
      </x:c>
      <x:c r="N8" s="92" t="str">
        <x:v>Agent 自动验证</x:v>
      </x:c>
      <x:c r="O8" s="94" t="n">
        <x:v>46269.70660899305</x:v>
      </x:c>
      <x:c r="P8" s="92" t="str">
        <x:v>模型估值待复核</x:v>
      </x:c>
      <x:c r="Q8" s="86"/>
      <x:c r="R8" s="86"/>
      <x:c r="S8" s="86"/>
      <x:c r="T8" s="86"/>
      <x:c r="U8" s="86"/>
      <x:c r="V8" s="86"/>
      <x:c r="W8" s="86"/>
      <x:c r="X8" s="86"/>
      <x:c r="Y8" s="86"/>
      <x:c r="Z8" s="86"/>
    </x:row>
    <x:row r="9">
      <x:c r="A9" s="86" t="str">
        <x:v>601288</x:v>
      </x:c>
      <x:c r="B9" s="86" t="str">
        <x:v>农业银行</x:v>
      </x:c>
      <x:c r="C9" s="86" t="str">
        <x:v>银行</x:v>
      </x:c>
      <x:c r="D9" s="106" t="str">
        <x:v>稳健高股息</x:v>
      </x:c>
      <x:c r="E9" s="106" t="str">
        <x:v>重点观察</x:v>
      </x:c>
      <x:c r="F9" s="107" t="n">
        <x:v>6.89</x:v>
      </x:c>
      <x:c r="G9" s="107" t="n">
        <x:v>6.58</x:v>
      </x:c>
      <x:c r="H9" s="93" t="n">
        <x:v>-0.04711246200607903</x:v>
      </x:c>
      <x:c r="I9" s="92" t="str">
        <x:v>模型估值待复核</x:v>
      </x:c>
      <x:c r="J9" s="108" t="n">
        <x:f>IFERROR(INDEX('02_质量评分'!$M$4:$M$100,MATCH(A9,'02_质量评分'!$A$4:$A$100,0)),"")</x:f>
        <x:v>77.2</x:v>
      </x:c>
      <x:c r="K9" s="92" t="str">
        <x:v>等待复核</x:v>
      </x:c>
      <x:c r="L9" s="93" t="n">
        <x:v>0</x:v>
      </x:c>
      <x:c r="M9" s="93" t="n">
        <x:f>'05_仓位管理'!H15</x:f>
        <x:v>0</x:v>
      </x:c>
      <x:c r="N9" s="92" t="str">
        <x:v>Agent 自动验证</x:v>
      </x:c>
      <x:c r="O9" s="94" t="n">
        <x:v>46269.70660899305</x:v>
      </x:c>
      <x:c r="P9" s="92" t="str">
        <x:v>模型估值待复核</x:v>
      </x:c>
      <x:c r="Q9" s="86"/>
      <x:c r="R9" s="86"/>
      <x:c r="S9" s="86"/>
      <x:c r="T9" s="86"/>
      <x:c r="U9" s="86"/>
      <x:c r="V9" s="86"/>
      <x:c r="W9" s="86"/>
      <x:c r="X9" s="86"/>
      <x:c r="Y9" s="86"/>
      <x:c r="Z9" s="86"/>
    </x:row>
    <x:row r="10">
      <x:c r="A10" s="86" t="str">
        <x:v>601088</x:v>
      </x:c>
      <x:c r="B10" s="86" t="str">
        <x:v>中国神华</x:v>
      </x:c>
      <x:c r="C10" s="86" t="str">
        <x:v>煤炭</x:v>
      </x:c>
      <x:c r="D10" s="106" t="str">
        <x:v>周期高股息</x:v>
      </x:c>
      <x:c r="E10" s="106" t="str">
        <x:v>重点观察</x:v>
      </x:c>
      <x:c r="F10" s="107" t="n">
        <x:v>47.78</x:v>
      </x:c>
      <x:c r="G10" s="107" t="n">
        <x:v>34.28</x:v>
      </x:c>
      <x:c r="H10" s="93" t="n">
        <x:v>-0.3938156359393232</x:v>
      </x:c>
      <x:c r="I10" s="92" t="str">
        <x:v>模型估值待复核</x:v>
      </x:c>
      <x:c r="J10" s="108" t="n">
        <x:f>IFERROR(INDEX('02_质量评分'!$M$4:$M$100,MATCH(A10,'02_质量评分'!$A$4:$A$100,0)),"")</x:f>
        <x:v>83.4</x:v>
      </x:c>
      <x:c r="K10" s="92" t="str">
        <x:v>等待复核</x:v>
      </x:c>
      <x:c r="L10" s="93" t="n">
        <x:v>0</x:v>
      </x:c>
      <x:c r="M10" s="93" t="n">
        <x:f>'05_仓位管理'!H16</x:f>
        <x:v>0</x:v>
      </x:c>
      <x:c r="N10" s="92" t="str">
        <x:v>Agent 自动验证</x:v>
      </x:c>
      <x:c r="O10" s="94" t="n">
        <x:v>46269.70660899305</x:v>
      </x:c>
      <x:c r="P10" s="92" t="str">
        <x:v>模型估值待复核</x:v>
      </x:c>
      <x:c r="Q10" s="86"/>
      <x:c r="R10" s="86"/>
      <x:c r="S10" s="86"/>
      <x:c r="T10" s="86"/>
      <x:c r="U10" s="86"/>
      <x:c r="V10" s="86"/>
      <x:c r="W10" s="86"/>
      <x:c r="X10" s="86"/>
      <x:c r="Y10" s="86"/>
      <x:c r="Z10" s="86"/>
    </x:row>
    <x:row r="11">
      <x:c r="A11" s="86" t="str">
        <x:v>600690</x:v>
      </x:c>
      <x:c r="B11" s="86" t="str">
        <x:v>海尔智家</x:v>
      </x:c>
      <x:c r="C11" s="86" t="str">
        <x:v>家电</x:v>
      </x:c>
      <x:c r="D11" s="106" t="str">
        <x:v>质量价值</x:v>
      </x:c>
      <x:c r="E11" s="106" t="str">
        <x:v>重点观察</x:v>
      </x:c>
      <x:c r="F11" s="107" t="n">
        <x:v>21.82</x:v>
      </x:c>
      <x:c r="G11" s="107" t="n">
        <x:v>27.65</x:v>
      </x:c>
      <x:c r="H11" s="93" t="n">
        <x:v>0.2108499095840868</x:v>
      </x:c>
      <x:c r="I11" s="92" t="str">
        <x:v>模型估值待复核</x:v>
      </x:c>
      <x:c r="J11" s="108" t="n">
        <x:f>IFERROR(INDEX('02_质量评分'!$M$4:$M$100,MATCH(A11,'02_质量评分'!$A$4:$A$100,0)),"")</x:f>
        <x:v>79</x:v>
      </x:c>
      <x:c r="K11" s="92" t="str">
        <x:v>等待复核</x:v>
      </x:c>
      <x:c r="L11" s="93" t="n">
        <x:v>0</x:v>
      </x:c>
      <x:c r="M11" s="93" t="n">
        <x:f>'05_仓位管理'!H17</x:f>
        <x:v>0</x:v>
      </x:c>
      <x:c r="N11" s="92" t="str">
        <x:v>Agent 自动验证</x:v>
      </x:c>
      <x:c r="O11" s="94" t="n">
        <x:v>46269.70660899305</x:v>
      </x:c>
      <x:c r="P11" s="92" t="str">
        <x:v>模型估值待复核</x:v>
      </x:c>
      <x:c r="Q11" s="86"/>
      <x:c r="R11" s="86"/>
      <x:c r="S11" s="86"/>
      <x:c r="T11" s="86"/>
      <x:c r="U11" s="86"/>
      <x:c r="V11" s="86"/>
      <x:c r="W11" s="86"/>
      <x:c r="X11" s="86"/>
      <x:c r="Y11" s="86"/>
      <x:c r="Z11" s="86"/>
    </x:row>
    <x:row r="12">
      <x:c r="A12" s="86" t="str">
        <x:v>300750</x:v>
      </x:c>
      <x:c r="B12" s="86" t="str">
        <x:v>宁德时代</x:v>
      </x:c>
      <x:c r="C12" s="86" t="str">
        <x:v>新能源电池</x:v>
      </x:c>
      <x:c r="D12" s="106" t="str">
        <x:v>成长价值</x:v>
      </x:c>
      <x:c r="E12" s="106" t="str">
        <x:v>重点观察</x:v>
      </x:c>
      <x:c r="F12" s="107" t="n">
        <x:v>349.5</x:v>
      </x:c>
      <x:c r="G12" s="107" t="n">
        <x:v>333.13</x:v>
      </x:c>
      <x:c r="H12" s="93" t="n">
        <x:v>-0.04913997538498484</x:v>
      </x:c>
      <x:c r="I12" s="92" t="str">
        <x:v>模型估值待复核</x:v>
      </x:c>
      <x:c r="J12" s="108" t="n">
        <x:f>IFERROR(INDEX('02_质量评分'!$M$4:$M$100,MATCH(A12,'02_质量评分'!$A$4:$A$100,0)),"")</x:f>
        <x:v>83.8</x:v>
      </x:c>
      <x:c r="K12" s="92" t="str">
        <x:v>等待复核</x:v>
      </x:c>
      <x:c r="L12" s="93" t="n">
        <x:v>0</x:v>
      </x:c>
      <x:c r="M12" s="93" t="n">
        <x:f>'05_仓位管理'!H18</x:f>
        <x:v>0</x:v>
      </x:c>
      <x:c r="N12" s="92" t="str">
        <x:v>Agent 自动验证</x:v>
      </x:c>
      <x:c r="O12" s="94" t="n">
        <x:v>46269.70660899305</x:v>
      </x:c>
      <x:c r="P12" s="92" t="str">
        <x:v>模型估值待复核</x:v>
      </x:c>
      <x:c r="Q12" s="86"/>
      <x:c r="R12" s="86"/>
      <x:c r="S12" s="86"/>
      <x:c r="T12" s="86"/>
      <x:c r="U12" s="86"/>
      <x:c r="V12" s="86"/>
      <x:c r="W12" s="86"/>
      <x:c r="X12" s="86"/>
      <x:c r="Y12" s="86"/>
      <x:c r="Z12" s="86"/>
    </x:row>
    <x:row r="13">
      <x:c r="A13" s="86" t="str">
        <x:v>600887</x:v>
      </x:c>
      <x:c r="B13" s="86" t="str">
        <x:v>伊利股份</x:v>
      </x:c>
      <x:c r="C13" s="86" t="str">
        <x:v>乳制品</x:v>
      </x:c>
      <x:c r="D13" s="106" t="str">
        <x:v>消费稳定</x:v>
      </x:c>
      <x:c r="E13" s="106" t="str">
        <x:v>重点观察</x:v>
      </x:c>
      <x:c r="F13" s="107" t="n">
        <x:v>26.56</x:v>
      </x:c>
      <x:c r="G13" s="107" t="n">
        <x:v>22.95</x:v>
      </x:c>
      <x:c r="H13" s="93" t="n">
        <x:v>-0.15729847494553376</x:v>
      </x:c>
      <x:c r="I13" s="92" t="str">
        <x:v>模型估值待复核</x:v>
      </x:c>
      <x:c r="J13" s="108" t="n">
        <x:f>IFERROR(INDEX('02_质量评分'!$M$4:$M$100,MATCH(A13,'02_质量评分'!$A$4:$A$100,0)),"")</x:f>
        <x:v>74.1</x:v>
      </x:c>
      <x:c r="K13" s="92" t="str">
        <x:v>等待复核</x:v>
      </x:c>
      <x:c r="L13" s="93" t="n">
        <x:v>0</x:v>
      </x:c>
      <x:c r="M13" s="93" t="n">
        <x:f>'05_仓位管理'!H19</x:f>
        <x:v>0</x:v>
      </x:c>
      <x:c r="N13" s="92" t="str">
        <x:v>Agent 自动验证</x:v>
      </x:c>
      <x:c r="O13" s="94" t="n">
        <x:v>46269.70660899305</x:v>
      </x:c>
      <x:c r="P13" s="92" t="str">
        <x:v>模型估值待复核</x:v>
      </x:c>
      <x:c r="Q13" s="86"/>
      <x:c r="R13" s="86"/>
      <x:c r="S13" s="86"/>
      <x:c r="T13" s="86"/>
      <x:c r="U13" s="86"/>
      <x:c r="V13" s="86"/>
      <x:c r="W13" s="86"/>
      <x:c r="X13" s="86"/>
      <x:c r="Y13" s="86"/>
      <x:c r="Z13" s="86"/>
    </x:row>
    <x:row r="14">
      <x:c r="A14" s="86"/>
      <x:c r="B14" s="86"/>
      <x:c r="C14" s="86"/>
      <x:c r="D14" s="106"/>
      <x:c r="E14" s="106"/>
      <x:c r="F14" s="107"/>
      <x:c r="G14" s="107"/>
      <x:c r="H14" s="93"/>
      <x:c r="I14" s="92"/>
      <x:c r="J14" s="108"/>
      <x:c r="K14" s="92"/>
      <x:c r="L14" s="93"/>
      <x:c r="M14" s="93"/>
      <x:c r="N14" s="92"/>
      <x:c r="O14" s="94"/>
      <x:c r="P14" s="92"/>
      <x:c r="Q14" s="86"/>
      <x:c r="R14" s="86"/>
      <x:c r="S14" s="86"/>
      <x:c r="T14" s="86"/>
      <x:c r="U14" s="86"/>
      <x:c r="V14" s="86"/>
      <x:c r="W14" s="86"/>
      <x:c r="X14" s="86"/>
      <x:c r="Y14" s="86"/>
      <x:c r="Z14" s="86"/>
    </x:row>
    <x:row r="15">
      <x:c r="A15" s="86"/>
      <x:c r="B15" s="86"/>
      <x:c r="C15" s="86"/>
      <x:c r="D15" s="106"/>
      <x:c r="E15" s="106"/>
      <x:c r="F15" s="107"/>
      <x:c r="G15" s="107"/>
      <x:c r="H15" s="93"/>
      <x:c r="I15" s="92"/>
      <x:c r="J15" s="108"/>
      <x:c r="K15" s="92"/>
      <x:c r="L15" s="93"/>
      <x:c r="M15" s="93"/>
      <x:c r="N15" s="92"/>
      <x:c r="O15" s="94"/>
      <x:c r="P15" s="92"/>
      <x:c r="Q15" s="86"/>
      <x:c r="R15" s="86"/>
      <x:c r="S15" s="86"/>
      <x:c r="T15" s="86"/>
      <x:c r="U15" s="86"/>
      <x:c r="V15" s="86"/>
      <x:c r="W15" s="86"/>
      <x:c r="X15" s="86"/>
      <x:c r="Y15" s="86"/>
      <x:c r="Z15" s="86"/>
    </x:row>
    <x:row r="16">
      <x:c r="A16" s="86"/>
      <x:c r="B16" s="86"/>
      <x:c r="C16" s="86"/>
      <x:c r="D16" s="106"/>
      <x:c r="E16" s="106"/>
      <x:c r="F16" s="107"/>
      <x:c r="G16" s="107"/>
      <x:c r="H16" s="93"/>
      <x:c r="I16" s="92"/>
      <x:c r="J16" s="108"/>
      <x:c r="K16" s="92"/>
      <x:c r="L16" s="93"/>
      <x:c r="M16" s="93"/>
      <x:c r="N16" s="92"/>
      <x:c r="O16" s="94"/>
      <x:c r="P16" s="92"/>
      <x:c r="Q16" s="86"/>
      <x:c r="R16" s="86"/>
      <x:c r="S16" s="86"/>
      <x:c r="T16" s="86"/>
      <x:c r="U16" s="86"/>
      <x:c r="V16" s="86"/>
      <x:c r="W16" s="86"/>
      <x:c r="X16" s="86"/>
      <x:c r="Y16" s="86"/>
      <x:c r="Z16" s="86"/>
    </x:row>
    <x:row r="17">
      <x:c r="A17" s="86"/>
      <x:c r="B17" s="86"/>
      <x:c r="C17" s="86"/>
      <x:c r="D17" s="106"/>
      <x:c r="E17" s="106"/>
      <x:c r="F17" s="107"/>
      <x:c r="G17" s="107"/>
      <x:c r="H17" s="93"/>
      <x:c r="I17" s="92"/>
      <x:c r="J17" s="108"/>
      <x:c r="K17" s="92"/>
      <x:c r="L17" s="93"/>
      <x:c r="M17" s="93"/>
      <x:c r="N17" s="92"/>
      <x:c r="O17" s="94"/>
      <x:c r="P17" s="92"/>
      <x:c r="Q17" s="86"/>
      <x:c r="R17" s="86"/>
      <x:c r="S17" s="86"/>
      <x:c r="T17" s="86"/>
      <x:c r="U17" s="86"/>
      <x:c r="V17" s="86"/>
      <x:c r="W17" s="86"/>
      <x:c r="X17" s="86"/>
      <x:c r="Y17" s="86"/>
      <x:c r="Z17" s="86"/>
    </x:row>
    <x:row r="18">
      <x:c r="A18" s="86"/>
      <x:c r="B18" s="86"/>
      <x:c r="C18" s="86"/>
      <x:c r="D18" s="106"/>
      <x:c r="E18" s="106"/>
      <x:c r="F18" s="107"/>
      <x:c r="G18" s="107"/>
      <x:c r="H18" s="93"/>
      <x:c r="I18" s="92"/>
      <x:c r="J18" s="108"/>
      <x:c r="K18" s="92"/>
      <x:c r="L18" s="93"/>
      <x:c r="M18" s="93"/>
      <x:c r="N18" s="92"/>
      <x:c r="O18" s="94"/>
      <x:c r="P18" s="92"/>
      <x:c r="Q18" s="86"/>
      <x:c r="R18" s="86"/>
      <x:c r="S18" s="86"/>
      <x:c r="T18" s="86"/>
      <x:c r="U18" s="86"/>
      <x:c r="V18" s="86"/>
      <x:c r="W18" s="86"/>
      <x:c r="X18" s="86"/>
      <x:c r="Y18" s="86"/>
      <x:c r="Z18" s="86"/>
    </x:row>
    <x:row r="19">
      <x:c r="A19" s="86"/>
      <x:c r="B19" s="86"/>
      <x:c r="C19" s="86"/>
      <x:c r="D19" s="106"/>
      <x:c r="E19" s="106"/>
      <x:c r="F19" s="107"/>
      <x:c r="G19" s="107"/>
      <x:c r="H19" s="93"/>
      <x:c r="I19" s="92"/>
      <x:c r="J19" s="108"/>
      <x:c r="K19" s="92"/>
      <x:c r="L19" s="93"/>
      <x:c r="M19" s="93"/>
      <x:c r="N19" s="92"/>
      <x:c r="O19" s="94"/>
      <x:c r="P19" s="92"/>
      <x:c r="Q19" s="86"/>
      <x:c r="R19" s="86"/>
      <x:c r="S19" s="86"/>
      <x:c r="T19" s="86"/>
      <x:c r="U19" s="86"/>
      <x:c r="V19" s="86"/>
      <x:c r="W19" s="86"/>
      <x:c r="X19" s="86"/>
      <x:c r="Y19" s="86"/>
      <x:c r="Z19" s="86"/>
    </x:row>
    <x:row r="20">
      <x:c r="A20" s="86"/>
      <x:c r="B20" s="86"/>
      <x:c r="C20" s="86"/>
      <x:c r="D20" s="106"/>
      <x:c r="E20" s="106"/>
      <x:c r="F20" s="107"/>
      <x:c r="G20" s="107"/>
      <x:c r="H20" s="93"/>
      <x:c r="I20" s="92"/>
      <x:c r="J20" s="108"/>
      <x:c r="K20" s="92"/>
      <x:c r="L20" s="93"/>
      <x:c r="M20" s="93"/>
      <x:c r="N20" s="92"/>
      <x:c r="O20" s="94"/>
      <x:c r="P20" s="92"/>
      <x:c r="Q20" s="86"/>
      <x:c r="R20" s="86"/>
      <x:c r="S20" s="86"/>
      <x:c r="T20" s="86"/>
      <x:c r="U20" s="86"/>
      <x:c r="V20" s="86"/>
      <x:c r="W20" s="86"/>
      <x:c r="X20" s="86"/>
      <x:c r="Y20" s="86"/>
      <x:c r="Z20" s="86"/>
    </x:row>
    <x:row r="21">
      <x:c r="A21" s="86"/>
      <x:c r="B21" s="86"/>
      <x:c r="C21" s="86"/>
      <x:c r="D21" s="106"/>
      <x:c r="E21" s="106"/>
      <x:c r="F21" s="107"/>
      <x:c r="G21" s="107"/>
      <x:c r="H21" s="93"/>
      <x:c r="I21" s="92"/>
      <x:c r="J21" s="108"/>
      <x:c r="K21" s="92"/>
      <x:c r="L21" s="93"/>
      <x:c r="M21" s="93"/>
      <x:c r="N21" s="92"/>
      <x:c r="O21" s="94"/>
      <x:c r="P21" s="92"/>
      <x:c r="Q21" s="86"/>
      <x:c r="R21" s="86"/>
      <x:c r="S21" s="86"/>
      <x:c r="T21" s="86"/>
      <x:c r="U21" s="86"/>
      <x:c r="V21" s="86"/>
      <x:c r="W21" s="86"/>
      <x:c r="X21" s="86"/>
      <x:c r="Y21" s="86"/>
      <x:c r="Z21" s="86"/>
    </x:row>
    <x:row r="22">
      <x:c r="A22" s="86"/>
      <x:c r="B22" s="86"/>
      <x:c r="C22" s="86"/>
      <x:c r="D22" s="106"/>
      <x:c r="E22" s="106"/>
      <x:c r="F22" s="107"/>
      <x:c r="G22" s="107"/>
      <x:c r="H22" s="93"/>
      <x:c r="I22" s="92"/>
      <x:c r="J22" s="108"/>
      <x:c r="K22" s="92"/>
      <x:c r="L22" s="93"/>
      <x:c r="M22" s="93"/>
      <x:c r="N22" s="92"/>
      <x:c r="O22" s="94"/>
      <x:c r="P22" s="92"/>
      <x:c r="Q22" s="86"/>
      <x:c r="R22" s="86"/>
      <x:c r="S22" s="86"/>
      <x:c r="T22" s="86"/>
      <x:c r="U22" s="86"/>
      <x:c r="V22" s="86"/>
      <x:c r="W22" s="86"/>
      <x:c r="X22" s="86"/>
      <x:c r="Y22" s="86"/>
      <x:c r="Z22" s="86"/>
    </x:row>
    <x:row r="23">
      <x:c r="A23" s="86"/>
      <x:c r="B23" s="86"/>
      <x:c r="C23" s="86"/>
      <x:c r="D23" s="106"/>
      <x:c r="E23" s="106"/>
      <x:c r="F23" s="107"/>
      <x:c r="G23" s="107"/>
      <x:c r="H23" s="93"/>
      <x:c r="I23" s="92"/>
      <x:c r="J23" s="108"/>
      <x:c r="K23" s="92"/>
      <x:c r="L23" s="93"/>
      <x:c r="M23" s="93"/>
      <x:c r="N23" s="92"/>
      <x:c r="O23" s="94"/>
      <x:c r="P23" s="92"/>
      <x:c r="Q23" s="86"/>
      <x:c r="R23" s="86"/>
      <x:c r="S23" s="86"/>
      <x:c r="T23" s="86"/>
      <x:c r="U23" s="86"/>
      <x:c r="V23" s="86"/>
      <x:c r="W23" s="86"/>
      <x:c r="X23" s="86"/>
      <x:c r="Y23" s="86"/>
      <x:c r="Z23" s="86"/>
    </x:row>
    <x:row r="24">
      <x:c r="A24" s="86"/>
      <x:c r="B24" s="86"/>
      <x:c r="C24" s="86"/>
      <x:c r="D24" s="106"/>
      <x:c r="E24" s="106"/>
      <x:c r="F24" s="107"/>
      <x:c r="G24" s="107"/>
      <x:c r="H24" s="93"/>
      <x:c r="I24" s="92"/>
      <x:c r="J24" s="108"/>
      <x:c r="K24" s="92"/>
      <x:c r="L24" s="93"/>
      <x:c r="M24" s="93"/>
      <x:c r="N24" s="92"/>
      <x:c r="O24" s="94"/>
      <x:c r="P24" s="92"/>
      <x:c r="Q24" s="86"/>
      <x:c r="R24" s="86"/>
      <x:c r="S24" s="86"/>
      <x:c r="T24" s="86"/>
      <x:c r="U24" s="86"/>
      <x:c r="V24" s="86"/>
      <x:c r="W24" s="86"/>
      <x:c r="X24" s="86"/>
      <x:c r="Y24" s="86"/>
      <x:c r="Z24" s="86"/>
    </x:row>
    <x:row r="25">
      <x:c r="A25" s="86"/>
      <x:c r="B25" s="86"/>
      <x:c r="C25" s="86"/>
      <x:c r="D25" s="106"/>
      <x:c r="E25" s="106"/>
      <x:c r="F25" s="107"/>
      <x:c r="G25" s="107"/>
      <x:c r="H25" s="93"/>
      <x:c r="I25" s="92"/>
      <x:c r="J25" s="108"/>
      <x:c r="K25" s="92"/>
      <x:c r="L25" s="93"/>
      <x:c r="M25" s="93"/>
      <x:c r="N25" s="92"/>
      <x:c r="O25" s="94"/>
      <x:c r="P25" s="92"/>
      <x:c r="Q25" s="86"/>
      <x:c r="R25" s="86"/>
      <x:c r="S25" s="86"/>
      <x:c r="T25" s="86"/>
      <x:c r="U25" s="86"/>
      <x:c r="V25" s="86"/>
      <x:c r="W25" s="86"/>
      <x:c r="X25" s="86"/>
      <x:c r="Y25" s="86"/>
      <x:c r="Z25" s="86"/>
    </x:row>
    <x:row r="26">
      <x:c r="A26" s="86"/>
      <x:c r="B26" s="86"/>
      <x:c r="C26" s="86"/>
      <x:c r="D26" s="106"/>
      <x:c r="E26" s="106"/>
      <x:c r="F26" s="107"/>
      <x:c r="G26" s="107"/>
      <x:c r="H26" s="93"/>
      <x:c r="I26" s="92"/>
      <x:c r="J26" s="108"/>
      <x:c r="K26" s="92"/>
      <x:c r="L26" s="93"/>
      <x:c r="M26" s="93"/>
      <x:c r="N26" s="92"/>
      <x:c r="O26" s="94"/>
      <x:c r="P26" s="92"/>
      <x:c r="Q26" s="86"/>
      <x:c r="R26" s="86"/>
      <x:c r="S26" s="86"/>
      <x:c r="T26" s="86"/>
      <x:c r="U26" s="86"/>
      <x:c r="V26" s="86"/>
      <x:c r="W26" s="86"/>
      <x:c r="X26" s="86"/>
      <x:c r="Y26" s="86"/>
      <x:c r="Z26" s="86"/>
    </x:row>
    <x:row r="27">
      <x:c r="A27" s="86"/>
      <x:c r="B27" s="86"/>
      <x:c r="C27" s="86"/>
      <x:c r="D27" s="106"/>
      <x:c r="E27" s="106"/>
      <x:c r="F27" s="107"/>
      <x:c r="G27" s="107"/>
      <x:c r="H27" s="93"/>
      <x:c r="I27" s="92"/>
      <x:c r="J27" s="108"/>
      <x:c r="K27" s="92"/>
      <x:c r="L27" s="93"/>
      <x:c r="M27" s="93"/>
      <x:c r="N27" s="92"/>
      <x:c r="O27" s="94"/>
      <x:c r="P27" s="92"/>
      <x:c r="Q27" s="86"/>
      <x:c r="R27" s="86"/>
      <x:c r="S27" s="86"/>
      <x:c r="T27" s="86"/>
      <x:c r="U27" s="86"/>
      <x:c r="V27" s="86"/>
      <x:c r="W27" s="86"/>
      <x:c r="X27" s="86"/>
      <x:c r="Y27" s="86"/>
      <x:c r="Z27" s="86"/>
    </x:row>
    <x:row r="28">
      <x:c r="A28" s="86"/>
      <x:c r="B28" s="86"/>
      <x:c r="C28" s="86"/>
      <x:c r="D28" s="106"/>
      <x:c r="E28" s="106"/>
      <x:c r="F28" s="107"/>
      <x:c r="G28" s="107"/>
      <x:c r="H28" s="93"/>
      <x:c r="I28" s="92"/>
      <x:c r="J28" s="108"/>
      <x:c r="K28" s="92"/>
      <x:c r="L28" s="93"/>
      <x:c r="M28" s="93"/>
      <x:c r="N28" s="92"/>
      <x:c r="O28" s="94"/>
      <x:c r="P28" s="92"/>
      <x:c r="Q28" s="86"/>
      <x:c r="R28" s="86"/>
      <x:c r="S28" s="86"/>
      <x:c r="T28" s="86"/>
      <x:c r="U28" s="86"/>
      <x:c r="V28" s="86"/>
      <x:c r="W28" s="86"/>
      <x:c r="X28" s="86"/>
      <x:c r="Y28" s="86"/>
      <x:c r="Z28" s="86"/>
    </x:row>
    <x:row r="29">
      <x:c r="A29" s="86"/>
      <x:c r="B29" s="86"/>
      <x:c r="C29" s="86"/>
      <x:c r="D29" s="106"/>
      <x:c r="E29" s="106"/>
      <x:c r="F29" s="107"/>
      <x:c r="G29" s="107"/>
      <x:c r="H29" s="93"/>
      <x:c r="I29" s="92"/>
      <x:c r="J29" s="108"/>
      <x:c r="K29" s="92"/>
      <x:c r="L29" s="93"/>
      <x:c r="M29" s="93"/>
      <x:c r="N29" s="92"/>
      <x:c r="O29" s="94"/>
      <x:c r="P29" s="92"/>
      <x:c r="Q29" s="86"/>
      <x:c r="R29" s="86"/>
      <x:c r="S29" s="86"/>
      <x:c r="T29" s="86"/>
      <x:c r="U29" s="86"/>
      <x:c r="V29" s="86"/>
      <x:c r="W29" s="86"/>
      <x:c r="X29" s="86"/>
      <x:c r="Y29" s="86"/>
      <x:c r="Z29" s="86"/>
    </x:row>
    <x:row r="30">
      <x:c r="A30" s="86"/>
      <x:c r="B30" s="86"/>
      <x:c r="C30" s="86"/>
      <x:c r="D30" s="106"/>
      <x:c r="E30" s="106"/>
      <x:c r="F30" s="107"/>
      <x:c r="G30" s="107"/>
      <x:c r="H30" s="93"/>
      <x:c r="I30" s="92"/>
      <x:c r="J30" s="108"/>
      <x:c r="K30" s="92"/>
      <x:c r="L30" s="93"/>
      <x:c r="M30" s="93"/>
      <x:c r="N30" s="92"/>
      <x:c r="O30" s="94"/>
      <x:c r="P30" s="92"/>
      <x:c r="Q30" s="86"/>
      <x:c r="R30" s="86"/>
      <x:c r="S30" s="86"/>
      <x:c r="T30" s="86"/>
      <x:c r="U30" s="86"/>
      <x:c r="V30" s="86"/>
      <x:c r="W30" s="86"/>
      <x:c r="X30" s="86"/>
      <x:c r="Y30" s="86"/>
      <x:c r="Z30" s="86"/>
    </x:row>
    <x:row r="31">
      <x:c r="A31" s="86"/>
      <x:c r="B31" s="86"/>
      <x:c r="C31" s="86"/>
      <x:c r="D31" s="106"/>
      <x:c r="E31" s="106"/>
      <x:c r="F31" s="107"/>
      <x:c r="G31" s="107"/>
      <x:c r="H31" s="93"/>
      <x:c r="I31" s="92"/>
      <x:c r="J31" s="108"/>
      <x:c r="K31" s="92"/>
      <x:c r="L31" s="93"/>
      <x:c r="M31" s="93"/>
      <x:c r="N31" s="92"/>
      <x:c r="O31" s="94"/>
      <x:c r="P31" s="92"/>
      <x:c r="Q31" s="86"/>
      <x:c r="R31" s="86"/>
      <x:c r="S31" s="86"/>
      <x:c r="T31" s="86"/>
      <x:c r="U31" s="86"/>
      <x:c r="V31" s="86"/>
      <x:c r="W31" s="86"/>
      <x:c r="X31" s="86"/>
      <x:c r="Y31" s="86"/>
      <x:c r="Z31" s="86"/>
    </x:row>
    <x:row r="32">
      <x:c r="A32" s="86"/>
      <x:c r="B32" s="86"/>
      <x:c r="C32" s="86"/>
      <x:c r="D32" s="106"/>
      <x:c r="E32" s="106"/>
      <x:c r="F32" s="107"/>
      <x:c r="G32" s="107"/>
      <x:c r="H32" s="93"/>
      <x:c r="I32" s="92"/>
      <x:c r="J32" s="108"/>
      <x:c r="K32" s="92"/>
      <x:c r="L32" s="93"/>
      <x:c r="M32" s="93"/>
      <x:c r="N32" s="92"/>
      <x:c r="O32" s="94"/>
      <x:c r="P32" s="92"/>
      <x:c r="Q32" s="86"/>
      <x:c r="R32" s="86"/>
      <x:c r="S32" s="86"/>
      <x:c r="T32" s="86"/>
      <x:c r="U32" s="86"/>
      <x:c r="V32" s="86"/>
      <x:c r="W32" s="86"/>
      <x:c r="X32" s="86"/>
      <x:c r="Y32" s="86"/>
      <x:c r="Z32" s="86"/>
    </x:row>
    <x:row r="33">
      <x:c r="A33" s="86"/>
      <x:c r="B33" s="86"/>
      <x:c r="C33" s="86"/>
      <x:c r="D33" s="106"/>
      <x:c r="E33" s="106"/>
      <x:c r="F33" s="107"/>
      <x:c r="G33" s="107"/>
      <x:c r="H33" s="93"/>
      <x:c r="I33" s="92"/>
      <x:c r="J33" s="108"/>
      <x:c r="K33" s="92"/>
      <x:c r="L33" s="93"/>
      <x:c r="M33" s="93"/>
      <x:c r="N33" s="92"/>
      <x:c r="O33" s="94"/>
      <x:c r="P33" s="92"/>
      <x:c r="Q33" s="86"/>
      <x:c r="R33" s="86"/>
      <x:c r="S33" s="86"/>
      <x:c r="T33" s="86"/>
      <x:c r="U33" s="86"/>
      <x:c r="V33" s="86"/>
      <x:c r="W33" s="86"/>
      <x:c r="X33" s="86"/>
      <x:c r="Y33" s="86"/>
      <x:c r="Z33" s="86"/>
    </x:row>
    <x:row r="34">
      <x:c r="A34" s="86"/>
      <x:c r="B34" s="86"/>
      <x:c r="C34" s="86"/>
      <x:c r="D34" s="106"/>
      <x:c r="E34" s="106"/>
      <x:c r="F34" s="107"/>
      <x:c r="G34" s="107"/>
      <x:c r="H34" s="93"/>
      <x:c r="I34" s="92"/>
      <x:c r="J34" s="108"/>
      <x:c r="K34" s="92"/>
      <x:c r="L34" s="93"/>
      <x:c r="M34" s="93"/>
      <x:c r="N34" s="92"/>
      <x:c r="O34" s="94"/>
      <x:c r="P34" s="92"/>
      <x:c r="Q34" s="86"/>
      <x:c r="R34" s="86"/>
      <x:c r="S34" s="86"/>
      <x:c r="T34" s="86"/>
      <x:c r="U34" s="86"/>
      <x:c r="V34" s="86"/>
      <x:c r="W34" s="86"/>
      <x:c r="X34" s="86"/>
      <x:c r="Y34" s="86"/>
      <x:c r="Z34" s="86"/>
    </x:row>
    <x:row r="35">
      <x:c r="A35" s="86"/>
      <x:c r="B35" s="86"/>
      <x:c r="C35" s="86"/>
      <x:c r="D35" s="106"/>
      <x:c r="E35" s="106"/>
      <x:c r="F35" s="107"/>
      <x:c r="G35" s="107"/>
      <x:c r="H35" s="93"/>
      <x:c r="I35" s="92"/>
      <x:c r="J35" s="108"/>
      <x:c r="K35" s="92"/>
      <x:c r="L35" s="93"/>
      <x:c r="M35" s="93"/>
      <x:c r="N35" s="92"/>
      <x:c r="O35" s="94"/>
      <x:c r="P35" s="92"/>
      <x:c r="Q35" s="86"/>
      <x:c r="R35" s="86"/>
      <x:c r="S35" s="86"/>
      <x:c r="T35" s="86"/>
      <x:c r="U35" s="86"/>
      <x:c r="V35" s="86"/>
      <x:c r="W35" s="86"/>
      <x:c r="X35" s="86"/>
      <x:c r="Y35" s="86"/>
      <x:c r="Z35" s="86"/>
    </x:row>
    <x:row r="36">
      <x:c r="A36" s="86"/>
      <x:c r="B36" s="86"/>
      <x:c r="C36" s="86"/>
      <x:c r="D36" s="106"/>
      <x:c r="E36" s="106"/>
      <x:c r="F36" s="107"/>
      <x:c r="G36" s="107"/>
      <x:c r="H36" s="93"/>
      <x:c r="I36" s="92"/>
      <x:c r="J36" s="108"/>
      <x:c r="K36" s="92"/>
      <x:c r="L36" s="93"/>
      <x:c r="M36" s="93"/>
      <x:c r="N36" s="92"/>
      <x:c r="O36" s="94"/>
      <x:c r="P36" s="92"/>
      <x:c r="Q36" s="86"/>
      <x:c r="R36" s="86"/>
      <x:c r="S36" s="86"/>
      <x:c r="T36" s="86"/>
      <x:c r="U36" s="86"/>
      <x:c r="V36" s="86"/>
      <x:c r="W36" s="86"/>
      <x:c r="X36" s="86"/>
      <x:c r="Y36" s="86"/>
      <x:c r="Z36" s="86"/>
    </x:row>
    <x:row r="37">
      <x:c r="A37" s="86"/>
      <x:c r="B37" s="86"/>
      <x:c r="C37" s="86"/>
      <x:c r="D37" s="106"/>
      <x:c r="E37" s="106"/>
      <x:c r="F37" s="107"/>
      <x:c r="G37" s="107"/>
      <x:c r="H37" s="93"/>
      <x:c r="I37" s="92"/>
      <x:c r="J37" s="108"/>
      <x:c r="K37" s="92"/>
      <x:c r="L37" s="93"/>
      <x:c r="M37" s="93"/>
      <x:c r="N37" s="92"/>
      <x:c r="O37" s="94"/>
      <x:c r="P37" s="92"/>
      <x:c r="Q37" s="86"/>
      <x:c r="R37" s="86"/>
      <x:c r="S37" s="86"/>
      <x:c r="T37" s="86"/>
      <x:c r="U37" s="86"/>
      <x:c r="V37" s="86"/>
      <x:c r="W37" s="86"/>
      <x:c r="X37" s="86"/>
      <x:c r="Y37" s="86"/>
      <x:c r="Z37" s="86"/>
    </x:row>
    <x:row r="38">
      <x:c r="A38" s="86"/>
      <x:c r="B38" s="86"/>
      <x:c r="C38" s="86"/>
      <x:c r="D38" s="106"/>
      <x:c r="E38" s="106"/>
      <x:c r="F38" s="107"/>
      <x:c r="G38" s="107"/>
      <x:c r="H38" s="93"/>
      <x:c r="I38" s="92"/>
      <x:c r="J38" s="108"/>
      <x:c r="K38" s="92"/>
      <x:c r="L38" s="93"/>
      <x:c r="M38" s="93"/>
      <x:c r="N38" s="92"/>
      <x:c r="O38" s="94"/>
      <x:c r="P38" s="92"/>
      <x:c r="Q38" s="86"/>
      <x:c r="R38" s="86"/>
      <x:c r="S38" s="86"/>
      <x:c r="T38" s="86"/>
      <x:c r="U38" s="86"/>
      <x:c r="V38" s="86"/>
      <x:c r="W38" s="86"/>
      <x:c r="X38" s="86"/>
      <x:c r="Y38" s="86"/>
      <x:c r="Z38" s="86"/>
    </x:row>
    <x:row r="39">
      <x:c r="A39" s="86"/>
      <x:c r="B39" s="86"/>
      <x:c r="C39" s="86"/>
      <x:c r="D39" s="106"/>
      <x:c r="E39" s="106"/>
      <x:c r="F39" s="107"/>
      <x:c r="G39" s="107"/>
      <x:c r="H39" s="93"/>
      <x:c r="I39" s="92"/>
      <x:c r="J39" s="108"/>
      <x:c r="K39" s="92"/>
      <x:c r="L39" s="93"/>
      <x:c r="M39" s="93"/>
      <x:c r="N39" s="92"/>
      <x:c r="O39" s="94"/>
      <x:c r="P39" s="92"/>
      <x:c r="Q39" s="86"/>
      <x:c r="R39" s="86"/>
      <x:c r="S39" s="86"/>
      <x:c r="T39" s="86"/>
      <x:c r="U39" s="86"/>
      <x:c r="V39" s="86"/>
      <x:c r="W39" s="86"/>
      <x:c r="X39" s="86"/>
      <x:c r="Y39" s="86"/>
      <x:c r="Z39" s="86"/>
    </x:row>
    <x:row r="40">
      <x:c r="A40" s="86"/>
      <x:c r="B40" s="86"/>
      <x:c r="C40" s="86"/>
      <x:c r="D40" s="106"/>
      <x:c r="E40" s="106"/>
      <x:c r="F40" s="107"/>
      <x:c r="G40" s="107"/>
      <x:c r="H40" s="93"/>
      <x:c r="I40" s="92"/>
      <x:c r="J40" s="108"/>
      <x:c r="K40" s="92"/>
      <x:c r="L40" s="93"/>
      <x:c r="M40" s="93"/>
      <x:c r="N40" s="92"/>
      <x:c r="O40" s="94"/>
      <x:c r="P40" s="92"/>
      <x:c r="Q40" s="86"/>
      <x:c r="R40" s="86"/>
      <x:c r="S40" s="86"/>
      <x:c r="T40" s="86"/>
      <x:c r="U40" s="86"/>
      <x:c r="V40" s="86"/>
      <x:c r="W40" s="86"/>
      <x:c r="X40" s="86"/>
      <x:c r="Y40" s="86"/>
      <x:c r="Z40" s="86"/>
    </x:row>
    <x:row r="41">
      <x:c r="A41" s="86"/>
      <x:c r="B41" s="86"/>
      <x:c r="C41" s="86"/>
      <x:c r="D41" s="106"/>
      <x:c r="E41" s="106"/>
      <x:c r="F41" s="107"/>
      <x:c r="G41" s="107"/>
      <x:c r="H41" s="93"/>
      <x:c r="I41" s="92"/>
      <x:c r="J41" s="108"/>
      <x:c r="K41" s="92"/>
      <x:c r="L41" s="93"/>
      <x:c r="M41" s="93"/>
      <x:c r="N41" s="92"/>
      <x:c r="O41" s="94"/>
      <x:c r="P41" s="92"/>
      <x:c r="Q41" s="86"/>
      <x:c r="R41" s="86"/>
      <x:c r="S41" s="86"/>
      <x:c r="T41" s="86"/>
      <x:c r="U41" s="86"/>
      <x:c r="V41" s="86"/>
      <x:c r="W41" s="86"/>
      <x:c r="X41" s="86"/>
      <x:c r="Y41" s="86"/>
      <x:c r="Z41" s="86"/>
    </x:row>
    <x:row r="42">
      <x:c r="A42" s="86"/>
      <x:c r="B42" s="86"/>
      <x:c r="C42" s="86"/>
      <x:c r="D42" s="106"/>
      <x:c r="E42" s="106"/>
      <x:c r="F42" s="107"/>
      <x:c r="G42" s="107"/>
      <x:c r="H42" s="93"/>
      <x:c r="I42" s="92"/>
      <x:c r="J42" s="108"/>
      <x:c r="K42" s="92"/>
      <x:c r="L42" s="93"/>
      <x:c r="M42" s="93"/>
      <x:c r="N42" s="92"/>
      <x:c r="O42" s="94"/>
      <x:c r="P42" s="92"/>
      <x:c r="Q42" s="86"/>
      <x:c r="R42" s="86"/>
      <x:c r="S42" s="86"/>
      <x:c r="T42" s="86"/>
      <x:c r="U42" s="86"/>
      <x:c r="V42" s="86"/>
      <x:c r="W42" s="86"/>
      <x:c r="X42" s="86"/>
      <x:c r="Y42" s="86"/>
      <x:c r="Z42" s="86"/>
    </x:row>
    <x:row r="43">
      <x:c r="A43" s="86"/>
      <x:c r="B43" s="86"/>
      <x:c r="C43" s="86"/>
      <x:c r="D43" s="106"/>
      <x:c r="E43" s="106"/>
      <x:c r="F43" s="107"/>
      <x:c r="G43" s="107"/>
      <x:c r="H43" s="93"/>
      <x:c r="I43" s="92"/>
      <x:c r="J43" s="108"/>
      <x:c r="K43" s="92"/>
      <x:c r="L43" s="93"/>
      <x:c r="M43" s="93"/>
      <x:c r="N43" s="92"/>
      <x:c r="O43" s="94"/>
      <x:c r="P43" s="92"/>
      <x:c r="Q43" s="86"/>
      <x:c r="R43" s="86"/>
      <x:c r="S43" s="86"/>
      <x:c r="T43" s="86"/>
      <x:c r="U43" s="86"/>
      <x:c r="V43" s="86"/>
      <x:c r="W43" s="86"/>
      <x:c r="X43" s="86"/>
      <x:c r="Y43" s="86"/>
      <x:c r="Z43" s="86"/>
    </x:row>
    <x:row r="44">
      <x:c r="A44" s="86"/>
      <x:c r="B44" s="86"/>
      <x:c r="C44" s="86"/>
      <x:c r="D44" s="106"/>
      <x:c r="E44" s="106"/>
      <x:c r="F44" s="107"/>
      <x:c r="G44" s="107"/>
      <x:c r="H44" s="93"/>
      <x:c r="I44" s="92"/>
      <x:c r="J44" s="108"/>
      <x:c r="K44" s="92"/>
      <x:c r="L44" s="93"/>
      <x:c r="M44" s="93"/>
      <x:c r="N44" s="92"/>
      <x:c r="O44" s="94"/>
      <x:c r="P44" s="92"/>
      <x:c r="Q44" s="86"/>
      <x:c r="R44" s="86"/>
      <x:c r="S44" s="86"/>
      <x:c r="T44" s="86"/>
      <x:c r="U44" s="86"/>
      <x:c r="V44" s="86"/>
      <x:c r="W44" s="86"/>
      <x:c r="X44" s="86"/>
      <x:c r="Y44" s="86"/>
      <x:c r="Z44" s="86"/>
    </x:row>
    <x:row r="45">
      <x:c r="A45" s="86"/>
      <x:c r="B45" s="86"/>
      <x:c r="C45" s="86"/>
      <x:c r="D45" s="106"/>
      <x:c r="E45" s="106"/>
      <x:c r="F45" s="107"/>
      <x:c r="G45" s="107"/>
      <x:c r="H45" s="93"/>
      <x:c r="I45" s="92"/>
      <x:c r="J45" s="108"/>
      <x:c r="K45" s="92"/>
      <x:c r="L45" s="93"/>
      <x:c r="M45" s="93"/>
      <x:c r="N45" s="92"/>
      <x:c r="O45" s="94"/>
      <x:c r="P45" s="92"/>
      <x:c r="Q45" s="86"/>
      <x:c r="R45" s="86"/>
      <x:c r="S45" s="86"/>
      <x:c r="T45" s="86"/>
      <x:c r="U45" s="86"/>
      <x:c r="V45" s="86"/>
      <x:c r="W45" s="86"/>
      <x:c r="X45" s="86"/>
      <x:c r="Y45" s="86"/>
      <x:c r="Z45" s="86"/>
    </x:row>
    <x:row r="46">
      <x:c r="A46" s="86"/>
      <x:c r="B46" s="86"/>
      <x:c r="C46" s="86"/>
      <x:c r="D46" s="106"/>
      <x:c r="E46" s="106"/>
      <x:c r="F46" s="107"/>
      <x:c r="G46" s="107"/>
      <x:c r="H46" s="93"/>
      <x:c r="I46" s="92"/>
      <x:c r="J46" s="108"/>
      <x:c r="K46" s="92"/>
      <x:c r="L46" s="93"/>
      <x:c r="M46" s="93"/>
      <x:c r="N46" s="92"/>
      <x:c r="O46" s="94"/>
      <x:c r="P46" s="92"/>
      <x:c r="Q46" s="86"/>
      <x:c r="R46" s="86"/>
      <x:c r="S46" s="86"/>
      <x:c r="T46" s="86"/>
      <x:c r="U46" s="86"/>
      <x:c r="V46" s="86"/>
      <x:c r="W46" s="86"/>
      <x:c r="X46" s="86"/>
      <x:c r="Y46" s="86"/>
      <x:c r="Z46" s="86"/>
    </x:row>
    <x:row r="47">
      <x:c r="A47" s="86"/>
      <x:c r="B47" s="86"/>
      <x:c r="C47" s="86"/>
      <x:c r="D47" s="106"/>
      <x:c r="E47" s="106"/>
      <x:c r="F47" s="107"/>
      <x:c r="G47" s="107"/>
      <x:c r="H47" s="93"/>
      <x:c r="I47" s="92"/>
      <x:c r="J47" s="108"/>
      <x:c r="K47" s="92"/>
      <x:c r="L47" s="93"/>
      <x:c r="M47" s="93"/>
      <x:c r="N47" s="92"/>
      <x:c r="O47" s="94"/>
      <x:c r="P47" s="92"/>
      <x:c r="Q47" s="86"/>
      <x:c r="R47" s="86"/>
      <x:c r="S47" s="86"/>
      <x:c r="T47" s="86"/>
      <x:c r="U47" s="86"/>
      <x:c r="V47" s="86"/>
      <x:c r="W47" s="86"/>
      <x:c r="X47" s="86"/>
      <x:c r="Y47" s="86"/>
      <x:c r="Z47" s="86"/>
    </x:row>
    <x:row r="48">
      <x:c r="A48" s="86"/>
      <x:c r="B48" s="86"/>
      <x:c r="C48" s="86"/>
      <x:c r="D48" s="106"/>
      <x:c r="E48" s="106"/>
      <x:c r="F48" s="107"/>
      <x:c r="G48" s="107"/>
      <x:c r="H48" s="93"/>
      <x:c r="I48" s="92"/>
      <x:c r="J48" s="108"/>
      <x:c r="K48" s="92"/>
      <x:c r="L48" s="93"/>
      <x:c r="M48" s="93"/>
      <x:c r="N48" s="92"/>
      <x:c r="O48" s="94"/>
      <x:c r="P48" s="92"/>
      <x:c r="Q48" s="86"/>
      <x:c r="R48" s="86"/>
      <x:c r="S48" s="86"/>
      <x:c r="T48" s="86"/>
      <x:c r="U48" s="86"/>
      <x:c r="V48" s="86"/>
      <x:c r="W48" s="86"/>
      <x:c r="X48" s="86"/>
      <x:c r="Y48" s="86"/>
      <x:c r="Z48" s="86"/>
    </x:row>
    <x:row r="49">
      <x:c r="A49" s="86"/>
      <x:c r="B49" s="86"/>
      <x:c r="C49" s="86"/>
      <x:c r="D49" s="106"/>
      <x:c r="E49" s="106"/>
      <x:c r="F49" s="107"/>
      <x:c r="G49" s="107"/>
      <x:c r="H49" s="93"/>
      <x:c r="I49" s="92"/>
      <x:c r="J49" s="108"/>
      <x:c r="K49" s="92"/>
      <x:c r="L49" s="93"/>
      <x:c r="M49" s="93"/>
      <x:c r="N49" s="92"/>
      <x:c r="O49" s="94"/>
      <x:c r="P49" s="92"/>
      <x:c r="Q49" s="86"/>
      <x:c r="R49" s="86"/>
      <x:c r="S49" s="86"/>
      <x:c r="T49" s="86"/>
      <x:c r="U49" s="86"/>
      <x:c r="V49" s="86"/>
      <x:c r="W49" s="86"/>
      <x:c r="X49" s="86"/>
      <x:c r="Y49" s="86"/>
      <x:c r="Z49" s="86"/>
    </x:row>
    <x:row r="50">
      <x:c r="A50" s="86"/>
      <x:c r="B50" s="86"/>
      <x:c r="C50" s="86"/>
      <x:c r="D50" s="106"/>
      <x:c r="E50" s="106"/>
      <x:c r="F50" s="107"/>
      <x:c r="G50" s="107"/>
      <x:c r="H50" s="93"/>
      <x:c r="I50" s="92"/>
      <x:c r="J50" s="108"/>
      <x:c r="K50" s="92"/>
      <x:c r="L50" s="93"/>
      <x:c r="M50" s="93"/>
      <x:c r="N50" s="92"/>
      <x:c r="O50" s="94"/>
      <x:c r="P50" s="92"/>
      <x:c r="Q50" s="86"/>
      <x:c r="R50" s="86"/>
      <x:c r="S50" s="86"/>
      <x:c r="T50" s="86"/>
      <x:c r="U50" s="86"/>
      <x:c r="V50" s="86"/>
      <x:c r="W50" s="86"/>
      <x:c r="X50" s="86"/>
      <x:c r="Y50" s="86"/>
      <x:c r="Z50" s="86"/>
    </x:row>
    <x:row r="51">
      <x:c r="A51" s="86"/>
      <x:c r="B51" s="86"/>
      <x:c r="C51" s="86"/>
      <x:c r="D51" s="106"/>
      <x:c r="E51" s="106"/>
      <x:c r="F51" s="107"/>
      <x:c r="G51" s="107"/>
      <x:c r="H51" s="93"/>
      <x:c r="I51" s="92"/>
      <x:c r="J51" s="108"/>
      <x:c r="K51" s="92"/>
      <x:c r="L51" s="93"/>
      <x:c r="M51" s="93"/>
      <x:c r="N51" s="92"/>
      <x:c r="O51" s="94"/>
      <x:c r="P51" s="92"/>
      <x:c r="Q51" s="86"/>
      <x:c r="R51" s="86"/>
      <x:c r="S51" s="86"/>
      <x:c r="T51" s="86"/>
      <x:c r="U51" s="86"/>
      <x:c r="V51" s="86"/>
      <x:c r="W51" s="86"/>
      <x:c r="X51" s="86"/>
      <x:c r="Y51" s="86"/>
      <x:c r="Z51" s="86"/>
    </x:row>
    <x:row r="52">
      <x:c r="A52" s="86"/>
      <x:c r="B52" s="86"/>
      <x:c r="C52" s="86"/>
      <x:c r="D52" s="106"/>
      <x:c r="E52" s="106"/>
      <x:c r="F52" s="107"/>
      <x:c r="G52" s="107"/>
      <x:c r="H52" s="93"/>
      <x:c r="I52" s="92"/>
      <x:c r="J52" s="108"/>
      <x:c r="K52" s="92"/>
      <x:c r="L52" s="93"/>
      <x:c r="M52" s="93"/>
      <x:c r="N52" s="92"/>
      <x:c r="O52" s="94"/>
      <x:c r="P52" s="92"/>
      <x:c r="Q52" s="86"/>
      <x:c r="R52" s="86"/>
      <x:c r="S52" s="86"/>
      <x:c r="T52" s="86"/>
      <x:c r="U52" s="86"/>
      <x:c r="V52" s="86"/>
      <x:c r="W52" s="86"/>
      <x:c r="X52" s="86"/>
      <x:c r="Y52" s="86"/>
      <x:c r="Z52" s="86"/>
    </x:row>
    <x:row r="53">
      <x:c r="A53" s="86"/>
      <x:c r="B53" s="86"/>
      <x:c r="C53" s="86"/>
      <x:c r="D53" s="106"/>
      <x:c r="E53" s="106"/>
      <x:c r="F53" s="107"/>
      <x:c r="G53" s="107"/>
      <x:c r="H53" s="93"/>
      <x:c r="I53" s="92"/>
      <x:c r="J53" s="108"/>
      <x:c r="K53" s="92"/>
      <x:c r="L53" s="93"/>
      <x:c r="M53" s="93"/>
      <x:c r="N53" s="92"/>
      <x:c r="O53" s="94"/>
      <x:c r="P53" s="92"/>
      <x:c r="Q53" s="86"/>
      <x:c r="R53" s="86"/>
      <x:c r="S53" s="86"/>
      <x:c r="T53" s="86"/>
      <x:c r="U53" s="86"/>
      <x:c r="V53" s="86"/>
      <x:c r="W53" s="86"/>
      <x:c r="X53" s="86"/>
      <x:c r="Y53" s="86"/>
      <x:c r="Z53" s="86"/>
    </x:row>
    <x:row r="54">
      <x:c r="A54" s="86"/>
      <x:c r="B54" s="86"/>
      <x:c r="C54" s="86"/>
      <x:c r="D54" s="106"/>
      <x:c r="E54" s="106"/>
      <x:c r="F54" s="107"/>
      <x:c r="G54" s="107"/>
      <x:c r="H54" s="93"/>
      <x:c r="I54" s="92"/>
      <x:c r="J54" s="108"/>
      <x:c r="K54" s="92"/>
      <x:c r="L54" s="93"/>
      <x:c r="M54" s="93"/>
      <x:c r="N54" s="92"/>
      <x:c r="O54" s="94"/>
      <x:c r="P54" s="92"/>
      <x:c r="Q54" s="86"/>
      <x:c r="R54" s="86"/>
      <x:c r="S54" s="86"/>
      <x:c r="T54" s="86"/>
      <x:c r="U54" s="86"/>
      <x:c r="V54" s="86"/>
      <x:c r="W54" s="86"/>
      <x:c r="X54" s="86"/>
      <x:c r="Y54" s="86"/>
      <x:c r="Z54" s="86"/>
    </x:row>
    <x:row r="55">
      <x:c r="A55" s="86"/>
      <x:c r="B55" s="86"/>
      <x:c r="C55" s="86"/>
      <x:c r="D55" s="106"/>
      <x:c r="E55" s="106"/>
      <x:c r="F55" s="107"/>
      <x:c r="G55" s="107"/>
      <x:c r="H55" s="93"/>
      <x:c r="I55" s="92"/>
      <x:c r="J55" s="108"/>
      <x:c r="K55" s="92"/>
      <x:c r="L55" s="93"/>
      <x:c r="M55" s="93"/>
      <x:c r="N55" s="92"/>
      <x:c r="O55" s="94"/>
      <x:c r="P55" s="92"/>
      <x:c r="Q55" s="86"/>
      <x:c r="R55" s="86"/>
      <x:c r="S55" s="86"/>
      <x:c r="T55" s="86"/>
      <x:c r="U55" s="86"/>
      <x:c r="V55" s="86"/>
      <x:c r="W55" s="86"/>
      <x:c r="X55" s="86"/>
      <x:c r="Y55" s="86"/>
      <x:c r="Z55" s="86"/>
    </x:row>
    <x:row r="56">
      <x:c r="A56" s="86"/>
      <x:c r="B56" s="86"/>
      <x:c r="C56" s="86"/>
      <x:c r="D56" s="106"/>
      <x:c r="E56" s="106"/>
      <x:c r="F56" s="107"/>
      <x:c r="G56" s="107"/>
      <x:c r="H56" s="93"/>
      <x:c r="I56" s="92"/>
      <x:c r="J56" s="108"/>
      <x:c r="K56" s="92"/>
      <x:c r="L56" s="93"/>
      <x:c r="M56" s="93"/>
      <x:c r="N56" s="92"/>
      <x:c r="O56" s="94"/>
      <x:c r="P56" s="92"/>
      <x:c r="Q56" s="86"/>
      <x:c r="R56" s="86"/>
      <x:c r="S56" s="86"/>
      <x:c r="T56" s="86"/>
      <x:c r="U56" s="86"/>
      <x:c r="V56" s="86"/>
      <x:c r="W56" s="86"/>
      <x:c r="X56" s="86"/>
      <x:c r="Y56" s="86"/>
      <x:c r="Z56" s="86"/>
    </x:row>
    <x:row r="57">
      <x:c r="A57" s="86"/>
      <x:c r="B57" s="86"/>
      <x:c r="C57" s="86"/>
      <x:c r="D57" s="106"/>
      <x:c r="E57" s="106"/>
      <x:c r="F57" s="107"/>
      <x:c r="G57" s="107"/>
      <x:c r="H57" s="93"/>
      <x:c r="I57" s="92"/>
      <x:c r="J57" s="108"/>
      <x:c r="K57" s="92"/>
      <x:c r="L57" s="93"/>
      <x:c r="M57" s="93"/>
      <x:c r="N57" s="92"/>
      <x:c r="O57" s="94"/>
      <x:c r="P57" s="92"/>
      <x:c r="Q57" s="86"/>
      <x:c r="R57" s="86"/>
      <x:c r="S57" s="86"/>
      <x:c r="T57" s="86"/>
      <x:c r="U57" s="86"/>
      <x:c r="V57" s="86"/>
      <x:c r="W57" s="86"/>
      <x:c r="X57" s="86"/>
      <x:c r="Y57" s="86"/>
      <x:c r="Z57" s="86"/>
    </x:row>
    <x:row r="58">
      <x:c r="A58" s="86"/>
      <x:c r="B58" s="86"/>
      <x:c r="C58" s="86"/>
      <x:c r="D58" s="106"/>
      <x:c r="E58" s="106"/>
      <x:c r="F58" s="107"/>
      <x:c r="G58" s="107"/>
      <x:c r="H58" s="93"/>
      <x:c r="I58" s="92"/>
      <x:c r="J58" s="108"/>
      <x:c r="K58" s="92"/>
      <x:c r="L58" s="93"/>
      <x:c r="M58" s="93"/>
      <x:c r="N58" s="92"/>
      <x:c r="O58" s="94"/>
      <x:c r="P58" s="92"/>
      <x:c r="Q58" s="86"/>
      <x:c r="R58" s="86"/>
      <x:c r="S58" s="86"/>
      <x:c r="T58" s="86"/>
      <x:c r="U58" s="86"/>
      <x:c r="V58" s="86"/>
      <x:c r="W58" s="86"/>
      <x:c r="X58" s="86"/>
      <x:c r="Y58" s="86"/>
      <x:c r="Z58" s="86"/>
    </x:row>
    <x:row r="59">
      <x:c r="A59" s="86"/>
      <x:c r="B59" s="86"/>
      <x:c r="C59" s="86"/>
      <x:c r="D59" s="106"/>
      <x:c r="E59" s="106"/>
      <x:c r="F59" s="107"/>
      <x:c r="G59" s="107"/>
      <x:c r="H59" s="93"/>
      <x:c r="I59" s="92"/>
      <x:c r="J59" s="108"/>
      <x:c r="K59" s="92"/>
      <x:c r="L59" s="93"/>
      <x:c r="M59" s="93"/>
      <x:c r="N59" s="92"/>
      <x:c r="O59" s="94"/>
      <x:c r="P59" s="92"/>
      <x:c r="Q59" s="86"/>
      <x:c r="R59" s="86"/>
      <x:c r="S59" s="86"/>
      <x:c r="T59" s="86"/>
      <x:c r="U59" s="86"/>
      <x:c r="V59" s="86"/>
      <x:c r="W59" s="86"/>
      <x:c r="X59" s="86"/>
      <x:c r="Y59" s="86"/>
      <x:c r="Z59" s="86"/>
    </x:row>
    <x:row r="60">
      <x:c r="A60" s="86"/>
      <x:c r="B60" s="86"/>
      <x:c r="C60" s="86"/>
      <x:c r="D60" s="106"/>
      <x:c r="E60" s="106"/>
      <x:c r="F60" s="107"/>
      <x:c r="G60" s="107"/>
      <x:c r="H60" s="93"/>
      <x:c r="I60" s="92"/>
      <x:c r="J60" s="108"/>
      <x:c r="K60" s="92"/>
      <x:c r="L60" s="93"/>
      <x:c r="M60" s="93"/>
      <x:c r="N60" s="92"/>
      <x:c r="O60" s="94"/>
      <x:c r="P60" s="92"/>
      <x:c r="Q60" s="86"/>
      <x:c r="R60" s="86"/>
      <x:c r="S60" s="86"/>
      <x:c r="T60" s="86"/>
      <x:c r="U60" s="86"/>
      <x:c r="V60" s="86"/>
      <x:c r="W60" s="86"/>
      <x:c r="X60" s="86"/>
      <x:c r="Y60" s="86"/>
      <x:c r="Z60" s="86"/>
    </x:row>
    <x:row r="61">
      <x:c r="A61" s="86"/>
      <x:c r="B61" s="86"/>
      <x:c r="C61" s="86"/>
      <x:c r="D61" s="106"/>
      <x:c r="E61" s="106"/>
      <x:c r="F61" s="107"/>
      <x:c r="G61" s="107"/>
      <x:c r="H61" s="93"/>
      <x:c r="I61" s="92"/>
      <x:c r="J61" s="108"/>
      <x:c r="K61" s="92"/>
      <x:c r="L61" s="93"/>
      <x:c r="M61" s="93"/>
      <x:c r="N61" s="92"/>
      <x:c r="O61" s="94"/>
      <x:c r="P61" s="92"/>
      <x:c r="Q61" s="86"/>
      <x:c r="R61" s="86"/>
      <x:c r="S61" s="86"/>
      <x:c r="T61" s="86"/>
      <x:c r="U61" s="86"/>
      <x:c r="V61" s="86"/>
      <x:c r="W61" s="86"/>
      <x:c r="X61" s="86"/>
      <x:c r="Y61" s="86"/>
      <x:c r="Z61" s="86"/>
    </x:row>
    <x:row r="62">
      <x:c r="A62" s="86"/>
      <x:c r="B62" s="86"/>
      <x:c r="C62" s="86"/>
      <x:c r="D62" s="106"/>
      <x:c r="E62" s="106"/>
      <x:c r="F62" s="107"/>
      <x:c r="G62" s="107"/>
      <x:c r="H62" s="93"/>
      <x:c r="I62" s="92"/>
      <x:c r="J62" s="108"/>
      <x:c r="K62" s="92"/>
      <x:c r="L62" s="93"/>
      <x:c r="M62" s="93"/>
      <x:c r="N62" s="92"/>
      <x:c r="O62" s="94"/>
      <x:c r="P62" s="92"/>
      <x:c r="Q62" s="86"/>
      <x:c r="R62" s="86"/>
      <x:c r="S62" s="86"/>
      <x:c r="T62" s="86"/>
      <x:c r="U62" s="86"/>
      <x:c r="V62" s="86"/>
      <x:c r="W62" s="86"/>
      <x:c r="X62" s="86"/>
      <x:c r="Y62" s="86"/>
      <x:c r="Z62" s="86"/>
    </x:row>
    <x:row r="63">
      <x:c r="A63" s="86"/>
      <x:c r="B63" s="86"/>
      <x:c r="C63" s="86"/>
      <x:c r="D63" s="106"/>
      <x:c r="E63" s="106"/>
      <x:c r="F63" s="107"/>
      <x:c r="G63" s="107"/>
      <x:c r="H63" s="93"/>
      <x:c r="I63" s="92"/>
      <x:c r="J63" s="108"/>
      <x:c r="K63" s="92"/>
      <x:c r="L63" s="93"/>
      <x:c r="M63" s="93"/>
      <x:c r="N63" s="92"/>
      <x:c r="O63" s="94"/>
      <x:c r="P63" s="92"/>
      <x:c r="Q63" s="86"/>
      <x:c r="R63" s="86"/>
      <x:c r="S63" s="86"/>
      <x:c r="T63" s="86"/>
      <x:c r="U63" s="86"/>
      <x:c r="V63" s="86"/>
      <x:c r="W63" s="86"/>
      <x:c r="X63" s="86"/>
      <x:c r="Y63" s="86"/>
      <x:c r="Z63" s="86"/>
    </x:row>
    <x:row r="64">
      <x:c r="A64" s="86"/>
      <x:c r="B64" s="86"/>
      <x:c r="C64" s="86"/>
      <x:c r="D64" s="106"/>
      <x:c r="E64" s="106"/>
      <x:c r="F64" s="107"/>
      <x:c r="G64" s="107"/>
      <x:c r="H64" s="93"/>
      <x:c r="I64" s="92"/>
      <x:c r="J64" s="108"/>
      <x:c r="K64" s="92"/>
      <x:c r="L64" s="93"/>
      <x:c r="M64" s="93"/>
      <x:c r="N64" s="92"/>
      <x:c r="O64" s="94"/>
      <x:c r="P64" s="92"/>
      <x:c r="Q64" s="86"/>
      <x:c r="R64" s="86"/>
      <x:c r="S64" s="86"/>
      <x:c r="T64" s="86"/>
      <x:c r="U64" s="86"/>
      <x:c r="V64" s="86"/>
      <x:c r="W64" s="86"/>
      <x:c r="X64" s="86"/>
      <x:c r="Y64" s="86"/>
      <x:c r="Z64" s="86"/>
    </x:row>
    <x:row r="65">
      <x:c r="A65" s="86"/>
      <x:c r="B65" s="86"/>
      <x:c r="C65" s="86"/>
      <x:c r="D65" s="106"/>
      <x:c r="E65" s="106"/>
      <x:c r="F65" s="107"/>
      <x:c r="G65" s="107"/>
      <x:c r="H65" s="93"/>
      <x:c r="I65" s="92"/>
      <x:c r="J65" s="108"/>
      <x:c r="K65" s="92"/>
      <x:c r="L65" s="93"/>
      <x:c r="M65" s="93"/>
      <x:c r="N65" s="92"/>
      <x:c r="O65" s="94"/>
      <x:c r="P65" s="92"/>
      <x:c r="Q65" s="86"/>
      <x:c r="R65" s="86"/>
      <x:c r="S65" s="86"/>
      <x:c r="T65" s="86"/>
      <x:c r="U65" s="86"/>
      <x:c r="V65" s="86"/>
      <x:c r="W65" s="86"/>
      <x:c r="X65" s="86"/>
      <x:c r="Y65" s="86"/>
      <x:c r="Z65" s="86"/>
    </x:row>
    <x:row r="66">
      <x:c r="A66" s="86"/>
      <x:c r="B66" s="86"/>
      <x:c r="C66" s="86"/>
      <x:c r="D66" s="106"/>
      <x:c r="E66" s="106"/>
      <x:c r="F66" s="107"/>
      <x:c r="G66" s="107"/>
      <x:c r="H66" s="93"/>
      <x:c r="I66" s="92"/>
      <x:c r="J66" s="108"/>
      <x:c r="K66" s="92"/>
      <x:c r="L66" s="93"/>
      <x:c r="M66" s="93"/>
      <x:c r="N66" s="92"/>
      <x:c r="O66" s="94"/>
      <x:c r="P66" s="92"/>
      <x:c r="Q66" s="86"/>
      <x:c r="R66" s="86"/>
      <x:c r="S66" s="86"/>
      <x:c r="T66" s="86"/>
      <x:c r="U66" s="86"/>
      <x:c r="V66" s="86"/>
      <x:c r="W66" s="86"/>
      <x:c r="X66" s="86"/>
      <x:c r="Y66" s="86"/>
      <x:c r="Z66" s="86"/>
    </x:row>
    <x:row r="67">
      <x:c r="A67" s="86"/>
      <x:c r="B67" s="86"/>
      <x:c r="C67" s="86"/>
      <x:c r="D67" s="106"/>
      <x:c r="E67" s="106"/>
      <x:c r="F67" s="107"/>
      <x:c r="G67" s="107"/>
      <x:c r="H67" s="93"/>
      <x:c r="I67" s="92"/>
      <x:c r="J67" s="108"/>
      <x:c r="K67" s="92"/>
      <x:c r="L67" s="93"/>
      <x:c r="M67" s="93"/>
      <x:c r="N67" s="92"/>
      <x:c r="O67" s="94"/>
      <x:c r="P67" s="92"/>
      <x:c r="Q67" s="86"/>
      <x:c r="R67" s="86"/>
      <x:c r="S67" s="86"/>
      <x:c r="T67" s="86"/>
      <x:c r="U67" s="86"/>
      <x:c r="V67" s="86"/>
      <x:c r="W67" s="86"/>
      <x:c r="X67" s="86"/>
      <x:c r="Y67" s="86"/>
      <x:c r="Z67" s="86"/>
    </x:row>
    <x:row r="68">
      <x:c r="A68" s="86"/>
      <x:c r="B68" s="86"/>
      <x:c r="C68" s="86"/>
      <x:c r="D68" s="106"/>
      <x:c r="E68" s="106"/>
      <x:c r="F68" s="107"/>
      <x:c r="G68" s="107"/>
      <x:c r="H68" s="93"/>
      <x:c r="I68" s="92"/>
      <x:c r="J68" s="108"/>
      <x:c r="K68" s="92"/>
      <x:c r="L68" s="93"/>
      <x:c r="M68" s="93"/>
      <x:c r="N68" s="92"/>
      <x:c r="O68" s="94"/>
      <x:c r="P68" s="92"/>
      <x:c r="Q68" s="86"/>
      <x:c r="R68" s="86"/>
      <x:c r="S68" s="86"/>
      <x:c r="T68" s="86"/>
      <x:c r="U68" s="86"/>
      <x:c r="V68" s="86"/>
      <x:c r="W68" s="86"/>
      <x:c r="X68" s="86"/>
      <x:c r="Y68" s="86"/>
      <x:c r="Z68" s="86"/>
    </x:row>
    <x:row r="69">
      <x:c r="A69" s="86"/>
      <x:c r="B69" s="86"/>
      <x:c r="C69" s="86"/>
      <x:c r="D69" s="106"/>
      <x:c r="E69" s="106"/>
      <x:c r="F69" s="107"/>
      <x:c r="G69" s="107"/>
      <x:c r="H69" s="93"/>
      <x:c r="I69" s="92"/>
      <x:c r="J69" s="108"/>
      <x:c r="K69" s="92"/>
      <x:c r="L69" s="93"/>
      <x:c r="M69" s="93"/>
      <x:c r="N69" s="92"/>
      <x:c r="O69" s="94"/>
      <x:c r="P69" s="92"/>
      <x:c r="Q69" s="86"/>
      <x:c r="R69" s="86"/>
      <x:c r="S69" s="86"/>
      <x:c r="T69" s="86"/>
      <x:c r="U69" s="86"/>
      <x:c r="V69" s="86"/>
      <x:c r="W69" s="86"/>
      <x:c r="X69" s="86"/>
      <x:c r="Y69" s="86"/>
      <x:c r="Z69" s="86"/>
    </x:row>
    <x:row r="70">
      <x:c r="A70" s="86"/>
      <x:c r="B70" s="86"/>
      <x:c r="C70" s="86"/>
      <x:c r="D70" s="106"/>
      <x:c r="E70" s="106"/>
      <x:c r="F70" s="107"/>
      <x:c r="G70" s="107"/>
      <x:c r="H70" s="93"/>
      <x:c r="I70" s="92"/>
      <x:c r="J70" s="108"/>
      <x:c r="K70" s="92"/>
      <x:c r="L70" s="93"/>
      <x:c r="M70" s="93"/>
      <x:c r="N70" s="92"/>
      <x:c r="O70" s="94"/>
      <x:c r="P70" s="92"/>
      <x:c r="Q70" s="86"/>
      <x:c r="R70" s="86"/>
      <x:c r="S70" s="86"/>
      <x:c r="T70" s="86"/>
      <x:c r="U70" s="86"/>
      <x:c r="V70" s="86"/>
      <x:c r="W70" s="86"/>
      <x:c r="X70" s="86"/>
      <x:c r="Y70" s="86"/>
      <x:c r="Z70" s="86"/>
    </x:row>
    <x:row r="71">
      <x:c r="A71" s="86"/>
      <x:c r="B71" s="86"/>
      <x:c r="C71" s="86"/>
      <x:c r="D71" s="106"/>
      <x:c r="E71" s="106"/>
      <x:c r="F71" s="107"/>
      <x:c r="G71" s="107"/>
      <x:c r="H71" s="93"/>
      <x:c r="I71" s="92"/>
      <x:c r="J71" s="108"/>
      <x:c r="K71" s="92"/>
      <x:c r="L71" s="93"/>
      <x:c r="M71" s="93"/>
      <x:c r="N71" s="92"/>
      <x:c r="O71" s="94"/>
      <x:c r="P71" s="92"/>
      <x:c r="Q71" s="86"/>
      <x:c r="R71" s="86"/>
      <x:c r="S71" s="86"/>
      <x:c r="T71" s="86"/>
      <x:c r="U71" s="86"/>
      <x:c r="V71" s="86"/>
      <x:c r="W71" s="86"/>
      <x:c r="X71" s="86"/>
      <x:c r="Y71" s="86"/>
      <x:c r="Z71" s="86"/>
    </x:row>
    <x:row r="72">
      <x:c r="A72" s="86"/>
      <x:c r="B72" s="86"/>
      <x:c r="C72" s="86"/>
      <x:c r="D72" s="106"/>
      <x:c r="E72" s="106"/>
      <x:c r="F72" s="107"/>
      <x:c r="G72" s="107"/>
      <x:c r="H72" s="93"/>
      <x:c r="I72" s="92"/>
      <x:c r="J72" s="108"/>
      <x:c r="K72" s="92"/>
      <x:c r="L72" s="93"/>
      <x:c r="M72" s="93"/>
      <x:c r="N72" s="92"/>
      <x:c r="O72" s="94"/>
      <x:c r="P72" s="92"/>
      <x:c r="Q72" s="86"/>
      <x:c r="R72" s="86"/>
      <x:c r="S72" s="86"/>
      <x:c r="T72" s="86"/>
      <x:c r="U72" s="86"/>
      <x:c r="V72" s="86"/>
      <x:c r="W72" s="86"/>
      <x:c r="X72" s="86"/>
      <x:c r="Y72" s="86"/>
      <x:c r="Z72" s="86"/>
    </x:row>
    <x:row r="73">
      <x:c r="A73" s="86"/>
      <x:c r="B73" s="86"/>
      <x:c r="C73" s="86"/>
      <x:c r="D73" s="106"/>
      <x:c r="E73" s="106"/>
      <x:c r="F73" s="107"/>
      <x:c r="G73" s="107"/>
      <x:c r="H73" s="93"/>
      <x:c r="I73" s="92"/>
      <x:c r="J73" s="108"/>
      <x:c r="K73" s="92"/>
      <x:c r="L73" s="93"/>
      <x:c r="M73" s="93"/>
      <x:c r="N73" s="92"/>
      <x:c r="O73" s="94"/>
      <x:c r="P73" s="92"/>
      <x:c r="Q73" s="86"/>
      <x:c r="R73" s="86"/>
      <x:c r="S73" s="86"/>
      <x:c r="T73" s="86"/>
      <x:c r="U73" s="86"/>
      <x:c r="V73" s="86"/>
      <x:c r="W73" s="86"/>
      <x:c r="X73" s="86"/>
      <x:c r="Y73" s="86"/>
      <x:c r="Z73" s="86"/>
    </x:row>
    <x:row r="74">
      <x:c r="A74" s="86"/>
      <x:c r="B74" s="86"/>
      <x:c r="C74" s="86"/>
      <x:c r="D74" s="106"/>
      <x:c r="E74" s="106"/>
      <x:c r="F74" s="107"/>
      <x:c r="G74" s="107"/>
      <x:c r="H74" s="93"/>
      <x:c r="I74" s="92"/>
      <x:c r="J74" s="108"/>
      <x:c r="K74" s="92"/>
      <x:c r="L74" s="93"/>
      <x:c r="M74" s="93"/>
      <x:c r="N74" s="92"/>
      <x:c r="O74" s="94"/>
      <x:c r="P74" s="92"/>
      <x:c r="Q74" s="86"/>
      <x:c r="R74" s="86"/>
      <x:c r="S74" s="86"/>
      <x:c r="T74" s="86"/>
      <x:c r="U74" s="86"/>
      <x:c r="V74" s="86"/>
      <x:c r="W74" s="86"/>
      <x:c r="X74" s="86"/>
      <x:c r="Y74" s="86"/>
      <x:c r="Z74" s="86"/>
    </x:row>
    <x:row r="75">
      <x:c r="A75" s="86"/>
      <x:c r="B75" s="86"/>
      <x:c r="C75" s="86"/>
      <x:c r="D75" s="106"/>
      <x:c r="E75" s="106"/>
      <x:c r="F75" s="107"/>
      <x:c r="G75" s="107"/>
      <x:c r="H75" s="93"/>
      <x:c r="I75" s="92"/>
      <x:c r="J75" s="108"/>
      <x:c r="K75" s="92"/>
      <x:c r="L75" s="93"/>
      <x:c r="M75" s="93"/>
      <x:c r="N75" s="92"/>
      <x:c r="O75" s="94"/>
      <x:c r="P75" s="92"/>
      <x:c r="Q75" s="86"/>
      <x:c r="R75" s="86"/>
      <x:c r="S75" s="86"/>
      <x:c r="T75" s="86"/>
      <x:c r="U75" s="86"/>
      <x:c r="V75" s="86"/>
      <x:c r="W75" s="86"/>
      <x:c r="X75" s="86"/>
      <x:c r="Y75" s="86"/>
      <x:c r="Z75" s="86"/>
    </x:row>
    <x:row r="76">
      <x:c r="A76" s="86"/>
      <x:c r="B76" s="86"/>
      <x:c r="C76" s="86"/>
      <x:c r="D76" s="106"/>
      <x:c r="E76" s="106"/>
      <x:c r="F76" s="107"/>
      <x:c r="G76" s="107"/>
      <x:c r="H76" s="93"/>
      <x:c r="I76" s="92"/>
      <x:c r="J76" s="108"/>
      <x:c r="K76" s="92"/>
      <x:c r="L76" s="93"/>
      <x:c r="M76" s="93"/>
      <x:c r="N76" s="92"/>
      <x:c r="O76" s="94"/>
      <x:c r="P76" s="92"/>
      <x:c r="Q76" s="86"/>
      <x:c r="R76" s="86"/>
      <x:c r="S76" s="86"/>
      <x:c r="T76" s="86"/>
      <x:c r="U76" s="86"/>
      <x:c r="V76" s="86"/>
      <x:c r="W76" s="86"/>
      <x:c r="X76" s="86"/>
      <x:c r="Y76" s="86"/>
      <x:c r="Z76" s="86"/>
    </x:row>
    <x:row r="77">
      <x:c r="A77" s="86"/>
      <x:c r="B77" s="86"/>
      <x:c r="C77" s="86"/>
      <x:c r="D77" s="106"/>
      <x:c r="E77" s="106"/>
      <x:c r="F77" s="107"/>
      <x:c r="G77" s="107"/>
      <x:c r="H77" s="93"/>
      <x:c r="I77" s="92"/>
      <x:c r="J77" s="108"/>
      <x:c r="K77" s="92"/>
      <x:c r="L77" s="93"/>
      <x:c r="M77" s="93"/>
      <x:c r="N77" s="92"/>
      <x:c r="O77" s="94"/>
      <x:c r="P77" s="92"/>
      <x:c r="Q77" s="86"/>
      <x:c r="R77" s="86"/>
      <x:c r="S77" s="86"/>
      <x:c r="T77" s="86"/>
      <x:c r="U77" s="86"/>
      <x:c r="V77" s="86"/>
      <x:c r="W77" s="86"/>
      <x:c r="X77" s="86"/>
      <x:c r="Y77" s="86"/>
      <x:c r="Z77" s="86"/>
    </x:row>
    <x:row r="78">
      <x:c r="A78" s="86"/>
      <x:c r="B78" s="86"/>
      <x:c r="C78" s="86"/>
      <x:c r="D78" s="106"/>
      <x:c r="E78" s="106"/>
      <x:c r="F78" s="107"/>
      <x:c r="G78" s="107"/>
      <x:c r="H78" s="93"/>
      <x:c r="I78" s="92"/>
      <x:c r="J78" s="108"/>
      <x:c r="K78" s="92"/>
      <x:c r="L78" s="93"/>
      <x:c r="M78" s="93"/>
      <x:c r="N78" s="92"/>
      <x:c r="O78" s="94"/>
      <x:c r="P78" s="92"/>
      <x:c r="Q78" s="86"/>
      <x:c r="R78" s="86"/>
      <x:c r="S78" s="86"/>
      <x:c r="T78" s="86"/>
      <x:c r="U78" s="86"/>
      <x:c r="V78" s="86"/>
      <x:c r="W78" s="86"/>
      <x:c r="X78" s="86"/>
      <x:c r="Y78" s="86"/>
      <x:c r="Z78" s="86"/>
    </x:row>
    <x:row r="79">
      <x:c r="A79" s="86"/>
      <x:c r="B79" s="86"/>
      <x:c r="C79" s="86"/>
      <x:c r="D79" s="106"/>
      <x:c r="E79" s="106"/>
      <x:c r="F79" s="107"/>
      <x:c r="G79" s="107"/>
      <x:c r="H79" s="93"/>
      <x:c r="I79" s="92"/>
      <x:c r="J79" s="108"/>
      <x:c r="K79" s="92"/>
      <x:c r="L79" s="93"/>
      <x:c r="M79" s="93"/>
      <x:c r="N79" s="92"/>
      <x:c r="O79" s="94"/>
      <x:c r="P79" s="92"/>
      <x:c r="Q79" s="86"/>
      <x:c r="R79" s="86"/>
      <x:c r="S79" s="86"/>
      <x:c r="T79" s="86"/>
      <x:c r="U79" s="86"/>
      <x:c r="V79" s="86"/>
      <x:c r="W79" s="86"/>
      <x:c r="X79" s="86"/>
      <x:c r="Y79" s="86"/>
      <x:c r="Z79" s="86"/>
    </x:row>
    <x:row r="80">
      <x:c r="A80" s="86"/>
      <x:c r="B80" s="86"/>
      <x:c r="C80" s="86"/>
      <x:c r="D80" s="106"/>
      <x:c r="E80" s="106"/>
      <x:c r="F80" s="107"/>
      <x:c r="G80" s="107"/>
      <x:c r="H80" s="93"/>
      <x:c r="I80" s="92"/>
      <x:c r="J80" s="108"/>
      <x:c r="K80" s="92"/>
      <x:c r="L80" s="93"/>
      <x:c r="M80" s="93"/>
      <x:c r="N80" s="92"/>
      <x:c r="O80" s="94"/>
      <x:c r="P80" s="92"/>
      <x:c r="Q80" s="86"/>
      <x:c r="R80" s="86"/>
      <x:c r="S80" s="86"/>
      <x:c r="T80" s="86"/>
      <x:c r="U80" s="86"/>
      <x:c r="V80" s="86"/>
      <x:c r="W80" s="86"/>
      <x:c r="X80" s="86"/>
      <x:c r="Y80" s="86"/>
      <x:c r="Z80" s="86"/>
    </x:row>
    <x:row r="81">
      <x:c r="A81" s="86"/>
      <x:c r="B81" s="86"/>
      <x:c r="C81" s="86"/>
      <x:c r="D81" s="106"/>
      <x:c r="E81" s="106"/>
      <x:c r="F81" s="107"/>
      <x:c r="G81" s="107"/>
      <x:c r="H81" s="93"/>
      <x:c r="I81" s="92"/>
      <x:c r="J81" s="108"/>
      <x:c r="K81" s="92"/>
      <x:c r="L81" s="93"/>
      <x:c r="M81" s="93"/>
      <x:c r="N81" s="92"/>
      <x:c r="O81" s="94"/>
      <x:c r="P81" s="92"/>
      <x:c r="Q81" s="86"/>
      <x:c r="R81" s="86"/>
      <x:c r="S81" s="86"/>
      <x:c r="T81" s="86"/>
      <x:c r="U81" s="86"/>
      <x:c r="V81" s="86"/>
      <x:c r="W81" s="86"/>
      <x:c r="X81" s="86"/>
      <x:c r="Y81" s="86"/>
      <x:c r="Z81" s="86"/>
    </x:row>
    <x:row r="82">
      <x:c r="A82" s="86"/>
      <x:c r="B82" s="86"/>
      <x:c r="C82" s="86"/>
      <x:c r="D82" s="106"/>
      <x:c r="E82" s="106"/>
      <x:c r="F82" s="107"/>
      <x:c r="G82" s="107"/>
      <x:c r="H82" s="93"/>
      <x:c r="I82" s="92"/>
      <x:c r="J82" s="108"/>
      <x:c r="K82" s="92"/>
      <x:c r="L82" s="93"/>
      <x:c r="M82" s="93"/>
      <x:c r="N82" s="92"/>
      <x:c r="O82" s="94"/>
      <x:c r="P82" s="92"/>
      <x:c r="Q82" s="86"/>
      <x:c r="R82" s="86"/>
      <x:c r="S82" s="86"/>
      <x:c r="T82" s="86"/>
      <x:c r="U82" s="86"/>
      <x:c r="V82" s="86"/>
      <x:c r="W82" s="86"/>
      <x:c r="X82" s="86"/>
      <x:c r="Y82" s="86"/>
      <x:c r="Z82" s="86"/>
    </x:row>
    <x:row r="83">
      <x:c r="A83" s="86"/>
      <x:c r="B83" s="86"/>
      <x:c r="C83" s="86"/>
      <x:c r="D83" s="106"/>
      <x:c r="E83" s="106"/>
      <x:c r="F83" s="107"/>
      <x:c r="G83" s="107"/>
      <x:c r="H83" s="93"/>
      <x:c r="I83" s="92"/>
      <x:c r="J83" s="108"/>
      <x:c r="K83" s="92"/>
      <x:c r="L83" s="93"/>
      <x:c r="M83" s="93"/>
      <x:c r="N83" s="92"/>
      <x:c r="O83" s="94"/>
      <x:c r="P83" s="92"/>
      <x:c r="Q83" s="86"/>
      <x:c r="R83" s="86"/>
      <x:c r="S83" s="86"/>
      <x:c r="T83" s="86"/>
      <x:c r="U83" s="86"/>
      <x:c r="V83" s="86"/>
      <x:c r="W83" s="86"/>
      <x:c r="X83" s="86"/>
      <x:c r="Y83" s="86"/>
      <x:c r="Z83" s="86"/>
    </x:row>
    <x:row r="84">
      <x:c r="A84" s="86"/>
      <x:c r="B84" s="86"/>
      <x:c r="C84" s="86"/>
      <x:c r="D84" s="106"/>
      <x:c r="E84" s="106"/>
      <x:c r="F84" s="107"/>
      <x:c r="G84" s="107"/>
      <x:c r="H84" s="93"/>
      <x:c r="I84" s="92"/>
      <x:c r="J84" s="108"/>
      <x:c r="K84" s="92"/>
      <x:c r="L84" s="93"/>
      <x:c r="M84" s="93"/>
      <x:c r="N84" s="92"/>
      <x:c r="O84" s="94"/>
      <x:c r="P84" s="92"/>
      <x:c r="Q84" s="86"/>
      <x:c r="R84" s="86"/>
      <x:c r="S84" s="86"/>
      <x:c r="T84" s="86"/>
      <x:c r="U84" s="86"/>
      <x:c r="V84" s="86"/>
      <x:c r="W84" s="86"/>
      <x:c r="X84" s="86"/>
      <x:c r="Y84" s="86"/>
      <x:c r="Z84" s="86"/>
    </x:row>
    <x:row r="85">
      <x:c r="A85" s="86"/>
      <x:c r="B85" s="86"/>
      <x:c r="C85" s="86"/>
      <x:c r="D85" s="106"/>
      <x:c r="E85" s="106"/>
      <x:c r="F85" s="107"/>
      <x:c r="G85" s="107"/>
      <x:c r="H85" s="93"/>
      <x:c r="I85" s="92"/>
      <x:c r="J85" s="108"/>
      <x:c r="K85" s="92"/>
      <x:c r="L85" s="93"/>
      <x:c r="M85" s="93"/>
      <x:c r="N85" s="92"/>
      <x:c r="O85" s="94"/>
      <x:c r="P85" s="92"/>
      <x:c r="Q85" s="86"/>
      <x:c r="R85" s="86"/>
      <x:c r="S85" s="86"/>
      <x:c r="T85" s="86"/>
      <x:c r="U85" s="86"/>
      <x:c r="V85" s="86"/>
      <x:c r="W85" s="86"/>
      <x:c r="X85" s="86"/>
      <x:c r="Y85" s="86"/>
      <x:c r="Z85" s="86"/>
    </x:row>
    <x:row r="86">
      <x:c r="A86" s="86"/>
      <x:c r="B86" s="86"/>
      <x:c r="C86" s="86"/>
      <x:c r="D86" s="106"/>
      <x:c r="E86" s="106"/>
      <x:c r="F86" s="107"/>
      <x:c r="G86" s="107"/>
      <x:c r="H86" s="93"/>
      <x:c r="I86" s="92"/>
      <x:c r="J86" s="108"/>
      <x:c r="K86" s="92"/>
      <x:c r="L86" s="93"/>
      <x:c r="M86" s="93"/>
      <x:c r="N86" s="92"/>
      <x:c r="O86" s="94"/>
      <x:c r="P86" s="92"/>
      <x:c r="Q86" s="86"/>
      <x:c r="R86" s="86"/>
      <x:c r="S86" s="86"/>
      <x:c r="T86" s="86"/>
      <x:c r="U86" s="86"/>
      <x:c r="V86" s="86"/>
      <x:c r="W86" s="86"/>
      <x:c r="X86" s="86"/>
      <x:c r="Y86" s="86"/>
      <x:c r="Z86" s="86"/>
    </x:row>
    <x:row r="87">
      <x:c r="A87" s="86"/>
      <x:c r="B87" s="86"/>
      <x:c r="C87" s="86"/>
      <x:c r="D87" s="106"/>
      <x:c r="E87" s="106"/>
      <x:c r="F87" s="107"/>
      <x:c r="G87" s="107"/>
      <x:c r="H87" s="93"/>
      <x:c r="I87" s="92"/>
      <x:c r="J87" s="108"/>
      <x:c r="K87" s="92"/>
      <x:c r="L87" s="93"/>
      <x:c r="M87" s="93"/>
      <x:c r="N87" s="92"/>
      <x:c r="O87" s="94"/>
      <x:c r="P87" s="92"/>
      <x:c r="Q87" s="86"/>
      <x:c r="R87" s="86"/>
      <x:c r="S87" s="86"/>
      <x:c r="T87" s="86"/>
      <x:c r="U87" s="86"/>
      <x:c r="V87" s="86"/>
      <x:c r="W87" s="86"/>
      <x:c r="X87" s="86"/>
      <x:c r="Y87" s="86"/>
      <x:c r="Z87" s="86"/>
    </x:row>
    <x:row r="88">
      <x:c r="A88" s="86"/>
      <x:c r="B88" s="86"/>
      <x:c r="C88" s="86"/>
      <x:c r="D88" s="106"/>
      <x:c r="E88" s="106"/>
      <x:c r="F88" s="107"/>
      <x:c r="G88" s="107"/>
      <x:c r="H88" s="93"/>
      <x:c r="I88" s="92"/>
      <x:c r="J88" s="108"/>
      <x:c r="K88" s="92"/>
      <x:c r="L88" s="93"/>
      <x:c r="M88" s="93"/>
      <x:c r="N88" s="92"/>
      <x:c r="O88" s="94"/>
      <x:c r="P88" s="92"/>
      <x:c r="Q88" s="86"/>
      <x:c r="R88" s="86"/>
      <x:c r="S88" s="86"/>
      <x:c r="T88" s="86"/>
      <x:c r="U88" s="86"/>
      <x:c r="V88" s="86"/>
      <x:c r="W88" s="86"/>
      <x:c r="X88" s="86"/>
      <x:c r="Y88" s="86"/>
      <x:c r="Z88" s="86"/>
    </x:row>
    <x:row r="89">
      <x:c r="A89" s="86"/>
      <x:c r="B89" s="86"/>
      <x:c r="C89" s="86"/>
      <x:c r="D89" s="106"/>
      <x:c r="E89" s="106"/>
      <x:c r="F89" s="107"/>
      <x:c r="G89" s="107"/>
      <x:c r="H89" s="93"/>
      <x:c r="I89" s="92"/>
      <x:c r="J89" s="108"/>
      <x:c r="K89" s="92"/>
      <x:c r="L89" s="93"/>
      <x:c r="M89" s="93"/>
      <x:c r="N89" s="92"/>
      <x:c r="O89" s="94"/>
      <x:c r="P89" s="92"/>
      <x:c r="Q89" s="86"/>
      <x:c r="R89" s="86"/>
      <x:c r="S89" s="86"/>
      <x:c r="T89" s="86"/>
      <x:c r="U89" s="86"/>
      <x:c r="V89" s="86"/>
      <x:c r="W89" s="86"/>
      <x:c r="X89" s="86"/>
      <x:c r="Y89" s="86"/>
      <x:c r="Z89" s="86"/>
    </x:row>
    <x:row r="90">
      <x:c r="A90" s="86"/>
      <x:c r="B90" s="86"/>
      <x:c r="C90" s="86"/>
      <x:c r="D90" s="106"/>
      <x:c r="E90" s="106"/>
      <x:c r="F90" s="107"/>
      <x:c r="G90" s="107"/>
      <x:c r="H90" s="93"/>
      <x:c r="I90" s="92"/>
      <x:c r="J90" s="108"/>
      <x:c r="K90" s="92"/>
      <x:c r="L90" s="93"/>
      <x:c r="M90" s="93"/>
      <x:c r="N90" s="92"/>
      <x:c r="O90" s="94"/>
      <x:c r="P90" s="92"/>
      <x:c r="Q90" s="86"/>
      <x:c r="R90" s="86"/>
      <x:c r="S90" s="86"/>
      <x:c r="T90" s="86"/>
      <x:c r="U90" s="86"/>
      <x:c r="V90" s="86"/>
      <x:c r="W90" s="86"/>
      <x:c r="X90" s="86"/>
      <x:c r="Y90" s="86"/>
      <x:c r="Z90" s="86"/>
    </x:row>
    <x:row r="91">
      <x:c r="A91" s="86"/>
      <x:c r="B91" s="86"/>
      <x:c r="C91" s="86"/>
      <x:c r="D91" s="106"/>
      <x:c r="E91" s="106"/>
      <x:c r="F91" s="107"/>
      <x:c r="G91" s="107"/>
      <x:c r="H91" s="93"/>
      <x:c r="I91" s="92"/>
      <x:c r="J91" s="108"/>
      <x:c r="K91" s="92"/>
      <x:c r="L91" s="93"/>
      <x:c r="M91" s="93"/>
      <x:c r="N91" s="92"/>
      <x:c r="O91" s="94"/>
      <x:c r="P91" s="92"/>
      <x:c r="Q91" s="86"/>
      <x:c r="R91" s="86"/>
      <x:c r="S91" s="86"/>
      <x:c r="T91" s="86"/>
      <x:c r="U91" s="86"/>
      <x:c r="V91" s="86"/>
      <x:c r="W91" s="86"/>
      <x:c r="X91" s="86"/>
      <x:c r="Y91" s="86"/>
      <x:c r="Z91" s="86"/>
    </x:row>
    <x:row r="92">
      <x:c r="A92" s="86"/>
      <x:c r="B92" s="86"/>
      <x:c r="C92" s="86"/>
      <x:c r="D92" s="106"/>
      <x:c r="E92" s="106"/>
      <x:c r="F92" s="107"/>
      <x:c r="G92" s="107"/>
      <x:c r="H92" s="93"/>
      <x:c r="I92" s="92"/>
      <x:c r="J92" s="108"/>
      <x:c r="K92" s="92"/>
      <x:c r="L92" s="93"/>
      <x:c r="M92" s="93"/>
      <x:c r="N92" s="92"/>
      <x:c r="O92" s="94"/>
      <x:c r="P92" s="92"/>
      <x:c r="Q92" s="86"/>
      <x:c r="R92" s="86"/>
      <x:c r="S92" s="86"/>
      <x:c r="T92" s="86"/>
      <x:c r="U92" s="86"/>
      <x:c r="V92" s="86"/>
      <x:c r="W92" s="86"/>
      <x:c r="X92" s="86"/>
      <x:c r="Y92" s="86"/>
      <x:c r="Z92" s="86"/>
    </x:row>
    <x:row r="93">
      <x:c r="A93" s="86"/>
      <x:c r="B93" s="86"/>
      <x:c r="C93" s="86"/>
      <x:c r="D93" s="106"/>
      <x:c r="E93" s="106"/>
      <x:c r="F93" s="107"/>
      <x:c r="G93" s="107"/>
      <x:c r="H93" s="93"/>
      <x:c r="I93" s="92"/>
      <x:c r="J93" s="108"/>
      <x:c r="K93" s="92"/>
      <x:c r="L93" s="93"/>
      <x:c r="M93" s="93"/>
      <x:c r="N93" s="92"/>
      <x:c r="O93" s="94"/>
      <x:c r="P93" s="92"/>
      <x:c r="Q93" s="86"/>
      <x:c r="R93" s="86"/>
      <x:c r="S93" s="86"/>
      <x:c r="T93" s="86"/>
      <x:c r="U93" s="86"/>
      <x:c r="V93" s="86"/>
      <x:c r="W93" s="86"/>
      <x:c r="X93" s="86"/>
      <x:c r="Y93" s="86"/>
      <x:c r="Z93" s="86"/>
    </x:row>
    <x:row r="94">
      <x:c r="A94" s="86"/>
      <x:c r="B94" s="86"/>
      <x:c r="C94" s="86"/>
      <x:c r="D94" s="106"/>
      <x:c r="E94" s="106"/>
      <x:c r="F94" s="107"/>
      <x:c r="G94" s="107"/>
      <x:c r="H94" s="93"/>
      <x:c r="I94" s="92"/>
      <x:c r="J94" s="108"/>
      <x:c r="K94" s="92"/>
      <x:c r="L94" s="93"/>
      <x:c r="M94" s="93"/>
      <x:c r="N94" s="92"/>
      <x:c r="O94" s="94"/>
      <x:c r="P94" s="92"/>
      <x:c r="Q94" s="86"/>
      <x:c r="R94" s="86"/>
      <x:c r="S94" s="86"/>
      <x:c r="T94" s="86"/>
      <x:c r="U94" s="86"/>
      <x:c r="V94" s="86"/>
      <x:c r="W94" s="86"/>
      <x:c r="X94" s="86"/>
      <x:c r="Y94" s="86"/>
      <x:c r="Z94" s="86"/>
    </x:row>
    <x:row r="95">
      <x:c r="A95" s="86"/>
      <x:c r="B95" s="86"/>
      <x:c r="C95" s="86"/>
      <x:c r="D95" s="106"/>
      <x:c r="E95" s="106"/>
      <x:c r="F95" s="107"/>
      <x:c r="G95" s="107"/>
      <x:c r="H95" s="93"/>
      <x:c r="I95" s="92"/>
      <x:c r="J95" s="108"/>
      <x:c r="K95" s="92"/>
      <x:c r="L95" s="93"/>
      <x:c r="M95" s="93"/>
      <x:c r="N95" s="92"/>
      <x:c r="O95" s="94"/>
      <x:c r="P95" s="92"/>
      <x:c r="Q95" s="86"/>
      <x:c r="R95" s="86"/>
      <x:c r="S95" s="86"/>
      <x:c r="T95" s="86"/>
      <x:c r="U95" s="86"/>
      <x:c r="V95" s="86"/>
      <x:c r="W95" s="86"/>
      <x:c r="X95" s="86"/>
      <x:c r="Y95" s="86"/>
      <x:c r="Z95" s="86"/>
    </x:row>
    <x:row r="96">
      <x:c r="A96" s="86"/>
      <x:c r="B96" s="86"/>
      <x:c r="C96" s="86"/>
      <x:c r="D96" s="106"/>
      <x:c r="E96" s="106"/>
      <x:c r="F96" s="107"/>
      <x:c r="G96" s="107"/>
      <x:c r="H96" s="93"/>
      <x:c r="I96" s="92"/>
      <x:c r="J96" s="108"/>
      <x:c r="K96" s="92"/>
      <x:c r="L96" s="93"/>
      <x:c r="M96" s="93"/>
      <x:c r="N96" s="92"/>
      <x:c r="O96" s="94"/>
      <x:c r="P96" s="92"/>
      <x:c r="Q96" s="86"/>
      <x:c r="R96" s="86"/>
      <x:c r="S96" s="86"/>
      <x:c r="T96" s="86"/>
      <x:c r="U96" s="86"/>
      <x:c r="V96" s="86"/>
      <x:c r="W96" s="86"/>
      <x:c r="X96" s="86"/>
      <x:c r="Y96" s="86"/>
      <x:c r="Z96" s="86"/>
    </x:row>
    <x:row r="97">
      <x:c r="A97" s="86"/>
      <x:c r="B97" s="86"/>
      <x:c r="C97" s="86"/>
      <x:c r="D97" s="106"/>
      <x:c r="E97" s="106"/>
      <x:c r="F97" s="107"/>
      <x:c r="G97" s="107"/>
      <x:c r="H97" s="93"/>
      <x:c r="I97" s="92"/>
      <x:c r="J97" s="108"/>
      <x:c r="K97" s="92"/>
      <x:c r="L97" s="93"/>
      <x:c r="M97" s="93"/>
      <x:c r="N97" s="92"/>
      <x:c r="O97" s="94"/>
      <x:c r="P97" s="92"/>
      <x:c r="Q97" s="86"/>
      <x:c r="R97" s="86"/>
      <x:c r="S97" s="86"/>
      <x:c r="T97" s="86"/>
      <x:c r="U97" s="86"/>
      <x:c r="V97" s="86"/>
      <x:c r="W97" s="86"/>
      <x:c r="X97" s="86"/>
      <x:c r="Y97" s="86"/>
      <x:c r="Z97" s="86"/>
    </x:row>
    <x:row r="98">
      <x:c r="A98" s="86"/>
      <x:c r="B98" s="86"/>
      <x:c r="C98" s="86"/>
      <x:c r="D98" s="106"/>
      <x:c r="E98" s="106"/>
      <x:c r="F98" s="107"/>
      <x:c r="G98" s="107"/>
      <x:c r="H98" s="93"/>
      <x:c r="I98" s="92"/>
      <x:c r="J98" s="108"/>
      <x:c r="K98" s="92"/>
      <x:c r="L98" s="93"/>
      <x:c r="M98" s="93"/>
      <x:c r="N98" s="92"/>
      <x:c r="O98" s="94"/>
      <x:c r="P98" s="92"/>
      <x:c r="Q98" s="86"/>
      <x:c r="R98" s="86"/>
      <x:c r="S98" s="86"/>
      <x:c r="T98" s="86"/>
      <x:c r="U98" s="86"/>
      <x:c r="V98" s="86"/>
      <x:c r="W98" s="86"/>
      <x:c r="X98" s="86"/>
      <x:c r="Y98" s="86"/>
      <x:c r="Z98" s="86"/>
    </x:row>
    <x:row r="99">
      <x:c r="A99" s="86"/>
      <x:c r="B99" s="86"/>
      <x:c r="C99" s="86"/>
      <x:c r="D99" s="106"/>
      <x:c r="E99" s="106"/>
      <x:c r="F99" s="107"/>
      <x:c r="G99" s="107"/>
      <x:c r="H99" s="93"/>
      <x:c r="I99" s="92"/>
      <x:c r="J99" s="108"/>
      <x:c r="K99" s="92"/>
      <x:c r="L99" s="93"/>
      <x:c r="M99" s="93"/>
      <x:c r="N99" s="92"/>
      <x:c r="O99" s="94"/>
      <x:c r="P99" s="92"/>
      <x:c r="Q99" s="86"/>
      <x:c r="R99" s="86"/>
      <x:c r="S99" s="86"/>
      <x:c r="T99" s="86"/>
      <x:c r="U99" s="86"/>
      <x:c r="V99" s="86"/>
      <x:c r="W99" s="86"/>
      <x:c r="X99" s="86"/>
      <x:c r="Y99" s="86"/>
      <x:c r="Z99" s="86"/>
    </x:row>
    <x:row r="100">
      <x:c r="A100" s="86"/>
      <x:c r="B100" s="86"/>
      <x:c r="C100" s="86"/>
      <x:c r="D100" s="106"/>
      <x:c r="E100" s="106"/>
      <x:c r="F100" s="107"/>
      <x:c r="G100" s="107"/>
      <x:c r="H100" s="93"/>
      <x:c r="I100" s="92"/>
      <x:c r="J100" s="108"/>
      <x:c r="K100" s="92"/>
      <x:c r="L100" s="93"/>
      <x:c r="M100" s="93"/>
      <x:c r="N100" s="92"/>
      <x:c r="O100" s="94"/>
      <x:c r="P100" s="92"/>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P1"/>
  </x:mergeCells>
  <x:conditionalFormatting sqref="H4:H100">
    <x:cfRule type="colorScale" priority="1">
      <x:colorScale>
        <x:cfvo type="min"/>
        <x:cfvo type="percentile" val="50"/>
        <x:cfvo type="max"/>
        <x:color rgb="FFF8696B"/>
        <x:color rgb="FFFFEB84"/>
        <x:color rgb="FF63BE7B"/>
      </x:colorScale>
    </x:cfRule>
  </x:conditionalFormatting>
  <x:conditionalFormatting sqref="J4:J100">
    <x:cfRule type="colorScale" priority="2">
      <x:colorScale>
        <x:cfvo type="min"/>
        <x:cfvo type="percentile" val="50"/>
        <x:cfvo type="max"/>
        <x:color rgb="FFF8696B"/>
        <x:color rgb="FFFFEB84"/>
        <x:color rgb="FF63BE7B"/>
      </x:colorScale>
    </x:cfRule>
  </x:conditionalFormatting>
  <x:conditionalFormatting sqref="K4:K100">
    <x:cfRule type="expression" dxfId="3" priority="3">
      <x:formula>LEFT(K4,1)="A"</x:formula>
    </x:cfRule>
    <x:cfRule type="expression" dxfId="4" priority="4">
      <x:formula>LEFT(K4,1)="B"</x:formula>
    </x:cfRule>
  </x:conditionalFormatting>
  <x:conditionalFormatting sqref="P4:P100">
    <x:cfRule type="expression" dxfId="5" priority="5">
      <x:formula>P4&lt;&gt;"正常"</x:formula>
    </x:cfRule>
  </x:conditionalFormatting>
  <x:dataValidations count="1">
    <x:dataValidation type="list" sqref="E4:E100">
      <x:formula1>"重点观察,普通观察,暂停研究,移出"</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4" hidden="0" customWidth="1"/>
    <x:col min="3" max="3" width="16"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0" hidden="0" customWidth="1"/>
    <x:col min="15" max="15" width="10" hidden="0" customWidth="1"/>
    <x:col min="16" max="16" width="28" hidden="0" customWidth="1"/>
    <x:col min="17" max="17" width="12" hidden="0" customWidth="1"/>
  </x:cols>
  <x:sheetData>
    <x:row r="1">
      <x:c r="A1" s="5" t="str">
        <x:v>公司质量评分（示例评分仅用于演示结构，不构成投资结论）</x:v>
      </x:c>
      <x:c r="B1" s="5"/>
      <x:c r="C1" s="5"/>
      <x:c r="D1" s="5"/>
      <x:c r="E1" s="5"/>
      <x:c r="F1" s="5"/>
      <x:c r="G1" s="5"/>
      <x:c r="H1" s="5"/>
      <x:c r="I1" s="5"/>
      <x:c r="J1" s="5"/>
      <x:c r="K1" s="5"/>
      <x:c r="L1" s="5"/>
      <x:c r="M1" s="5"/>
      <x:c r="N1" s="5"/>
      <x:c r="O1" s="5"/>
      <x:c r="P1" s="5"/>
      <x:c r="Q1" s="5"/>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股票代码</x:v>
      </x:c>
      <x:c r="B3" s="13" t="str">
        <x:v>公司名称</x:v>
      </x:c>
      <x:c r="C3" s="13" t="str">
        <x:v>行业</x:v>
      </x:c>
      <x:c r="D3" s="13" t="str">
        <x:v>行业空间</x:v>
      </x:c>
      <x:c r="E3" s="13" t="str">
        <x:v>护城河</x:v>
      </x:c>
      <x:c r="F3" s="13" t="str">
        <x:v>盈利能力</x:v>
      </x:c>
      <x:c r="G3" s="13" t="str">
        <x:v>成长质量</x:v>
      </x:c>
      <x:c r="H3" s="13" t="str">
        <x:v>现金流质量</x:v>
      </x:c>
      <x:c r="I3" s="13" t="str">
        <x:v>财务稳健</x:v>
      </x:c>
      <x:c r="J3" s="13" t="str">
        <x:v>管理层治理</x:v>
      </x:c>
      <x:c r="K3" s="13" t="str">
        <x:v>股东回报</x:v>
      </x:c>
      <x:c r="L3" s="13" t="str">
        <x:v>估值合理性</x:v>
      </x:c>
      <x:c r="M3" s="13" t="str">
        <x:v>综合分</x:v>
      </x:c>
      <x:c r="N3" s="13" t="str">
        <x:v>星级</x:v>
      </x:c>
      <x:c r="O3" s="13" t="str">
        <x:v>风险标记</x:v>
      </x:c>
      <x:c r="P3" s="13" t="str">
        <x:v>评分说明</x:v>
      </x:c>
      <x:c r="Q3" s="13" t="str">
        <x:v>最近复核</x:v>
      </x:c>
      <x:c r="R3" s="86"/>
      <x:c r="S3" s="86"/>
      <x:c r="T3" s="86"/>
      <x:c r="U3" s="86"/>
      <x:c r="V3" s="86"/>
      <x:c r="W3" s="86"/>
      <x:c r="X3" s="86"/>
      <x:c r="Y3" s="86"/>
      <x:c r="Z3" s="86"/>
    </x:row>
    <x:row r="4">
      <x:c r="A4" s="86" t="str">
        <x:v>600941</x:v>
      </x:c>
      <x:c r="B4" s="86" t="str">
        <x:v>中国移动</x:v>
      </x:c>
      <x:c r="C4" s="86" t="str">
        <x:v>通信运营</x:v>
      </x:c>
      <x:c r="D4" s="106" t="n">
        <x:v>9</x:v>
      </x:c>
      <x:c r="E4" s="106" t="n">
        <x:v>9</x:v>
      </x:c>
      <x:c r="F4" s="106" t="n">
        <x:v>8</x:v>
      </x:c>
      <x:c r="G4" s="106" t="n">
        <x:v>6</x:v>
      </x:c>
      <x:c r="H4" s="106" t="n">
        <x:v>9</x:v>
      </x:c>
      <x:c r="I4" s="106" t="n">
        <x:v>9</x:v>
      </x:c>
      <x:c r="J4" s="106" t="n">
        <x:v>8</x:v>
      </x:c>
      <x:c r="K4" s="106" t="n">
        <x:v>9</x:v>
      </x:c>
      <x:c r="L4" s="106" t="n">
        <x:v>7</x:v>
      </x:c>
      <x:c r="M4" s="92" t="n">
        <x:f>(D4*10+E4*15+F4*15+G4*12+H4*12+I4*10+J4*8+K4*8+L4*10)/10</x:f>
        <x:v>82.1</x:v>
      </x:c>
      <x:c r="N4" s="92" t="str">
        <x:f>IF(M4&gt;=90,"★★★★★",IF(M4&gt;=80,"★★★★",IF(M4&gt;=70,"★★★",IF(M4&gt;=60,"★★","★"))))</x:f>
        <x:v>★★★★</x:v>
      </x:c>
      <x:c r="O4" s="86" t="str">
        <x:v>低</x:v>
      </x:c>
      <x:c r="P4" s="86" t="str">
        <x:v>高现金流/高分红型样例</x:v>
      </x:c>
      <x:c r="Q4" s="86"/>
      <x:c r="R4" s="86"/>
      <x:c r="S4" s="86"/>
      <x:c r="T4" s="86"/>
      <x:c r="U4" s="86"/>
      <x:c r="V4" s="86"/>
      <x:c r="W4" s="86"/>
      <x:c r="X4" s="86"/>
      <x:c r="Y4" s="86"/>
      <x:c r="Z4" s="86"/>
    </x:row>
    <x:row r="5">
      <x:c r="A5" s="86" t="str">
        <x:v>600900</x:v>
      </x:c>
      <x:c r="B5" s="86" t="str">
        <x:v>长江电力</x:v>
      </x:c>
      <x:c r="C5" s="86" t="str">
        <x:v>电力公用事业</x:v>
      </x:c>
      <x:c r="D5" s="106" t="n">
        <x:v>8</x:v>
      </x:c>
      <x:c r="E5" s="106" t="n">
        <x:v>9</x:v>
      </x:c>
      <x:c r="F5" s="106" t="n">
        <x:v>8</x:v>
      </x:c>
      <x:c r="G5" s="106" t="n">
        <x:v>7</x:v>
      </x:c>
      <x:c r="H5" s="106" t="n">
        <x:v>9</x:v>
      </x:c>
      <x:c r="I5" s="106" t="n">
        <x:v>8</x:v>
      </x:c>
      <x:c r="J5" s="106" t="n">
        <x:v>8</x:v>
      </x:c>
      <x:c r="K5" s="106" t="n">
        <x:v>9</x:v>
      </x:c>
      <x:c r="L5" s="106" t="n">
        <x:v>7</x:v>
      </x:c>
      <x:c r="M5" s="92" t="n">
        <x:f>(D5*10+E5*15+F5*15+G5*12+H5*12+I5*10+J5*8+K5*8+L5*10)/10</x:f>
        <x:v>81.3</x:v>
      </x:c>
      <x:c r="N5" s="92" t="str">
        <x:f>IF(M5&gt;=90,"★★★★★",IF(M5&gt;=80,"★★★★",IF(M5&gt;=70,"★★★",IF(M5&gt;=60,"★★","★"))))</x:f>
        <x:v>★★★★</x:v>
      </x:c>
      <x:c r="O5" s="86" t="str">
        <x:v>低</x:v>
      </x:c>
      <x:c r="P5" s="86" t="str">
        <x:v>稀缺水电资产/现金流型样例</x:v>
      </x:c>
      <x:c r="Q5" s="86"/>
      <x:c r="R5" s="86"/>
      <x:c r="S5" s="86"/>
      <x:c r="T5" s="86"/>
      <x:c r="U5" s="86"/>
      <x:c r="V5" s="86"/>
      <x:c r="W5" s="86"/>
      <x:c r="X5" s="86"/>
      <x:c r="Y5" s="86"/>
      <x:c r="Z5" s="86"/>
    </x:row>
    <x:row r="6">
      <x:c r="A6" s="86" t="str">
        <x:v>600519</x:v>
      </x:c>
      <x:c r="B6" s="86" t="str">
        <x:v>贵州茅台</x:v>
      </x:c>
      <x:c r="C6" s="86" t="str">
        <x:v>白酒</x:v>
      </x:c>
      <x:c r="D6" s="106" t="n">
        <x:v>8</x:v>
      </x:c>
      <x:c r="E6" s="106" t="n">
        <x:v>10</x:v>
      </x:c>
      <x:c r="F6" s="106" t="n">
        <x:v>10</x:v>
      </x:c>
      <x:c r="G6" s="106" t="n">
        <x:v>7</x:v>
      </x:c>
      <x:c r="H6" s="106" t="n">
        <x:v>10</x:v>
      </x:c>
      <x:c r="I6" s="106" t="n">
        <x:v>10</x:v>
      </x:c>
      <x:c r="J6" s="106" t="n">
        <x:v>9</x:v>
      </x:c>
      <x:c r="K6" s="106" t="n">
        <x:v>9</x:v>
      </x:c>
      <x:c r="L6" s="106" t="n">
        <x:v>5</x:v>
      </x:c>
      <x:c r="M6" s="92" t="n">
        <x:f>(D6*10+E6*15+F6*15+G6*12+H6*12+I6*10+J6*8+K6*8+L6*10)/10</x:f>
        <x:v>87.8</x:v>
      </x:c>
      <x:c r="N6" s="92" t="str">
        <x:f>IF(M6&gt;=90,"★★★★★",IF(M6&gt;=80,"★★★★",IF(M6&gt;=70,"★★★",IF(M6&gt;=60,"★★","★"))))</x:f>
        <x:v>★★★★</x:v>
      </x:c>
      <x:c r="O6" s="86" t="str">
        <x:v>中</x:v>
      </x:c>
      <x:c r="P6" s="86" t="str">
        <x:v>强品牌/高ROE型样例</x:v>
      </x:c>
      <x:c r="Q6" s="86"/>
      <x:c r="R6" s="86"/>
      <x:c r="S6" s="86"/>
      <x:c r="T6" s="86"/>
      <x:c r="U6" s="86"/>
      <x:c r="V6" s="86"/>
      <x:c r="W6" s="86"/>
      <x:c r="X6" s="86"/>
      <x:c r="Y6" s="86"/>
      <x:c r="Z6" s="86"/>
    </x:row>
    <x:row r="7">
      <x:c r="A7" s="86" t="str">
        <x:v>000333</x:v>
      </x:c>
      <x:c r="B7" s="86" t="str">
        <x:v>美的集团</x:v>
      </x:c>
      <x:c r="C7" s="86" t="str">
        <x:v>家电</x:v>
      </x:c>
      <x:c r="D7" s="106" t="n">
        <x:v>8</x:v>
      </x:c>
      <x:c r="E7" s="106" t="n">
        <x:v>9</x:v>
      </x:c>
      <x:c r="F7" s="106" t="n">
        <x:v>9</x:v>
      </x:c>
      <x:c r="G7" s="106" t="n">
        <x:v>8</x:v>
      </x:c>
      <x:c r="H7" s="106" t="n">
        <x:v>9</x:v>
      </x:c>
      <x:c r="I7" s="106" t="n">
        <x:v>8</x:v>
      </x:c>
      <x:c r="J7" s="106" t="n">
        <x:v>9</x:v>
      </x:c>
      <x:c r="K7" s="106" t="n">
        <x:v>8</x:v>
      </x:c>
      <x:c r="L7" s="106" t="n">
        <x:v>7</x:v>
      </x:c>
      <x:c r="M7" s="92" t="n">
        <x:f>(D7*10+E7*15+F7*15+G7*12+H7*12+I7*10+J7*8+K7*8+L7*10)/10</x:f>
        <x:v>84</x:v>
      </x:c>
      <x:c r="N7" s="92" t="str">
        <x:f>IF(M7&gt;=90,"★★★★★",IF(M7&gt;=80,"★★★★",IF(M7&gt;=70,"★★★",IF(M7&gt;=60,"★★","★"))))</x:f>
        <x:v>★★★★</x:v>
      </x:c>
      <x:c r="O7" s="86" t="str">
        <x:v>低</x:v>
      </x:c>
      <x:c r="P7" s="86" t="str">
        <x:v>制造+全球化+现金流样例</x:v>
      </x:c>
      <x:c r="Q7" s="86"/>
      <x:c r="R7" s="86"/>
      <x:c r="S7" s="86"/>
      <x:c r="T7" s="86"/>
      <x:c r="U7" s="86"/>
      <x:c r="V7" s="86"/>
      <x:c r="W7" s="86"/>
      <x:c r="X7" s="86"/>
      <x:c r="Y7" s="86"/>
      <x:c r="Z7" s="86"/>
    </x:row>
    <x:row r="8">
      <x:c r="A8" s="86" t="str">
        <x:v>600036</x:v>
      </x:c>
      <x:c r="B8" s="86" t="str">
        <x:v>招商银行</x:v>
      </x:c>
      <x:c r="C8" s="86" t="str">
        <x:v>银行</x:v>
      </x:c>
      <x:c r="D8" s="106" t="n">
        <x:v>8</x:v>
      </x:c>
      <x:c r="E8" s="106" t="n">
        <x:v>9</x:v>
      </x:c>
      <x:c r="F8" s="106" t="n">
        <x:v>9</x:v>
      </x:c>
      <x:c r="G8" s="106" t="n">
        <x:v>7</x:v>
      </x:c>
      <x:c r="H8" s="106" t="n">
        <x:v>7</x:v>
      </x:c>
      <x:c r="I8" s="106" t="n">
        <x:v>8</x:v>
      </x:c>
      <x:c r="J8" s="106" t="n">
        <x:v>9</x:v>
      </x:c>
      <x:c r="K8" s="106" t="n">
        <x:v>8</x:v>
      </x:c>
      <x:c r="L8" s="106" t="n">
        <x:v>7</x:v>
      </x:c>
      <x:c r="M8" s="92" t="n">
        <x:f>(D8*10+E8*15+F8*15+G8*12+H8*12+I8*10+J8*8+K8*8+L8*10)/10</x:f>
        <x:v>80.4</x:v>
      </x:c>
      <x:c r="N8" s="92" t="str">
        <x:f>IF(M8&gt;=90,"★★★★★",IF(M8&gt;=80,"★★★★",IF(M8&gt;=70,"★★★",IF(M8&gt;=60,"★★","★"))))</x:f>
        <x:v>★★★★</x:v>
      </x:c>
      <x:c r="O8" s="86" t="str">
        <x:v>中</x:v>
      </x:c>
      <x:c r="P8" s="86" t="str">
        <x:v>银行需使用金融业专属口径</x:v>
      </x:c>
      <x:c r="Q8" s="86"/>
      <x:c r="R8" s="86"/>
      <x:c r="S8" s="86"/>
      <x:c r="T8" s="86"/>
      <x:c r="U8" s="86"/>
      <x:c r="V8" s="86"/>
      <x:c r="W8" s="86"/>
      <x:c r="X8" s="86"/>
      <x:c r="Y8" s="86"/>
      <x:c r="Z8" s="86"/>
    </x:row>
    <x:row r="9">
      <x:c r="A9" s="86" t="str">
        <x:v>601288</x:v>
      </x:c>
      <x:c r="B9" s="86" t="str">
        <x:v>农业银行</x:v>
      </x:c>
      <x:c r="C9" s="86" t="str">
        <x:v>银行</x:v>
      </x:c>
      <x:c r="D9" s="106" t="n">
        <x:v>8</x:v>
      </x:c>
      <x:c r="E9" s="106" t="n">
        <x:v>8</x:v>
      </x:c>
      <x:c r="F9" s="106" t="n">
        <x:v>8</x:v>
      </x:c>
      <x:c r="G9" s="106" t="n">
        <x:v>6</x:v>
      </x:c>
      <x:c r="H9" s="106" t="n">
        <x:v>7</x:v>
      </x:c>
      <x:c r="I9" s="106" t="n">
        <x:v>8</x:v>
      </x:c>
      <x:c r="J9" s="106" t="n">
        <x:v>8</x:v>
      </x:c>
      <x:c r="K9" s="106" t="n">
        <x:v>9</x:v>
      </x:c>
      <x:c r="L9" s="106" t="n">
        <x:v>8</x:v>
      </x:c>
      <x:c r="M9" s="92" t="n">
        <x:f>(D9*10+E9*15+F9*15+G9*12+H9*12+I9*10+J9*8+K9*8+L9*10)/10</x:f>
        <x:v>77.2</x:v>
      </x:c>
      <x:c r="N9" s="92" t="str">
        <x:f>IF(M9&gt;=90,"★★★★★",IF(M9&gt;=80,"★★★★",IF(M9&gt;=70,"★★★",IF(M9&gt;=60,"★★","★"))))</x:f>
        <x:v>★★★</x:v>
      </x:c>
      <x:c r="O9" s="86" t="str">
        <x:v>中</x:v>
      </x:c>
      <x:c r="P9" s="86" t="str">
        <x:v>高股息银行样例</x:v>
      </x:c>
      <x:c r="Q9" s="86"/>
      <x:c r="R9" s="86"/>
      <x:c r="S9" s="86"/>
      <x:c r="T9" s="86"/>
      <x:c r="U9" s="86"/>
      <x:c r="V9" s="86"/>
      <x:c r="W9" s="86"/>
      <x:c r="X9" s="86"/>
      <x:c r="Y9" s="86"/>
      <x:c r="Z9" s="86"/>
    </x:row>
    <x:row r="10">
      <x:c r="A10" s="86" t="str">
        <x:v>601088</x:v>
      </x:c>
      <x:c r="B10" s="86" t="str">
        <x:v>中国神华</x:v>
      </x:c>
      <x:c r="C10" s="86" t="str">
        <x:v>煤炭</x:v>
      </x:c>
      <x:c r="D10" s="106" t="n">
        <x:v>6</x:v>
      </x:c>
      <x:c r="E10" s="106" t="n">
        <x:v>9</x:v>
      </x:c>
      <x:c r="F10" s="106" t="n">
        <x:v>9</x:v>
      </x:c>
      <x:c r="G10" s="106" t="n">
        <x:v>5</x:v>
      </x:c>
      <x:c r="H10" s="106" t="n">
        <x:v>10</x:v>
      </x:c>
      <x:c r="I10" s="106" t="n">
        <x:v>10</x:v>
      </x:c>
      <x:c r="J10" s="106" t="n">
        <x:v>8</x:v>
      </x:c>
      <x:c r="K10" s="106" t="n">
        <x:v>10</x:v>
      </x:c>
      <x:c r="L10" s="106" t="n">
        <x:v>8</x:v>
      </x:c>
      <x:c r="M10" s="92" t="n">
        <x:f>(D10*10+E10*15+F10*15+G10*12+H10*12+I10*10+J10*8+K10*8+L10*10)/10</x:f>
        <x:v>83.4</x:v>
      </x:c>
      <x:c r="N10" s="92" t="str">
        <x:f>IF(M10&gt;=90,"★★★★★",IF(M10&gt;=80,"★★★★",IF(M10&gt;=70,"★★★",IF(M10&gt;=60,"★★","★"))))</x:f>
        <x:v>★★★★</x:v>
      </x:c>
      <x:c r="O10" s="86" t="str">
        <x:v>中</x:v>
      </x:c>
      <x:c r="P10" s="86" t="str">
        <x:v>周期资源+高股东回报样例</x:v>
      </x:c>
      <x:c r="Q10" s="86"/>
      <x:c r="R10" s="86"/>
      <x:c r="S10" s="86"/>
      <x:c r="T10" s="86"/>
      <x:c r="U10" s="86"/>
      <x:c r="V10" s="86"/>
      <x:c r="W10" s="86"/>
      <x:c r="X10" s="86"/>
      <x:c r="Y10" s="86"/>
      <x:c r="Z10" s="86"/>
    </x:row>
    <x:row r="11">
      <x:c r="A11" s="86" t="str">
        <x:v>600690</x:v>
      </x:c>
      <x:c r="B11" s="86" t="str">
        <x:v>海尔智家</x:v>
      </x:c>
      <x:c r="C11" s="86" t="str">
        <x:v>家电</x:v>
      </x:c>
      <x:c r="D11" s="106" t="n">
        <x:v>8</x:v>
      </x:c>
      <x:c r="E11" s="106" t="n">
        <x:v>8</x:v>
      </x:c>
      <x:c r="F11" s="106" t="n">
        <x:v>8</x:v>
      </x:c>
      <x:c r="G11" s="106" t="n">
        <x:v>8</x:v>
      </x:c>
      <x:c r="H11" s="106" t="n">
        <x:v>8</x:v>
      </x:c>
      <x:c r="I11" s="106" t="n">
        <x:v>8</x:v>
      </x:c>
      <x:c r="J11" s="106" t="n">
        <x:v>8</x:v>
      </x:c>
      <x:c r="K11" s="106" t="n">
        <x:v>8</x:v>
      </x:c>
      <x:c r="L11" s="106" t="n">
        <x:v>7</x:v>
      </x:c>
      <x:c r="M11" s="92" t="n">
        <x:f>(D11*10+E11*15+F11*15+G11*12+H11*12+I11*10+J11*8+K11*8+L11*10)/10</x:f>
        <x:v>79</x:v>
      </x:c>
      <x:c r="N11" s="92" t="str">
        <x:f>IF(M11&gt;=90,"★★★★★",IF(M11&gt;=80,"★★★★",IF(M11&gt;=70,"★★★",IF(M11&gt;=60,"★★","★"))))</x:f>
        <x:v>★★★</x:v>
      </x:c>
      <x:c r="O11" s="86" t="str">
        <x:v>低</x:v>
      </x:c>
      <x:c r="P11" s="86" t="str">
        <x:v>全球化家电样例</x:v>
      </x:c>
      <x:c r="Q11" s="86"/>
      <x:c r="R11" s="86"/>
      <x:c r="S11" s="86"/>
      <x:c r="T11" s="86"/>
      <x:c r="U11" s="86"/>
      <x:c r="V11" s="86"/>
      <x:c r="W11" s="86"/>
      <x:c r="X11" s="86"/>
      <x:c r="Y11" s="86"/>
      <x:c r="Z11" s="86"/>
    </x:row>
    <x:row r="12">
      <x:c r="A12" s="86" t="str">
        <x:v>300750</x:v>
      </x:c>
      <x:c r="B12" s="86" t="str">
        <x:v>宁德时代</x:v>
      </x:c>
      <x:c r="C12" s="86" t="str">
        <x:v>新能源电池</x:v>
      </x:c>
      <x:c r="D12" s="106" t="n">
        <x:v>10</x:v>
      </x:c>
      <x:c r="E12" s="106" t="n">
        <x:v>10</x:v>
      </x:c>
      <x:c r="F12" s="106" t="n">
        <x:v>8</x:v>
      </x:c>
      <x:c r="G12" s="106" t="n">
        <x:v>10</x:v>
      </x:c>
      <x:c r="H12" s="106" t="n">
        <x:v>8</x:v>
      </x:c>
      <x:c r="I12" s="106" t="n">
        <x:v>8</x:v>
      </x:c>
      <x:c r="J12" s="106" t="n">
        <x:v>9</x:v>
      </x:c>
      <x:c r="K12" s="106" t="n">
        <x:v>5</x:v>
      </x:c>
      <x:c r="L12" s="106" t="n">
        <x:v>6</x:v>
      </x:c>
      <x:c r="M12" s="92" t="n">
        <x:f>(D12*10+E12*15+F12*15+G12*12+H12*12+I12*10+J12*8+K12*8+L12*10)/10</x:f>
        <x:v>83.8</x:v>
      </x:c>
      <x:c r="N12" s="92" t="str">
        <x:f>IF(M12&gt;=90,"★★★★★",IF(M12&gt;=80,"★★★★",IF(M12&gt;=70,"★★★",IF(M12&gt;=60,"★★","★"))))</x:f>
        <x:v>★★★★</x:v>
      </x:c>
      <x:c r="O12" s="86" t="str">
        <x:v>中</x:v>
      </x:c>
      <x:c r="P12" s="86" t="str">
        <x:v>成长价值型样例，波动更高</x:v>
      </x:c>
      <x:c r="Q12" s="86"/>
      <x:c r="R12" s="86"/>
      <x:c r="S12" s="86"/>
      <x:c r="T12" s="86"/>
      <x:c r="U12" s="86"/>
      <x:c r="V12" s="86"/>
      <x:c r="W12" s="86"/>
      <x:c r="X12" s="86"/>
      <x:c r="Y12" s="86"/>
      <x:c r="Z12" s="86"/>
    </x:row>
    <x:row r="13">
      <x:c r="A13" s="86" t="str">
        <x:v>600887</x:v>
      </x:c>
      <x:c r="B13" s="86" t="str">
        <x:v>伊利股份</x:v>
      </x:c>
      <x:c r="C13" s="86" t="str">
        <x:v>乳制品</x:v>
      </x:c>
      <x:c r="D13" s="106" t="n">
        <x:v>7</x:v>
      </x:c>
      <x:c r="E13" s="106" t="n">
        <x:v>8</x:v>
      </x:c>
      <x:c r="F13" s="106" t="n">
        <x:v>7</x:v>
      </x:c>
      <x:c r="G13" s="106" t="n">
        <x:v>6</x:v>
      </x:c>
      <x:c r="H13" s="106" t="n">
        <x:v>8</x:v>
      </x:c>
      <x:c r="I13" s="106" t="n">
        <x:v>8</x:v>
      </x:c>
      <x:c r="J13" s="106" t="n">
        <x:v>8</x:v>
      </x:c>
      <x:c r="K13" s="106" t="n">
        <x:v>8</x:v>
      </x:c>
      <x:c r="L13" s="106" t="n">
        <x:v>7</x:v>
      </x:c>
      <x:c r="M13" s="92" t="n">
        <x:f>(D13*10+E13*15+F13*15+G13*12+H13*12+I13*10+J13*8+K13*8+L13*10)/10</x:f>
        <x:v>74.1</x:v>
      </x:c>
      <x:c r="N13" s="92" t="str">
        <x:f>IF(M13&gt;=90,"★★★★★",IF(M13&gt;=80,"★★★★",IF(M13&gt;=70,"★★★",IF(M13&gt;=60,"★★","★"))))</x:f>
        <x:v>★★★</x:v>
      </x:c>
      <x:c r="O13" s="86" t="str">
        <x:v>中</x:v>
      </x:c>
      <x:c r="P13" s="86" t="str">
        <x:v>消费稳定型样例</x:v>
      </x:c>
      <x:c r="Q13" s="86"/>
      <x:c r="R13" s="86"/>
      <x:c r="S13" s="86"/>
      <x:c r="T13" s="86"/>
      <x:c r="U13" s="86"/>
      <x:c r="V13" s="86"/>
      <x:c r="W13" s="86"/>
      <x:c r="X13" s="86"/>
      <x:c r="Y13" s="86"/>
      <x:c r="Z13" s="86"/>
    </x:row>
    <x:row r="14">
      <x:c r="A14" s="86"/>
      <x:c r="B14" s="86"/>
      <x:c r="C14" s="86"/>
      <x:c r="D14" s="86"/>
      <x:c r="E14" s="86"/>
      <x:c r="F14" s="86"/>
      <x:c r="G14" s="86"/>
      <x:c r="H14" s="86"/>
      <x:c r="I14" s="86"/>
      <x:c r="J14" s="86"/>
      <x:c r="K14" s="86"/>
      <x:c r="L14" s="86"/>
      <x:c r="M14" s="86"/>
      <x:c r="N14" s="86"/>
      <x:c r="O14" s="86"/>
      <x:c r="P14" s="86"/>
      <x:c r="Q14" s="86"/>
      <x:c r="R14" s="86"/>
      <x:c r="S14" s="86"/>
      <x:c r="T14" s="86"/>
      <x:c r="U14" s="86"/>
      <x:c r="V14" s="86"/>
      <x:c r="W14" s="86"/>
      <x:c r="X14" s="86"/>
      <x:c r="Y14" s="86"/>
      <x:c r="Z14" s="86"/>
    </x:row>
    <x:row r="15">
      <x:c r="A15" s="86"/>
      <x:c r="B15" s="86"/>
      <x:c r="C15" s="86"/>
      <x:c r="D15" s="86"/>
      <x:c r="E15" s="86"/>
      <x:c r="F15" s="86"/>
      <x:c r="G15" s="86"/>
      <x:c r="H15" s="86"/>
      <x:c r="I15" s="86"/>
      <x:c r="J15" s="86"/>
      <x:c r="K15" s="86"/>
      <x:c r="L15" s="86"/>
      <x:c r="M15" s="86"/>
      <x:c r="N15" s="86"/>
      <x:c r="O15" s="86"/>
      <x:c r="P15" s="86"/>
      <x:c r="Q15" s="86"/>
      <x:c r="R15" s="86"/>
      <x:c r="S15" s="86"/>
      <x:c r="T15" s="86"/>
      <x:c r="U15" s="86"/>
      <x:c r="V15" s="86"/>
      <x:c r="W15" s="86"/>
      <x:c r="X15" s="86"/>
      <x:c r="Y15" s="86"/>
      <x:c r="Z15" s="86"/>
    </x:row>
    <x:row r="16">
      <x:c r="A16" s="86"/>
      <x:c r="B16" s="86"/>
      <x:c r="C16" s="86"/>
      <x:c r="D16" s="86"/>
      <x:c r="E16" s="86"/>
      <x:c r="F16" s="86"/>
      <x:c r="G16" s="86"/>
      <x:c r="H16" s="86"/>
      <x:c r="I16" s="86"/>
      <x:c r="J16" s="86"/>
      <x:c r="K16" s="86"/>
      <x:c r="L16" s="86"/>
      <x:c r="M16" s="86"/>
      <x:c r="N16" s="86"/>
      <x:c r="O16" s="86"/>
      <x:c r="P16" s="86"/>
      <x:c r="Q16" s="86"/>
      <x:c r="R16" s="86"/>
      <x:c r="S16" s="86"/>
      <x:c r="T16" s="86"/>
      <x:c r="U16" s="86"/>
      <x:c r="V16" s="86"/>
      <x:c r="W16" s="86"/>
      <x:c r="X16" s="86"/>
      <x:c r="Y16" s="86"/>
      <x:c r="Z16" s="86"/>
    </x:row>
    <x:row r="17">
      <x:c r="A17" s="86"/>
      <x:c r="B17" s="86"/>
      <x:c r="C17" s="86"/>
      <x:c r="D17" s="86"/>
      <x:c r="E17" s="86"/>
      <x:c r="F17" s="86"/>
      <x:c r="G17" s="86"/>
      <x:c r="H17" s="86"/>
      <x:c r="I17" s="86"/>
      <x:c r="J17" s="86"/>
      <x:c r="K17" s="86"/>
      <x:c r="L17" s="86"/>
      <x:c r="M17" s="86"/>
      <x:c r="N17" s="86"/>
      <x:c r="O17" s="86"/>
      <x:c r="P17" s="86"/>
      <x:c r="Q17" s="86"/>
      <x:c r="R17" s="86"/>
      <x:c r="S17" s="86"/>
      <x:c r="T17" s="86"/>
      <x:c r="U17" s="86"/>
      <x:c r="V17" s="86"/>
      <x:c r="W17" s="86"/>
      <x:c r="X17" s="86"/>
      <x:c r="Y17" s="86"/>
      <x:c r="Z17" s="86"/>
    </x:row>
    <x:row r="18">
      <x:c r="A18" s="86"/>
      <x:c r="B18" s="86"/>
      <x:c r="C18" s="86"/>
      <x:c r="D18" s="86"/>
      <x:c r="E18" s="86"/>
      <x:c r="F18" s="86"/>
      <x:c r="G18" s="86"/>
      <x:c r="H18" s="86"/>
      <x:c r="I18" s="86"/>
      <x:c r="J18" s="86"/>
      <x:c r="K18" s="86"/>
      <x:c r="L18" s="86"/>
      <x:c r="M18" s="86"/>
      <x:c r="N18" s="86"/>
      <x:c r="O18" s="86"/>
      <x:c r="P18" s="86"/>
      <x:c r="Q18" s="86"/>
      <x:c r="R18" s="86"/>
      <x:c r="S18" s="86"/>
      <x:c r="T18" s="86"/>
      <x:c r="U18" s="86"/>
      <x:c r="V18" s="86"/>
      <x:c r="W18" s="86"/>
      <x:c r="X18" s="86"/>
      <x:c r="Y18" s="86"/>
      <x:c r="Z18" s="86"/>
    </x:row>
    <x:row r="19">
      <x:c r="A19" s="86"/>
      <x:c r="B19" s="86"/>
      <x:c r="C19" s="86"/>
      <x:c r="D19" s="86"/>
      <x:c r="E19" s="86"/>
      <x:c r="F19" s="86"/>
      <x:c r="G19" s="86"/>
      <x:c r="H19" s="86"/>
      <x:c r="I19" s="86"/>
      <x:c r="J19" s="86"/>
      <x:c r="K19" s="86"/>
      <x:c r="L19" s="86"/>
      <x:c r="M19" s="86"/>
      <x:c r="N19" s="86"/>
      <x:c r="O19" s="86"/>
      <x:c r="P19" s="86"/>
      <x:c r="Q19" s="86"/>
      <x:c r="R19" s="86"/>
      <x:c r="S19" s="86"/>
      <x:c r="T19" s="86"/>
      <x:c r="U19" s="86"/>
      <x:c r="V19" s="86"/>
      <x:c r="W19" s="86"/>
      <x:c r="X19" s="86"/>
      <x:c r="Y19" s="86"/>
      <x:c r="Z19" s="86"/>
    </x:row>
    <x:row r="20">
      <x:c r="A20" s="86"/>
      <x:c r="B20" s="86"/>
      <x:c r="C20" s="86"/>
      <x:c r="D20" s="86"/>
      <x:c r="E20" s="86"/>
      <x:c r="F20" s="86"/>
      <x:c r="G20" s="86"/>
      <x:c r="H20" s="86"/>
      <x:c r="I20" s="86"/>
      <x:c r="J20" s="86"/>
      <x:c r="K20" s="86"/>
      <x:c r="L20" s="86"/>
      <x:c r="M20" s="86"/>
      <x:c r="N20" s="86"/>
      <x:c r="O20" s="86"/>
      <x:c r="P20" s="86"/>
      <x:c r="Q20" s="86"/>
      <x:c r="R20" s="86"/>
      <x:c r="S20" s="86"/>
      <x:c r="T20" s="86"/>
      <x:c r="U20" s="86"/>
      <x:c r="V20" s="86"/>
      <x:c r="W20" s="86"/>
      <x:c r="X20" s="86"/>
      <x:c r="Y20" s="86"/>
      <x:c r="Z20" s="86"/>
    </x:row>
    <x:row r="21">
      <x:c r="A21" s="86"/>
      <x:c r="B21" s="86"/>
      <x:c r="C21" s="86"/>
      <x:c r="D21" s="86"/>
      <x:c r="E21" s="86"/>
      <x:c r="F21" s="86"/>
      <x:c r="G21" s="86"/>
      <x:c r="H21" s="86"/>
      <x:c r="I21" s="86"/>
      <x:c r="J21" s="86"/>
      <x:c r="K21" s="86"/>
      <x:c r="L21" s="86"/>
      <x:c r="M21" s="86"/>
      <x:c r="N21" s="86"/>
      <x:c r="O21" s="86"/>
      <x:c r="P21" s="86"/>
      <x:c r="Q21" s="86"/>
      <x:c r="R21" s="86"/>
      <x:c r="S21" s="86"/>
      <x:c r="T21" s="86"/>
      <x:c r="U21" s="86"/>
      <x:c r="V21" s="86"/>
      <x:c r="W21" s="86"/>
      <x:c r="X21" s="86"/>
      <x:c r="Y21" s="86"/>
      <x:c r="Z21" s="86"/>
    </x:row>
    <x:row r="22">
      <x:c r="A22" s="86"/>
      <x:c r="B22" s="86"/>
      <x:c r="C22" s="86"/>
      <x:c r="D22" s="86"/>
      <x:c r="E22" s="86"/>
      <x:c r="F22" s="86"/>
      <x:c r="G22" s="86"/>
      <x:c r="H22" s="86"/>
      <x:c r="I22" s="86"/>
      <x:c r="J22" s="86"/>
      <x:c r="K22" s="86"/>
      <x:c r="L22" s="86"/>
      <x:c r="M22" s="86"/>
      <x:c r="N22" s="86"/>
      <x:c r="O22" s="86"/>
      <x:c r="P22" s="86"/>
      <x:c r="Q22" s="86"/>
      <x:c r="R22" s="86"/>
      <x:c r="S22" s="86"/>
      <x:c r="T22" s="86"/>
      <x:c r="U22" s="86"/>
      <x:c r="V22" s="86"/>
      <x:c r="W22" s="86"/>
      <x:c r="X22" s="86"/>
      <x:c r="Y22" s="86"/>
      <x:c r="Z22" s="86"/>
    </x:row>
    <x:row r="23">
      <x:c r="A23" s="86"/>
      <x:c r="B23" s="86"/>
      <x:c r="C23" s="86"/>
      <x:c r="D23" s="86"/>
      <x:c r="E23" s="86"/>
      <x:c r="F23" s="86"/>
      <x:c r="G23" s="86"/>
      <x:c r="H23" s="86"/>
      <x:c r="I23" s="86"/>
      <x:c r="J23" s="86"/>
      <x:c r="K23" s="86"/>
      <x:c r="L23" s="86"/>
      <x:c r="M23" s="86"/>
      <x:c r="N23" s="86"/>
      <x:c r="O23" s="86"/>
      <x:c r="P23" s="86"/>
      <x:c r="Q23" s="86"/>
      <x:c r="R23" s="86"/>
      <x:c r="S23" s="86"/>
      <x:c r="T23" s="86"/>
      <x:c r="U23" s="86"/>
      <x:c r="V23" s="86"/>
      <x:c r="W23" s="86"/>
      <x:c r="X23" s="86"/>
      <x:c r="Y23" s="86"/>
      <x:c r="Z23" s="86"/>
    </x:row>
    <x:row r="24">
      <x:c r="A24" s="86"/>
      <x:c r="B24" s="86"/>
      <x:c r="C24" s="86"/>
      <x:c r="D24" s="86"/>
      <x:c r="E24" s="86"/>
      <x:c r="F24" s="86"/>
      <x:c r="G24" s="86"/>
      <x:c r="H24" s="86"/>
      <x:c r="I24" s="86"/>
      <x:c r="J24" s="86"/>
      <x:c r="K24" s="86"/>
      <x:c r="L24" s="86"/>
      <x:c r="M24" s="86"/>
      <x:c r="N24" s="86"/>
      <x:c r="O24" s="86"/>
      <x:c r="P24" s="86"/>
      <x:c r="Q24" s="86"/>
      <x:c r="R24" s="86"/>
      <x:c r="S24" s="86"/>
      <x:c r="T24" s="86"/>
      <x:c r="U24" s="86"/>
      <x:c r="V24" s="86"/>
      <x:c r="W24" s="86"/>
      <x:c r="X24" s="86"/>
      <x:c r="Y24" s="86"/>
      <x:c r="Z24" s="86"/>
    </x:row>
    <x:row r="25">
      <x:c r="A25" s="86"/>
      <x:c r="B25" s="86"/>
      <x:c r="C25" s="86"/>
      <x:c r="D25" s="86"/>
      <x:c r="E25" s="86"/>
      <x:c r="F25" s="86"/>
      <x:c r="G25" s="86"/>
      <x:c r="H25" s="86"/>
      <x:c r="I25" s="86"/>
      <x:c r="J25" s="86"/>
      <x:c r="K25" s="86"/>
      <x:c r="L25" s="86"/>
      <x:c r="M25" s="86"/>
      <x:c r="N25" s="86"/>
      <x:c r="O25" s="86"/>
      <x:c r="P25" s="86"/>
      <x:c r="Q25" s="86"/>
      <x:c r="R25" s="86"/>
      <x:c r="S25" s="86"/>
      <x:c r="T25" s="86"/>
      <x:c r="U25" s="86"/>
      <x:c r="V25" s="86"/>
      <x:c r="W25" s="86"/>
      <x:c r="X25" s="86"/>
      <x:c r="Y25" s="86"/>
      <x:c r="Z25" s="86"/>
    </x:row>
    <x:row r="26">
      <x:c r="A26" s="86"/>
      <x:c r="B26" s="86"/>
      <x:c r="C26" s="86"/>
      <x:c r="D26" s="86"/>
      <x:c r="E26" s="86"/>
      <x:c r="F26" s="86"/>
      <x:c r="G26" s="86"/>
      <x:c r="H26" s="86"/>
      <x:c r="I26" s="86"/>
      <x:c r="J26" s="86"/>
      <x:c r="K26" s="86"/>
      <x:c r="L26" s="86"/>
      <x:c r="M26" s="86"/>
      <x:c r="N26" s="86"/>
      <x:c r="O26" s="86"/>
      <x:c r="P26" s="86"/>
      <x:c r="Q26" s="86"/>
      <x:c r="R26" s="86"/>
      <x:c r="S26" s="86"/>
      <x:c r="T26" s="86"/>
      <x:c r="U26" s="86"/>
      <x:c r="V26" s="86"/>
      <x:c r="W26" s="86"/>
      <x:c r="X26" s="86"/>
      <x:c r="Y26" s="86"/>
      <x:c r="Z26" s="86"/>
    </x:row>
    <x:row r="27">
      <x:c r="A27" s="86"/>
      <x:c r="B27" s="86"/>
      <x:c r="C27" s="86"/>
      <x:c r="D27" s="86"/>
      <x:c r="E27" s="86"/>
      <x:c r="F27" s="86"/>
      <x:c r="G27" s="86"/>
      <x:c r="H27" s="86"/>
      <x:c r="I27" s="86"/>
      <x:c r="J27" s="86"/>
      <x:c r="K27" s="86"/>
      <x:c r="L27" s="86"/>
      <x:c r="M27" s="86"/>
      <x:c r="N27" s="86"/>
      <x:c r="O27" s="86"/>
      <x:c r="P27" s="86"/>
      <x:c r="Q27" s="86"/>
      <x:c r="R27" s="86"/>
      <x:c r="S27" s="86"/>
      <x:c r="T27" s="86"/>
      <x:c r="U27" s="86"/>
      <x:c r="V27" s="86"/>
      <x:c r="W27" s="86"/>
      <x:c r="X27" s="86"/>
      <x:c r="Y27" s="86"/>
      <x:c r="Z27" s="86"/>
    </x:row>
    <x:row r="28">
      <x:c r="A28" s="86"/>
      <x:c r="B28" s="86"/>
      <x:c r="C28" s="86"/>
      <x:c r="D28" s="86"/>
      <x:c r="E28" s="86"/>
      <x:c r="F28" s="86"/>
      <x:c r="G28" s="86"/>
      <x:c r="H28" s="86"/>
      <x:c r="I28" s="86"/>
      <x:c r="J28" s="86"/>
      <x:c r="K28" s="86"/>
      <x:c r="L28" s="86"/>
      <x:c r="M28" s="86"/>
      <x:c r="N28" s="86"/>
      <x:c r="O28" s="86"/>
      <x:c r="P28" s="86"/>
      <x:c r="Q28" s="86"/>
      <x:c r="R28" s="86"/>
      <x:c r="S28" s="86"/>
      <x:c r="T28" s="86"/>
      <x:c r="U28" s="86"/>
      <x:c r="V28" s="86"/>
      <x:c r="W28" s="86"/>
      <x:c r="X28" s="86"/>
      <x:c r="Y28" s="86"/>
      <x:c r="Z28" s="86"/>
    </x:row>
    <x:row r="29">
      <x:c r="A29" s="86"/>
      <x:c r="B29" s="86"/>
      <x:c r="C29" s="86"/>
      <x:c r="D29" s="86"/>
      <x:c r="E29" s="86"/>
      <x:c r="F29" s="86"/>
      <x:c r="G29" s="86"/>
      <x:c r="H29" s="86"/>
      <x:c r="I29" s="86"/>
      <x:c r="J29" s="86"/>
      <x:c r="K29" s="86"/>
      <x:c r="L29" s="86"/>
      <x:c r="M29" s="86"/>
      <x:c r="N29" s="86"/>
      <x:c r="O29" s="86"/>
      <x:c r="P29" s="86"/>
      <x:c r="Q29" s="86"/>
      <x:c r="R29" s="86"/>
      <x:c r="S29" s="86"/>
      <x:c r="T29" s="86"/>
      <x:c r="U29" s="86"/>
      <x:c r="V29" s="86"/>
      <x:c r="W29" s="86"/>
      <x:c r="X29" s="86"/>
      <x:c r="Y29" s="86"/>
      <x:c r="Z29" s="86"/>
    </x:row>
    <x:row r="30">
      <x:c r="A30" s="86"/>
      <x:c r="B30" s="86"/>
      <x:c r="C30" s="86"/>
      <x:c r="D30" s="86"/>
      <x:c r="E30" s="86"/>
      <x:c r="F30" s="86"/>
      <x:c r="G30" s="86"/>
      <x:c r="H30" s="86"/>
      <x:c r="I30" s="86"/>
      <x:c r="J30" s="86"/>
      <x:c r="K30" s="86"/>
      <x:c r="L30" s="86"/>
      <x:c r="M30" s="86"/>
      <x:c r="N30" s="86"/>
      <x:c r="O30" s="86"/>
      <x:c r="P30" s="86"/>
      <x:c r="Q30" s="86"/>
      <x:c r="R30" s="86"/>
      <x:c r="S30" s="86"/>
      <x:c r="T30" s="86"/>
      <x:c r="U30" s="86"/>
      <x:c r="V30" s="86"/>
      <x:c r="W30" s="86"/>
      <x:c r="X30" s="86"/>
      <x:c r="Y30" s="86"/>
      <x:c r="Z30" s="86"/>
    </x:row>
    <x:row r="31">
      <x:c r="A31" s="86"/>
      <x:c r="B31" s="86"/>
      <x:c r="C31" s="86"/>
      <x:c r="D31" s="86"/>
      <x:c r="E31" s="86"/>
      <x:c r="F31" s="86"/>
      <x:c r="G31" s="86"/>
      <x:c r="H31" s="86"/>
      <x:c r="I31" s="86"/>
      <x:c r="J31" s="86"/>
      <x:c r="K31" s="86"/>
      <x:c r="L31" s="86"/>
      <x:c r="M31" s="86"/>
      <x:c r="N31" s="86"/>
      <x:c r="O31" s="86"/>
      <x:c r="P31" s="86"/>
      <x:c r="Q31" s="86"/>
      <x:c r="R31" s="86"/>
      <x:c r="S31" s="86"/>
      <x:c r="T31" s="86"/>
      <x:c r="U31" s="86"/>
      <x:c r="V31" s="86"/>
      <x:c r="W31" s="86"/>
      <x:c r="X31" s="86"/>
      <x:c r="Y31" s="86"/>
      <x:c r="Z31" s="86"/>
    </x:row>
    <x:row r="32">
      <x:c r="A32" s="86"/>
      <x:c r="B32" s="86"/>
      <x:c r="C32" s="86"/>
      <x:c r="D32" s="86"/>
      <x:c r="E32" s="86"/>
      <x:c r="F32" s="86"/>
      <x:c r="G32" s="86"/>
      <x:c r="H32" s="86"/>
      <x:c r="I32" s="86"/>
      <x:c r="J32" s="86"/>
      <x:c r="K32" s="86"/>
      <x:c r="L32" s="86"/>
      <x:c r="M32" s="86"/>
      <x:c r="N32" s="86"/>
      <x:c r="O32" s="86"/>
      <x:c r="P32" s="86"/>
      <x:c r="Q32" s="86"/>
      <x:c r="R32" s="86"/>
      <x:c r="S32" s="86"/>
      <x:c r="T32" s="86"/>
      <x:c r="U32" s="86"/>
      <x:c r="V32" s="86"/>
      <x:c r="W32" s="86"/>
      <x:c r="X32" s="86"/>
      <x:c r="Y32" s="86"/>
      <x:c r="Z32" s="86"/>
    </x:row>
    <x:row r="33">
      <x:c r="A33" s="86"/>
      <x:c r="B33" s="86"/>
      <x:c r="C33" s="86"/>
      <x:c r="D33" s="86"/>
      <x:c r="E33" s="86"/>
      <x:c r="F33" s="86"/>
      <x:c r="G33" s="86"/>
      <x:c r="H33" s="86"/>
      <x:c r="I33" s="86"/>
      <x:c r="J33" s="86"/>
      <x:c r="K33" s="86"/>
      <x:c r="L33" s="86"/>
      <x:c r="M33" s="86"/>
      <x:c r="N33" s="86"/>
      <x:c r="O33" s="86"/>
      <x:c r="P33" s="86"/>
      <x:c r="Q33" s="86"/>
      <x:c r="R33" s="86"/>
      <x:c r="S33" s="86"/>
      <x:c r="T33" s="86"/>
      <x:c r="U33" s="86"/>
      <x:c r="V33" s="86"/>
      <x:c r="W33" s="86"/>
      <x:c r="X33" s="86"/>
      <x:c r="Y33" s="86"/>
      <x:c r="Z33" s="86"/>
    </x:row>
    <x:row r="34">
      <x:c r="A34" s="86"/>
      <x:c r="B34" s="86"/>
      <x:c r="C34" s="86"/>
      <x:c r="D34" s="86"/>
      <x:c r="E34" s="86"/>
      <x:c r="F34" s="86"/>
      <x:c r="G34" s="86"/>
      <x:c r="H34" s="86"/>
      <x:c r="I34" s="86"/>
      <x:c r="J34" s="86"/>
      <x:c r="K34" s="86"/>
      <x:c r="L34" s="86"/>
      <x:c r="M34" s="86"/>
      <x:c r="N34" s="86"/>
      <x:c r="O34" s="86"/>
      <x:c r="P34" s="86"/>
      <x:c r="Q34" s="86"/>
      <x:c r="R34" s="86"/>
      <x:c r="S34" s="86"/>
      <x:c r="T34" s="86"/>
      <x:c r="U34" s="86"/>
      <x:c r="V34" s="86"/>
      <x:c r="W34" s="86"/>
      <x:c r="X34" s="86"/>
      <x:c r="Y34" s="86"/>
      <x:c r="Z34" s="86"/>
    </x:row>
    <x:row r="35">
      <x:c r="A35" s="86"/>
      <x:c r="B35" s="86"/>
      <x:c r="C35" s="86"/>
      <x:c r="D35" s="86"/>
      <x:c r="E35" s="86"/>
      <x:c r="F35" s="86"/>
      <x:c r="G35" s="86"/>
      <x:c r="H35" s="86"/>
      <x:c r="I35" s="86"/>
      <x:c r="J35" s="86"/>
      <x:c r="K35" s="86"/>
      <x:c r="L35" s="86"/>
      <x:c r="M35" s="86"/>
      <x:c r="N35" s="86"/>
      <x:c r="O35" s="86"/>
      <x:c r="P35" s="86"/>
      <x:c r="Q35" s="86"/>
      <x:c r="R35" s="86"/>
      <x:c r="S35" s="86"/>
      <x:c r="T35" s="86"/>
      <x:c r="U35" s="86"/>
      <x:c r="V35" s="86"/>
      <x:c r="W35" s="86"/>
      <x:c r="X35" s="86"/>
      <x:c r="Y35" s="86"/>
      <x:c r="Z35" s="86"/>
    </x:row>
    <x:row r="36">
      <x:c r="A36" s="86"/>
      <x:c r="B36" s="86"/>
      <x:c r="C36" s="86"/>
      <x:c r="D36" s="86"/>
      <x:c r="E36" s="86"/>
      <x:c r="F36" s="86"/>
      <x:c r="G36" s="86"/>
      <x:c r="H36" s="86"/>
      <x:c r="I36" s="86"/>
      <x:c r="J36" s="86"/>
      <x:c r="K36" s="86"/>
      <x:c r="L36" s="86"/>
      <x:c r="M36" s="86"/>
      <x:c r="N36" s="86"/>
      <x:c r="O36" s="86"/>
      <x:c r="P36" s="86"/>
      <x:c r="Q36" s="86"/>
      <x:c r="R36" s="86"/>
      <x:c r="S36" s="86"/>
      <x:c r="T36" s="86"/>
      <x:c r="U36" s="86"/>
      <x:c r="V36" s="86"/>
      <x:c r="W36" s="86"/>
      <x:c r="X36" s="86"/>
      <x:c r="Y36" s="86"/>
      <x:c r="Z36" s="86"/>
    </x:row>
    <x:row r="37">
      <x:c r="A37" s="86"/>
      <x:c r="B37" s="86"/>
      <x:c r="C37" s="86"/>
      <x:c r="D37" s="86"/>
      <x:c r="E37" s="86"/>
      <x:c r="F37" s="86"/>
      <x:c r="G37" s="86"/>
      <x:c r="H37" s="86"/>
      <x:c r="I37" s="86"/>
      <x:c r="J37" s="86"/>
      <x:c r="K37" s="86"/>
      <x:c r="L37" s="86"/>
      <x:c r="M37" s="86"/>
      <x:c r="N37" s="86"/>
      <x:c r="O37" s="86"/>
      <x:c r="P37" s="86"/>
      <x:c r="Q37" s="86"/>
      <x:c r="R37" s="86"/>
      <x:c r="S37" s="86"/>
      <x:c r="T37" s="86"/>
      <x:c r="U37" s="86"/>
      <x:c r="V37" s="86"/>
      <x:c r="W37" s="86"/>
      <x:c r="X37" s="86"/>
      <x:c r="Y37" s="86"/>
      <x:c r="Z37" s="86"/>
    </x:row>
    <x:row r="38">
      <x:c r="A38" s="86"/>
      <x:c r="B38" s="86"/>
      <x:c r="C38" s="86"/>
      <x:c r="D38" s="86"/>
      <x:c r="E38" s="86"/>
      <x:c r="F38" s="86"/>
      <x:c r="G38" s="86"/>
      <x:c r="H38" s="86"/>
      <x:c r="I38" s="86"/>
      <x:c r="J38" s="86"/>
      <x:c r="K38" s="86"/>
      <x:c r="L38" s="86"/>
      <x:c r="M38" s="86"/>
      <x:c r="N38" s="86"/>
      <x:c r="O38" s="86"/>
      <x:c r="P38" s="86"/>
      <x:c r="Q38" s="86"/>
      <x:c r="R38" s="86"/>
      <x:c r="S38" s="86"/>
      <x:c r="T38" s="86"/>
      <x:c r="U38" s="86"/>
      <x:c r="V38" s="86"/>
      <x:c r="W38" s="86"/>
      <x:c r="X38" s="86"/>
      <x:c r="Y38" s="86"/>
      <x:c r="Z38" s="86"/>
    </x:row>
    <x:row r="39">
      <x:c r="A39" s="86"/>
      <x:c r="B39" s="86"/>
      <x:c r="C39" s="86"/>
      <x:c r="D39" s="86"/>
      <x:c r="E39" s="86"/>
      <x:c r="F39" s="86"/>
      <x:c r="G39" s="86"/>
      <x:c r="H39" s="86"/>
      <x:c r="I39" s="86"/>
      <x:c r="J39" s="86"/>
      <x:c r="K39" s="86"/>
      <x:c r="L39" s="86"/>
      <x:c r="M39" s="86"/>
      <x:c r="N39" s="86"/>
      <x:c r="O39" s="86"/>
      <x:c r="P39" s="86"/>
      <x:c r="Q39" s="86"/>
      <x:c r="R39" s="86"/>
      <x:c r="S39" s="86"/>
      <x:c r="T39" s="86"/>
      <x:c r="U39" s="86"/>
      <x:c r="V39" s="86"/>
      <x:c r="W39" s="86"/>
      <x:c r="X39" s="86"/>
      <x:c r="Y39" s="86"/>
      <x:c r="Z39" s="86"/>
    </x:row>
    <x:row r="40">
      <x:c r="A40" s="86"/>
      <x:c r="B40" s="86"/>
      <x:c r="C40" s="86"/>
      <x:c r="D40" s="86"/>
      <x:c r="E40" s="86"/>
      <x:c r="F40" s="86"/>
      <x:c r="G40" s="86"/>
      <x:c r="H40" s="86"/>
      <x:c r="I40" s="86"/>
      <x:c r="J40" s="86"/>
      <x:c r="K40" s="86"/>
      <x:c r="L40" s="86"/>
      <x:c r="M40" s="86"/>
      <x:c r="N40" s="86"/>
      <x:c r="O40" s="86"/>
      <x:c r="P40" s="86"/>
      <x:c r="Q40" s="86"/>
      <x:c r="R40" s="86"/>
      <x:c r="S40" s="86"/>
      <x:c r="T40" s="86"/>
      <x:c r="U40" s="86"/>
      <x:c r="V40" s="86"/>
      <x:c r="W40" s="86"/>
      <x:c r="X40" s="86"/>
      <x:c r="Y40" s="86"/>
      <x:c r="Z40" s="86"/>
    </x:row>
    <x:row r="41">
      <x:c r="A41" s="86"/>
      <x:c r="B41" s="86"/>
      <x:c r="C41" s="86"/>
      <x:c r="D41" s="86"/>
      <x:c r="E41" s="86"/>
      <x:c r="F41" s="86"/>
      <x:c r="G41" s="86"/>
      <x:c r="H41" s="86"/>
      <x:c r="I41" s="86"/>
      <x:c r="J41" s="86"/>
      <x:c r="K41" s="86"/>
      <x:c r="L41" s="86"/>
      <x:c r="M41" s="86"/>
      <x:c r="N41" s="86"/>
      <x:c r="O41" s="86"/>
      <x:c r="P41" s="86"/>
      <x:c r="Q41" s="86"/>
      <x:c r="R41" s="86"/>
      <x:c r="S41" s="86"/>
      <x:c r="T41" s="86"/>
      <x:c r="U41" s="86"/>
      <x:c r="V41" s="86"/>
      <x:c r="W41" s="86"/>
      <x:c r="X41" s="86"/>
      <x:c r="Y41" s="86"/>
      <x:c r="Z41" s="86"/>
    </x:row>
    <x:row r="42">
      <x:c r="A42" s="86"/>
      <x:c r="B42" s="86"/>
      <x:c r="C42" s="86"/>
      <x:c r="D42" s="86"/>
      <x:c r="E42" s="86"/>
      <x:c r="F42" s="86"/>
      <x:c r="G42" s="86"/>
      <x:c r="H42" s="86"/>
      <x:c r="I42" s="86"/>
      <x:c r="J42" s="86"/>
      <x:c r="K42" s="86"/>
      <x:c r="L42" s="86"/>
      <x:c r="M42" s="86"/>
      <x:c r="N42" s="86"/>
      <x:c r="O42" s="86"/>
      <x:c r="P42" s="86"/>
      <x:c r="Q42" s="86"/>
      <x:c r="R42" s="86"/>
      <x:c r="S42" s="86"/>
      <x:c r="T42" s="86"/>
      <x:c r="U42" s="86"/>
      <x:c r="V42" s="86"/>
      <x:c r="W42" s="86"/>
      <x:c r="X42" s="86"/>
      <x:c r="Y42" s="86"/>
      <x:c r="Z42" s="86"/>
    </x:row>
    <x:row r="43">
      <x:c r="A43" s="86"/>
      <x:c r="B43" s="86"/>
      <x:c r="C43" s="86"/>
      <x:c r="D43" s="86"/>
      <x:c r="E43" s="86"/>
      <x:c r="F43" s="86"/>
      <x:c r="G43" s="86"/>
      <x:c r="H43" s="86"/>
      <x:c r="I43" s="86"/>
      <x:c r="J43" s="86"/>
      <x:c r="K43" s="86"/>
      <x:c r="L43" s="86"/>
      <x:c r="M43" s="86"/>
      <x:c r="N43" s="86"/>
      <x:c r="O43" s="86"/>
      <x:c r="P43" s="86"/>
      <x:c r="Q43" s="86"/>
      <x:c r="R43" s="86"/>
      <x:c r="S43" s="86"/>
      <x:c r="T43" s="86"/>
      <x:c r="U43" s="86"/>
      <x:c r="V43" s="86"/>
      <x:c r="W43" s="86"/>
      <x:c r="X43" s="86"/>
      <x:c r="Y43" s="86"/>
      <x:c r="Z43" s="86"/>
    </x:row>
    <x:row r="44">
      <x:c r="A44" s="86"/>
      <x:c r="B44" s="86"/>
      <x:c r="C44" s="86"/>
      <x:c r="D44" s="86"/>
      <x:c r="E44" s="86"/>
      <x:c r="F44" s="86"/>
      <x:c r="G44" s="86"/>
      <x:c r="H44" s="86"/>
      <x:c r="I44" s="86"/>
      <x:c r="J44" s="86"/>
      <x:c r="K44" s="86"/>
      <x:c r="L44" s="86"/>
      <x:c r="M44" s="86"/>
      <x:c r="N44" s="86"/>
      <x:c r="O44" s="86"/>
      <x:c r="P44" s="86"/>
      <x:c r="Q44" s="86"/>
      <x:c r="R44" s="86"/>
      <x:c r="S44" s="86"/>
      <x:c r="T44" s="86"/>
      <x:c r="U44" s="86"/>
      <x:c r="V44" s="86"/>
      <x:c r="W44" s="86"/>
      <x:c r="X44" s="86"/>
      <x:c r="Y44" s="86"/>
      <x:c r="Z44" s="86"/>
    </x:row>
    <x:row r="45">
      <x:c r="A45" s="86"/>
      <x:c r="B45" s="86"/>
      <x:c r="C45" s="86"/>
      <x:c r="D45" s="86"/>
      <x:c r="E45" s="86"/>
      <x:c r="F45" s="86"/>
      <x:c r="G45" s="86"/>
      <x:c r="H45" s="86"/>
      <x:c r="I45" s="86"/>
      <x:c r="J45" s="86"/>
      <x:c r="K45" s="86"/>
      <x:c r="L45" s="86"/>
      <x:c r="M45" s="86"/>
      <x:c r="N45" s="86"/>
      <x:c r="O45" s="86"/>
      <x:c r="P45" s="86"/>
      <x:c r="Q45" s="86"/>
      <x:c r="R45" s="86"/>
      <x:c r="S45" s="86"/>
      <x:c r="T45" s="86"/>
      <x:c r="U45" s="86"/>
      <x:c r="V45" s="86"/>
      <x:c r="W45" s="86"/>
      <x:c r="X45" s="86"/>
      <x:c r="Y45" s="86"/>
      <x:c r="Z45" s="86"/>
    </x:row>
    <x:row r="46">
      <x:c r="A46" s="86"/>
      <x:c r="B46" s="86"/>
      <x:c r="C46" s="86"/>
      <x:c r="D46" s="86"/>
      <x:c r="E46" s="86"/>
      <x:c r="F46" s="86"/>
      <x:c r="G46" s="86"/>
      <x:c r="H46" s="86"/>
      <x:c r="I46" s="86"/>
      <x:c r="J46" s="86"/>
      <x:c r="K46" s="86"/>
      <x:c r="L46" s="86"/>
      <x:c r="M46" s="86"/>
      <x:c r="N46" s="86"/>
      <x:c r="O46" s="86"/>
      <x:c r="P46" s="86"/>
      <x:c r="Q46" s="86"/>
      <x:c r="R46" s="86"/>
      <x:c r="S46" s="86"/>
      <x:c r="T46" s="86"/>
      <x:c r="U46" s="86"/>
      <x:c r="V46" s="86"/>
      <x:c r="W46" s="86"/>
      <x:c r="X46" s="86"/>
      <x:c r="Y46" s="86"/>
      <x:c r="Z46" s="86"/>
    </x:row>
    <x:row r="47">
      <x:c r="A47" s="86"/>
      <x:c r="B47" s="86"/>
      <x:c r="C47" s="86"/>
      <x:c r="D47" s="86"/>
      <x:c r="E47" s="86"/>
      <x:c r="F47" s="86"/>
      <x:c r="G47" s="86"/>
      <x:c r="H47" s="86"/>
      <x:c r="I47" s="86"/>
      <x:c r="J47" s="86"/>
      <x:c r="K47" s="86"/>
      <x:c r="L47" s="86"/>
      <x:c r="M47" s="86"/>
      <x:c r="N47" s="86"/>
      <x:c r="O47" s="86"/>
      <x:c r="P47" s="86"/>
      <x:c r="Q47" s="86"/>
      <x:c r="R47" s="86"/>
      <x:c r="S47" s="86"/>
      <x:c r="T47" s="86"/>
      <x:c r="U47" s="86"/>
      <x:c r="V47" s="86"/>
      <x:c r="W47" s="86"/>
      <x:c r="X47" s="86"/>
      <x:c r="Y47" s="86"/>
      <x:c r="Z47" s="86"/>
    </x:row>
    <x:row r="48">
      <x:c r="A48" s="86"/>
      <x:c r="B48" s="86"/>
      <x:c r="C48" s="86"/>
      <x:c r="D48" s="86"/>
      <x:c r="E48" s="86"/>
      <x:c r="F48" s="86"/>
      <x:c r="G48" s="86"/>
      <x:c r="H48" s="86"/>
      <x:c r="I48" s="86"/>
      <x:c r="J48" s="86"/>
      <x:c r="K48" s="86"/>
      <x:c r="L48" s="86"/>
      <x:c r="M48" s="86"/>
      <x:c r="N48" s="86"/>
      <x:c r="O48" s="86"/>
      <x:c r="P48" s="86"/>
      <x:c r="Q48" s="86"/>
      <x:c r="R48" s="86"/>
      <x:c r="S48" s="86"/>
      <x:c r="T48" s="86"/>
      <x:c r="U48" s="86"/>
      <x:c r="V48" s="86"/>
      <x:c r="W48" s="86"/>
      <x:c r="X48" s="86"/>
      <x:c r="Y48" s="86"/>
      <x:c r="Z48" s="86"/>
    </x:row>
    <x:row r="49">
      <x:c r="A49" s="86"/>
      <x:c r="B49" s="86"/>
      <x:c r="C49" s="86"/>
      <x:c r="D49" s="86"/>
      <x:c r="E49" s="86"/>
      <x:c r="F49" s="86"/>
      <x:c r="G49" s="86"/>
      <x:c r="H49" s="86"/>
      <x:c r="I49" s="86"/>
      <x:c r="J49" s="86"/>
      <x:c r="K49" s="86"/>
      <x:c r="L49" s="86"/>
      <x:c r="M49" s="86"/>
      <x:c r="N49" s="86"/>
      <x:c r="O49" s="86"/>
      <x:c r="P49" s="86"/>
      <x:c r="Q49" s="86"/>
      <x:c r="R49" s="86"/>
      <x:c r="S49" s="86"/>
      <x:c r="T49" s="86"/>
      <x:c r="U49" s="86"/>
      <x:c r="V49" s="86"/>
      <x:c r="W49" s="86"/>
      <x:c r="X49" s="86"/>
      <x:c r="Y49" s="86"/>
      <x:c r="Z49" s="86"/>
    </x:row>
    <x:row r="50">
      <x:c r="A50" s="86"/>
      <x:c r="B50" s="86"/>
      <x:c r="C50" s="86"/>
      <x:c r="D50" s="86"/>
      <x:c r="E50" s="86"/>
      <x:c r="F50" s="86"/>
      <x:c r="G50" s="86"/>
      <x:c r="H50" s="86"/>
      <x:c r="I50" s="86"/>
      <x:c r="J50" s="86"/>
      <x:c r="K50" s="86"/>
      <x:c r="L50" s="86"/>
      <x:c r="M50" s="86"/>
      <x:c r="N50" s="86"/>
      <x:c r="O50" s="86"/>
      <x:c r="P50" s="86"/>
      <x:c r="Q50" s="86"/>
      <x:c r="R50" s="86"/>
      <x:c r="S50" s="86"/>
      <x:c r="T50" s="86"/>
      <x:c r="U50" s="86"/>
      <x:c r="V50" s="86"/>
      <x:c r="W50" s="86"/>
      <x:c r="X50" s="86"/>
      <x:c r="Y50" s="86"/>
      <x:c r="Z50" s="86"/>
    </x:row>
    <x:row r="51">
      <x:c r="A51" s="86"/>
      <x:c r="B51" s="86"/>
      <x:c r="C51" s="86"/>
      <x:c r="D51" s="86"/>
      <x:c r="E51" s="86"/>
      <x:c r="F51" s="86"/>
      <x:c r="G51" s="86"/>
      <x:c r="H51" s="86"/>
      <x:c r="I51" s="86"/>
      <x:c r="J51" s="86"/>
      <x:c r="K51" s="86"/>
      <x:c r="L51" s="86"/>
      <x:c r="M51" s="86"/>
      <x:c r="N51" s="86"/>
      <x:c r="O51" s="86"/>
      <x:c r="P51" s="86"/>
      <x:c r="Q51" s="86"/>
      <x:c r="R51" s="86"/>
      <x:c r="S51" s="86"/>
      <x:c r="T51" s="86"/>
      <x:c r="U51" s="86"/>
      <x:c r="V51" s="86"/>
      <x:c r="W51" s="86"/>
      <x:c r="X51" s="86"/>
      <x:c r="Y51" s="86"/>
      <x:c r="Z51" s="86"/>
    </x:row>
    <x:row r="52">
      <x:c r="A52" s="86"/>
      <x:c r="B52" s="86"/>
      <x:c r="C52" s="86"/>
      <x:c r="D52" s="86"/>
      <x:c r="E52" s="86"/>
      <x:c r="F52" s="86"/>
      <x:c r="G52" s="86"/>
      <x:c r="H52" s="86"/>
      <x:c r="I52" s="86"/>
      <x:c r="J52" s="86"/>
      <x:c r="K52" s="86"/>
      <x:c r="L52" s="86"/>
      <x:c r="M52" s="86"/>
      <x:c r="N52" s="86"/>
      <x:c r="O52" s="86"/>
      <x:c r="P52" s="86"/>
      <x:c r="Q52" s="86"/>
      <x:c r="R52" s="86"/>
      <x:c r="S52" s="86"/>
      <x:c r="T52" s="86"/>
      <x:c r="U52" s="86"/>
      <x:c r="V52" s="86"/>
      <x:c r="W52" s="86"/>
      <x:c r="X52" s="86"/>
      <x:c r="Y52" s="86"/>
      <x:c r="Z52" s="86"/>
    </x:row>
    <x:row r="53">
      <x:c r="A53" s="86"/>
      <x:c r="B53" s="86"/>
      <x:c r="C53" s="86"/>
      <x:c r="D53" s="86"/>
      <x:c r="E53" s="86"/>
      <x:c r="F53" s="86"/>
      <x:c r="G53" s="86"/>
      <x:c r="H53" s="86"/>
      <x:c r="I53" s="86"/>
      <x:c r="J53" s="86"/>
      <x:c r="K53" s="86"/>
      <x:c r="L53" s="86"/>
      <x:c r="M53" s="86"/>
      <x:c r="N53" s="86"/>
      <x:c r="O53" s="86"/>
      <x:c r="P53" s="86"/>
      <x:c r="Q53" s="86"/>
      <x:c r="R53" s="86"/>
      <x:c r="S53" s="86"/>
      <x:c r="T53" s="86"/>
      <x:c r="U53" s="86"/>
      <x:c r="V53" s="86"/>
      <x:c r="W53" s="86"/>
      <x:c r="X53" s="86"/>
      <x:c r="Y53" s="86"/>
      <x:c r="Z53" s="86"/>
    </x:row>
    <x:row r="54">
      <x:c r="A54" s="86"/>
      <x:c r="B54" s="86"/>
      <x:c r="C54" s="86"/>
      <x:c r="D54" s="86"/>
      <x:c r="E54" s="86"/>
      <x:c r="F54" s="86"/>
      <x:c r="G54" s="86"/>
      <x:c r="H54" s="86"/>
      <x:c r="I54" s="86"/>
      <x:c r="J54" s="86"/>
      <x:c r="K54" s="86"/>
      <x:c r="L54" s="86"/>
      <x:c r="M54" s="86"/>
      <x:c r="N54" s="86"/>
      <x:c r="O54" s="86"/>
      <x:c r="P54" s="86"/>
      <x:c r="Q54" s="86"/>
      <x:c r="R54" s="86"/>
      <x:c r="S54" s="86"/>
      <x:c r="T54" s="86"/>
      <x:c r="U54" s="86"/>
      <x:c r="V54" s="86"/>
      <x:c r="W54" s="86"/>
      <x:c r="X54" s="86"/>
      <x:c r="Y54" s="86"/>
      <x:c r="Z54" s="86"/>
    </x:row>
    <x:row r="55">
      <x:c r="A55" s="86"/>
      <x:c r="B55" s="86"/>
      <x:c r="C55" s="86"/>
      <x:c r="D55" s="86"/>
      <x:c r="E55" s="86"/>
      <x:c r="F55" s="86"/>
      <x:c r="G55" s="86"/>
      <x:c r="H55" s="86"/>
      <x:c r="I55" s="86"/>
      <x:c r="J55" s="86"/>
      <x:c r="K55" s="86"/>
      <x:c r="L55" s="86"/>
      <x:c r="M55" s="86"/>
      <x:c r="N55" s="86"/>
      <x:c r="O55" s="86"/>
      <x:c r="P55" s="86"/>
      <x:c r="Q55" s="86"/>
      <x:c r="R55" s="86"/>
      <x:c r="S55" s="86"/>
      <x:c r="T55" s="86"/>
      <x:c r="U55" s="86"/>
      <x:c r="V55" s="86"/>
      <x:c r="W55" s="86"/>
      <x:c r="X55" s="86"/>
      <x:c r="Y55" s="86"/>
      <x:c r="Z55" s="86"/>
    </x:row>
    <x:row r="56">
      <x:c r="A56" s="86"/>
      <x:c r="B56" s="86"/>
      <x:c r="C56" s="86"/>
      <x:c r="D56" s="86"/>
      <x:c r="E56" s="86"/>
      <x:c r="F56" s="86"/>
      <x:c r="G56" s="86"/>
      <x:c r="H56" s="86"/>
      <x:c r="I56" s="86"/>
      <x:c r="J56" s="86"/>
      <x:c r="K56" s="86"/>
      <x:c r="L56" s="86"/>
      <x:c r="M56" s="86"/>
      <x:c r="N56" s="86"/>
      <x:c r="O56" s="86"/>
      <x:c r="P56" s="86"/>
      <x:c r="Q56" s="86"/>
      <x:c r="R56" s="86"/>
      <x:c r="S56" s="86"/>
      <x:c r="T56" s="86"/>
      <x:c r="U56" s="86"/>
      <x:c r="V56" s="86"/>
      <x:c r="W56" s="86"/>
      <x:c r="X56" s="86"/>
      <x:c r="Y56" s="86"/>
      <x:c r="Z56" s="86"/>
    </x:row>
    <x:row r="57">
      <x:c r="A57" s="86"/>
      <x:c r="B57" s="86"/>
      <x:c r="C57" s="86"/>
      <x:c r="D57" s="86"/>
      <x:c r="E57" s="86"/>
      <x:c r="F57" s="86"/>
      <x:c r="G57" s="86"/>
      <x:c r="H57" s="86"/>
      <x:c r="I57" s="86"/>
      <x:c r="J57" s="86"/>
      <x:c r="K57" s="86"/>
      <x:c r="L57" s="86"/>
      <x:c r="M57" s="86"/>
      <x:c r="N57" s="86"/>
      <x:c r="O57" s="86"/>
      <x:c r="P57" s="86"/>
      <x:c r="Q57" s="86"/>
      <x:c r="R57" s="86"/>
      <x:c r="S57" s="86"/>
      <x:c r="T57" s="86"/>
      <x:c r="U57" s="86"/>
      <x:c r="V57" s="86"/>
      <x:c r="W57" s="86"/>
      <x:c r="X57" s="86"/>
      <x:c r="Y57" s="86"/>
      <x:c r="Z57" s="86"/>
    </x:row>
    <x:row r="58">
      <x:c r="A58" s="86"/>
      <x:c r="B58" s="86"/>
      <x:c r="C58" s="86"/>
      <x:c r="D58" s="86"/>
      <x:c r="E58" s="86"/>
      <x:c r="F58" s="86"/>
      <x:c r="G58" s="86"/>
      <x:c r="H58" s="86"/>
      <x:c r="I58" s="86"/>
      <x:c r="J58" s="86"/>
      <x:c r="K58" s="86"/>
      <x:c r="L58" s="86"/>
      <x:c r="M58" s="86"/>
      <x:c r="N58" s="86"/>
      <x:c r="O58" s="86"/>
      <x:c r="P58" s="86"/>
      <x:c r="Q58" s="86"/>
      <x:c r="R58" s="86"/>
      <x:c r="S58" s="86"/>
      <x:c r="T58" s="86"/>
      <x:c r="U58" s="86"/>
      <x:c r="V58" s="86"/>
      <x:c r="W58" s="86"/>
      <x:c r="X58" s="86"/>
      <x:c r="Y58" s="86"/>
      <x:c r="Z58" s="86"/>
    </x:row>
    <x:row r="59">
      <x:c r="A59" s="86"/>
      <x:c r="B59" s="86"/>
      <x:c r="C59" s="86"/>
      <x:c r="D59" s="86"/>
      <x:c r="E59" s="86"/>
      <x:c r="F59" s="86"/>
      <x:c r="G59" s="86"/>
      <x:c r="H59" s="86"/>
      <x:c r="I59" s="86"/>
      <x:c r="J59" s="86"/>
      <x:c r="K59" s="86"/>
      <x:c r="L59" s="86"/>
      <x:c r="M59" s="86"/>
      <x:c r="N59" s="86"/>
      <x:c r="O59" s="86"/>
      <x:c r="P59" s="86"/>
      <x:c r="Q59" s="86"/>
      <x:c r="R59" s="86"/>
      <x:c r="S59" s="86"/>
      <x:c r="T59" s="86"/>
      <x:c r="U59" s="86"/>
      <x:c r="V59" s="86"/>
      <x:c r="W59" s="86"/>
      <x:c r="X59" s="86"/>
      <x:c r="Y59" s="86"/>
      <x:c r="Z59" s="86"/>
    </x:row>
    <x:row r="60">
      <x:c r="A60" s="86"/>
      <x:c r="B60" s="86"/>
      <x:c r="C60" s="86"/>
      <x:c r="D60" s="86"/>
      <x:c r="E60" s="86"/>
      <x:c r="F60" s="86"/>
      <x:c r="G60" s="86"/>
      <x:c r="H60" s="86"/>
      <x:c r="I60" s="86"/>
      <x:c r="J60" s="86"/>
      <x:c r="K60" s="86"/>
      <x:c r="L60" s="86"/>
      <x:c r="M60" s="86"/>
      <x:c r="N60" s="86"/>
      <x:c r="O60" s="86"/>
      <x:c r="P60" s="86"/>
      <x:c r="Q60" s="86"/>
      <x:c r="R60" s="86"/>
      <x:c r="S60" s="86"/>
      <x:c r="T60" s="86"/>
      <x:c r="U60" s="86"/>
      <x:c r="V60" s="86"/>
      <x:c r="W60" s="86"/>
      <x:c r="X60" s="86"/>
      <x:c r="Y60" s="86"/>
      <x:c r="Z60" s="86"/>
    </x:row>
    <x:row r="61">
      <x:c r="A61" s="86"/>
      <x:c r="B61" s="86"/>
      <x:c r="C61" s="86"/>
      <x:c r="D61" s="86"/>
      <x:c r="E61" s="86"/>
      <x:c r="F61" s="86"/>
      <x:c r="G61" s="86"/>
      <x:c r="H61" s="86"/>
      <x:c r="I61" s="86"/>
      <x:c r="J61" s="86"/>
      <x:c r="K61" s="86"/>
      <x:c r="L61" s="86"/>
      <x:c r="M61" s="86"/>
      <x:c r="N61" s="86"/>
      <x:c r="O61" s="86"/>
      <x:c r="P61" s="86"/>
      <x:c r="Q61" s="86"/>
      <x:c r="R61" s="86"/>
      <x:c r="S61" s="86"/>
      <x:c r="T61" s="86"/>
      <x:c r="U61" s="86"/>
      <x:c r="V61" s="86"/>
      <x:c r="W61" s="86"/>
      <x:c r="X61" s="86"/>
      <x:c r="Y61" s="86"/>
      <x:c r="Z61" s="86"/>
    </x:row>
    <x:row r="62">
      <x:c r="A62" s="86"/>
      <x:c r="B62" s="86"/>
      <x:c r="C62" s="86"/>
      <x:c r="D62" s="86"/>
      <x:c r="E62" s="86"/>
      <x:c r="F62" s="86"/>
      <x:c r="G62" s="86"/>
      <x:c r="H62" s="86"/>
      <x:c r="I62" s="86"/>
      <x:c r="J62" s="86"/>
      <x:c r="K62" s="86"/>
      <x:c r="L62" s="86"/>
      <x:c r="M62" s="86"/>
      <x:c r="N62" s="86"/>
      <x:c r="O62" s="86"/>
      <x:c r="P62" s="86"/>
      <x:c r="Q62" s="86"/>
      <x:c r="R62" s="86"/>
      <x:c r="S62" s="86"/>
      <x:c r="T62" s="86"/>
      <x:c r="U62" s="86"/>
      <x:c r="V62" s="86"/>
      <x:c r="W62" s="86"/>
      <x:c r="X62" s="86"/>
      <x:c r="Y62" s="86"/>
      <x:c r="Z62" s="86"/>
    </x:row>
    <x:row r="63">
      <x:c r="A63" s="86"/>
      <x:c r="B63" s="86"/>
      <x:c r="C63" s="86"/>
      <x:c r="D63" s="86"/>
      <x:c r="E63" s="86"/>
      <x:c r="F63" s="86"/>
      <x:c r="G63" s="86"/>
      <x:c r="H63" s="86"/>
      <x:c r="I63" s="86"/>
      <x:c r="J63" s="86"/>
      <x:c r="K63" s="86"/>
      <x:c r="L63" s="86"/>
      <x:c r="M63" s="86"/>
      <x:c r="N63" s="86"/>
      <x:c r="O63" s="86"/>
      <x:c r="P63" s="86"/>
      <x:c r="Q63" s="86"/>
      <x:c r="R63" s="86"/>
      <x:c r="S63" s="86"/>
      <x:c r="T63" s="86"/>
      <x:c r="U63" s="86"/>
      <x:c r="V63" s="86"/>
      <x:c r="W63" s="86"/>
      <x:c r="X63" s="86"/>
      <x:c r="Y63" s="86"/>
      <x:c r="Z63" s="86"/>
    </x:row>
    <x:row r="64">
      <x:c r="A64" s="86"/>
      <x:c r="B64" s="86"/>
      <x:c r="C64" s="86"/>
      <x:c r="D64" s="86"/>
      <x:c r="E64" s="86"/>
      <x:c r="F64" s="86"/>
      <x:c r="G64" s="86"/>
      <x:c r="H64" s="86"/>
      <x:c r="I64" s="86"/>
      <x:c r="J64" s="86"/>
      <x:c r="K64" s="86"/>
      <x:c r="L64" s="86"/>
      <x:c r="M64" s="86"/>
      <x:c r="N64" s="86"/>
      <x:c r="O64" s="86"/>
      <x:c r="P64" s="86"/>
      <x:c r="Q64" s="86"/>
      <x:c r="R64" s="86"/>
      <x:c r="S64" s="86"/>
      <x:c r="T64" s="86"/>
      <x:c r="U64" s="86"/>
      <x:c r="V64" s="86"/>
      <x:c r="W64" s="86"/>
      <x:c r="X64" s="86"/>
      <x:c r="Y64" s="86"/>
      <x:c r="Z64" s="86"/>
    </x:row>
    <x:row r="65">
      <x:c r="A65" s="86"/>
      <x:c r="B65" s="86"/>
      <x:c r="C65" s="86"/>
      <x:c r="D65" s="86"/>
      <x:c r="E65" s="86"/>
      <x:c r="F65" s="86"/>
      <x:c r="G65" s="86"/>
      <x:c r="H65" s="86"/>
      <x:c r="I65" s="86"/>
      <x:c r="J65" s="86"/>
      <x:c r="K65" s="86"/>
      <x:c r="L65" s="86"/>
      <x:c r="M65" s="86"/>
      <x:c r="N65" s="86"/>
      <x:c r="O65" s="86"/>
      <x:c r="P65" s="86"/>
      <x:c r="Q65" s="86"/>
      <x:c r="R65" s="86"/>
      <x:c r="S65" s="86"/>
      <x:c r="T65" s="86"/>
      <x:c r="U65" s="86"/>
      <x:c r="V65" s="86"/>
      <x:c r="W65" s="86"/>
      <x:c r="X65" s="86"/>
      <x:c r="Y65" s="86"/>
      <x:c r="Z65" s="86"/>
    </x:row>
    <x:row r="66">
      <x:c r="A66" s="86"/>
      <x:c r="B66" s="86"/>
      <x:c r="C66" s="86"/>
      <x:c r="D66" s="86"/>
      <x:c r="E66" s="86"/>
      <x:c r="F66" s="86"/>
      <x:c r="G66" s="86"/>
      <x:c r="H66" s="86"/>
      <x:c r="I66" s="86"/>
      <x:c r="J66" s="86"/>
      <x:c r="K66" s="86"/>
      <x:c r="L66" s="86"/>
      <x:c r="M66" s="86"/>
      <x:c r="N66" s="86"/>
      <x:c r="O66" s="86"/>
      <x:c r="P66" s="86"/>
      <x:c r="Q66" s="86"/>
      <x:c r="R66" s="86"/>
      <x:c r="S66" s="86"/>
      <x:c r="T66" s="86"/>
      <x:c r="U66" s="86"/>
      <x:c r="V66" s="86"/>
      <x:c r="W66" s="86"/>
      <x:c r="X66" s="86"/>
      <x:c r="Y66" s="86"/>
      <x:c r="Z66" s="86"/>
    </x:row>
    <x:row r="67">
      <x:c r="A67" s="86"/>
      <x:c r="B67" s="86"/>
      <x:c r="C67" s="86"/>
      <x:c r="D67" s="86"/>
      <x:c r="E67" s="86"/>
      <x:c r="F67" s="86"/>
      <x:c r="G67" s="86"/>
      <x:c r="H67" s="86"/>
      <x:c r="I67" s="86"/>
      <x:c r="J67" s="86"/>
      <x:c r="K67" s="86"/>
      <x:c r="L67" s="86"/>
      <x:c r="M67" s="86"/>
      <x:c r="N67" s="86"/>
      <x:c r="O67" s="86"/>
      <x:c r="P67" s="86"/>
      <x:c r="Q67" s="86"/>
      <x:c r="R67" s="86"/>
      <x:c r="S67" s="86"/>
      <x:c r="T67" s="86"/>
      <x:c r="U67" s="86"/>
      <x:c r="V67" s="86"/>
      <x:c r="W67" s="86"/>
      <x:c r="X67" s="86"/>
      <x:c r="Y67" s="86"/>
      <x:c r="Z67" s="86"/>
    </x:row>
    <x:row r="68">
      <x:c r="A68" s="86"/>
      <x:c r="B68" s="86"/>
      <x:c r="C68" s="86"/>
      <x:c r="D68" s="86"/>
      <x:c r="E68" s="86"/>
      <x:c r="F68" s="86"/>
      <x:c r="G68" s="86"/>
      <x:c r="H68" s="86"/>
      <x:c r="I68" s="86"/>
      <x:c r="J68" s="86"/>
      <x:c r="K68" s="86"/>
      <x:c r="L68" s="86"/>
      <x:c r="M68" s="86"/>
      <x:c r="N68" s="86"/>
      <x:c r="O68" s="86"/>
      <x:c r="P68" s="86"/>
      <x:c r="Q68" s="86"/>
      <x:c r="R68" s="86"/>
      <x:c r="S68" s="86"/>
      <x:c r="T68" s="86"/>
      <x:c r="U68" s="86"/>
      <x:c r="V68" s="86"/>
      <x:c r="W68" s="86"/>
      <x:c r="X68" s="86"/>
      <x:c r="Y68" s="86"/>
      <x:c r="Z68" s="86"/>
    </x:row>
    <x:row r="69">
      <x:c r="A69" s="86"/>
      <x:c r="B69" s="86"/>
      <x:c r="C69" s="86"/>
      <x:c r="D69" s="86"/>
      <x:c r="E69" s="86"/>
      <x:c r="F69" s="86"/>
      <x:c r="G69" s="86"/>
      <x:c r="H69" s="86"/>
      <x:c r="I69" s="86"/>
      <x:c r="J69" s="86"/>
      <x:c r="K69" s="86"/>
      <x:c r="L69" s="86"/>
      <x:c r="M69" s="86"/>
      <x:c r="N69" s="86"/>
      <x:c r="O69" s="86"/>
      <x:c r="P69" s="86"/>
      <x:c r="Q69" s="86"/>
      <x:c r="R69" s="86"/>
      <x:c r="S69" s="86"/>
      <x:c r="T69" s="86"/>
      <x:c r="U69" s="86"/>
      <x:c r="V69" s="86"/>
      <x:c r="W69" s="86"/>
      <x:c r="X69" s="86"/>
      <x:c r="Y69" s="86"/>
      <x:c r="Z69" s="86"/>
    </x:row>
    <x:row r="70">
      <x:c r="A70" s="86"/>
      <x:c r="B70" s="86"/>
      <x:c r="C70" s="86"/>
      <x:c r="D70" s="86"/>
      <x:c r="E70" s="86"/>
      <x:c r="F70" s="86"/>
      <x:c r="G70" s="86"/>
      <x:c r="H70" s="86"/>
      <x:c r="I70" s="86"/>
      <x:c r="J70" s="86"/>
      <x:c r="K70" s="86"/>
      <x:c r="L70" s="86"/>
      <x:c r="M70" s="86"/>
      <x:c r="N70" s="86"/>
      <x:c r="O70" s="86"/>
      <x:c r="P70" s="86"/>
      <x:c r="Q70" s="86"/>
      <x:c r="R70" s="86"/>
      <x:c r="S70" s="86"/>
      <x:c r="T70" s="86"/>
      <x:c r="U70" s="86"/>
      <x:c r="V70" s="86"/>
      <x:c r="W70" s="86"/>
      <x:c r="X70" s="86"/>
      <x:c r="Y70" s="86"/>
      <x:c r="Z70" s="86"/>
    </x:row>
    <x:row r="71">
      <x:c r="A71" s="86"/>
      <x:c r="B71" s="86"/>
      <x:c r="C71" s="86"/>
      <x:c r="D71" s="86"/>
      <x:c r="E71" s="86"/>
      <x:c r="F71" s="86"/>
      <x:c r="G71" s="86"/>
      <x:c r="H71" s="86"/>
      <x:c r="I71" s="86"/>
      <x:c r="J71" s="86"/>
      <x:c r="K71" s="86"/>
      <x:c r="L71" s="86"/>
      <x:c r="M71" s="86"/>
      <x:c r="N71" s="86"/>
      <x:c r="O71" s="86"/>
      <x:c r="P71" s="86"/>
      <x:c r="Q71" s="86"/>
      <x:c r="R71" s="86"/>
      <x:c r="S71" s="86"/>
      <x:c r="T71" s="86"/>
      <x:c r="U71" s="86"/>
      <x:c r="V71" s="86"/>
      <x:c r="W71" s="86"/>
      <x:c r="X71" s="86"/>
      <x:c r="Y71" s="86"/>
      <x:c r="Z71" s="86"/>
    </x:row>
    <x:row r="72">
      <x:c r="A72" s="86"/>
      <x:c r="B72" s="86"/>
      <x:c r="C72" s="86"/>
      <x:c r="D72" s="86"/>
      <x:c r="E72" s="86"/>
      <x:c r="F72" s="86"/>
      <x:c r="G72" s="86"/>
      <x:c r="H72" s="86"/>
      <x:c r="I72" s="86"/>
      <x:c r="J72" s="86"/>
      <x:c r="K72" s="86"/>
      <x:c r="L72" s="86"/>
      <x:c r="M72" s="86"/>
      <x:c r="N72" s="86"/>
      <x:c r="O72" s="86"/>
      <x:c r="P72" s="86"/>
      <x:c r="Q72" s="86"/>
      <x:c r="R72" s="86"/>
      <x:c r="S72" s="86"/>
      <x:c r="T72" s="86"/>
      <x:c r="U72" s="86"/>
      <x:c r="V72" s="86"/>
      <x:c r="W72" s="86"/>
      <x:c r="X72" s="86"/>
      <x:c r="Y72" s="86"/>
      <x:c r="Z72" s="86"/>
    </x:row>
    <x:row r="73">
      <x:c r="A73" s="86"/>
      <x:c r="B73" s="86"/>
      <x:c r="C73" s="86"/>
      <x:c r="D73" s="86"/>
      <x:c r="E73" s="86"/>
      <x:c r="F73" s="86"/>
      <x:c r="G73" s="86"/>
      <x:c r="H73" s="86"/>
      <x:c r="I73" s="86"/>
      <x:c r="J73" s="86"/>
      <x:c r="K73" s="86"/>
      <x:c r="L73" s="86"/>
      <x:c r="M73" s="86"/>
      <x:c r="N73" s="86"/>
      <x:c r="O73" s="86"/>
      <x:c r="P73" s="86"/>
      <x:c r="Q73" s="86"/>
      <x:c r="R73" s="86"/>
      <x:c r="S73" s="86"/>
      <x:c r="T73" s="86"/>
      <x:c r="U73" s="86"/>
      <x:c r="V73" s="86"/>
      <x:c r="W73" s="86"/>
      <x:c r="X73" s="86"/>
      <x:c r="Y73" s="86"/>
      <x:c r="Z73" s="86"/>
    </x:row>
    <x:row r="74">
      <x:c r="A74" s="86"/>
      <x:c r="B74" s="86"/>
      <x:c r="C74" s="86"/>
      <x:c r="D74" s="86"/>
      <x:c r="E74" s="86"/>
      <x:c r="F74" s="86"/>
      <x:c r="G74" s="86"/>
      <x:c r="H74" s="86"/>
      <x:c r="I74" s="86"/>
      <x:c r="J74" s="86"/>
      <x:c r="K74" s="86"/>
      <x:c r="L74" s="86"/>
      <x:c r="M74" s="86"/>
      <x:c r="N74" s="86"/>
      <x:c r="O74" s="86"/>
      <x:c r="P74" s="86"/>
      <x:c r="Q74" s="86"/>
      <x:c r="R74" s="86"/>
      <x:c r="S74" s="86"/>
      <x:c r="T74" s="86"/>
      <x:c r="U74" s="86"/>
      <x:c r="V74" s="86"/>
      <x:c r="W74" s="86"/>
      <x:c r="X74" s="86"/>
      <x:c r="Y74" s="86"/>
      <x:c r="Z74" s="86"/>
    </x:row>
    <x:row r="75">
      <x:c r="A75" s="86"/>
      <x:c r="B75" s="86"/>
      <x:c r="C75" s="86"/>
      <x:c r="D75" s="86"/>
      <x:c r="E75" s="86"/>
      <x:c r="F75" s="86"/>
      <x:c r="G75" s="86"/>
      <x:c r="H75" s="86"/>
      <x:c r="I75" s="86"/>
      <x:c r="J75" s="86"/>
      <x:c r="K75" s="86"/>
      <x:c r="L75" s="86"/>
      <x:c r="M75" s="86"/>
      <x:c r="N75" s="86"/>
      <x:c r="O75" s="86"/>
      <x:c r="P75" s="86"/>
      <x:c r="Q75" s="86"/>
      <x:c r="R75" s="86"/>
      <x:c r="S75" s="86"/>
      <x:c r="T75" s="86"/>
      <x:c r="U75" s="86"/>
      <x:c r="V75" s="86"/>
      <x:c r="W75" s="86"/>
      <x:c r="X75" s="86"/>
      <x:c r="Y75" s="86"/>
      <x:c r="Z75" s="86"/>
    </x:row>
    <x:row r="76">
      <x:c r="A76" s="86"/>
      <x:c r="B76" s="86"/>
      <x:c r="C76" s="86"/>
      <x:c r="D76" s="86"/>
      <x:c r="E76" s="86"/>
      <x:c r="F76" s="86"/>
      <x:c r="G76" s="86"/>
      <x:c r="H76" s="86"/>
      <x:c r="I76" s="86"/>
      <x:c r="J76" s="86"/>
      <x:c r="K76" s="86"/>
      <x:c r="L76" s="86"/>
      <x:c r="M76" s="86"/>
      <x:c r="N76" s="86"/>
      <x:c r="O76" s="86"/>
      <x:c r="P76" s="86"/>
      <x:c r="Q76" s="86"/>
      <x:c r="R76" s="86"/>
      <x:c r="S76" s="86"/>
      <x:c r="T76" s="86"/>
      <x:c r="U76" s="86"/>
      <x:c r="V76" s="86"/>
      <x:c r="W76" s="86"/>
      <x:c r="X76" s="86"/>
      <x:c r="Y76" s="86"/>
      <x:c r="Z76" s="86"/>
    </x:row>
    <x:row r="77">
      <x:c r="A77" s="86"/>
      <x:c r="B77" s="86"/>
      <x:c r="C77" s="86"/>
      <x:c r="D77" s="86"/>
      <x:c r="E77" s="86"/>
      <x:c r="F77" s="86"/>
      <x:c r="G77" s="86"/>
      <x:c r="H77" s="86"/>
      <x:c r="I77" s="86"/>
      <x:c r="J77" s="86"/>
      <x:c r="K77" s="86"/>
      <x:c r="L77" s="86"/>
      <x:c r="M77" s="86"/>
      <x:c r="N77" s="86"/>
      <x:c r="O77" s="86"/>
      <x:c r="P77" s="86"/>
      <x:c r="Q77" s="86"/>
      <x:c r="R77" s="86"/>
      <x:c r="S77" s="86"/>
      <x:c r="T77" s="86"/>
      <x:c r="U77" s="86"/>
      <x:c r="V77" s="86"/>
      <x:c r="W77" s="86"/>
      <x:c r="X77" s="86"/>
      <x:c r="Y77" s="86"/>
      <x:c r="Z77" s="86"/>
    </x:row>
    <x:row r="78">
      <x:c r="A78" s="86"/>
      <x:c r="B78" s="86"/>
      <x:c r="C78" s="86"/>
      <x:c r="D78" s="86"/>
      <x:c r="E78" s="86"/>
      <x:c r="F78" s="86"/>
      <x:c r="G78" s="86"/>
      <x:c r="H78" s="86"/>
      <x:c r="I78" s="86"/>
      <x:c r="J78" s="86"/>
      <x:c r="K78" s="86"/>
      <x:c r="L78" s="86"/>
      <x:c r="M78" s="86"/>
      <x:c r="N78" s="86"/>
      <x:c r="O78" s="86"/>
      <x:c r="P78" s="86"/>
      <x:c r="Q78" s="86"/>
      <x:c r="R78" s="86"/>
      <x:c r="S78" s="86"/>
      <x:c r="T78" s="86"/>
      <x:c r="U78" s="86"/>
      <x:c r="V78" s="86"/>
      <x:c r="W78" s="86"/>
      <x:c r="X78" s="86"/>
      <x:c r="Y78" s="86"/>
      <x:c r="Z78" s="86"/>
    </x:row>
    <x:row r="79">
      <x:c r="A79" s="86"/>
      <x:c r="B79" s="86"/>
      <x:c r="C79" s="86"/>
      <x:c r="D79" s="86"/>
      <x:c r="E79" s="86"/>
      <x:c r="F79" s="86"/>
      <x:c r="G79" s="86"/>
      <x:c r="H79" s="86"/>
      <x:c r="I79" s="86"/>
      <x:c r="J79" s="86"/>
      <x:c r="K79" s="86"/>
      <x:c r="L79" s="86"/>
      <x:c r="M79" s="86"/>
      <x:c r="N79" s="86"/>
      <x:c r="O79" s="86"/>
      <x:c r="P79" s="86"/>
      <x:c r="Q79" s="86"/>
      <x:c r="R79" s="86"/>
      <x:c r="S79" s="86"/>
      <x:c r="T79" s="86"/>
      <x:c r="U79" s="86"/>
      <x:c r="V79" s="86"/>
      <x:c r="W79" s="86"/>
      <x:c r="X79" s="86"/>
      <x:c r="Y79" s="86"/>
      <x:c r="Z79" s="86"/>
    </x:row>
    <x:row r="80">
      <x:c r="A80" s="86"/>
      <x:c r="B80" s="86"/>
      <x:c r="C80" s="86"/>
      <x:c r="D80" s="86"/>
      <x:c r="E80" s="86"/>
      <x:c r="F80" s="86"/>
      <x:c r="G80" s="86"/>
      <x:c r="H80" s="86"/>
      <x:c r="I80" s="86"/>
      <x:c r="J80" s="86"/>
      <x:c r="K80" s="86"/>
      <x:c r="L80" s="86"/>
      <x:c r="M80" s="86"/>
      <x:c r="N80" s="86"/>
      <x:c r="O80" s="86"/>
      <x:c r="P80" s="86"/>
      <x:c r="Q80" s="86"/>
      <x:c r="R80" s="86"/>
      <x:c r="S80" s="86"/>
      <x:c r="T80" s="86"/>
      <x:c r="U80" s="86"/>
      <x:c r="V80" s="86"/>
      <x:c r="W80" s="86"/>
      <x:c r="X80" s="86"/>
      <x:c r="Y80" s="86"/>
      <x:c r="Z80" s="86"/>
    </x:row>
    <x:row r="81">
      <x:c r="A81" s="86"/>
      <x:c r="B81" s="86"/>
      <x:c r="C81" s="86"/>
      <x:c r="D81" s="86"/>
      <x:c r="E81" s="86"/>
      <x:c r="F81" s="86"/>
      <x:c r="G81" s="86"/>
      <x:c r="H81" s="86"/>
      <x:c r="I81" s="86"/>
      <x:c r="J81" s="86"/>
      <x:c r="K81" s="86"/>
      <x:c r="L81" s="86"/>
      <x:c r="M81" s="86"/>
      <x:c r="N81" s="86"/>
      <x:c r="O81" s="86"/>
      <x:c r="P81" s="86"/>
      <x:c r="Q81" s="86"/>
      <x:c r="R81" s="86"/>
      <x:c r="S81" s="86"/>
      <x:c r="T81" s="86"/>
      <x:c r="U81" s="86"/>
      <x:c r="V81" s="86"/>
      <x:c r="W81" s="86"/>
      <x:c r="X81" s="86"/>
      <x:c r="Y81" s="86"/>
      <x:c r="Z81" s="86"/>
    </x:row>
    <x:row r="82">
      <x:c r="A82" s="86"/>
      <x:c r="B82" s="86"/>
      <x:c r="C82" s="86"/>
      <x:c r="D82" s="86"/>
      <x:c r="E82" s="86"/>
      <x:c r="F82" s="86"/>
      <x:c r="G82" s="86"/>
      <x:c r="H82" s="86"/>
      <x:c r="I82" s="86"/>
      <x:c r="J82" s="86"/>
      <x:c r="K82" s="86"/>
      <x:c r="L82" s="86"/>
      <x:c r="M82" s="86"/>
      <x:c r="N82" s="86"/>
      <x:c r="O82" s="86"/>
      <x:c r="P82" s="86"/>
      <x:c r="Q82" s="86"/>
      <x:c r="R82" s="86"/>
      <x:c r="S82" s="86"/>
      <x:c r="T82" s="86"/>
      <x:c r="U82" s="86"/>
      <x:c r="V82" s="86"/>
      <x:c r="W82" s="86"/>
      <x:c r="X82" s="86"/>
      <x:c r="Y82" s="86"/>
      <x:c r="Z82" s="86"/>
    </x:row>
    <x:row r="83">
      <x:c r="A83" s="86"/>
      <x:c r="B83" s="86"/>
      <x:c r="C83" s="86"/>
      <x:c r="D83" s="86"/>
      <x:c r="E83" s="86"/>
      <x:c r="F83" s="86"/>
      <x:c r="G83" s="86"/>
      <x:c r="H83" s="86"/>
      <x:c r="I83" s="86"/>
      <x:c r="J83" s="86"/>
      <x:c r="K83" s="86"/>
      <x:c r="L83" s="86"/>
      <x:c r="M83" s="86"/>
      <x:c r="N83" s="86"/>
      <x:c r="O83" s="86"/>
      <x:c r="P83" s="86"/>
      <x:c r="Q83" s="86"/>
      <x:c r="R83" s="86"/>
      <x:c r="S83" s="86"/>
      <x:c r="T83" s="86"/>
      <x:c r="U83" s="86"/>
      <x:c r="V83" s="86"/>
      <x:c r="W83" s="86"/>
      <x:c r="X83" s="86"/>
      <x:c r="Y83" s="86"/>
      <x:c r="Z83" s="86"/>
    </x:row>
    <x:row r="84">
      <x:c r="A84" s="86"/>
      <x:c r="B84" s="86"/>
      <x:c r="C84" s="86"/>
      <x:c r="D84" s="86"/>
      <x:c r="E84" s="86"/>
      <x:c r="F84" s="86"/>
      <x:c r="G84" s="86"/>
      <x:c r="H84" s="86"/>
      <x:c r="I84" s="86"/>
      <x:c r="J84" s="86"/>
      <x:c r="K84" s="86"/>
      <x:c r="L84" s="86"/>
      <x:c r="M84" s="86"/>
      <x:c r="N84" s="86"/>
      <x:c r="O84" s="86"/>
      <x:c r="P84" s="86"/>
      <x:c r="Q84" s="86"/>
      <x:c r="R84" s="86"/>
      <x:c r="S84" s="86"/>
      <x:c r="T84" s="86"/>
      <x:c r="U84" s="86"/>
      <x:c r="V84" s="86"/>
      <x:c r="W84" s="86"/>
      <x:c r="X84" s="86"/>
      <x:c r="Y84" s="86"/>
      <x:c r="Z84" s="86"/>
    </x:row>
    <x:row r="85">
      <x:c r="A85" s="86"/>
      <x:c r="B85" s="86"/>
      <x:c r="C85" s="86"/>
      <x:c r="D85" s="86"/>
      <x:c r="E85" s="86"/>
      <x:c r="F85" s="86"/>
      <x:c r="G85" s="86"/>
      <x:c r="H85" s="86"/>
      <x:c r="I85" s="86"/>
      <x:c r="J85" s="86"/>
      <x:c r="K85" s="86"/>
      <x:c r="L85" s="86"/>
      <x:c r="M85" s="86"/>
      <x:c r="N85" s="86"/>
      <x:c r="O85" s="86"/>
      <x:c r="P85" s="86"/>
      <x:c r="Q85" s="86"/>
      <x:c r="R85" s="86"/>
      <x:c r="S85" s="86"/>
      <x:c r="T85" s="86"/>
      <x:c r="U85" s="86"/>
      <x:c r="V85" s="86"/>
      <x:c r="W85" s="86"/>
      <x:c r="X85" s="86"/>
      <x:c r="Y85" s="86"/>
      <x:c r="Z85" s="86"/>
    </x:row>
    <x:row r="86">
      <x:c r="A86" s="86"/>
      <x:c r="B86" s="86"/>
      <x:c r="C86" s="86"/>
      <x:c r="D86" s="86"/>
      <x:c r="E86" s="86"/>
      <x:c r="F86" s="86"/>
      <x:c r="G86" s="86"/>
      <x:c r="H86" s="86"/>
      <x:c r="I86" s="86"/>
      <x:c r="J86" s="86"/>
      <x:c r="K86" s="86"/>
      <x:c r="L86" s="86"/>
      <x:c r="M86" s="86"/>
      <x:c r="N86" s="86"/>
      <x:c r="O86" s="86"/>
      <x:c r="P86" s="86"/>
      <x:c r="Q86" s="86"/>
      <x:c r="R86" s="86"/>
      <x:c r="S86" s="86"/>
      <x:c r="T86" s="86"/>
      <x:c r="U86" s="86"/>
      <x:c r="V86" s="86"/>
      <x:c r="W86" s="86"/>
      <x:c r="X86" s="86"/>
      <x:c r="Y86" s="86"/>
      <x:c r="Z86" s="86"/>
    </x:row>
    <x:row r="87">
      <x:c r="A87" s="86"/>
      <x:c r="B87" s="86"/>
      <x:c r="C87" s="86"/>
      <x:c r="D87" s="86"/>
      <x:c r="E87" s="86"/>
      <x:c r="F87" s="86"/>
      <x:c r="G87" s="86"/>
      <x:c r="H87" s="86"/>
      <x:c r="I87" s="86"/>
      <x:c r="J87" s="86"/>
      <x:c r="K87" s="86"/>
      <x:c r="L87" s="86"/>
      <x:c r="M87" s="86"/>
      <x:c r="N87" s="86"/>
      <x:c r="O87" s="86"/>
      <x:c r="P87" s="86"/>
      <x:c r="Q87" s="86"/>
      <x:c r="R87" s="86"/>
      <x:c r="S87" s="86"/>
      <x:c r="T87" s="86"/>
      <x:c r="U87" s="86"/>
      <x:c r="V87" s="86"/>
      <x:c r="W87" s="86"/>
      <x:c r="X87" s="86"/>
      <x:c r="Y87" s="86"/>
      <x:c r="Z87" s="86"/>
    </x:row>
    <x:row r="88">
      <x:c r="A88" s="86"/>
      <x:c r="B88" s="86"/>
      <x:c r="C88" s="86"/>
      <x:c r="D88" s="86"/>
      <x:c r="E88" s="86"/>
      <x:c r="F88" s="86"/>
      <x:c r="G88" s="86"/>
      <x:c r="H88" s="86"/>
      <x:c r="I88" s="86"/>
      <x:c r="J88" s="86"/>
      <x:c r="K88" s="86"/>
      <x:c r="L88" s="86"/>
      <x:c r="M88" s="86"/>
      <x:c r="N88" s="86"/>
      <x:c r="O88" s="86"/>
      <x:c r="P88" s="86"/>
      <x:c r="Q88" s="86"/>
      <x:c r="R88" s="86"/>
      <x:c r="S88" s="86"/>
      <x:c r="T88" s="86"/>
      <x:c r="U88" s="86"/>
      <x:c r="V88" s="86"/>
      <x:c r="W88" s="86"/>
      <x:c r="X88" s="86"/>
      <x:c r="Y88" s="86"/>
      <x:c r="Z88" s="86"/>
    </x:row>
    <x:row r="89">
      <x:c r="A89" s="86"/>
      <x:c r="B89" s="86"/>
      <x:c r="C89" s="86"/>
      <x:c r="D89" s="86"/>
      <x:c r="E89" s="86"/>
      <x:c r="F89" s="86"/>
      <x:c r="G89" s="86"/>
      <x:c r="H89" s="86"/>
      <x:c r="I89" s="86"/>
      <x:c r="J89" s="86"/>
      <x:c r="K89" s="86"/>
      <x:c r="L89" s="86"/>
      <x:c r="M89" s="86"/>
      <x:c r="N89" s="86"/>
      <x:c r="O89" s="86"/>
      <x:c r="P89" s="86"/>
      <x:c r="Q89" s="86"/>
      <x:c r="R89" s="86"/>
      <x:c r="S89" s="86"/>
      <x:c r="T89" s="86"/>
      <x:c r="U89" s="86"/>
      <x:c r="V89" s="86"/>
      <x:c r="W89" s="86"/>
      <x:c r="X89" s="86"/>
      <x:c r="Y89" s="86"/>
      <x:c r="Z89" s="86"/>
    </x:row>
    <x:row r="90">
      <x:c r="A90" s="86"/>
      <x:c r="B90" s="86"/>
      <x:c r="C90" s="86"/>
      <x:c r="D90" s="86"/>
      <x:c r="E90" s="86"/>
      <x:c r="F90" s="86"/>
      <x:c r="G90" s="86"/>
      <x:c r="H90" s="86"/>
      <x:c r="I90" s="86"/>
      <x:c r="J90" s="86"/>
      <x:c r="K90" s="86"/>
      <x:c r="L90" s="86"/>
      <x:c r="M90" s="86"/>
      <x:c r="N90" s="86"/>
      <x:c r="O90" s="86"/>
      <x:c r="P90" s="86"/>
      <x:c r="Q90" s="86"/>
      <x:c r="R90" s="86"/>
      <x:c r="S90" s="86"/>
      <x:c r="T90" s="86"/>
      <x:c r="U90" s="86"/>
      <x:c r="V90" s="86"/>
      <x:c r="W90" s="86"/>
      <x:c r="X90" s="86"/>
      <x:c r="Y90" s="86"/>
      <x:c r="Z90" s="86"/>
    </x:row>
    <x:row r="91">
      <x:c r="A91" s="86"/>
      <x:c r="B91" s="86"/>
      <x:c r="C91" s="86"/>
      <x:c r="D91" s="86"/>
      <x:c r="E91" s="86"/>
      <x:c r="F91" s="86"/>
      <x:c r="G91" s="86"/>
      <x:c r="H91" s="86"/>
      <x:c r="I91" s="86"/>
      <x:c r="J91" s="86"/>
      <x:c r="K91" s="86"/>
      <x:c r="L91" s="86"/>
      <x:c r="M91" s="86"/>
      <x:c r="N91" s="86"/>
      <x:c r="O91" s="86"/>
      <x:c r="P91" s="86"/>
      <x:c r="Q91" s="86"/>
      <x:c r="R91" s="86"/>
      <x:c r="S91" s="86"/>
      <x:c r="T91" s="86"/>
      <x:c r="U91" s="86"/>
      <x:c r="V91" s="86"/>
      <x:c r="W91" s="86"/>
      <x:c r="X91" s="86"/>
      <x:c r="Y91" s="86"/>
      <x:c r="Z91" s="86"/>
    </x:row>
    <x:row r="92">
      <x:c r="A92" s="86"/>
      <x:c r="B92" s="86"/>
      <x:c r="C92" s="86"/>
      <x:c r="D92" s="86"/>
      <x:c r="E92" s="86"/>
      <x:c r="F92" s="86"/>
      <x:c r="G92" s="86"/>
      <x:c r="H92" s="86"/>
      <x:c r="I92" s="86"/>
      <x:c r="J92" s="86"/>
      <x:c r="K92" s="86"/>
      <x:c r="L92" s="86"/>
      <x:c r="M92" s="86"/>
      <x:c r="N92" s="86"/>
      <x:c r="O92" s="86"/>
      <x:c r="P92" s="86"/>
      <x:c r="Q92" s="86"/>
      <x:c r="R92" s="86"/>
      <x:c r="S92" s="86"/>
      <x:c r="T92" s="86"/>
      <x:c r="U92" s="86"/>
      <x:c r="V92" s="86"/>
      <x:c r="W92" s="86"/>
      <x:c r="X92" s="86"/>
      <x:c r="Y92" s="86"/>
      <x:c r="Z92" s="86"/>
    </x:row>
    <x:row r="93">
      <x:c r="A93" s="86"/>
      <x:c r="B93" s="86"/>
      <x:c r="C93" s="86"/>
      <x:c r="D93" s="86"/>
      <x:c r="E93" s="86"/>
      <x:c r="F93" s="86"/>
      <x:c r="G93" s="86"/>
      <x:c r="H93" s="86"/>
      <x:c r="I93" s="86"/>
      <x:c r="J93" s="86"/>
      <x:c r="K93" s="86"/>
      <x:c r="L93" s="86"/>
      <x:c r="M93" s="86"/>
      <x:c r="N93" s="86"/>
      <x:c r="O93" s="86"/>
      <x:c r="P93" s="86"/>
      <x:c r="Q93" s="86"/>
      <x:c r="R93" s="86"/>
      <x:c r="S93" s="86"/>
      <x:c r="T93" s="86"/>
      <x:c r="U93" s="86"/>
      <x:c r="V93" s="86"/>
      <x:c r="W93" s="86"/>
      <x:c r="X93" s="86"/>
      <x:c r="Y93" s="86"/>
      <x:c r="Z93" s="86"/>
    </x:row>
    <x:row r="94">
      <x:c r="A94" s="86"/>
      <x:c r="B94" s="86"/>
      <x:c r="C94" s="86"/>
      <x:c r="D94" s="86"/>
      <x:c r="E94" s="86"/>
      <x:c r="F94" s="86"/>
      <x:c r="G94" s="86"/>
      <x:c r="H94" s="86"/>
      <x:c r="I94" s="86"/>
      <x:c r="J94" s="86"/>
      <x:c r="K94" s="86"/>
      <x:c r="L94" s="86"/>
      <x:c r="M94" s="86"/>
      <x:c r="N94" s="86"/>
      <x:c r="O94" s="86"/>
      <x:c r="P94" s="86"/>
      <x:c r="Q94" s="86"/>
      <x:c r="R94" s="86"/>
      <x:c r="S94" s="86"/>
      <x:c r="T94" s="86"/>
      <x:c r="U94" s="86"/>
      <x:c r="V94" s="86"/>
      <x:c r="W94" s="86"/>
      <x:c r="X94" s="86"/>
      <x:c r="Y94" s="86"/>
      <x:c r="Z94" s="86"/>
    </x:row>
    <x:row r="95">
      <x:c r="A95" s="86"/>
      <x:c r="B95" s="86"/>
      <x:c r="C95" s="86"/>
      <x:c r="D95" s="86"/>
      <x:c r="E95" s="86"/>
      <x:c r="F95" s="86"/>
      <x:c r="G95" s="86"/>
      <x:c r="H95" s="86"/>
      <x:c r="I95" s="86"/>
      <x:c r="J95" s="86"/>
      <x:c r="K95" s="86"/>
      <x:c r="L95" s="86"/>
      <x:c r="M95" s="86"/>
      <x:c r="N95" s="86"/>
      <x:c r="O95" s="86"/>
      <x:c r="P95" s="86"/>
      <x:c r="Q95" s="86"/>
      <x:c r="R95" s="86"/>
      <x:c r="S95" s="86"/>
      <x:c r="T95" s="86"/>
      <x:c r="U95" s="86"/>
      <x:c r="V95" s="86"/>
      <x:c r="W95" s="86"/>
      <x:c r="X95" s="86"/>
      <x:c r="Y95" s="86"/>
      <x:c r="Z95" s="86"/>
    </x:row>
    <x:row r="96">
      <x:c r="A96" s="86"/>
      <x:c r="B96" s="86"/>
      <x:c r="C96" s="86"/>
      <x:c r="D96" s="86"/>
      <x:c r="E96" s="86"/>
      <x:c r="F96" s="86"/>
      <x:c r="G96" s="86"/>
      <x:c r="H96" s="86"/>
      <x:c r="I96" s="86"/>
      <x:c r="J96" s="86"/>
      <x:c r="K96" s="86"/>
      <x:c r="L96" s="86"/>
      <x:c r="M96" s="86"/>
      <x:c r="N96" s="86"/>
      <x:c r="O96" s="86"/>
      <x:c r="P96" s="86"/>
      <x:c r="Q96" s="86"/>
      <x:c r="R96" s="86"/>
      <x:c r="S96" s="86"/>
      <x:c r="T96" s="86"/>
      <x:c r="U96" s="86"/>
      <x:c r="V96" s="86"/>
      <x:c r="W96" s="86"/>
      <x:c r="X96" s="86"/>
      <x:c r="Y96" s="86"/>
      <x:c r="Z96" s="86"/>
    </x:row>
    <x:row r="97">
      <x:c r="A97" s="86"/>
      <x:c r="B97" s="86"/>
      <x:c r="C97" s="86"/>
      <x:c r="D97" s="86"/>
      <x:c r="E97" s="86"/>
      <x:c r="F97" s="86"/>
      <x:c r="G97" s="86"/>
      <x:c r="H97" s="86"/>
      <x:c r="I97" s="86"/>
      <x:c r="J97" s="86"/>
      <x:c r="K97" s="86"/>
      <x:c r="L97" s="86"/>
      <x:c r="M97" s="86"/>
      <x:c r="N97" s="86"/>
      <x:c r="O97" s="86"/>
      <x:c r="P97" s="86"/>
      <x:c r="Q97" s="86"/>
      <x:c r="R97" s="86"/>
      <x:c r="S97" s="86"/>
      <x:c r="T97" s="86"/>
      <x:c r="U97" s="86"/>
      <x:c r="V97" s="86"/>
      <x:c r="W97" s="86"/>
      <x:c r="X97" s="86"/>
      <x:c r="Y97" s="86"/>
      <x:c r="Z97" s="86"/>
    </x:row>
    <x:row r="98">
      <x:c r="A98" s="86"/>
      <x:c r="B98" s="86"/>
      <x:c r="C98" s="86"/>
      <x:c r="D98" s="86"/>
      <x:c r="E98" s="86"/>
      <x:c r="F98" s="86"/>
      <x:c r="G98" s="86"/>
      <x:c r="H98" s="86"/>
      <x:c r="I98" s="86"/>
      <x:c r="J98" s="86"/>
      <x:c r="K98" s="86"/>
      <x:c r="L98" s="86"/>
      <x:c r="M98" s="86"/>
      <x:c r="N98" s="86"/>
      <x:c r="O98" s="86"/>
      <x:c r="P98" s="86"/>
      <x:c r="Q98" s="86"/>
      <x:c r="R98" s="86"/>
      <x:c r="S98" s="86"/>
      <x:c r="T98" s="86"/>
      <x:c r="U98" s="86"/>
      <x:c r="V98" s="86"/>
      <x:c r="W98" s="86"/>
      <x:c r="X98" s="86"/>
      <x:c r="Y98" s="86"/>
      <x:c r="Z98" s="86"/>
    </x:row>
    <x:row r="99">
      <x:c r="A99" s="86"/>
      <x:c r="B99" s="86"/>
      <x:c r="C99" s="86"/>
      <x:c r="D99" s="86"/>
      <x:c r="E99" s="86"/>
      <x:c r="F99" s="86"/>
      <x:c r="G99" s="86"/>
      <x:c r="H99" s="86"/>
      <x:c r="I99" s="86"/>
      <x:c r="J99" s="86"/>
      <x:c r="K99" s="86"/>
      <x:c r="L99" s="86"/>
      <x:c r="M99" s="86"/>
      <x:c r="N99" s="86"/>
      <x:c r="O99" s="86"/>
      <x:c r="P99" s="86"/>
      <x:c r="Q99" s="86"/>
      <x:c r="R99" s="86"/>
      <x:c r="S99" s="86"/>
      <x:c r="T99" s="86"/>
      <x:c r="U99" s="86"/>
      <x:c r="V99" s="86"/>
      <x:c r="W99" s="86"/>
      <x:c r="X99" s="86"/>
      <x:c r="Y99" s="86"/>
      <x:c r="Z99" s="86"/>
    </x:row>
    <x:row r="100">
      <x:c r="A100" s="86"/>
      <x:c r="B100" s="86"/>
      <x:c r="C100" s="86"/>
      <x:c r="D100" s="86"/>
      <x:c r="E100" s="86"/>
      <x:c r="F100" s="86"/>
      <x:c r="G100" s="86"/>
      <x:c r="H100" s="86"/>
      <x:c r="I100" s="86"/>
      <x:c r="J100" s="86"/>
      <x:c r="K100" s="86"/>
      <x:c r="L100" s="86"/>
      <x:c r="M100" s="86"/>
      <x:c r="N100" s="86"/>
      <x:c r="O100" s="86"/>
      <x:c r="P100" s="86"/>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Q1"/>
  </x:mergeCells>
  <x:conditionalFormatting sqref="M4:M100">
    <x:cfRule type="colorScale" priority="1">
      <x:colorScale>
        <x:cfvo type="min"/>
        <x:cfvo type="percentile" val="50"/>
        <x:cfvo type="max"/>
        <x:color rgb="FFF8696B"/>
        <x:color rgb="FFFFEB84"/>
        <x:color rgb="FF63BE7B"/>
      </x:colorScale>
    </x:cfRule>
  </x:conditionalFormatting>
  <x:dataValidations count="2">
    <x:dataValidation operator="between" sqref="D4:L100">
      <x:formula1>0</x:formula1>
      <x:formula2>10</x:formula2>
    </x:dataValidation>
    <x:dataValidation type="list" sqref="O4:O100">
      <x:formula1>"低,中,高,待复核"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4" hidden="0" customWidth="1"/>
    <x:col min="3" max="3" width="10" hidden="0" customWidth="1"/>
    <x:col min="4" max="4" width="14" hidden="0" customWidth="1"/>
    <x:col min="5" max="5" width="11" hidden="0" customWidth="1"/>
    <x:col min="6" max="6" width="14" hidden="0" customWidth="1"/>
    <x:col min="7" max="7" width="11" hidden="0" customWidth="1"/>
    <x:col min="8" max="8" width="10" hidden="0" customWidth="1"/>
    <x:col min="9" max="9" width="10" hidden="0" customWidth="1"/>
    <x:col min="10" max="10" width="10" hidden="0" customWidth="1"/>
    <x:col min="11" max="11" width="10" hidden="0" customWidth="1"/>
    <x:col min="12" max="12" width="16" hidden="0" customWidth="1"/>
    <x:col min="13" max="13" width="16" hidden="0" customWidth="1"/>
    <x:col min="14" max="14" width="15" hidden="0" customWidth="1"/>
    <x:col min="15" max="15" width="12" hidden="0" customWidth="1"/>
    <x:col min="16" max="16" width="14" hidden="0" customWidth="1"/>
    <x:col min="17" max="17" width="14" hidden="0" customWidth="1"/>
    <x:col min="18" max="18" width="10" hidden="0" customWidth="1"/>
    <x:col min="19" max="19" width="10" hidden="0" customWidth="1"/>
    <x:col min="20" max="20" width="12" hidden="0" customWidth="1"/>
    <x:col min="21" max="21" width="18" hidden="0" customWidth="1"/>
    <x:col min="22" max="22" width="14" hidden="0" customWidth="1"/>
  </x:cols>
  <x:sheetData>
    <x:row r="1">
      <x:c r="A1" s="5" t="str">
        <x:v>财务指标库（建议后端按“公司+报告期+指标”写入，保留审计字段）</x:v>
      </x:c>
      <x:c r="B1" s="5"/>
      <x:c r="C1" s="5"/>
      <x:c r="D1" s="5"/>
      <x:c r="E1" s="5"/>
      <x:c r="F1" s="5"/>
      <x:c r="G1" s="5"/>
      <x:c r="H1" s="5"/>
      <x:c r="I1" s="5"/>
      <x:c r="J1" s="5"/>
      <x:c r="K1" s="5"/>
      <x:c r="L1" s="5"/>
      <x:c r="M1" s="5"/>
      <x:c r="N1" s="5"/>
      <x:c r="O1" s="5"/>
      <x:c r="P1" s="5"/>
      <x:c r="Q1" s="5"/>
      <x:c r="R1" s="5"/>
      <x:c r="S1" s="5"/>
      <x:c r="T1" s="5"/>
      <x:c r="U1" s="5"/>
      <x:c r="V1" s="5"/>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股票代码</x:v>
      </x:c>
      <x:c r="B3" s="13" t="str">
        <x:v>公司名称</x:v>
      </x:c>
      <x:c r="C3" s="13" t="str">
        <x:v>报告期</x:v>
      </x:c>
      <x:c r="D3" s="13" t="str">
        <x:v>营收(亿元)</x:v>
      </x:c>
      <x:c r="E3" s="13" t="str">
        <x:v>营收YoY</x:v>
      </x:c>
      <x:c r="F3" s="13" t="str">
        <x:v>归母净利(亿元)</x:v>
      </x:c>
      <x:c r="G3" s="13" t="str">
        <x:v>净利YoY</x:v>
      </x:c>
      <x:c r="H3" s="13" t="str">
        <x:v>ROE</x:v>
      </x:c>
      <x:c r="I3" s="13" t="str">
        <x:v>ROIC</x:v>
      </x:c>
      <x:c r="J3" s="13" t="str">
        <x:v>毛利率</x:v>
      </x:c>
      <x:c r="K3" s="13" t="str">
        <x:v>净利率</x:v>
      </x:c>
      <x:c r="L3" s="13" t="str">
        <x:v>经营现金流(亿元)</x:v>
      </x:c>
      <x:c r="M3" s="13" t="str">
        <x:v>自由现金流(亿元)</x:v>
      </x:c>
      <x:c r="N3" s="13" t="str">
        <x:v>经营现金流/净利</x:v>
      </x:c>
      <x:c r="O3" s="13" t="str">
        <x:v>资产负债率</x:v>
      </x:c>
      <x:c r="P3" s="13" t="str">
        <x:v>货币资金(亿元)</x:v>
      </x:c>
      <x:c r="Q3" s="13" t="str">
        <x:v>有息负债(亿元)</x:v>
      </x:c>
      <x:c r="R3" s="13" t="str">
        <x:v>EPS(元)</x:v>
      </x:c>
      <x:c r="S3" s="13" t="str">
        <x:v>DPS(元)</x:v>
      </x:c>
      <x:c r="T3" s="13" t="str">
        <x:v>分红支付率</x:v>
      </x:c>
      <x:c r="U3" s="13" t="str">
        <x:v>source_id</x:v>
      </x:c>
      <x:c r="V3" s="13" t="str">
        <x:v>审计/校验状态</x:v>
      </x:c>
      <x:c r="W3" s="86"/>
      <x:c r="X3" s="86"/>
      <x:c r="Y3" s="86"/>
      <x:c r="Z3" s="86"/>
    </x:row>
    <x:row r="4">
      <x:c r="A4" s="86" t="str">
        <x:v>600941</x:v>
      </x:c>
      <x:c r="B4" s="86" t="str">
        <x:v>中国移动</x:v>
      </x:c>
      <x:c r="C4" s="106" t="str">
        <x:v>2026H1</x:v>
      </x:c>
      <x:c r="D4" s="112" t="n">
        <x:v>5380.35</x:v>
      </x:c>
      <x:c r="E4" s="113" t="n">
        <x:v>-1.0545</x:v>
      </x:c>
      <x:c r="F4" s="112" t="n">
        <x:v>789.34</x:v>
      </x:c>
      <x:c r="G4" s="113" t="n">
        <x:v>-6.2452</x:v>
      </x:c>
      <x:c r="H4" s="113" t="n">
        <x:v>5.6</x:v>
      </x:c>
      <x:c r="I4" s="113" t="n">
        <x:v>5.464611</x:v>
      </x:c>
      <x:c r="J4" s="113" t="n">
        <x:v>14.635107381490052</x:v>
      </x:c>
      <x:c r="K4" s="113" t="n">
        <x:v>14.6849</x:v>
      </x:c>
      <x:c r="L4" s="112" t="n">
        <x:v>1148.54</x:v>
      </x:c>
      <x:c r="M4" s="112" t="n">
        <x:v>485.64</x:v>
      </x:c>
      <x:c r="N4" s="113" t="n">
        <x:v>1.4537</x:v>
      </x:c>
      <x:c r="O4" s="113" t="n">
        <x:v>32.7858</x:v>
      </x:c>
      <x:c r="P4" s="112" t="n">
        <x:v>1878.57</x:v>
      </x:c>
      <x:c r="Q4" s="112" t="n">
        <x:v>555.6</x:v>
      </x:c>
      <x:c r="R4" s="114" t="n">
        <x:v>6.0861</x:v>
      </x:c>
      <x:c r="S4" s="114" t="n">
        <x:v>2.2012</x:v>
      </x:c>
      <x:c r="T4" s="113" t="n">
        <x:v>36.17</x:v>
      </x:c>
      <x:c r="U4" s="106" t="str">
        <x:v>a87f9c33-578c-488a-a7e4-97ba613f7016</x:v>
      </x:c>
      <x:c r="V4" s="106" t="str">
        <x:v>Agent 自动交叉验证中</x:v>
      </x:c>
      <x:c r="W4" s="86"/>
      <x:c r="X4" s="86"/>
      <x:c r="Y4" s="86"/>
      <x:c r="Z4" s="86"/>
    </x:row>
    <x:row r="5">
      <x:c r="A5" s="86" t="str">
        <x:v>600900</x:v>
      </x:c>
      <x:c r="B5" s="86" t="str">
        <x:v>长江电力</x:v>
      </x:c>
      <x:c r="C5" s="106" t="str">
        <x:v>2026H1</x:v>
      </x:c>
      <x:c r="D5" s="112" t="n">
        <x:v>379.2926892718</x:v>
      </x:c>
      <x:c r="E5" s="113" t="n">
        <x:v>3.3562</x:v>
      </x:c>
      <x:c r="F5" s="112" t="n">
        <x:v>147.5569477453</x:v>
      </x:c>
      <x:c r="G5" s="113" t="n">
        <x:v>13.1819</x:v>
      </x:c>
      <x:c r="H5" s="113" t="n">
        <x:v>6.83</x:v>
      </x:c>
      <x:c r="I5" s="113" t="n">
        <x:v>3.763752</x:v>
      </x:c>
      <x:c r="J5" s="113" t="n">
        <x:v>40.20710711413609</x:v>
      </x:c>
      <x:c r="K5" s="113" t="n">
        <x:v>39.6357</x:v>
      </x:c>
      <x:c r="L5" s="112" t="n">
        <x:v>241.2831377437</x:v>
      </x:c>
      <x:c r="M5" s="112" t="n">
        <x:v>196.9369762046</x:v>
      </x:c>
      <x:c r="N5" s="113" t="n">
        <x:v>1.605</x:v>
      </x:c>
      <x:c r="O5" s="113" t="n">
        <x:v>59.3635</x:v>
      </x:c>
      <x:c r="P5" s="112" t="n">
        <x:v>93.7287340916</x:v>
      </x:c>
      <x:c r="Q5" s="112" t="n">
        <x:v>2828.6103905965</x:v>
      </x:c>
      <x:c r="R5" s="114" t="n">
        <x:v>1.4999</x:v>
      </x:c>
      <x:c r="S5" s="114" t="n">
        <x:v>1</x:v>
      </x:c>
      <x:c r="T5" s="113" t="n">
        <x:v>66.67</x:v>
      </x:c>
      <x:c r="U5" s="106" t="str">
        <x:v>bddbdcf4-900c-4107-ac66-d2c070f36826</x:v>
      </x:c>
      <x:c r="V5" s="106" t="str">
        <x:v>Agent 自动交叉验证中</x:v>
      </x:c>
      <x:c r="W5" s="86"/>
      <x:c r="X5" s="86"/>
      <x:c r="Y5" s="86"/>
      <x:c r="Z5" s="86"/>
    </x:row>
    <x:row r="6">
      <x:c r="A6" s="86" t="str">
        <x:v>600519</x:v>
      </x:c>
      <x:c r="B6" s="86" t="str">
        <x:v>贵州茅台</x:v>
      </x:c>
      <x:c r="C6" s="106" t="str">
        <x:v>2026H1</x:v>
      </x:c>
      <x:c r="D6" s="112" t="n">
        <x:v>922.7807208321</x:v>
      </x:c>
      <x:c r="E6" s="113" t="n">
        <x:v>1.4699</x:v>
      </x:c>
      <x:c r="F6" s="112" t="n">
        <x:v>445.1688042186</x:v>
      </x:c>
      <x:c r="G6" s="113" t="n">
        <x:v>-2.029</x:v>
      </x:c>
      <x:c r="H6" s="113" t="n">
        <x:v>17.72</x:v>
      </x:c>
      <x:c r="I6" s="113" t="n">
        <x:v>16.500611</x:v>
      </x:c>
      <x:c r="J6" s="113" t="n">
        <x:v>66.4643569382605</x:v>
      </x:c>
      <x:c r="K6" s="113" t="n">
        <x:v>50.7516</x:v>
      </x:c>
      <x:c r="L6" s="112" t="n">
        <x:v>706.9075011906</x:v>
      </x:c>
      <x:c r="M6" s="112" t="n">
        <x:v>698.5860736678</x:v>
      </x:c>
      <x:c r="N6" s="113" t="n">
        <x:v>1.5356</x:v>
      </x:c>
      <x:c r="O6" s="113" t="n">
        <x:v>15.1931</x:v>
      </x:c>
      <x:c r="P6" s="112" t="n">
        <x:v>535.1879897908</x:v>
      </x:c>
      <x:c r="Q6" s="112" t="n">
        <x:v>0.5685536572</x:v>
      </x:c>
      <x:c r="R6" s="114" t="n">
        <x:v>67.5449</x:v>
      </x:c>
      <x:c r="S6" s="114" t="n">
        <x:v>51.9812</x:v>
      </x:c>
      <x:c r="T6" s="113" t="n">
        <x:v>76.96</x:v>
      </x:c>
      <x:c r="U6" s="106" t="str">
        <x:v>44bfd883-2596-414d-ac8e-b7d9c4529f93</x:v>
      </x:c>
      <x:c r="V6" s="106" t="str">
        <x:v>Agent 自动交叉验证中</x:v>
      </x:c>
      <x:c r="W6" s="86"/>
      <x:c r="X6" s="86"/>
      <x:c r="Y6" s="86"/>
      <x:c r="Z6" s="86"/>
    </x:row>
    <x:row r="7">
      <x:c r="A7" s="86" t="str">
        <x:v>000333</x:v>
      </x:c>
      <x:c r="B7" s="86" t="str">
        <x:v>美的集团</x:v>
      </x:c>
      <x:c r="C7" s="106" t="str">
        <x:v>2026H1</x:v>
      </x:c>
      <x:c r="D7" s="112" t="n">
        <x:v>2610.52379</x:v>
      </x:c>
      <x:c r="E7" s="113" t="n">
        <x:v>3.5515</x:v>
      </x:c>
      <x:c r="F7" s="112" t="n">
        <x:v>264.46037</x:v>
      </x:c>
      <x:c r="G7" s="113" t="n">
        <x:v>-0.242</x:v>
      </x:c>
      <x:c r="H7" s="113" t="n">
        <x:v>12.42</x:v>
      </x:c>
      <x:c r="I7" s="113" t="n">
        <x:v>8.816281</x:v>
      </x:c>
      <x:c r="J7" s="113" t="n">
        <x:v>9.424157364219997</x:v>
      </x:c>
      <x:c r="K7" s="113" t="n">
        <x:v>10.2225</x:v>
      </x:c>
      <x:c r="L7" s="112" t="n">
        <x:v>375.5209</x:v>
      </x:c>
      <x:c r="M7" s="112" t="n">
        <x:v>349.1788</x:v>
      </x:c>
      <x:c r="N7" s="113" t="n">
        <x:v>1.4126</x:v>
      </x:c>
      <x:c r="O7" s="113" t="n">
        <x:v>64.89</x:v>
      </x:c>
      <x:c r="P7" s="112" t="n">
        <x:v>906.42783</x:v>
      </x:c>
      <x:c r="Q7" s="112" t="n">
        <x:v>744.51256</x:v>
      </x:c>
      <x:c r="R7" s="114" t="n">
        <x:v>5.8757</x:v>
      </x:c>
      <x:c r="S7" s="114" t="n">
        <x:v>4.3</x:v>
      </x:c>
      <x:c r="T7" s="113" t="n">
        <x:v>73.18</x:v>
      </x:c>
      <x:c r="U7" s="106" t="str">
        <x:v>51e50e63-8259-4206-b207-9dcbcfe0554a</x:v>
      </x:c>
      <x:c r="V7" s="106" t="str">
        <x:v>Agent 自动交叉验证中</x:v>
      </x:c>
      <x:c r="W7" s="86"/>
      <x:c r="X7" s="86"/>
      <x:c r="Y7" s="86"/>
      <x:c r="Z7" s="86"/>
    </x:row>
    <x:row r="8">
      <x:c r="A8" s="86" t="str">
        <x:v>600036</x:v>
      </x:c>
      <x:c r="B8" s="86" t="str">
        <x:v>招商银行</x:v>
      </x:c>
      <x:c r="C8" s="106" t="str">
        <x:v>2026H1</x:v>
      </x:c>
      <x:c r="D8" s="112" t="n">
        <x:v>1781.81</x:v>
      </x:c>
      <x:c r="E8" s="113" t="str">
        <x:v>不适用（银行口径）</x:v>
      </x:c>
      <x:c r="F8" s="112" t="n">
        <x:v>764.45</x:v>
      </x:c>
      <x:c r="G8" s="113" t="n">
        <x:v>2.0078</x:v>
      </x:c>
      <x:c r="H8" s="113" t="n">
        <x:v>5.68</x:v>
      </x:c>
      <x:c r="I8" s="113" t="str">
        <x:v>不适用（银行口径）</x:v>
      </x:c>
      <x:c r="J8" s="113" t="n">
        <x:v>50.94987681065882</x:v>
      </x:c>
      <x:c r="K8" s="113" t="str">
        <x:v>不适用（银行口径）</x:v>
      </x:c>
      <x:c r="L8" s="112" t="n">
        <x:v>3046.11</x:v>
      </x:c>
      <x:c r="M8" s="112" t="str">
        <x:v>不适用（银行口径）</x:v>
      </x:c>
      <x:c r="N8" s="113" t="n">
        <x:v>3.9602</x:v>
      </x:c>
      <x:c r="O8" s="113" t="n">
        <x:v>90.183</x:v>
      </x:c>
      <x:c r="P8" s="112" t="n">
        <x:v>6752</x:v>
      </x:c>
      <x:c r="Q8" s="112" t="n">
        <x:v>119537.82</x:v>
      </x:c>
      <x:c r="R8" s="114" t="n">
        <x:v>6.0523</x:v>
      </x:c>
      <x:c r="S8" s="114" t="n">
        <x:v>2.016</x:v>
      </x:c>
      <x:c r="T8" s="113" t="n">
        <x:v>33.31</x:v>
      </x:c>
      <x:c r="U8" s="106" t="str">
        <x:v>8b9ed6a9-dba5-48d9-ade2-4394848b93be</x:v>
      </x:c>
      <x:c r="V8" s="106" t="str">
        <x:v>Agent 自动交叉验证中</x:v>
      </x:c>
      <x:c r="W8" s="86"/>
      <x:c r="X8" s="86"/>
      <x:c r="Y8" s="86"/>
      <x:c r="Z8" s="86"/>
    </x:row>
    <x:row r="9">
      <x:c r="A9" s="86" t="str">
        <x:v>601288</x:v>
      </x:c>
      <x:c r="B9" s="86" t="str">
        <x:v>农业银行</x:v>
      </x:c>
      <x:c r="C9" s="106" t="str">
        <x:v>2026H1</x:v>
      </x:c>
      <x:c r="D9" s="112" t="n">
        <x:v>4108.71</x:v>
      </x:c>
      <x:c r="E9" s="113" t="str">
        <x:v>不适用（银行口径）</x:v>
      </x:c>
      <x:c r="F9" s="112" t="n">
        <x:v>1463.81</x:v>
      </x:c>
      <x:c r="G9" s="113" t="n">
        <x:v>5.8016</x:v>
      </x:c>
      <x:c r="H9" s="113" t="n">
        <x:v>4.4</x:v>
      </x:c>
      <x:c r="I9" s="113" t="str">
        <x:v>不适用（银行口径）</x:v>
      </x:c>
      <x:c r="J9" s="113" t="n">
        <x:v>44.44996118002974</x:v>
      </x:c>
      <x:c r="K9" s="113" t="str">
        <x:v>不适用（银行口径）</x:v>
      </x:c>
      <x:c r="L9" s="112" t="n">
        <x:v>2876.12</x:v>
      </x:c>
      <x:c r="M9" s="112" t="str">
        <x:v>不适用（银行口径）</x:v>
      </x:c>
      <x:c r="N9" s="113" t="n">
        <x:v>1.9425</x:v>
      </x:c>
      <x:c r="O9" s="113" t="n">
        <x:v>93.4686</x:v>
      </x:c>
      <x:c r="P9" s="112" t="n">
        <x:v>27929.35</x:v>
      </x:c>
      <x:c r="Q9" s="112" t="n">
        <x:v>471301.83</x:v>
      </x:c>
      <x:c r="R9" s="114" t="n">
        <x:v>0.8575</x:v>
      </x:c>
      <x:c r="S9" s="114" t="n">
        <x:v>0.2495</x:v>
      </x:c>
      <x:c r="T9" s="113" t="n">
        <x:v>29.1</x:v>
      </x:c>
      <x:c r="U9" s="106" t="str">
        <x:v>fb92f68c-1313-4134-9c45-12de60a2421d</x:v>
      </x:c>
      <x:c r="V9" s="106" t="str">
        <x:v>Agent 自动交叉验证中</x:v>
      </x:c>
      <x:c r="W9" s="86"/>
      <x:c r="X9" s="86"/>
      <x:c r="Y9" s="86"/>
      <x:c r="Z9" s="86"/>
    </x:row>
    <x:row r="10">
      <x:c r="A10" s="86" t="str">
        <x:v>601088</x:v>
      </x:c>
      <x:c r="B10" s="86" t="str">
        <x:v>中国神华</x:v>
      </x:c>
      <x:c r="C10" s="106" t="str">
        <x:v>2026H1</x:v>
      </x:c>
      <x:c r="D10" s="112" t="n">
        <x:v>1893.38</x:v>
      </x:c>
      <x:c r="E10" s="113" t="n">
        <x:v>37.0932</x:v>
      </x:c>
      <x:c r="F10" s="112" t="n">
        <x:v>287.15</x:v>
      </x:c>
      <x:c r="G10" s="113" t="n">
        <x:v>19.8866</x:v>
      </x:c>
      <x:c r="H10" s="113" t="n">
        <x:v>6.37</x:v>
      </x:c>
      <x:c r="I10" s="113" t="n">
        <x:v>4.854236</x:v>
      </x:c>
      <x:c r="J10" s="113" t="n">
        <x:v>23.226716242909507</x:v>
      </x:c>
      <x:c r="K10" s="113" t="n">
        <x:v>18.7601</x:v>
      </x:c>
      <x:c r="L10" s="112" t="n">
        <x:v>546.64</x:v>
      </x:c>
      <x:c r="M10" s="112" t="n">
        <x:v>250.85</x:v>
      </x:c>
      <x:c r="N10" s="113" t="n">
        <x:v>1.539</x:v>
      </x:c>
      <x:c r="O10" s="113" t="n">
        <x:v>40.2728</x:v>
      </x:c>
      <x:c r="P10" s="112" t="n">
        <x:v>1355.92</x:v>
      </x:c>
      <x:c r="Q10" s="112" t="n">
        <x:v>1677.37</x:v>
      </x:c>
      <x:c r="R10" s="114" t="n">
        <x:v>3.3064</x:v>
      </x:c>
      <x:c r="S10" s="114" t="n">
        <x:v>2.01</x:v>
      </x:c>
      <x:c r="T10" s="113" t="n">
        <x:v>60.79</x:v>
      </x:c>
      <x:c r="U10" s="106" t="str">
        <x:v>be5ed273-6289-4154-89c3-fa0365bb9127</x:v>
      </x:c>
      <x:c r="V10" s="106" t="str">
        <x:v>Agent 自动交叉验证中</x:v>
      </x:c>
      <x:c r="W10" s="86"/>
      <x:c r="X10" s="86"/>
      <x:c r="Y10" s="86"/>
      <x:c r="Z10" s="86"/>
    </x:row>
    <x:row r="11">
      <x:c r="A11" s="86" t="str">
        <x:v>600690</x:v>
      </x:c>
      <x:c r="B11" s="86" t="str">
        <x:v>海尔智家</x:v>
      </x:c>
      <x:c r="C11" s="106" t="str">
        <x:v>2026H1</x:v>
      </x:c>
      <x:c r="D11" s="112" t="n">
        <x:v>1521.1505023763</x:v>
      </x:c>
      <x:c r="E11" s="113" t="n">
        <x:v>-2.7982</x:v>
      </x:c>
      <x:c r="F11" s="112" t="n">
        <x:v>103.1625494626</x:v>
      </x:c>
      <x:c r="G11" s="113" t="n">
        <x:v>-12.8882</x:v>
      </x:c>
      <x:c r="H11" s="113" t="n">
        <x:v>8.62</x:v>
      </x:c>
      <x:c r="I11" s="113" t="n">
        <x:v>6.82151</x:v>
      </x:c>
      <x:c r="J11" s="113" t="n">
        <x:v>7.955736770125496</x:v>
      </x:c>
      <x:c r="K11" s="113" t="n">
        <x:v>7.1499</x:v>
      </x:c>
      <x:c r="L11" s="112" t="n">
        <x:v>97.5203397771</x:v>
      </x:c>
      <x:c r="M11" s="112" t="n">
        <x:v>53.8524475879</x:v>
      </x:c>
      <x:c r="N11" s="113" t="n">
        <x:v>0.8967</x:v>
      </x:c>
      <x:c r="O11" s="113" t="n">
        <x:v>58.5218</x:v>
      </x:c>
      <x:c r="P11" s="112" t="n">
        <x:v>508.5909315821</x:v>
      </x:c>
      <x:c r="Q11" s="112" t="n">
        <x:v>424.791308744</x:v>
      </x:c>
      <x:c r="R11" s="114" t="n">
        <x:v>1.9793</x:v>
      </x:c>
      <x:c r="S11" s="114" t="n">
        <x:v>1.1607</x:v>
      </x:c>
      <x:c r="T11" s="113" t="n">
        <x:v>58.64</x:v>
      </x:c>
      <x:c r="U11" s="106" t="str">
        <x:v>3d8842f5-7b02-4dd3-ad1e-86bd70b61fd5</x:v>
      </x:c>
      <x:c r="V11" s="106" t="str">
        <x:v>Agent 自动交叉验证中</x:v>
      </x:c>
      <x:c r="W11" s="86"/>
      <x:c r="X11" s="86"/>
      <x:c r="Y11" s="86"/>
      <x:c r="Z11" s="86"/>
    </x:row>
    <x:row r="12">
      <x:c r="A12" s="86" t="str">
        <x:v>300750</x:v>
      </x:c>
      <x:c r="B12" s="86" t="str">
        <x:v>宁德时代</x:v>
      </x:c>
      <x:c r="C12" s="106" t="str">
        <x:v>2026H1</x:v>
      </x:c>
      <x:c r="D12" s="112" t="n">
        <x:v>2769.1658</x:v>
      </x:c>
      <x:c r="E12" s="113" t="n">
        <x:v>54.8004</x:v>
      </x:c>
      <x:c r="F12" s="112" t="n">
        <x:v>432.84002</x:v>
      </x:c>
      <x:c r="G12" s="113" t="n">
        <x:v>45.3113</x:v>
      </x:c>
      <x:c r="H12" s="113" t="n">
        <x:v>11.41</x:v>
      </x:c>
      <x:c r="I12" s="113" t="n">
        <x:v>9.039937</x:v>
      </x:c>
      <x:c r="J12" s="113" t="n">
        <x:v>16.6143258738787</x:v>
      </x:c>
      <x:c r="K12" s="113" t="n">
        <x:v>16.9837</x:v>
      </x:c>
      <x:c r="L12" s="112" t="n">
        <x:v>602.16851</x:v>
      </x:c>
      <x:c r="M12" s="112" t="n">
        <x:v>351.44079</x:v>
      </x:c>
      <x:c r="N12" s="113" t="n">
        <x:v>1.2804</x:v>
      </x:c>
      <x:c r="O12" s="113" t="n">
        <x:v>63.6525</x:v>
      </x:c>
      <x:c r="P12" s="112" t="n">
        <x:v>3720.53275</x:v>
      </x:c>
      <x:c r="Q12" s="112" t="n">
        <x:v>1456.71415</x:v>
      </x:c>
      <x:c r="R12" s="114" t="n">
        <x:v>19.8915</x:v>
      </x:c>
      <x:c r="S12" s="114" t="n">
        <x:v>8.368</x:v>
      </x:c>
      <x:c r="T12" s="113" t="n">
        <x:v>42.07</x:v>
      </x:c>
      <x:c r="U12" s="106" t="str">
        <x:v>b509afb0-866d-4d00-bf3b-be670f56e643</x:v>
      </x:c>
      <x:c r="V12" s="106" t="str">
        <x:v>Agent 自动交叉验证中</x:v>
      </x:c>
      <x:c r="W12" s="86"/>
      <x:c r="X12" s="86"/>
      <x:c r="Y12" s="86"/>
      <x:c r="Z12" s="86"/>
    </x:row>
    <x:row r="13">
      <x:c r="A13" s="86" t="str">
        <x:v>600887</x:v>
      </x:c>
      <x:c r="B13" s="86" t="str">
        <x:v>伊利股份</x:v>
      </x:c>
      <x:c r="C13" s="106" t="str">
        <x:v>2026H1</x:v>
      </x:c>
      <x:c r="D13" s="112" t="n">
        <x:v>644.8971523616</x:v>
      </x:c>
      <x:c r="E13" s="113" t="n">
        <x:v>4.1345</x:v>
      </x:c>
      <x:c r="F13" s="112" t="n">
        <x:v>57.5862809779</x:v>
      </x:c>
      <x:c r="G13" s="113" t="n">
        <x:v>-23.6579</x:v>
      </x:c>
      <x:c r="H13" s="113" t="n">
        <x:v>10.72</x:v>
      </x:c>
      <x:c r="I13" s="113" t="n">
        <x:v>7.277142</x:v>
      </x:c>
      <x:c r="J13" s="113" t="n">
        <x:v>14.506956411313606</x:v>
      </x:c>
      <x:c r="K13" s="113" t="n">
        <x:v>8.5864</x:v>
      </x:c>
      <x:c r="L13" s="112" t="n">
        <x:v>97.5914748318</x:v>
      </x:c>
      <x:c r="M13" s="112" t="n">
        <x:v>84.548854385</x:v>
      </x:c>
      <x:c r="N13" s="113" t="n">
        <x:v>1.7668</x:v>
      </x:c>
      <x:c r="O13" s="113" t="n">
        <x:v>63.5566</x:v>
      </x:c>
      <x:c r="P13" s="112" t="n">
        <x:v>166.1674229033</x:v>
      </x:c>
      <x:c r="Q13" s="112" t="n">
        <x:v>650.7330373872</x:v>
      </x:c>
      <x:c r="R13" s="114" t="n">
        <x:v>1.5497</x:v>
      </x:c>
      <x:c r="S13" s="114" t="n">
        <x:v>1.38</x:v>
      </x:c>
      <x:c r="T13" s="113" t="n">
        <x:v>89.05</x:v>
      </x:c>
      <x:c r="U13" s="106" t="str">
        <x:v>74b55072-9480-41e2-a426-342ed36daa03</x:v>
      </x:c>
      <x:c r="V13" s="106" t="str">
        <x:v>Agent 自动交叉验证中</x:v>
      </x:c>
      <x:c r="W13" s="86"/>
      <x:c r="X13" s="86"/>
      <x:c r="Y13" s="86"/>
      <x:c r="Z13" s="86"/>
    </x:row>
    <x:row r="14">
      <x:c r="A14" s="86"/>
      <x:c r="B14" s="86"/>
      <x:c r="C14" s="106"/>
      <x:c r="D14" s="112"/>
      <x:c r="E14" s="113"/>
      <x:c r="F14" s="112"/>
      <x:c r="G14" s="113"/>
      <x:c r="H14" s="113"/>
      <x:c r="I14" s="113"/>
      <x:c r="J14" s="113"/>
      <x:c r="K14" s="113"/>
      <x:c r="L14" s="112"/>
      <x:c r="M14" s="112"/>
      <x:c r="N14" s="113"/>
      <x:c r="O14" s="113"/>
      <x:c r="P14" s="112"/>
      <x:c r="Q14" s="112"/>
      <x:c r="R14" s="114"/>
      <x:c r="S14" s="114"/>
      <x:c r="T14" s="113"/>
      <x:c r="U14" s="106"/>
      <x:c r="V14" s="106"/>
      <x:c r="W14" s="86"/>
      <x:c r="X14" s="86"/>
      <x:c r="Y14" s="86"/>
      <x:c r="Z14" s="86"/>
    </x:row>
    <x:row r="15">
      <x:c r="A15" s="86"/>
      <x:c r="B15" s="86"/>
      <x:c r="C15" s="106"/>
      <x:c r="D15" s="112"/>
      <x:c r="E15" s="113"/>
      <x:c r="F15" s="112"/>
      <x:c r="G15" s="113"/>
      <x:c r="H15" s="113"/>
      <x:c r="I15" s="113"/>
      <x:c r="J15" s="113"/>
      <x:c r="K15" s="113"/>
      <x:c r="L15" s="112"/>
      <x:c r="M15" s="112"/>
      <x:c r="N15" s="113"/>
      <x:c r="O15" s="113"/>
      <x:c r="P15" s="112"/>
      <x:c r="Q15" s="112"/>
      <x:c r="R15" s="114"/>
      <x:c r="S15" s="114"/>
      <x:c r="T15" s="113"/>
      <x:c r="U15" s="106"/>
      <x:c r="V15" s="106"/>
      <x:c r="W15" s="86"/>
      <x:c r="X15" s="86"/>
      <x:c r="Y15" s="86"/>
      <x:c r="Z15" s="86"/>
    </x:row>
    <x:row r="16">
      <x:c r="A16" s="86"/>
      <x:c r="B16" s="86"/>
      <x:c r="C16" s="106"/>
      <x:c r="D16" s="112"/>
      <x:c r="E16" s="113"/>
      <x:c r="F16" s="112"/>
      <x:c r="G16" s="113"/>
      <x:c r="H16" s="113"/>
      <x:c r="I16" s="113"/>
      <x:c r="J16" s="113"/>
      <x:c r="K16" s="113"/>
      <x:c r="L16" s="112"/>
      <x:c r="M16" s="112"/>
      <x:c r="N16" s="113"/>
      <x:c r="O16" s="113"/>
      <x:c r="P16" s="112"/>
      <x:c r="Q16" s="112"/>
      <x:c r="R16" s="114"/>
      <x:c r="S16" s="114"/>
      <x:c r="T16" s="113"/>
      <x:c r="U16" s="106"/>
      <x:c r="V16" s="106"/>
      <x:c r="W16" s="86"/>
      <x:c r="X16" s="86"/>
      <x:c r="Y16" s="86"/>
      <x:c r="Z16" s="86"/>
    </x:row>
    <x:row r="17">
      <x:c r="A17" s="86"/>
      <x:c r="B17" s="86"/>
      <x:c r="C17" s="106"/>
      <x:c r="D17" s="112"/>
      <x:c r="E17" s="113"/>
      <x:c r="F17" s="112"/>
      <x:c r="G17" s="113"/>
      <x:c r="H17" s="113"/>
      <x:c r="I17" s="113"/>
      <x:c r="J17" s="113"/>
      <x:c r="K17" s="113"/>
      <x:c r="L17" s="112"/>
      <x:c r="M17" s="112"/>
      <x:c r="N17" s="113"/>
      <x:c r="O17" s="113"/>
      <x:c r="P17" s="112"/>
      <x:c r="Q17" s="112"/>
      <x:c r="R17" s="114"/>
      <x:c r="S17" s="114"/>
      <x:c r="T17" s="113"/>
      <x:c r="U17" s="106"/>
      <x:c r="V17" s="106"/>
      <x:c r="W17" s="86"/>
      <x:c r="X17" s="86"/>
      <x:c r="Y17" s="86"/>
      <x:c r="Z17" s="86"/>
    </x:row>
    <x:row r="18">
      <x:c r="A18" s="86"/>
      <x:c r="B18" s="86"/>
      <x:c r="C18" s="106"/>
      <x:c r="D18" s="112"/>
      <x:c r="E18" s="113"/>
      <x:c r="F18" s="112"/>
      <x:c r="G18" s="113"/>
      <x:c r="H18" s="113"/>
      <x:c r="I18" s="113"/>
      <x:c r="J18" s="113"/>
      <x:c r="K18" s="113"/>
      <x:c r="L18" s="112"/>
      <x:c r="M18" s="112"/>
      <x:c r="N18" s="113"/>
      <x:c r="O18" s="113"/>
      <x:c r="P18" s="112"/>
      <x:c r="Q18" s="112"/>
      <x:c r="R18" s="114"/>
      <x:c r="S18" s="114"/>
      <x:c r="T18" s="113"/>
      <x:c r="U18" s="106"/>
      <x:c r="V18" s="106"/>
      <x:c r="W18" s="86"/>
      <x:c r="X18" s="86"/>
      <x:c r="Y18" s="86"/>
      <x:c r="Z18" s="86"/>
    </x:row>
    <x:row r="19">
      <x:c r="A19" s="86"/>
      <x:c r="B19" s="86"/>
      <x:c r="C19" s="106"/>
      <x:c r="D19" s="112"/>
      <x:c r="E19" s="113"/>
      <x:c r="F19" s="112"/>
      <x:c r="G19" s="113"/>
      <x:c r="H19" s="113"/>
      <x:c r="I19" s="113"/>
      <x:c r="J19" s="113"/>
      <x:c r="K19" s="113"/>
      <x:c r="L19" s="112"/>
      <x:c r="M19" s="112"/>
      <x:c r="N19" s="113"/>
      <x:c r="O19" s="113"/>
      <x:c r="P19" s="112"/>
      <x:c r="Q19" s="112"/>
      <x:c r="R19" s="114"/>
      <x:c r="S19" s="114"/>
      <x:c r="T19" s="113"/>
      <x:c r="U19" s="106"/>
      <x:c r="V19" s="106"/>
      <x:c r="W19" s="86"/>
      <x:c r="X19" s="86"/>
      <x:c r="Y19" s="86"/>
      <x:c r="Z19" s="86"/>
    </x:row>
    <x:row r="20">
      <x:c r="A20" s="86"/>
      <x:c r="B20" s="86"/>
      <x:c r="C20" s="106"/>
      <x:c r="D20" s="112"/>
      <x:c r="E20" s="113"/>
      <x:c r="F20" s="112"/>
      <x:c r="G20" s="113"/>
      <x:c r="H20" s="113"/>
      <x:c r="I20" s="113"/>
      <x:c r="J20" s="113"/>
      <x:c r="K20" s="113"/>
      <x:c r="L20" s="112"/>
      <x:c r="M20" s="112"/>
      <x:c r="N20" s="113"/>
      <x:c r="O20" s="113"/>
      <x:c r="P20" s="112"/>
      <x:c r="Q20" s="112"/>
      <x:c r="R20" s="114"/>
      <x:c r="S20" s="114"/>
      <x:c r="T20" s="113"/>
      <x:c r="U20" s="106"/>
      <x:c r="V20" s="106"/>
      <x:c r="W20" s="86"/>
      <x:c r="X20" s="86"/>
      <x:c r="Y20" s="86"/>
      <x:c r="Z20" s="86"/>
    </x:row>
    <x:row r="21">
      <x:c r="A21" s="86"/>
      <x:c r="B21" s="86"/>
      <x:c r="C21" s="106"/>
      <x:c r="D21" s="112"/>
      <x:c r="E21" s="113"/>
      <x:c r="F21" s="112"/>
      <x:c r="G21" s="113"/>
      <x:c r="H21" s="113"/>
      <x:c r="I21" s="113"/>
      <x:c r="J21" s="113"/>
      <x:c r="K21" s="113"/>
      <x:c r="L21" s="112"/>
      <x:c r="M21" s="112"/>
      <x:c r="N21" s="113"/>
      <x:c r="O21" s="113"/>
      <x:c r="P21" s="112"/>
      <x:c r="Q21" s="112"/>
      <x:c r="R21" s="114"/>
      <x:c r="S21" s="114"/>
      <x:c r="T21" s="113"/>
      <x:c r="U21" s="106"/>
      <x:c r="V21" s="106"/>
      <x:c r="W21" s="86"/>
      <x:c r="X21" s="86"/>
      <x:c r="Y21" s="86"/>
      <x:c r="Z21" s="86"/>
    </x:row>
    <x:row r="22">
      <x:c r="A22" s="86"/>
      <x:c r="B22" s="86"/>
      <x:c r="C22" s="106"/>
      <x:c r="D22" s="112"/>
      <x:c r="E22" s="113"/>
      <x:c r="F22" s="112"/>
      <x:c r="G22" s="113"/>
      <x:c r="H22" s="113"/>
      <x:c r="I22" s="113"/>
      <x:c r="J22" s="113"/>
      <x:c r="K22" s="113"/>
      <x:c r="L22" s="112"/>
      <x:c r="M22" s="112"/>
      <x:c r="N22" s="113"/>
      <x:c r="O22" s="113"/>
      <x:c r="P22" s="112"/>
      <x:c r="Q22" s="112"/>
      <x:c r="R22" s="114"/>
      <x:c r="S22" s="114"/>
      <x:c r="T22" s="113"/>
      <x:c r="U22" s="106"/>
      <x:c r="V22" s="106"/>
      <x:c r="W22" s="86"/>
      <x:c r="X22" s="86"/>
      <x:c r="Y22" s="86"/>
      <x:c r="Z22" s="86"/>
    </x:row>
    <x:row r="23">
      <x:c r="A23" s="86"/>
      <x:c r="B23" s="86"/>
      <x:c r="C23" s="106"/>
      <x:c r="D23" s="112"/>
      <x:c r="E23" s="113"/>
      <x:c r="F23" s="112"/>
      <x:c r="G23" s="113"/>
      <x:c r="H23" s="113"/>
      <x:c r="I23" s="113"/>
      <x:c r="J23" s="113"/>
      <x:c r="K23" s="113"/>
      <x:c r="L23" s="112"/>
      <x:c r="M23" s="112"/>
      <x:c r="N23" s="113"/>
      <x:c r="O23" s="113"/>
      <x:c r="P23" s="112"/>
      <x:c r="Q23" s="112"/>
      <x:c r="R23" s="114"/>
      <x:c r="S23" s="114"/>
      <x:c r="T23" s="113"/>
      <x:c r="U23" s="106"/>
      <x:c r="V23" s="106"/>
      <x:c r="W23" s="86"/>
      <x:c r="X23" s="86"/>
      <x:c r="Y23" s="86"/>
      <x:c r="Z23" s="86"/>
    </x:row>
    <x:row r="24">
      <x:c r="A24" s="86"/>
      <x:c r="B24" s="86"/>
      <x:c r="C24" s="106"/>
      <x:c r="D24" s="112"/>
      <x:c r="E24" s="113"/>
      <x:c r="F24" s="112"/>
      <x:c r="G24" s="113"/>
      <x:c r="H24" s="113"/>
      <x:c r="I24" s="113"/>
      <x:c r="J24" s="113"/>
      <x:c r="K24" s="113"/>
      <x:c r="L24" s="112"/>
      <x:c r="M24" s="112"/>
      <x:c r="N24" s="113"/>
      <x:c r="O24" s="113"/>
      <x:c r="P24" s="112"/>
      <x:c r="Q24" s="112"/>
      <x:c r="R24" s="114"/>
      <x:c r="S24" s="114"/>
      <x:c r="T24" s="113"/>
      <x:c r="U24" s="106"/>
      <x:c r="V24" s="106"/>
      <x:c r="W24" s="86"/>
      <x:c r="X24" s="86"/>
      <x:c r="Y24" s="86"/>
      <x:c r="Z24" s="86"/>
    </x:row>
    <x:row r="25">
      <x:c r="A25" s="86"/>
      <x:c r="B25" s="86"/>
      <x:c r="C25" s="106"/>
      <x:c r="D25" s="112"/>
      <x:c r="E25" s="113"/>
      <x:c r="F25" s="112"/>
      <x:c r="G25" s="113"/>
      <x:c r="H25" s="113"/>
      <x:c r="I25" s="113"/>
      <x:c r="J25" s="113"/>
      <x:c r="K25" s="113"/>
      <x:c r="L25" s="112"/>
      <x:c r="M25" s="112"/>
      <x:c r="N25" s="113"/>
      <x:c r="O25" s="113"/>
      <x:c r="P25" s="112"/>
      <x:c r="Q25" s="112"/>
      <x:c r="R25" s="114"/>
      <x:c r="S25" s="114"/>
      <x:c r="T25" s="113"/>
      <x:c r="U25" s="106"/>
      <x:c r="V25" s="106"/>
      <x:c r="W25" s="86"/>
      <x:c r="X25" s="86"/>
      <x:c r="Y25" s="86"/>
      <x:c r="Z25" s="86"/>
    </x:row>
    <x:row r="26">
      <x:c r="A26" s="86"/>
      <x:c r="B26" s="86"/>
      <x:c r="C26" s="106"/>
      <x:c r="D26" s="112"/>
      <x:c r="E26" s="113"/>
      <x:c r="F26" s="112"/>
      <x:c r="G26" s="113"/>
      <x:c r="H26" s="113"/>
      <x:c r="I26" s="113"/>
      <x:c r="J26" s="113"/>
      <x:c r="K26" s="113"/>
      <x:c r="L26" s="112"/>
      <x:c r="M26" s="112"/>
      <x:c r="N26" s="113"/>
      <x:c r="O26" s="113"/>
      <x:c r="P26" s="112"/>
      <x:c r="Q26" s="112"/>
      <x:c r="R26" s="114"/>
      <x:c r="S26" s="114"/>
      <x:c r="T26" s="113"/>
      <x:c r="U26" s="106"/>
      <x:c r="V26" s="106"/>
      <x:c r="W26" s="86"/>
      <x:c r="X26" s="86"/>
      <x:c r="Y26" s="86"/>
      <x:c r="Z26" s="86"/>
    </x:row>
    <x:row r="27">
      <x:c r="A27" s="86"/>
      <x:c r="B27" s="86"/>
      <x:c r="C27" s="106"/>
      <x:c r="D27" s="112"/>
      <x:c r="E27" s="113"/>
      <x:c r="F27" s="112"/>
      <x:c r="G27" s="113"/>
      <x:c r="H27" s="113"/>
      <x:c r="I27" s="113"/>
      <x:c r="J27" s="113"/>
      <x:c r="K27" s="113"/>
      <x:c r="L27" s="112"/>
      <x:c r="M27" s="112"/>
      <x:c r="N27" s="113"/>
      <x:c r="O27" s="113"/>
      <x:c r="P27" s="112"/>
      <x:c r="Q27" s="112"/>
      <x:c r="R27" s="114"/>
      <x:c r="S27" s="114"/>
      <x:c r="T27" s="113"/>
      <x:c r="U27" s="106"/>
      <x:c r="V27" s="106"/>
      <x:c r="W27" s="86"/>
      <x:c r="X27" s="86"/>
      <x:c r="Y27" s="86"/>
      <x:c r="Z27" s="86"/>
    </x:row>
    <x:row r="28">
      <x:c r="A28" s="86"/>
      <x:c r="B28" s="86"/>
      <x:c r="C28" s="106"/>
      <x:c r="D28" s="112"/>
      <x:c r="E28" s="113"/>
      <x:c r="F28" s="112"/>
      <x:c r="G28" s="113"/>
      <x:c r="H28" s="113"/>
      <x:c r="I28" s="113"/>
      <x:c r="J28" s="113"/>
      <x:c r="K28" s="113"/>
      <x:c r="L28" s="112"/>
      <x:c r="M28" s="112"/>
      <x:c r="N28" s="113"/>
      <x:c r="O28" s="113"/>
      <x:c r="P28" s="112"/>
      <x:c r="Q28" s="112"/>
      <x:c r="R28" s="114"/>
      <x:c r="S28" s="114"/>
      <x:c r="T28" s="113"/>
      <x:c r="U28" s="106"/>
      <x:c r="V28" s="106"/>
      <x:c r="W28" s="86"/>
      <x:c r="X28" s="86"/>
      <x:c r="Y28" s="86"/>
      <x:c r="Z28" s="86"/>
    </x:row>
    <x:row r="29">
      <x:c r="A29" s="86"/>
      <x:c r="B29" s="86"/>
      <x:c r="C29" s="106"/>
      <x:c r="D29" s="112"/>
      <x:c r="E29" s="113"/>
      <x:c r="F29" s="112"/>
      <x:c r="G29" s="113"/>
      <x:c r="H29" s="113"/>
      <x:c r="I29" s="113"/>
      <x:c r="J29" s="113"/>
      <x:c r="K29" s="113"/>
      <x:c r="L29" s="112"/>
      <x:c r="M29" s="112"/>
      <x:c r="N29" s="113"/>
      <x:c r="O29" s="113"/>
      <x:c r="P29" s="112"/>
      <x:c r="Q29" s="112"/>
      <x:c r="R29" s="114"/>
      <x:c r="S29" s="114"/>
      <x:c r="T29" s="113"/>
      <x:c r="U29" s="106"/>
      <x:c r="V29" s="106"/>
      <x:c r="W29" s="86"/>
      <x:c r="X29" s="86"/>
      <x:c r="Y29" s="86"/>
      <x:c r="Z29" s="86"/>
    </x:row>
    <x:row r="30">
      <x:c r="A30" s="86"/>
      <x:c r="B30" s="86"/>
      <x:c r="C30" s="106"/>
      <x:c r="D30" s="112"/>
      <x:c r="E30" s="113"/>
      <x:c r="F30" s="112"/>
      <x:c r="G30" s="113"/>
      <x:c r="H30" s="113"/>
      <x:c r="I30" s="113"/>
      <x:c r="J30" s="113"/>
      <x:c r="K30" s="113"/>
      <x:c r="L30" s="112"/>
      <x:c r="M30" s="112"/>
      <x:c r="N30" s="113"/>
      <x:c r="O30" s="113"/>
      <x:c r="P30" s="112"/>
      <x:c r="Q30" s="112"/>
      <x:c r="R30" s="114"/>
      <x:c r="S30" s="114"/>
      <x:c r="T30" s="113"/>
      <x:c r="U30" s="106"/>
      <x:c r="V30" s="106"/>
      <x:c r="W30" s="86"/>
      <x:c r="X30" s="86"/>
      <x:c r="Y30" s="86"/>
      <x:c r="Z30" s="86"/>
    </x:row>
    <x:row r="31">
      <x:c r="A31" s="86"/>
      <x:c r="B31" s="86"/>
      <x:c r="C31" s="106"/>
      <x:c r="D31" s="112"/>
      <x:c r="E31" s="113"/>
      <x:c r="F31" s="112"/>
      <x:c r="G31" s="113"/>
      <x:c r="H31" s="113"/>
      <x:c r="I31" s="113"/>
      <x:c r="J31" s="113"/>
      <x:c r="K31" s="113"/>
      <x:c r="L31" s="112"/>
      <x:c r="M31" s="112"/>
      <x:c r="N31" s="113"/>
      <x:c r="O31" s="113"/>
      <x:c r="P31" s="112"/>
      <x:c r="Q31" s="112"/>
      <x:c r="R31" s="114"/>
      <x:c r="S31" s="114"/>
      <x:c r="T31" s="113"/>
      <x:c r="U31" s="106"/>
      <x:c r="V31" s="106"/>
      <x:c r="W31" s="86"/>
      <x:c r="X31" s="86"/>
      <x:c r="Y31" s="86"/>
      <x:c r="Z31" s="86"/>
    </x:row>
    <x:row r="32">
      <x:c r="A32" s="86"/>
      <x:c r="B32" s="86"/>
      <x:c r="C32" s="106"/>
      <x:c r="D32" s="112"/>
      <x:c r="E32" s="113"/>
      <x:c r="F32" s="112"/>
      <x:c r="G32" s="113"/>
      <x:c r="H32" s="113"/>
      <x:c r="I32" s="113"/>
      <x:c r="J32" s="113"/>
      <x:c r="K32" s="113"/>
      <x:c r="L32" s="112"/>
      <x:c r="M32" s="112"/>
      <x:c r="N32" s="113"/>
      <x:c r="O32" s="113"/>
      <x:c r="P32" s="112"/>
      <x:c r="Q32" s="112"/>
      <x:c r="R32" s="114"/>
      <x:c r="S32" s="114"/>
      <x:c r="T32" s="113"/>
      <x:c r="U32" s="106"/>
      <x:c r="V32" s="106"/>
      <x:c r="W32" s="86"/>
      <x:c r="X32" s="86"/>
      <x:c r="Y32" s="86"/>
      <x:c r="Z32" s="86"/>
    </x:row>
    <x:row r="33">
      <x:c r="A33" s="86"/>
      <x:c r="B33" s="86"/>
      <x:c r="C33" s="106"/>
      <x:c r="D33" s="112"/>
      <x:c r="E33" s="113"/>
      <x:c r="F33" s="112"/>
      <x:c r="G33" s="113"/>
      <x:c r="H33" s="113"/>
      <x:c r="I33" s="113"/>
      <x:c r="J33" s="113"/>
      <x:c r="K33" s="113"/>
      <x:c r="L33" s="112"/>
      <x:c r="M33" s="112"/>
      <x:c r="N33" s="113"/>
      <x:c r="O33" s="113"/>
      <x:c r="P33" s="112"/>
      <x:c r="Q33" s="112"/>
      <x:c r="R33" s="114"/>
      <x:c r="S33" s="114"/>
      <x:c r="T33" s="113"/>
      <x:c r="U33" s="106"/>
      <x:c r="V33" s="106"/>
      <x:c r="W33" s="86"/>
      <x:c r="X33" s="86"/>
      <x:c r="Y33" s="86"/>
      <x:c r="Z33" s="86"/>
    </x:row>
    <x:row r="34">
      <x:c r="A34" s="86"/>
      <x:c r="B34" s="86"/>
      <x:c r="C34" s="106"/>
      <x:c r="D34" s="112"/>
      <x:c r="E34" s="113"/>
      <x:c r="F34" s="112"/>
      <x:c r="G34" s="113"/>
      <x:c r="H34" s="113"/>
      <x:c r="I34" s="113"/>
      <x:c r="J34" s="113"/>
      <x:c r="K34" s="113"/>
      <x:c r="L34" s="112"/>
      <x:c r="M34" s="112"/>
      <x:c r="N34" s="113"/>
      <x:c r="O34" s="113"/>
      <x:c r="P34" s="112"/>
      <x:c r="Q34" s="112"/>
      <x:c r="R34" s="114"/>
      <x:c r="S34" s="114"/>
      <x:c r="T34" s="113"/>
      <x:c r="U34" s="106"/>
      <x:c r="V34" s="106"/>
      <x:c r="W34" s="86"/>
      <x:c r="X34" s="86"/>
      <x:c r="Y34" s="86"/>
      <x:c r="Z34" s="86"/>
    </x:row>
    <x:row r="35">
      <x:c r="A35" s="86"/>
      <x:c r="B35" s="86"/>
      <x:c r="C35" s="106"/>
      <x:c r="D35" s="112"/>
      <x:c r="E35" s="113"/>
      <x:c r="F35" s="112"/>
      <x:c r="G35" s="113"/>
      <x:c r="H35" s="113"/>
      <x:c r="I35" s="113"/>
      <x:c r="J35" s="113"/>
      <x:c r="K35" s="113"/>
      <x:c r="L35" s="112"/>
      <x:c r="M35" s="112"/>
      <x:c r="N35" s="113"/>
      <x:c r="O35" s="113"/>
      <x:c r="P35" s="112"/>
      <x:c r="Q35" s="112"/>
      <x:c r="R35" s="114"/>
      <x:c r="S35" s="114"/>
      <x:c r="T35" s="113"/>
      <x:c r="U35" s="106"/>
      <x:c r="V35" s="106"/>
      <x:c r="W35" s="86"/>
      <x:c r="X35" s="86"/>
      <x:c r="Y35" s="86"/>
      <x:c r="Z35" s="86"/>
    </x:row>
    <x:row r="36">
      <x:c r="A36" s="86"/>
      <x:c r="B36" s="86"/>
      <x:c r="C36" s="106"/>
      <x:c r="D36" s="112"/>
      <x:c r="E36" s="113"/>
      <x:c r="F36" s="112"/>
      <x:c r="G36" s="113"/>
      <x:c r="H36" s="113"/>
      <x:c r="I36" s="113"/>
      <x:c r="J36" s="113"/>
      <x:c r="K36" s="113"/>
      <x:c r="L36" s="112"/>
      <x:c r="M36" s="112"/>
      <x:c r="N36" s="113"/>
      <x:c r="O36" s="113"/>
      <x:c r="P36" s="112"/>
      <x:c r="Q36" s="112"/>
      <x:c r="R36" s="114"/>
      <x:c r="S36" s="114"/>
      <x:c r="T36" s="113"/>
      <x:c r="U36" s="106"/>
      <x:c r="V36" s="106"/>
      <x:c r="W36" s="86"/>
      <x:c r="X36" s="86"/>
      <x:c r="Y36" s="86"/>
      <x:c r="Z36" s="86"/>
    </x:row>
    <x:row r="37">
      <x:c r="A37" s="86"/>
      <x:c r="B37" s="86"/>
      <x:c r="C37" s="106"/>
      <x:c r="D37" s="112"/>
      <x:c r="E37" s="113"/>
      <x:c r="F37" s="112"/>
      <x:c r="G37" s="113"/>
      <x:c r="H37" s="113"/>
      <x:c r="I37" s="113"/>
      <x:c r="J37" s="113"/>
      <x:c r="K37" s="113"/>
      <x:c r="L37" s="112"/>
      <x:c r="M37" s="112"/>
      <x:c r="N37" s="113"/>
      <x:c r="O37" s="113"/>
      <x:c r="P37" s="112"/>
      <x:c r="Q37" s="112"/>
      <x:c r="R37" s="114"/>
      <x:c r="S37" s="114"/>
      <x:c r="T37" s="113"/>
      <x:c r="U37" s="106"/>
      <x:c r="V37" s="106"/>
      <x:c r="W37" s="86"/>
      <x:c r="X37" s="86"/>
      <x:c r="Y37" s="86"/>
      <x:c r="Z37" s="86"/>
    </x:row>
    <x:row r="38">
      <x:c r="A38" s="86"/>
      <x:c r="B38" s="86"/>
      <x:c r="C38" s="106"/>
      <x:c r="D38" s="112"/>
      <x:c r="E38" s="113"/>
      <x:c r="F38" s="112"/>
      <x:c r="G38" s="113"/>
      <x:c r="H38" s="113"/>
      <x:c r="I38" s="113"/>
      <x:c r="J38" s="113"/>
      <x:c r="K38" s="113"/>
      <x:c r="L38" s="112"/>
      <x:c r="M38" s="112"/>
      <x:c r="N38" s="113"/>
      <x:c r="O38" s="113"/>
      <x:c r="P38" s="112"/>
      <x:c r="Q38" s="112"/>
      <x:c r="R38" s="114"/>
      <x:c r="S38" s="114"/>
      <x:c r="T38" s="113"/>
      <x:c r="U38" s="106"/>
      <x:c r="V38" s="106"/>
      <x:c r="W38" s="86"/>
      <x:c r="X38" s="86"/>
      <x:c r="Y38" s="86"/>
      <x:c r="Z38" s="86"/>
    </x:row>
    <x:row r="39">
      <x:c r="A39" s="86"/>
      <x:c r="B39" s="86"/>
      <x:c r="C39" s="106"/>
      <x:c r="D39" s="112"/>
      <x:c r="E39" s="113"/>
      <x:c r="F39" s="112"/>
      <x:c r="G39" s="113"/>
      <x:c r="H39" s="113"/>
      <x:c r="I39" s="113"/>
      <x:c r="J39" s="113"/>
      <x:c r="K39" s="113"/>
      <x:c r="L39" s="112"/>
      <x:c r="M39" s="112"/>
      <x:c r="N39" s="113"/>
      <x:c r="O39" s="113"/>
      <x:c r="P39" s="112"/>
      <x:c r="Q39" s="112"/>
      <x:c r="R39" s="114"/>
      <x:c r="S39" s="114"/>
      <x:c r="T39" s="113"/>
      <x:c r="U39" s="106"/>
      <x:c r="V39" s="106"/>
      <x:c r="W39" s="86"/>
      <x:c r="X39" s="86"/>
      <x:c r="Y39" s="86"/>
      <x:c r="Z39" s="86"/>
    </x:row>
    <x:row r="40">
      <x:c r="A40" s="86"/>
      <x:c r="B40" s="86"/>
      <x:c r="C40" s="106"/>
      <x:c r="D40" s="112"/>
      <x:c r="E40" s="113"/>
      <x:c r="F40" s="112"/>
      <x:c r="G40" s="113"/>
      <x:c r="H40" s="113"/>
      <x:c r="I40" s="113"/>
      <x:c r="J40" s="113"/>
      <x:c r="K40" s="113"/>
      <x:c r="L40" s="112"/>
      <x:c r="M40" s="112"/>
      <x:c r="N40" s="113"/>
      <x:c r="O40" s="113"/>
      <x:c r="P40" s="112"/>
      <x:c r="Q40" s="112"/>
      <x:c r="R40" s="114"/>
      <x:c r="S40" s="114"/>
      <x:c r="T40" s="113"/>
      <x:c r="U40" s="106"/>
      <x:c r="V40" s="106"/>
      <x:c r="W40" s="86"/>
      <x:c r="X40" s="86"/>
      <x:c r="Y40" s="86"/>
      <x:c r="Z40" s="86"/>
    </x:row>
    <x:row r="41">
      <x:c r="A41" s="86"/>
      <x:c r="B41" s="86"/>
      <x:c r="C41" s="106"/>
      <x:c r="D41" s="112"/>
      <x:c r="E41" s="113"/>
      <x:c r="F41" s="112"/>
      <x:c r="G41" s="113"/>
      <x:c r="H41" s="113"/>
      <x:c r="I41" s="113"/>
      <x:c r="J41" s="113"/>
      <x:c r="K41" s="113"/>
      <x:c r="L41" s="112"/>
      <x:c r="M41" s="112"/>
      <x:c r="N41" s="113"/>
      <x:c r="O41" s="113"/>
      <x:c r="P41" s="112"/>
      <x:c r="Q41" s="112"/>
      <x:c r="R41" s="114"/>
      <x:c r="S41" s="114"/>
      <x:c r="T41" s="113"/>
      <x:c r="U41" s="106"/>
      <x:c r="V41" s="106"/>
      <x:c r="W41" s="86"/>
      <x:c r="X41" s="86"/>
      <x:c r="Y41" s="86"/>
      <x:c r="Z41" s="86"/>
    </x:row>
    <x:row r="42">
      <x:c r="A42" s="86"/>
      <x:c r="B42" s="86"/>
      <x:c r="C42" s="106"/>
      <x:c r="D42" s="112"/>
      <x:c r="E42" s="113"/>
      <x:c r="F42" s="112"/>
      <x:c r="G42" s="113"/>
      <x:c r="H42" s="113"/>
      <x:c r="I42" s="113"/>
      <x:c r="J42" s="113"/>
      <x:c r="K42" s="113"/>
      <x:c r="L42" s="112"/>
      <x:c r="M42" s="112"/>
      <x:c r="N42" s="113"/>
      <x:c r="O42" s="113"/>
      <x:c r="P42" s="112"/>
      <x:c r="Q42" s="112"/>
      <x:c r="R42" s="114"/>
      <x:c r="S42" s="114"/>
      <x:c r="T42" s="113"/>
      <x:c r="U42" s="106"/>
      <x:c r="V42" s="106"/>
      <x:c r="W42" s="86"/>
      <x:c r="X42" s="86"/>
      <x:c r="Y42" s="86"/>
      <x:c r="Z42" s="86"/>
    </x:row>
    <x:row r="43">
      <x:c r="A43" s="86"/>
      <x:c r="B43" s="86"/>
      <x:c r="C43" s="106"/>
      <x:c r="D43" s="112"/>
      <x:c r="E43" s="113"/>
      <x:c r="F43" s="112"/>
      <x:c r="G43" s="113"/>
      <x:c r="H43" s="113"/>
      <x:c r="I43" s="113"/>
      <x:c r="J43" s="113"/>
      <x:c r="K43" s="113"/>
      <x:c r="L43" s="112"/>
      <x:c r="M43" s="112"/>
      <x:c r="N43" s="113"/>
      <x:c r="O43" s="113"/>
      <x:c r="P43" s="112"/>
      <x:c r="Q43" s="112"/>
      <x:c r="R43" s="114"/>
      <x:c r="S43" s="114"/>
      <x:c r="T43" s="113"/>
      <x:c r="U43" s="106"/>
      <x:c r="V43" s="106"/>
      <x:c r="W43" s="86"/>
      <x:c r="X43" s="86"/>
      <x:c r="Y43" s="86"/>
      <x:c r="Z43" s="86"/>
    </x:row>
    <x:row r="44">
      <x:c r="A44" s="86"/>
      <x:c r="B44" s="86"/>
      <x:c r="C44" s="106"/>
      <x:c r="D44" s="112"/>
      <x:c r="E44" s="113"/>
      <x:c r="F44" s="112"/>
      <x:c r="G44" s="113"/>
      <x:c r="H44" s="113"/>
      <x:c r="I44" s="113"/>
      <x:c r="J44" s="113"/>
      <x:c r="K44" s="113"/>
      <x:c r="L44" s="112"/>
      <x:c r="M44" s="112"/>
      <x:c r="N44" s="113"/>
      <x:c r="O44" s="113"/>
      <x:c r="P44" s="112"/>
      <x:c r="Q44" s="112"/>
      <x:c r="R44" s="114"/>
      <x:c r="S44" s="114"/>
      <x:c r="T44" s="113"/>
      <x:c r="U44" s="106"/>
      <x:c r="V44" s="106"/>
      <x:c r="W44" s="86"/>
      <x:c r="X44" s="86"/>
      <x:c r="Y44" s="86"/>
      <x:c r="Z44" s="86"/>
    </x:row>
    <x:row r="45">
      <x:c r="A45" s="86"/>
      <x:c r="B45" s="86"/>
      <x:c r="C45" s="106"/>
      <x:c r="D45" s="112"/>
      <x:c r="E45" s="113"/>
      <x:c r="F45" s="112"/>
      <x:c r="G45" s="113"/>
      <x:c r="H45" s="113"/>
      <x:c r="I45" s="113"/>
      <x:c r="J45" s="113"/>
      <x:c r="K45" s="113"/>
      <x:c r="L45" s="112"/>
      <x:c r="M45" s="112"/>
      <x:c r="N45" s="113"/>
      <x:c r="O45" s="113"/>
      <x:c r="P45" s="112"/>
      <x:c r="Q45" s="112"/>
      <x:c r="R45" s="114"/>
      <x:c r="S45" s="114"/>
      <x:c r="T45" s="113"/>
      <x:c r="U45" s="106"/>
      <x:c r="V45" s="106"/>
      <x:c r="W45" s="86"/>
      <x:c r="X45" s="86"/>
      <x:c r="Y45" s="86"/>
      <x:c r="Z45" s="86"/>
    </x:row>
    <x:row r="46">
      <x:c r="A46" s="86"/>
      <x:c r="B46" s="86"/>
      <x:c r="C46" s="106"/>
      <x:c r="D46" s="112"/>
      <x:c r="E46" s="113"/>
      <x:c r="F46" s="112"/>
      <x:c r="G46" s="113"/>
      <x:c r="H46" s="113"/>
      <x:c r="I46" s="113"/>
      <x:c r="J46" s="113"/>
      <x:c r="K46" s="113"/>
      <x:c r="L46" s="112"/>
      <x:c r="M46" s="112"/>
      <x:c r="N46" s="113"/>
      <x:c r="O46" s="113"/>
      <x:c r="P46" s="112"/>
      <x:c r="Q46" s="112"/>
      <x:c r="R46" s="114"/>
      <x:c r="S46" s="114"/>
      <x:c r="T46" s="113"/>
      <x:c r="U46" s="106"/>
      <x:c r="V46" s="106"/>
      <x:c r="W46" s="86"/>
      <x:c r="X46" s="86"/>
      <x:c r="Y46" s="86"/>
      <x:c r="Z46" s="86"/>
    </x:row>
    <x:row r="47">
      <x:c r="A47" s="86"/>
      <x:c r="B47" s="86"/>
      <x:c r="C47" s="106"/>
      <x:c r="D47" s="112"/>
      <x:c r="E47" s="113"/>
      <x:c r="F47" s="112"/>
      <x:c r="G47" s="113"/>
      <x:c r="H47" s="113"/>
      <x:c r="I47" s="113"/>
      <x:c r="J47" s="113"/>
      <x:c r="K47" s="113"/>
      <x:c r="L47" s="112"/>
      <x:c r="M47" s="112"/>
      <x:c r="N47" s="113"/>
      <x:c r="O47" s="113"/>
      <x:c r="P47" s="112"/>
      <x:c r="Q47" s="112"/>
      <x:c r="R47" s="114"/>
      <x:c r="S47" s="114"/>
      <x:c r="T47" s="113"/>
      <x:c r="U47" s="106"/>
      <x:c r="V47" s="106"/>
      <x:c r="W47" s="86"/>
      <x:c r="X47" s="86"/>
      <x:c r="Y47" s="86"/>
      <x:c r="Z47" s="86"/>
    </x:row>
    <x:row r="48">
      <x:c r="A48" s="86"/>
      <x:c r="B48" s="86"/>
      <x:c r="C48" s="106"/>
      <x:c r="D48" s="112"/>
      <x:c r="E48" s="113"/>
      <x:c r="F48" s="112"/>
      <x:c r="G48" s="113"/>
      <x:c r="H48" s="113"/>
      <x:c r="I48" s="113"/>
      <x:c r="J48" s="113"/>
      <x:c r="K48" s="113"/>
      <x:c r="L48" s="112"/>
      <x:c r="M48" s="112"/>
      <x:c r="N48" s="113"/>
      <x:c r="O48" s="113"/>
      <x:c r="P48" s="112"/>
      <x:c r="Q48" s="112"/>
      <x:c r="R48" s="114"/>
      <x:c r="S48" s="114"/>
      <x:c r="T48" s="113"/>
      <x:c r="U48" s="106"/>
      <x:c r="V48" s="106"/>
      <x:c r="W48" s="86"/>
      <x:c r="X48" s="86"/>
      <x:c r="Y48" s="86"/>
      <x:c r="Z48" s="86"/>
    </x:row>
    <x:row r="49">
      <x:c r="A49" s="86"/>
      <x:c r="B49" s="86"/>
      <x:c r="C49" s="106"/>
      <x:c r="D49" s="112"/>
      <x:c r="E49" s="113"/>
      <x:c r="F49" s="112"/>
      <x:c r="G49" s="113"/>
      <x:c r="H49" s="113"/>
      <x:c r="I49" s="113"/>
      <x:c r="J49" s="113"/>
      <x:c r="K49" s="113"/>
      <x:c r="L49" s="112"/>
      <x:c r="M49" s="112"/>
      <x:c r="N49" s="113"/>
      <x:c r="O49" s="113"/>
      <x:c r="P49" s="112"/>
      <x:c r="Q49" s="112"/>
      <x:c r="R49" s="114"/>
      <x:c r="S49" s="114"/>
      <x:c r="T49" s="113"/>
      <x:c r="U49" s="106"/>
      <x:c r="V49" s="106"/>
      <x:c r="W49" s="86"/>
      <x:c r="X49" s="86"/>
      <x:c r="Y49" s="86"/>
      <x:c r="Z49" s="86"/>
    </x:row>
    <x:row r="50">
      <x:c r="A50" s="86"/>
      <x:c r="B50" s="86"/>
      <x:c r="C50" s="106"/>
      <x:c r="D50" s="112"/>
      <x:c r="E50" s="113"/>
      <x:c r="F50" s="112"/>
      <x:c r="G50" s="113"/>
      <x:c r="H50" s="113"/>
      <x:c r="I50" s="113"/>
      <x:c r="J50" s="113"/>
      <x:c r="K50" s="113"/>
      <x:c r="L50" s="112"/>
      <x:c r="M50" s="112"/>
      <x:c r="N50" s="113"/>
      <x:c r="O50" s="113"/>
      <x:c r="P50" s="112"/>
      <x:c r="Q50" s="112"/>
      <x:c r="R50" s="114"/>
      <x:c r="S50" s="114"/>
      <x:c r="T50" s="113"/>
      <x:c r="U50" s="106"/>
      <x:c r="V50" s="106"/>
      <x:c r="W50" s="86"/>
      <x:c r="X50" s="86"/>
      <x:c r="Y50" s="86"/>
      <x:c r="Z50" s="86"/>
    </x:row>
    <x:row r="51">
      <x:c r="A51" s="86"/>
      <x:c r="B51" s="86"/>
      <x:c r="C51" s="106"/>
      <x:c r="D51" s="112"/>
      <x:c r="E51" s="113"/>
      <x:c r="F51" s="112"/>
      <x:c r="G51" s="113"/>
      <x:c r="H51" s="113"/>
      <x:c r="I51" s="113"/>
      <x:c r="J51" s="113"/>
      <x:c r="K51" s="113"/>
      <x:c r="L51" s="112"/>
      <x:c r="M51" s="112"/>
      <x:c r="N51" s="113"/>
      <x:c r="O51" s="113"/>
      <x:c r="P51" s="112"/>
      <x:c r="Q51" s="112"/>
      <x:c r="R51" s="114"/>
      <x:c r="S51" s="114"/>
      <x:c r="T51" s="113"/>
      <x:c r="U51" s="106"/>
      <x:c r="V51" s="106"/>
      <x:c r="W51" s="86"/>
      <x:c r="X51" s="86"/>
      <x:c r="Y51" s="86"/>
      <x:c r="Z51" s="86"/>
    </x:row>
    <x:row r="52">
      <x:c r="A52" s="86"/>
      <x:c r="B52" s="86"/>
      <x:c r="C52" s="106"/>
      <x:c r="D52" s="112"/>
      <x:c r="E52" s="113"/>
      <x:c r="F52" s="112"/>
      <x:c r="G52" s="113"/>
      <x:c r="H52" s="113"/>
      <x:c r="I52" s="113"/>
      <x:c r="J52" s="113"/>
      <x:c r="K52" s="113"/>
      <x:c r="L52" s="112"/>
      <x:c r="M52" s="112"/>
      <x:c r="N52" s="113"/>
      <x:c r="O52" s="113"/>
      <x:c r="P52" s="112"/>
      <x:c r="Q52" s="112"/>
      <x:c r="R52" s="114"/>
      <x:c r="S52" s="114"/>
      <x:c r="T52" s="113"/>
      <x:c r="U52" s="106"/>
      <x:c r="V52" s="106"/>
      <x:c r="W52" s="86"/>
      <x:c r="X52" s="86"/>
      <x:c r="Y52" s="86"/>
      <x:c r="Z52" s="86"/>
    </x:row>
    <x:row r="53">
      <x:c r="A53" s="86"/>
      <x:c r="B53" s="86"/>
      <x:c r="C53" s="106"/>
      <x:c r="D53" s="112"/>
      <x:c r="E53" s="113"/>
      <x:c r="F53" s="112"/>
      <x:c r="G53" s="113"/>
      <x:c r="H53" s="113"/>
      <x:c r="I53" s="113"/>
      <x:c r="J53" s="113"/>
      <x:c r="K53" s="113"/>
      <x:c r="L53" s="112"/>
      <x:c r="M53" s="112"/>
      <x:c r="N53" s="113"/>
      <x:c r="O53" s="113"/>
      <x:c r="P53" s="112"/>
      <x:c r="Q53" s="112"/>
      <x:c r="R53" s="114"/>
      <x:c r="S53" s="114"/>
      <x:c r="T53" s="113"/>
      <x:c r="U53" s="106"/>
      <x:c r="V53" s="106"/>
      <x:c r="W53" s="86"/>
      <x:c r="X53" s="86"/>
      <x:c r="Y53" s="86"/>
      <x:c r="Z53" s="86"/>
    </x:row>
    <x:row r="54">
      <x:c r="A54" s="86"/>
      <x:c r="B54" s="86"/>
      <x:c r="C54" s="106"/>
      <x:c r="D54" s="112"/>
      <x:c r="E54" s="113"/>
      <x:c r="F54" s="112"/>
      <x:c r="G54" s="113"/>
      <x:c r="H54" s="113"/>
      <x:c r="I54" s="113"/>
      <x:c r="J54" s="113"/>
      <x:c r="K54" s="113"/>
      <x:c r="L54" s="112"/>
      <x:c r="M54" s="112"/>
      <x:c r="N54" s="113"/>
      <x:c r="O54" s="113"/>
      <x:c r="P54" s="112"/>
      <x:c r="Q54" s="112"/>
      <x:c r="R54" s="114"/>
      <x:c r="S54" s="114"/>
      <x:c r="T54" s="113"/>
      <x:c r="U54" s="106"/>
      <x:c r="V54" s="106"/>
      <x:c r="W54" s="86"/>
      <x:c r="X54" s="86"/>
      <x:c r="Y54" s="86"/>
      <x:c r="Z54" s="86"/>
    </x:row>
    <x:row r="55">
      <x:c r="A55" s="86"/>
      <x:c r="B55" s="86"/>
      <x:c r="C55" s="106"/>
      <x:c r="D55" s="112"/>
      <x:c r="E55" s="113"/>
      <x:c r="F55" s="112"/>
      <x:c r="G55" s="113"/>
      <x:c r="H55" s="113"/>
      <x:c r="I55" s="113"/>
      <x:c r="J55" s="113"/>
      <x:c r="K55" s="113"/>
      <x:c r="L55" s="112"/>
      <x:c r="M55" s="112"/>
      <x:c r="N55" s="113"/>
      <x:c r="O55" s="113"/>
      <x:c r="P55" s="112"/>
      <x:c r="Q55" s="112"/>
      <x:c r="R55" s="114"/>
      <x:c r="S55" s="114"/>
      <x:c r="T55" s="113"/>
      <x:c r="U55" s="106"/>
      <x:c r="V55" s="106"/>
      <x:c r="W55" s="86"/>
      <x:c r="X55" s="86"/>
      <x:c r="Y55" s="86"/>
      <x:c r="Z55" s="86"/>
    </x:row>
    <x:row r="56">
      <x:c r="A56" s="86"/>
      <x:c r="B56" s="86"/>
      <x:c r="C56" s="106"/>
      <x:c r="D56" s="112"/>
      <x:c r="E56" s="113"/>
      <x:c r="F56" s="112"/>
      <x:c r="G56" s="113"/>
      <x:c r="H56" s="113"/>
      <x:c r="I56" s="113"/>
      <x:c r="J56" s="113"/>
      <x:c r="K56" s="113"/>
      <x:c r="L56" s="112"/>
      <x:c r="M56" s="112"/>
      <x:c r="N56" s="113"/>
      <x:c r="O56" s="113"/>
      <x:c r="P56" s="112"/>
      <x:c r="Q56" s="112"/>
      <x:c r="R56" s="114"/>
      <x:c r="S56" s="114"/>
      <x:c r="T56" s="113"/>
      <x:c r="U56" s="106"/>
      <x:c r="V56" s="106"/>
      <x:c r="W56" s="86"/>
      <x:c r="X56" s="86"/>
      <x:c r="Y56" s="86"/>
      <x:c r="Z56" s="86"/>
    </x:row>
    <x:row r="57">
      <x:c r="A57" s="86"/>
      <x:c r="B57" s="86"/>
      <x:c r="C57" s="106"/>
      <x:c r="D57" s="112"/>
      <x:c r="E57" s="113"/>
      <x:c r="F57" s="112"/>
      <x:c r="G57" s="113"/>
      <x:c r="H57" s="113"/>
      <x:c r="I57" s="113"/>
      <x:c r="J57" s="113"/>
      <x:c r="K57" s="113"/>
      <x:c r="L57" s="112"/>
      <x:c r="M57" s="112"/>
      <x:c r="N57" s="113"/>
      <x:c r="O57" s="113"/>
      <x:c r="P57" s="112"/>
      <x:c r="Q57" s="112"/>
      <x:c r="R57" s="114"/>
      <x:c r="S57" s="114"/>
      <x:c r="T57" s="113"/>
      <x:c r="U57" s="106"/>
      <x:c r="V57" s="106"/>
      <x:c r="W57" s="86"/>
      <x:c r="X57" s="86"/>
      <x:c r="Y57" s="86"/>
      <x:c r="Z57" s="86"/>
    </x:row>
    <x:row r="58">
      <x:c r="A58" s="86"/>
      <x:c r="B58" s="86"/>
      <x:c r="C58" s="106"/>
      <x:c r="D58" s="112"/>
      <x:c r="E58" s="113"/>
      <x:c r="F58" s="112"/>
      <x:c r="G58" s="113"/>
      <x:c r="H58" s="113"/>
      <x:c r="I58" s="113"/>
      <x:c r="J58" s="113"/>
      <x:c r="K58" s="113"/>
      <x:c r="L58" s="112"/>
      <x:c r="M58" s="112"/>
      <x:c r="N58" s="113"/>
      <x:c r="O58" s="113"/>
      <x:c r="P58" s="112"/>
      <x:c r="Q58" s="112"/>
      <x:c r="R58" s="114"/>
      <x:c r="S58" s="114"/>
      <x:c r="T58" s="113"/>
      <x:c r="U58" s="106"/>
      <x:c r="V58" s="106"/>
      <x:c r="W58" s="86"/>
      <x:c r="X58" s="86"/>
      <x:c r="Y58" s="86"/>
      <x:c r="Z58" s="86"/>
    </x:row>
    <x:row r="59">
      <x:c r="A59" s="86"/>
      <x:c r="B59" s="86"/>
      <x:c r="C59" s="106"/>
      <x:c r="D59" s="112"/>
      <x:c r="E59" s="113"/>
      <x:c r="F59" s="112"/>
      <x:c r="G59" s="113"/>
      <x:c r="H59" s="113"/>
      <x:c r="I59" s="113"/>
      <x:c r="J59" s="113"/>
      <x:c r="K59" s="113"/>
      <x:c r="L59" s="112"/>
      <x:c r="M59" s="112"/>
      <x:c r="N59" s="113"/>
      <x:c r="O59" s="113"/>
      <x:c r="P59" s="112"/>
      <x:c r="Q59" s="112"/>
      <x:c r="R59" s="114"/>
      <x:c r="S59" s="114"/>
      <x:c r="T59" s="113"/>
      <x:c r="U59" s="106"/>
      <x:c r="V59" s="106"/>
      <x:c r="W59" s="86"/>
      <x:c r="X59" s="86"/>
      <x:c r="Y59" s="86"/>
      <x:c r="Z59" s="86"/>
    </x:row>
    <x:row r="60">
      <x:c r="A60" s="86"/>
      <x:c r="B60" s="86"/>
      <x:c r="C60" s="106"/>
      <x:c r="D60" s="112"/>
      <x:c r="E60" s="113"/>
      <x:c r="F60" s="112"/>
      <x:c r="G60" s="113"/>
      <x:c r="H60" s="113"/>
      <x:c r="I60" s="113"/>
      <x:c r="J60" s="113"/>
      <x:c r="K60" s="113"/>
      <x:c r="L60" s="112"/>
      <x:c r="M60" s="112"/>
      <x:c r="N60" s="113"/>
      <x:c r="O60" s="113"/>
      <x:c r="P60" s="112"/>
      <x:c r="Q60" s="112"/>
      <x:c r="R60" s="114"/>
      <x:c r="S60" s="114"/>
      <x:c r="T60" s="113"/>
      <x:c r="U60" s="106"/>
      <x:c r="V60" s="106"/>
      <x:c r="W60" s="86"/>
      <x:c r="X60" s="86"/>
      <x:c r="Y60" s="86"/>
      <x:c r="Z60" s="86"/>
    </x:row>
    <x:row r="61">
      <x:c r="A61" s="86"/>
      <x:c r="B61" s="86"/>
      <x:c r="C61" s="106"/>
      <x:c r="D61" s="112"/>
      <x:c r="E61" s="113"/>
      <x:c r="F61" s="112"/>
      <x:c r="G61" s="113"/>
      <x:c r="H61" s="113"/>
      <x:c r="I61" s="113"/>
      <x:c r="J61" s="113"/>
      <x:c r="K61" s="113"/>
      <x:c r="L61" s="112"/>
      <x:c r="M61" s="112"/>
      <x:c r="N61" s="113"/>
      <x:c r="O61" s="113"/>
      <x:c r="P61" s="112"/>
      <x:c r="Q61" s="112"/>
      <x:c r="R61" s="114"/>
      <x:c r="S61" s="114"/>
      <x:c r="T61" s="113"/>
      <x:c r="U61" s="106"/>
      <x:c r="V61" s="106"/>
      <x:c r="W61" s="86"/>
      <x:c r="X61" s="86"/>
      <x:c r="Y61" s="86"/>
      <x:c r="Z61" s="86"/>
    </x:row>
    <x:row r="62">
      <x:c r="A62" s="86"/>
      <x:c r="B62" s="86"/>
      <x:c r="C62" s="106"/>
      <x:c r="D62" s="112"/>
      <x:c r="E62" s="113"/>
      <x:c r="F62" s="112"/>
      <x:c r="G62" s="113"/>
      <x:c r="H62" s="113"/>
      <x:c r="I62" s="113"/>
      <x:c r="J62" s="113"/>
      <x:c r="K62" s="113"/>
      <x:c r="L62" s="112"/>
      <x:c r="M62" s="112"/>
      <x:c r="N62" s="113"/>
      <x:c r="O62" s="113"/>
      <x:c r="P62" s="112"/>
      <x:c r="Q62" s="112"/>
      <x:c r="R62" s="114"/>
      <x:c r="S62" s="114"/>
      <x:c r="T62" s="113"/>
      <x:c r="U62" s="106"/>
      <x:c r="V62" s="106"/>
      <x:c r="W62" s="86"/>
      <x:c r="X62" s="86"/>
      <x:c r="Y62" s="86"/>
      <x:c r="Z62" s="86"/>
    </x:row>
    <x:row r="63">
      <x:c r="A63" s="86"/>
      <x:c r="B63" s="86"/>
      <x:c r="C63" s="106"/>
      <x:c r="D63" s="112"/>
      <x:c r="E63" s="113"/>
      <x:c r="F63" s="112"/>
      <x:c r="G63" s="113"/>
      <x:c r="H63" s="113"/>
      <x:c r="I63" s="113"/>
      <x:c r="J63" s="113"/>
      <x:c r="K63" s="113"/>
      <x:c r="L63" s="112"/>
      <x:c r="M63" s="112"/>
      <x:c r="N63" s="113"/>
      <x:c r="O63" s="113"/>
      <x:c r="P63" s="112"/>
      <x:c r="Q63" s="112"/>
      <x:c r="R63" s="114"/>
      <x:c r="S63" s="114"/>
      <x:c r="T63" s="113"/>
      <x:c r="U63" s="106"/>
      <x:c r="V63" s="106"/>
      <x:c r="W63" s="86"/>
      <x:c r="X63" s="86"/>
      <x:c r="Y63" s="86"/>
      <x:c r="Z63" s="86"/>
    </x:row>
    <x:row r="64">
      <x:c r="A64" s="86"/>
      <x:c r="B64" s="86"/>
      <x:c r="C64" s="106"/>
      <x:c r="D64" s="112"/>
      <x:c r="E64" s="113"/>
      <x:c r="F64" s="112"/>
      <x:c r="G64" s="113"/>
      <x:c r="H64" s="113"/>
      <x:c r="I64" s="113"/>
      <x:c r="J64" s="113"/>
      <x:c r="K64" s="113"/>
      <x:c r="L64" s="112"/>
      <x:c r="M64" s="112"/>
      <x:c r="N64" s="113"/>
      <x:c r="O64" s="113"/>
      <x:c r="P64" s="112"/>
      <x:c r="Q64" s="112"/>
      <x:c r="R64" s="114"/>
      <x:c r="S64" s="114"/>
      <x:c r="T64" s="113"/>
      <x:c r="U64" s="106"/>
      <x:c r="V64" s="106"/>
      <x:c r="W64" s="86"/>
      <x:c r="X64" s="86"/>
      <x:c r="Y64" s="86"/>
      <x:c r="Z64" s="86"/>
    </x:row>
    <x:row r="65">
      <x:c r="A65" s="86"/>
      <x:c r="B65" s="86"/>
      <x:c r="C65" s="106"/>
      <x:c r="D65" s="112"/>
      <x:c r="E65" s="113"/>
      <x:c r="F65" s="112"/>
      <x:c r="G65" s="113"/>
      <x:c r="H65" s="113"/>
      <x:c r="I65" s="113"/>
      <x:c r="J65" s="113"/>
      <x:c r="K65" s="113"/>
      <x:c r="L65" s="112"/>
      <x:c r="M65" s="112"/>
      <x:c r="N65" s="113"/>
      <x:c r="O65" s="113"/>
      <x:c r="P65" s="112"/>
      <x:c r="Q65" s="112"/>
      <x:c r="R65" s="114"/>
      <x:c r="S65" s="114"/>
      <x:c r="T65" s="113"/>
      <x:c r="U65" s="106"/>
      <x:c r="V65" s="106"/>
      <x:c r="W65" s="86"/>
      <x:c r="X65" s="86"/>
      <x:c r="Y65" s="86"/>
      <x:c r="Z65" s="86"/>
    </x:row>
    <x:row r="66">
      <x:c r="A66" s="86"/>
      <x:c r="B66" s="86"/>
      <x:c r="C66" s="106"/>
      <x:c r="D66" s="112"/>
      <x:c r="E66" s="113"/>
      <x:c r="F66" s="112"/>
      <x:c r="G66" s="113"/>
      <x:c r="H66" s="113"/>
      <x:c r="I66" s="113"/>
      <x:c r="J66" s="113"/>
      <x:c r="K66" s="113"/>
      <x:c r="L66" s="112"/>
      <x:c r="M66" s="112"/>
      <x:c r="N66" s="113"/>
      <x:c r="O66" s="113"/>
      <x:c r="P66" s="112"/>
      <x:c r="Q66" s="112"/>
      <x:c r="R66" s="114"/>
      <x:c r="S66" s="114"/>
      <x:c r="T66" s="113"/>
      <x:c r="U66" s="106"/>
      <x:c r="V66" s="106"/>
      <x:c r="W66" s="86"/>
      <x:c r="X66" s="86"/>
      <x:c r="Y66" s="86"/>
      <x:c r="Z66" s="86"/>
    </x:row>
    <x:row r="67">
      <x:c r="A67" s="86"/>
      <x:c r="B67" s="86"/>
      <x:c r="C67" s="106"/>
      <x:c r="D67" s="112"/>
      <x:c r="E67" s="113"/>
      <x:c r="F67" s="112"/>
      <x:c r="G67" s="113"/>
      <x:c r="H67" s="113"/>
      <x:c r="I67" s="113"/>
      <x:c r="J67" s="113"/>
      <x:c r="K67" s="113"/>
      <x:c r="L67" s="112"/>
      <x:c r="M67" s="112"/>
      <x:c r="N67" s="113"/>
      <x:c r="O67" s="113"/>
      <x:c r="P67" s="112"/>
      <x:c r="Q67" s="112"/>
      <x:c r="R67" s="114"/>
      <x:c r="S67" s="114"/>
      <x:c r="T67" s="113"/>
      <x:c r="U67" s="106"/>
      <x:c r="V67" s="106"/>
      <x:c r="W67" s="86"/>
      <x:c r="X67" s="86"/>
      <x:c r="Y67" s="86"/>
      <x:c r="Z67" s="86"/>
    </x:row>
    <x:row r="68">
      <x:c r="A68" s="86"/>
      <x:c r="B68" s="86"/>
      <x:c r="C68" s="106"/>
      <x:c r="D68" s="112"/>
      <x:c r="E68" s="113"/>
      <x:c r="F68" s="112"/>
      <x:c r="G68" s="113"/>
      <x:c r="H68" s="113"/>
      <x:c r="I68" s="113"/>
      <x:c r="J68" s="113"/>
      <x:c r="K68" s="113"/>
      <x:c r="L68" s="112"/>
      <x:c r="M68" s="112"/>
      <x:c r="N68" s="113"/>
      <x:c r="O68" s="113"/>
      <x:c r="P68" s="112"/>
      <x:c r="Q68" s="112"/>
      <x:c r="R68" s="114"/>
      <x:c r="S68" s="114"/>
      <x:c r="T68" s="113"/>
      <x:c r="U68" s="106"/>
      <x:c r="V68" s="106"/>
      <x:c r="W68" s="86"/>
      <x:c r="X68" s="86"/>
      <x:c r="Y68" s="86"/>
      <x:c r="Z68" s="86"/>
    </x:row>
    <x:row r="69">
      <x:c r="A69" s="86"/>
      <x:c r="B69" s="86"/>
      <x:c r="C69" s="106"/>
      <x:c r="D69" s="112"/>
      <x:c r="E69" s="113"/>
      <x:c r="F69" s="112"/>
      <x:c r="G69" s="113"/>
      <x:c r="H69" s="113"/>
      <x:c r="I69" s="113"/>
      <x:c r="J69" s="113"/>
      <x:c r="K69" s="113"/>
      <x:c r="L69" s="112"/>
      <x:c r="M69" s="112"/>
      <x:c r="N69" s="113"/>
      <x:c r="O69" s="113"/>
      <x:c r="P69" s="112"/>
      <x:c r="Q69" s="112"/>
      <x:c r="R69" s="114"/>
      <x:c r="S69" s="114"/>
      <x:c r="T69" s="113"/>
      <x:c r="U69" s="106"/>
      <x:c r="V69" s="106"/>
      <x:c r="W69" s="86"/>
      <x:c r="X69" s="86"/>
      <x:c r="Y69" s="86"/>
      <x:c r="Z69" s="86"/>
    </x:row>
    <x:row r="70">
      <x:c r="A70" s="86"/>
      <x:c r="B70" s="86"/>
      <x:c r="C70" s="106"/>
      <x:c r="D70" s="112"/>
      <x:c r="E70" s="113"/>
      <x:c r="F70" s="112"/>
      <x:c r="G70" s="113"/>
      <x:c r="H70" s="113"/>
      <x:c r="I70" s="113"/>
      <x:c r="J70" s="113"/>
      <x:c r="K70" s="113"/>
      <x:c r="L70" s="112"/>
      <x:c r="M70" s="112"/>
      <x:c r="N70" s="113"/>
      <x:c r="O70" s="113"/>
      <x:c r="P70" s="112"/>
      <x:c r="Q70" s="112"/>
      <x:c r="R70" s="114"/>
      <x:c r="S70" s="114"/>
      <x:c r="T70" s="113"/>
      <x:c r="U70" s="106"/>
      <x:c r="V70" s="106"/>
      <x:c r="W70" s="86"/>
      <x:c r="X70" s="86"/>
      <x:c r="Y70" s="86"/>
      <x:c r="Z70" s="86"/>
    </x:row>
    <x:row r="71">
      <x:c r="A71" s="86"/>
      <x:c r="B71" s="86"/>
      <x:c r="C71" s="106"/>
      <x:c r="D71" s="112"/>
      <x:c r="E71" s="113"/>
      <x:c r="F71" s="112"/>
      <x:c r="G71" s="113"/>
      <x:c r="H71" s="113"/>
      <x:c r="I71" s="113"/>
      <x:c r="J71" s="113"/>
      <x:c r="K71" s="113"/>
      <x:c r="L71" s="112"/>
      <x:c r="M71" s="112"/>
      <x:c r="N71" s="113"/>
      <x:c r="O71" s="113"/>
      <x:c r="P71" s="112"/>
      <x:c r="Q71" s="112"/>
      <x:c r="R71" s="114"/>
      <x:c r="S71" s="114"/>
      <x:c r="T71" s="113"/>
      <x:c r="U71" s="106"/>
      <x:c r="V71" s="106"/>
      <x:c r="W71" s="86"/>
      <x:c r="X71" s="86"/>
      <x:c r="Y71" s="86"/>
      <x:c r="Z71" s="86"/>
    </x:row>
    <x:row r="72">
      <x:c r="A72" s="86"/>
      <x:c r="B72" s="86"/>
      <x:c r="C72" s="106"/>
      <x:c r="D72" s="112"/>
      <x:c r="E72" s="113"/>
      <x:c r="F72" s="112"/>
      <x:c r="G72" s="113"/>
      <x:c r="H72" s="113"/>
      <x:c r="I72" s="113"/>
      <x:c r="J72" s="113"/>
      <x:c r="K72" s="113"/>
      <x:c r="L72" s="112"/>
      <x:c r="M72" s="112"/>
      <x:c r="N72" s="113"/>
      <x:c r="O72" s="113"/>
      <x:c r="P72" s="112"/>
      <x:c r="Q72" s="112"/>
      <x:c r="R72" s="114"/>
      <x:c r="S72" s="114"/>
      <x:c r="T72" s="113"/>
      <x:c r="U72" s="106"/>
      <x:c r="V72" s="106"/>
      <x:c r="W72" s="86"/>
      <x:c r="X72" s="86"/>
      <x:c r="Y72" s="86"/>
      <x:c r="Z72" s="86"/>
    </x:row>
    <x:row r="73">
      <x:c r="A73" s="86"/>
      <x:c r="B73" s="86"/>
      <x:c r="C73" s="106"/>
      <x:c r="D73" s="112"/>
      <x:c r="E73" s="113"/>
      <x:c r="F73" s="112"/>
      <x:c r="G73" s="113"/>
      <x:c r="H73" s="113"/>
      <x:c r="I73" s="113"/>
      <x:c r="J73" s="113"/>
      <x:c r="K73" s="113"/>
      <x:c r="L73" s="112"/>
      <x:c r="M73" s="112"/>
      <x:c r="N73" s="113"/>
      <x:c r="O73" s="113"/>
      <x:c r="P73" s="112"/>
      <x:c r="Q73" s="112"/>
      <x:c r="R73" s="114"/>
      <x:c r="S73" s="114"/>
      <x:c r="T73" s="113"/>
      <x:c r="U73" s="106"/>
      <x:c r="V73" s="106"/>
      <x:c r="W73" s="86"/>
      <x:c r="X73" s="86"/>
      <x:c r="Y73" s="86"/>
      <x:c r="Z73" s="86"/>
    </x:row>
    <x:row r="74">
      <x:c r="A74" s="86"/>
      <x:c r="B74" s="86"/>
      <x:c r="C74" s="106"/>
      <x:c r="D74" s="112"/>
      <x:c r="E74" s="113"/>
      <x:c r="F74" s="112"/>
      <x:c r="G74" s="113"/>
      <x:c r="H74" s="113"/>
      <x:c r="I74" s="113"/>
      <x:c r="J74" s="113"/>
      <x:c r="K74" s="113"/>
      <x:c r="L74" s="112"/>
      <x:c r="M74" s="112"/>
      <x:c r="N74" s="113"/>
      <x:c r="O74" s="113"/>
      <x:c r="P74" s="112"/>
      <x:c r="Q74" s="112"/>
      <x:c r="R74" s="114"/>
      <x:c r="S74" s="114"/>
      <x:c r="T74" s="113"/>
      <x:c r="U74" s="106"/>
      <x:c r="V74" s="106"/>
      <x:c r="W74" s="86"/>
      <x:c r="X74" s="86"/>
      <x:c r="Y74" s="86"/>
      <x:c r="Z74" s="86"/>
    </x:row>
    <x:row r="75">
      <x:c r="A75" s="86"/>
      <x:c r="B75" s="86"/>
      <x:c r="C75" s="106"/>
      <x:c r="D75" s="112"/>
      <x:c r="E75" s="113"/>
      <x:c r="F75" s="112"/>
      <x:c r="G75" s="113"/>
      <x:c r="H75" s="113"/>
      <x:c r="I75" s="113"/>
      <x:c r="J75" s="113"/>
      <x:c r="K75" s="113"/>
      <x:c r="L75" s="112"/>
      <x:c r="M75" s="112"/>
      <x:c r="N75" s="113"/>
      <x:c r="O75" s="113"/>
      <x:c r="P75" s="112"/>
      <x:c r="Q75" s="112"/>
      <x:c r="R75" s="114"/>
      <x:c r="S75" s="114"/>
      <x:c r="T75" s="113"/>
      <x:c r="U75" s="106"/>
      <x:c r="V75" s="106"/>
      <x:c r="W75" s="86"/>
      <x:c r="X75" s="86"/>
      <x:c r="Y75" s="86"/>
      <x:c r="Z75" s="86"/>
    </x:row>
    <x:row r="76">
      <x:c r="A76" s="86"/>
      <x:c r="B76" s="86"/>
      <x:c r="C76" s="106"/>
      <x:c r="D76" s="112"/>
      <x:c r="E76" s="113"/>
      <x:c r="F76" s="112"/>
      <x:c r="G76" s="113"/>
      <x:c r="H76" s="113"/>
      <x:c r="I76" s="113"/>
      <x:c r="J76" s="113"/>
      <x:c r="K76" s="113"/>
      <x:c r="L76" s="112"/>
      <x:c r="M76" s="112"/>
      <x:c r="N76" s="113"/>
      <x:c r="O76" s="113"/>
      <x:c r="P76" s="112"/>
      <x:c r="Q76" s="112"/>
      <x:c r="R76" s="114"/>
      <x:c r="S76" s="114"/>
      <x:c r="T76" s="113"/>
      <x:c r="U76" s="106"/>
      <x:c r="V76" s="106"/>
      <x:c r="W76" s="86"/>
      <x:c r="X76" s="86"/>
      <x:c r="Y76" s="86"/>
      <x:c r="Z76" s="86"/>
    </x:row>
    <x:row r="77">
      <x:c r="A77" s="86"/>
      <x:c r="B77" s="86"/>
      <x:c r="C77" s="106"/>
      <x:c r="D77" s="112"/>
      <x:c r="E77" s="113"/>
      <x:c r="F77" s="112"/>
      <x:c r="G77" s="113"/>
      <x:c r="H77" s="113"/>
      <x:c r="I77" s="113"/>
      <x:c r="J77" s="113"/>
      <x:c r="K77" s="113"/>
      <x:c r="L77" s="112"/>
      <x:c r="M77" s="112"/>
      <x:c r="N77" s="113"/>
      <x:c r="O77" s="113"/>
      <x:c r="P77" s="112"/>
      <x:c r="Q77" s="112"/>
      <x:c r="R77" s="114"/>
      <x:c r="S77" s="114"/>
      <x:c r="T77" s="113"/>
      <x:c r="U77" s="106"/>
      <x:c r="V77" s="106"/>
      <x:c r="W77" s="86"/>
      <x:c r="X77" s="86"/>
      <x:c r="Y77" s="86"/>
      <x:c r="Z77" s="86"/>
    </x:row>
    <x:row r="78">
      <x:c r="A78" s="86"/>
      <x:c r="B78" s="86"/>
      <x:c r="C78" s="106"/>
      <x:c r="D78" s="112"/>
      <x:c r="E78" s="113"/>
      <x:c r="F78" s="112"/>
      <x:c r="G78" s="113"/>
      <x:c r="H78" s="113"/>
      <x:c r="I78" s="113"/>
      <x:c r="J78" s="113"/>
      <x:c r="K78" s="113"/>
      <x:c r="L78" s="112"/>
      <x:c r="M78" s="112"/>
      <x:c r="N78" s="113"/>
      <x:c r="O78" s="113"/>
      <x:c r="P78" s="112"/>
      <x:c r="Q78" s="112"/>
      <x:c r="R78" s="114"/>
      <x:c r="S78" s="114"/>
      <x:c r="T78" s="113"/>
      <x:c r="U78" s="106"/>
      <x:c r="V78" s="106"/>
      <x:c r="W78" s="86"/>
      <x:c r="X78" s="86"/>
      <x:c r="Y78" s="86"/>
      <x:c r="Z78" s="86"/>
    </x:row>
    <x:row r="79">
      <x:c r="A79" s="86"/>
      <x:c r="B79" s="86"/>
      <x:c r="C79" s="106"/>
      <x:c r="D79" s="112"/>
      <x:c r="E79" s="113"/>
      <x:c r="F79" s="112"/>
      <x:c r="G79" s="113"/>
      <x:c r="H79" s="113"/>
      <x:c r="I79" s="113"/>
      <x:c r="J79" s="113"/>
      <x:c r="K79" s="113"/>
      <x:c r="L79" s="112"/>
      <x:c r="M79" s="112"/>
      <x:c r="N79" s="113"/>
      <x:c r="O79" s="113"/>
      <x:c r="P79" s="112"/>
      <x:c r="Q79" s="112"/>
      <x:c r="R79" s="114"/>
      <x:c r="S79" s="114"/>
      <x:c r="T79" s="113"/>
      <x:c r="U79" s="106"/>
      <x:c r="V79" s="106"/>
      <x:c r="W79" s="86"/>
      <x:c r="X79" s="86"/>
      <x:c r="Y79" s="86"/>
      <x:c r="Z79" s="86"/>
    </x:row>
    <x:row r="80">
      <x:c r="A80" s="86"/>
      <x:c r="B80" s="86"/>
      <x:c r="C80" s="106"/>
      <x:c r="D80" s="112"/>
      <x:c r="E80" s="113"/>
      <x:c r="F80" s="112"/>
      <x:c r="G80" s="113"/>
      <x:c r="H80" s="113"/>
      <x:c r="I80" s="113"/>
      <x:c r="J80" s="113"/>
      <x:c r="K80" s="113"/>
      <x:c r="L80" s="112"/>
      <x:c r="M80" s="112"/>
      <x:c r="N80" s="113"/>
      <x:c r="O80" s="113"/>
      <x:c r="P80" s="112"/>
      <x:c r="Q80" s="112"/>
      <x:c r="R80" s="114"/>
      <x:c r="S80" s="114"/>
      <x:c r="T80" s="113"/>
      <x:c r="U80" s="106"/>
      <x:c r="V80" s="106"/>
      <x:c r="W80" s="86"/>
      <x:c r="X80" s="86"/>
      <x:c r="Y80" s="86"/>
      <x:c r="Z80" s="86"/>
    </x:row>
    <x:row r="81">
      <x:c r="A81" s="86"/>
      <x:c r="B81" s="86"/>
      <x:c r="C81" s="106"/>
      <x:c r="D81" s="112"/>
      <x:c r="E81" s="113"/>
      <x:c r="F81" s="112"/>
      <x:c r="G81" s="113"/>
      <x:c r="H81" s="113"/>
      <x:c r="I81" s="113"/>
      <x:c r="J81" s="113"/>
      <x:c r="K81" s="113"/>
      <x:c r="L81" s="112"/>
      <x:c r="M81" s="112"/>
      <x:c r="N81" s="113"/>
      <x:c r="O81" s="113"/>
      <x:c r="P81" s="112"/>
      <x:c r="Q81" s="112"/>
      <x:c r="R81" s="114"/>
      <x:c r="S81" s="114"/>
      <x:c r="T81" s="113"/>
      <x:c r="U81" s="106"/>
      <x:c r="V81" s="106"/>
      <x:c r="W81" s="86"/>
      <x:c r="X81" s="86"/>
      <x:c r="Y81" s="86"/>
      <x:c r="Z81" s="86"/>
    </x:row>
    <x:row r="82">
      <x:c r="A82" s="86"/>
      <x:c r="B82" s="86"/>
      <x:c r="C82" s="106"/>
      <x:c r="D82" s="112"/>
      <x:c r="E82" s="113"/>
      <x:c r="F82" s="112"/>
      <x:c r="G82" s="113"/>
      <x:c r="H82" s="113"/>
      <x:c r="I82" s="113"/>
      <x:c r="J82" s="113"/>
      <x:c r="K82" s="113"/>
      <x:c r="L82" s="112"/>
      <x:c r="M82" s="112"/>
      <x:c r="N82" s="113"/>
      <x:c r="O82" s="113"/>
      <x:c r="P82" s="112"/>
      <x:c r="Q82" s="112"/>
      <x:c r="R82" s="114"/>
      <x:c r="S82" s="114"/>
      <x:c r="T82" s="113"/>
      <x:c r="U82" s="106"/>
      <x:c r="V82" s="106"/>
      <x:c r="W82" s="86"/>
      <x:c r="X82" s="86"/>
      <x:c r="Y82" s="86"/>
      <x:c r="Z82" s="86"/>
    </x:row>
    <x:row r="83">
      <x:c r="A83" s="86"/>
      <x:c r="B83" s="86"/>
      <x:c r="C83" s="106"/>
      <x:c r="D83" s="112"/>
      <x:c r="E83" s="113"/>
      <x:c r="F83" s="112"/>
      <x:c r="G83" s="113"/>
      <x:c r="H83" s="113"/>
      <x:c r="I83" s="113"/>
      <x:c r="J83" s="113"/>
      <x:c r="K83" s="113"/>
      <x:c r="L83" s="112"/>
      <x:c r="M83" s="112"/>
      <x:c r="N83" s="113"/>
      <x:c r="O83" s="113"/>
      <x:c r="P83" s="112"/>
      <x:c r="Q83" s="112"/>
      <x:c r="R83" s="114"/>
      <x:c r="S83" s="114"/>
      <x:c r="T83" s="113"/>
      <x:c r="U83" s="106"/>
      <x:c r="V83" s="106"/>
      <x:c r="W83" s="86"/>
      <x:c r="X83" s="86"/>
      <x:c r="Y83" s="86"/>
      <x:c r="Z83" s="86"/>
    </x:row>
    <x:row r="84">
      <x:c r="A84" s="86"/>
      <x:c r="B84" s="86"/>
      <x:c r="C84" s="106"/>
      <x:c r="D84" s="112"/>
      <x:c r="E84" s="113"/>
      <x:c r="F84" s="112"/>
      <x:c r="G84" s="113"/>
      <x:c r="H84" s="113"/>
      <x:c r="I84" s="113"/>
      <x:c r="J84" s="113"/>
      <x:c r="K84" s="113"/>
      <x:c r="L84" s="112"/>
      <x:c r="M84" s="112"/>
      <x:c r="N84" s="113"/>
      <x:c r="O84" s="113"/>
      <x:c r="P84" s="112"/>
      <x:c r="Q84" s="112"/>
      <x:c r="R84" s="114"/>
      <x:c r="S84" s="114"/>
      <x:c r="T84" s="113"/>
      <x:c r="U84" s="106"/>
      <x:c r="V84" s="106"/>
      <x:c r="W84" s="86"/>
      <x:c r="X84" s="86"/>
      <x:c r="Y84" s="86"/>
      <x:c r="Z84" s="86"/>
    </x:row>
    <x:row r="85">
      <x:c r="A85" s="86"/>
      <x:c r="B85" s="86"/>
      <x:c r="C85" s="106"/>
      <x:c r="D85" s="112"/>
      <x:c r="E85" s="113"/>
      <x:c r="F85" s="112"/>
      <x:c r="G85" s="113"/>
      <x:c r="H85" s="113"/>
      <x:c r="I85" s="113"/>
      <x:c r="J85" s="113"/>
      <x:c r="K85" s="113"/>
      <x:c r="L85" s="112"/>
      <x:c r="M85" s="112"/>
      <x:c r="N85" s="113"/>
      <x:c r="O85" s="113"/>
      <x:c r="P85" s="112"/>
      <x:c r="Q85" s="112"/>
      <x:c r="R85" s="114"/>
      <x:c r="S85" s="114"/>
      <x:c r="T85" s="113"/>
      <x:c r="U85" s="106"/>
      <x:c r="V85" s="106"/>
      <x:c r="W85" s="86"/>
      <x:c r="X85" s="86"/>
      <x:c r="Y85" s="86"/>
      <x:c r="Z85" s="86"/>
    </x:row>
    <x:row r="86">
      <x:c r="A86" s="86"/>
      <x:c r="B86" s="86"/>
      <x:c r="C86" s="106"/>
      <x:c r="D86" s="112"/>
      <x:c r="E86" s="113"/>
      <x:c r="F86" s="112"/>
      <x:c r="G86" s="113"/>
      <x:c r="H86" s="113"/>
      <x:c r="I86" s="113"/>
      <x:c r="J86" s="113"/>
      <x:c r="K86" s="113"/>
      <x:c r="L86" s="112"/>
      <x:c r="M86" s="112"/>
      <x:c r="N86" s="113"/>
      <x:c r="O86" s="113"/>
      <x:c r="P86" s="112"/>
      <x:c r="Q86" s="112"/>
      <x:c r="R86" s="114"/>
      <x:c r="S86" s="114"/>
      <x:c r="T86" s="113"/>
      <x:c r="U86" s="106"/>
      <x:c r="V86" s="106"/>
      <x:c r="W86" s="86"/>
      <x:c r="X86" s="86"/>
      <x:c r="Y86" s="86"/>
      <x:c r="Z86" s="86"/>
    </x:row>
    <x:row r="87">
      <x:c r="A87" s="86"/>
      <x:c r="B87" s="86"/>
      <x:c r="C87" s="106"/>
      <x:c r="D87" s="112"/>
      <x:c r="E87" s="113"/>
      <x:c r="F87" s="112"/>
      <x:c r="G87" s="113"/>
      <x:c r="H87" s="113"/>
      <x:c r="I87" s="113"/>
      <x:c r="J87" s="113"/>
      <x:c r="K87" s="113"/>
      <x:c r="L87" s="112"/>
      <x:c r="M87" s="112"/>
      <x:c r="N87" s="113"/>
      <x:c r="O87" s="113"/>
      <x:c r="P87" s="112"/>
      <x:c r="Q87" s="112"/>
      <x:c r="R87" s="114"/>
      <x:c r="S87" s="114"/>
      <x:c r="T87" s="113"/>
      <x:c r="U87" s="106"/>
      <x:c r="V87" s="106"/>
      <x:c r="W87" s="86"/>
      <x:c r="X87" s="86"/>
      <x:c r="Y87" s="86"/>
      <x:c r="Z87" s="86"/>
    </x:row>
    <x:row r="88">
      <x:c r="A88" s="86"/>
      <x:c r="B88" s="86"/>
      <x:c r="C88" s="106"/>
      <x:c r="D88" s="112"/>
      <x:c r="E88" s="113"/>
      <x:c r="F88" s="112"/>
      <x:c r="G88" s="113"/>
      <x:c r="H88" s="113"/>
      <x:c r="I88" s="113"/>
      <x:c r="J88" s="113"/>
      <x:c r="K88" s="113"/>
      <x:c r="L88" s="112"/>
      <x:c r="M88" s="112"/>
      <x:c r="N88" s="113"/>
      <x:c r="O88" s="113"/>
      <x:c r="P88" s="112"/>
      <x:c r="Q88" s="112"/>
      <x:c r="R88" s="114"/>
      <x:c r="S88" s="114"/>
      <x:c r="T88" s="113"/>
      <x:c r="U88" s="106"/>
      <x:c r="V88" s="106"/>
      <x:c r="W88" s="86"/>
      <x:c r="X88" s="86"/>
      <x:c r="Y88" s="86"/>
      <x:c r="Z88" s="86"/>
    </x:row>
    <x:row r="89">
      <x:c r="A89" s="86"/>
      <x:c r="B89" s="86"/>
      <x:c r="C89" s="106"/>
      <x:c r="D89" s="112"/>
      <x:c r="E89" s="113"/>
      <x:c r="F89" s="112"/>
      <x:c r="G89" s="113"/>
      <x:c r="H89" s="113"/>
      <x:c r="I89" s="113"/>
      <x:c r="J89" s="113"/>
      <x:c r="K89" s="113"/>
      <x:c r="L89" s="112"/>
      <x:c r="M89" s="112"/>
      <x:c r="N89" s="113"/>
      <x:c r="O89" s="113"/>
      <x:c r="P89" s="112"/>
      <x:c r="Q89" s="112"/>
      <x:c r="R89" s="114"/>
      <x:c r="S89" s="114"/>
      <x:c r="T89" s="113"/>
      <x:c r="U89" s="106"/>
      <x:c r="V89" s="106"/>
      <x:c r="W89" s="86"/>
      <x:c r="X89" s="86"/>
      <x:c r="Y89" s="86"/>
      <x:c r="Z89" s="86"/>
    </x:row>
    <x:row r="90">
      <x:c r="A90" s="86"/>
      <x:c r="B90" s="86"/>
      <x:c r="C90" s="106"/>
      <x:c r="D90" s="112"/>
      <x:c r="E90" s="113"/>
      <x:c r="F90" s="112"/>
      <x:c r="G90" s="113"/>
      <x:c r="H90" s="113"/>
      <x:c r="I90" s="113"/>
      <x:c r="J90" s="113"/>
      <x:c r="K90" s="113"/>
      <x:c r="L90" s="112"/>
      <x:c r="M90" s="112"/>
      <x:c r="N90" s="113"/>
      <x:c r="O90" s="113"/>
      <x:c r="P90" s="112"/>
      <x:c r="Q90" s="112"/>
      <x:c r="R90" s="114"/>
      <x:c r="S90" s="114"/>
      <x:c r="T90" s="113"/>
      <x:c r="U90" s="106"/>
      <x:c r="V90" s="106"/>
      <x:c r="W90" s="86"/>
      <x:c r="X90" s="86"/>
      <x:c r="Y90" s="86"/>
      <x:c r="Z90" s="86"/>
    </x:row>
    <x:row r="91">
      <x:c r="A91" s="86"/>
      <x:c r="B91" s="86"/>
      <x:c r="C91" s="106"/>
      <x:c r="D91" s="112"/>
      <x:c r="E91" s="113"/>
      <x:c r="F91" s="112"/>
      <x:c r="G91" s="113"/>
      <x:c r="H91" s="113"/>
      <x:c r="I91" s="113"/>
      <x:c r="J91" s="113"/>
      <x:c r="K91" s="113"/>
      <x:c r="L91" s="112"/>
      <x:c r="M91" s="112"/>
      <x:c r="N91" s="113"/>
      <x:c r="O91" s="113"/>
      <x:c r="P91" s="112"/>
      <x:c r="Q91" s="112"/>
      <x:c r="R91" s="114"/>
      <x:c r="S91" s="114"/>
      <x:c r="T91" s="113"/>
      <x:c r="U91" s="106"/>
      <x:c r="V91" s="106"/>
      <x:c r="W91" s="86"/>
      <x:c r="X91" s="86"/>
      <x:c r="Y91" s="86"/>
      <x:c r="Z91" s="86"/>
    </x:row>
    <x:row r="92">
      <x:c r="A92" s="86"/>
      <x:c r="B92" s="86"/>
      <x:c r="C92" s="106"/>
      <x:c r="D92" s="112"/>
      <x:c r="E92" s="113"/>
      <x:c r="F92" s="112"/>
      <x:c r="G92" s="113"/>
      <x:c r="H92" s="113"/>
      <x:c r="I92" s="113"/>
      <x:c r="J92" s="113"/>
      <x:c r="K92" s="113"/>
      <x:c r="L92" s="112"/>
      <x:c r="M92" s="112"/>
      <x:c r="N92" s="113"/>
      <x:c r="O92" s="113"/>
      <x:c r="P92" s="112"/>
      <x:c r="Q92" s="112"/>
      <x:c r="R92" s="114"/>
      <x:c r="S92" s="114"/>
      <x:c r="T92" s="113"/>
      <x:c r="U92" s="106"/>
      <x:c r="V92" s="106"/>
      <x:c r="W92" s="86"/>
      <x:c r="X92" s="86"/>
      <x:c r="Y92" s="86"/>
      <x:c r="Z92" s="86"/>
    </x:row>
    <x:row r="93">
      <x:c r="A93" s="86"/>
      <x:c r="B93" s="86"/>
      <x:c r="C93" s="106"/>
      <x:c r="D93" s="112"/>
      <x:c r="E93" s="113"/>
      <x:c r="F93" s="112"/>
      <x:c r="G93" s="113"/>
      <x:c r="H93" s="113"/>
      <x:c r="I93" s="113"/>
      <x:c r="J93" s="113"/>
      <x:c r="K93" s="113"/>
      <x:c r="L93" s="112"/>
      <x:c r="M93" s="112"/>
      <x:c r="N93" s="113"/>
      <x:c r="O93" s="113"/>
      <x:c r="P93" s="112"/>
      <x:c r="Q93" s="112"/>
      <x:c r="R93" s="114"/>
      <x:c r="S93" s="114"/>
      <x:c r="T93" s="113"/>
      <x:c r="U93" s="106"/>
      <x:c r="V93" s="106"/>
      <x:c r="W93" s="86"/>
      <x:c r="X93" s="86"/>
      <x:c r="Y93" s="86"/>
      <x:c r="Z93" s="86"/>
    </x:row>
    <x:row r="94">
      <x:c r="A94" s="86"/>
      <x:c r="B94" s="86"/>
      <x:c r="C94" s="106"/>
      <x:c r="D94" s="112"/>
      <x:c r="E94" s="113"/>
      <x:c r="F94" s="112"/>
      <x:c r="G94" s="113"/>
      <x:c r="H94" s="113"/>
      <x:c r="I94" s="113"/>
      <x:c r="J94" s="113"/>
      <x:c r="K94" s="113"/>
      <x:c r="L94" s="112"/>
      <x:c r="M94" s="112"/>
      <x:c r="N94" s="113"/>
      <x:c r="O94" s="113"/>
      <x:c r="P94" s="112"/>
      <x:c r="Q94" s="112"/>
      <x:c r="R94" s="114"/>
      <x:c r="S94" s="114"/>
      <x:c r="T94" s="113"/>
      <x:c r="U94" s="106"/>
      <x:c r="V94" s="106"/>
      <x:c r="W94" s="86"/>
      <x:c r="X94" s="86"/>
      <x:c r="Y94" s="86"/>
      <x:c r="Z94" s="86"/>
    </x:row>
    <x:row r="95">
      <x:c r="A95" s="86"/>
      <x:c r="B95" s="86"/>
      <x:c r="C95" s="106"/>
      <x:c r="D95" s="112"/>
      <x:c r="E95" s="113"/>
      <x:c r="F95" s="112"/>
      <x:c r="G95" s="113"/>
      <x:c r="H95" s="113"/>
      <x:c r="I95" s="113"/>
      <x:c r="J95" s="113"/>
      <x:c r="K95" s="113"/>
      <x:c r="L95" s="112"/>
      <x:c r="M95" s="112"/>
      <x:c r="N95" s="113"/>
      <x:c r="O95" s="113"/>
      <x:c r="P95" s="112"/>
      <x:c r="Q95" s="112"/>
      <x:c r="R95" s="114"/>
      <x:c r="S95" s="114"/>
      <x:c r="T95" s="113"/>
      <x:c r="U95" s="106"/>
      <x:c r="V95" s="106"/>
      <x:c r="W95" s="86"/>
      <x:c r="X95" s="86"/>
      <x:c r="Y95" s="86"/>
      <x:c r="Z95" s="86"/>
    </x:row>
    <x:row r="96">
      <x:c r="A96" s="86"/>
      <x:c r="B96" s="86"/>
      <x:c r="C96" s="106"/>
      <x:c r="D96" s="112"/>
      <x:c r="E96" s="113"/>
      <x:c r="F96" s="112"/>
      <x:c r="G96" s="113"/>
      <x:c r="H96" s="113"/>
      <x:c r="I96" s="113"/>
      <x:c r="J96" s="113"/>
      <x:c r="K96" s="113"/>
      <x:c r="L96" s="112"/>
      <x:c r="M96" s="112"/>
      <x:c r="N96" s="113"/>
      <x:c r="O96" s="113"/>
      <x:c r="P96" s="112"/>
      <x:c r="Q96" s="112"/>
      <x:c r="R96" s="114"/>
      <x:c r="S96" s="114"/>
      <x:c r="T96" s="113"/>
      <x:c r="U96" s="106"/>
      <x:c r="V96" s="106"/>
      <x:c r="W96" s="86"/>
      <x:c r="X96" s="86"/>
      <x:c r="Y96" s="86"/>
      <x:c r="Z96" s="86"/>
    </x:row>
    <x:row r="97">
      <x:c r="A97" s="86"/>
      <x:c r="B97" s="86"/>
      <x:c r="C97" s="106"/>
      <x:c r="D97" s="112"/>
      <x:c r="E97" s="113"/>
      <x:c r="F97" s="112"/>
      <x:c r="G97" s="113"/>
      <x:c r="H97" s="113"/>
      <x:c r="I97" s="113"/>
      <x:c r="J97" s="113"/>
      <x:c r="K97" s="113"/>
      <x:c r="L97" s="112"/>
      <x:c r="M97" s="112"/>
      <x:c r="N97" s="113"/>
      <x:c r="O97" s="113"/>
      <x:c r="P97" s="112"/>
      <x:c r="Q97" s="112"/>
      <x:c r="R97" s="114"/>
      <x:c r="S97" s="114"/>
      <x:c r="T97" s="113"/>
      <x:c r="U97" s="106"/>
      <x:c r="V97" s="106"/>
      <x:c r="W97" s="86"/>
      <x:c r="X97" s="86"/>
      <x:c r="Y97" s="86"/>
      <x:c r="Z97" s="86"/>
    </x:row>
    <x:row r="98">
      <x:c r="A98" s="86"/>
      <x:c r="B98" s="86"/>
      <x:c r="C98" s="106"/>
      <x:c r="D98" s="112"/>
      <x:c r="E98" s="113"/>
      <x:c r="F98" s="112"/>
      <x:c r="G98" s="113"/>
      <x:c r="H98" s="113"/>
      <x:c r="I98" s="113"/>
      <x:c r="J98" s="113"/>
      <x:c r="K98" s="113"/>
      <x:c r="L98" s="112"/>
      <x:c r="M98" s="112"/>
      <x:c r="N98" s="113"/>
      <x:c r="O98" s="113"/>
      <x:c r="P98" s="112"/>
      <x:c r="Q98" s="112"/>
      <x:c r="R98" s="114"/>
      <x:c r="S98" s="114"/>
      <x:c r="T98" s="113"/>
      <x:c r="U98" s="106"/>
      <x:c r="V98" s="106"/>
      <x:c r="W98" s="86"/>
      <x:c r="X98" s="86"/>
      <x:c r="Y98" s="86"/>
      <x:c r="Z98" s="86"/>
    </x:row>
    <x:row r="99">
      <x:c r="A99" s="86"/>
      <x:c r="B99" s="86"/>
      <x:c r="C99" s="106"/>
      <x:c r="D99" s="112"/>
      <x:c r="E99" s="113"/>
      <x:c r="F99" s="112"/>
      <x:c r="G99" s="113"/>
      <x:c r="H99" s="113"/>
      <x:c r="I99" s="113"/>
      <x:c r="J99" s="113"/>
      <x:c r="K99" s="113"/>
      <x:c r="L99" s="112"/>
      <x:c r="M99" s="112"/>
      <x:c r="N99" s="113"/>
      <x:c r="O99" s="113"/>
      <x:c r="P99" s="112"/>
      <x:c r="Q99" s="112"/>
      <x:c r="R99" s="114"/>
      <x:c r="S99" s="114"/>
      <x:c r="T99" s="113"/>
      <x:c r="U99" s="106"/>
      <x:c r="V99" s="106"/>
      <x:c r="W99" s="86"/>
      <x:c r="X99" s="86"/>
      <x:c r="Y99" s="86"/>
      <x:c r="Z99" s="86"/>
    </x:row>
    <x:row r="100">
      <x:c r="A100" s="86"/>
      <x:c r="B100" s="86"/>
      <x:c r="C100" s="106"/>
      <x:c r="D100" s="112"/>
      <x:c r="E100" s="113"/>
      <x:c r="F100" s="112"/>
      <x:c r="G100" s="113"/>
      <x:c r="H100" s="113"/>
      <x:c r="I100" s="113"/>
      <x:c r="J100" s="113"/>
      <x:c r="K100" s="113"/>
      <x:c r="L100" s="112"/>
      <x:c r="M100" s="112"/>
      <x:c r="N100" s="113"/>
      <x:c r="O100" s="113"/>
      <x:c r="P100" s="112"/>
      <x:c r="Q100" s="112"/>
      <x:c r="R100" s="114"/>
      <x:c r="S100" s="114"/>
      <x:c r="T100" s="113"/>
      <x:c r="U100" s="106"/>
      <x:c r="V100" s="106"/>
      <x:c r="W100" s="86"/>
      <x:c r="X100" s="86"/>
      <x:c r="Y100" s="86"/>
      <x:c r="Z100" s="86"/>
    </x:row>
    <x:row r="101">
      <x:c r="A101" s="86"/>
      <x:c r="B101" s="86"/>
      <x:c r="C101" s="106"/>
      <x:c r="D101" s="112"/>
      <x:c r="E101" s="113"/>
      <x:c r="F101" s="112"/>
      <x:c r="G101" s="113"/>
      <x:c r="H101" s="113"/>
      <x:c r="I101" s="113"/>
      <x:c r="J101" s="113"/>
      <x:c r="K101" s="113"/>
      <x:c r="L101" s="112"/>
      <x:c r="M101" s="112"/>
      <x:c r="N101" s="113"/>
      <x:c r="O101" s="113"/>
      <x:c r="P101" s="112"/>
      <x:c r="Q101" s="112"/>
      <x:c r="R101" s="114"/>
      <x:c r="S101" s="114"/>
      <x:c r="T101" s="113"/>
      <x:c r="U101" s="106"/>
      <x:c r="V101" s="106"/>
      <x:c r="W101" s="86"/>
      <x:c r="X101" s="86"/>
      <x:c r="Y101" s="86"/>
      <x:c r="Z101" s="86"/>
    </x:row>
    <x:row r="102">
      <x:c r="A102" s="86"/>
      <x:c r="B102" s="86"/>
      <x:c r="C102" s="106"/>
      <x:c r="D102" s="112"/>
      <x:c r="E102" s="113"/>
      <x:c r="F102" s="112"/>
      <x:c r="G102" s="113"/>
      <x:c r="H102" s="113"/>
      <x:c r="I102" s="113"/>
      <x:c r="J102" s="113"/>
      <x:c r="K102" s="113"/>
      <x:c r="L102" s="112"/>
      <x:c r="M102" s="112"/>
      <x:c r="N102" s="113"/>
      <x:c r="O102" s="113"/>
      <x:c r="P102" s="112"/>
      <x:c r="Q102" s="112"/>
      <x:c r="R102" s="114"/>
      <x:c r="S102" s="114"/>
      <x:c r="T102" s="113"/>
      <x:c r="U102" s="106"/>
      <x:c r="V102" s="106"/>
      <x:c r="W102" s="86"/>
      <x:c r="X102" s="86"/>
      <x:c r="Y102" s="86"/>
      <x:c r="Z102" s="86"/>
    </x:row>
    <x:row r="103">
      <x:c r="A103" s="86"/>
      <x:c r="B103" s="86"/>
      <x:c r="C103" s="106"/>
      <x:c r="D103" s="112"/>
      <x:c r="E103" s="113"/>
      <x:c r="F103" s="112"/>
      <x:c r="G103" s="113"/>
      <x:c r="H103" s="113"/>
      <x:c r="I103" s="113"/>
      <x:c r="J103" s="113"/>
      <x:c r="K103" s="113"/>
      <x:c r="L103" s="112"/>
      <x:c r="M103" s="112"/>
      <x:c r="N103" s="113"/>
      <x:c r="O103" s="113"/>
      <x:c r="P103" s="112"/>
      <x:c r="Q103" s="112"/>
      <x:c r="R103" s="114"/>
      <x:c r="S103" s="114"/>
      <x:c r="T103" s="113"/>
      <x:c r="U103" s="106"/>
      <x:c r="V103" s="106"/>
      <x:c r="W103" s="86"/>
      <x:c r="X103" s="86"/>
      <x:c r="Y103" s="86"/>
      <x:c r="Z103" s="86"/>
    </x:row>
    <x:row r="104">
      <x:c r="A104" s="86"/>
      <x:c r="B104" s="86"/>
      <x:c r="C104" s="106"/>
      <x:c r="D104" s="112"/>
      <x:c r="E104" s="113"/>
      <x:c r="F104" s="112"/>
      <x:c r="G104" s="113"/>
      <x:c r="H104" s="113"/>
      <x:c r="I104" s="113"/>
      <x:c r="J104" s="113"/>
      <x:c r="K104" s="113"/>
      <x:c r="L104" s="112"/>
      <x:c r="M104" s="112"/>
      <x:c r="N104" s="113"/>
      <x:c r="O104" s="113"/>
      <x:c r="P104" s="112"/>
      <x:c r="Q104" s="112"/>
      <x:c r="R104" s="114"/>
      <x:c r="S104" s="114"/>
      <x:c r="T104" s="113"/>
      <x:c r="U104" s="106"/>
      <x:c r="V104" s="106"/>
      <x:c r="W104" s="86"/>
      <x:c r="X104" s="86"/>
      <x:c r="Y104" s="86"/>
      <x:c r="Z104" s="86"/>
    </x:row>
    <x:row r="105">
      <x:c r="A105" s="86"/>
      <x:c r="B105" s="86"/>
      <x:c r="C105" s="106"/>
      <x:c r="D105" s="112"/>
      <x:c r="E105" s="113"/>
      <x:c r="F105" s="112"/>
      <x:c r="G105" s="113"/>
      <x:c r="H105" s="113"/>
      <x:c r="I105" s="113"/>
      <x:c r="J105" s="113"/>
      <x:c r="K105" s="113"/>
      <x:c r="L105" s="112"/>
      <x:c r="M105" s="112"/>
      <x:c r="N105" s="113"/>
      <x:c r="O105" s="113"/>
      <x:c r="P105" s="112"/>
      <x:c r="Q105" s="112"/>
      <x:c r="R105" s="114"/>
      <x:c r="S105" s="114"/>
      <x:c r="T105" s="113"/>
      <x:c r="U105" s="106"/>
      <x:c r="V105" s="106"/>
      <x:c r="W105" s="86"/>
      <x:c r="X105" s="86"/>
      <x:c r="Y105" s="86"/>
      <x:c r="Z105" s="86"/>
    </x:row>
    <x:row r="106">
      <x:c r="A106" s="86"/>
      <x:c r="B106" s="86"/>
      <x:c r="C106" s="106"/>
      <x:c r="D106" s="112"/>
      <x:c r="E106" s="113"/>
      <x:c r="F106" s="112"/>
      <x:c r="G106" s="113"/>
      <x:c r="H106" s="113"/>
      <x:c r="I106" s="113"/>
      <x:c r="J106" s="113"/>
      <x:c r="K106" s="113"/>
      <x:c r="L106" s="112"/>
      <x:c r="M106" s="112"/>
      <x:c r="N106" s="113"/>
      <x:c r="O106" s="113"/>
      <x:c r="P106" s="112"/>
      <x:c r="Q106" s="112"/>
      <x:c r="R106" s="114"/>
      <x:c r="S106" s="114"/>
      <x:c r="T106" s="113"/>
      <x:c r="U106" s="106"/>
      <x:c r="V106" s="106"/>
      <x:c r="W106" s="86"/>
      <x:c r="X106" s="86"/>
      <x:c r="Y106" s="86"/>
      <x:c r="Z106" s="86"/>
    </x:row>
    <x:row r="107">
      <x:c r="A107" s="86"/>
      <x:c r="B107" s="86"/>
      <x:c r="C107" s="106"/>
      <x:c r="D107" s="112"/>
      <x:c r="E107" s="113"/>
      <x:c r="F107" s="112"/>
      <x:c r="G107" s="113"/>
      <x:c r="H107" s="113"/>
      <x:c r="I107" s="113"/>
      <x:c r="J107" s="113"/>
      <x:c r="K107" s="113"/>
      <x:c r="L107" s="112"/>
      <x:c r="M107" s="112"/>
      <x:c r="N107" s="113"/>
      <x:c r="O107" s="113"/>
      <x:c r="P107" s="112"/>
      <x:c r="Q107" s="112"/>
      <x:c r="R107" s="114"/>
      <x:c r="S107" s="114"/>
      <x:c r="T107" s="113"/>
      <x:c r="U107" s="106"/>
      <x:c r="V107" s="106"/>
      <x:c r="W107" s="86"/>
      <x:c r="X107" s="86"/>
      <x:c r="Y107" s="86"/>
      <x:c r="Z107" s="86"/>
    </x:row>
    <x:row r="108">
      <x:c r="A108" s="86"/>
      <x:c r="B108" s="86"/>
      <x:c r="C108" s="106"/>
      <x:c r="D108" s="112"/>
      <x:c r="E108" s="113"/>
      <x:c r="F108" s="112"/>
      <x:c r="G108" s="113"/>
      <x:c r="H108" s="113"/>
      <x:c r="I108" s="113"/>
      <x:c r="J108" s="113"/>
      <x:c r="K108" s="113"/>
      <x:c r="L108" s="112"/>
      <x:c r="M108" s="112"/>
      <x:c r="N108" s="113"/>
      <x:c r="O108" s="113"/>
      <x:c r="P108" s="112"/>
      <x:c r="Q108" s="112"/>
      <x:c r="R108" s="114"/>
      <x:c r="S108" s="114"/>
      <x:c r="T108" s="113"/>
      <x:c r="U108" s="106"/>
      <x:c r="V108" s="106"/>
      <x:c r="W108" s="86"/>
      <x:c r="X108" s="86"/>
      <x:c r="Y108" s="86"/>
      <x:c r="Z108" s="86"/>
    </x:row>
    <x:row r="109">
      <x:c r="A109" s="86"/>
      <x:c r="B109" s="86"/>
      <x:c r="C109" s="106"/>
      <x:c r="D109" s="112"/>
      <x:c r="E109" s="113"/>
      <x:c r="F109" s="112"/>
      <x:c r="G109" s="113"/>
      <x:c r="H109" s="113"/>
      <x:c r="I109" s="113"/>
      <x:c r="J109" s="113"/>
      <x:c r="K109" s="113"/>
      <x:c r="L109" s="112"/>
      <x:c r="M109" s="112"/>
      <x:c r="N109" s="113"/>
      <x:c r="O109" s="113"/>
      <x:c r="P109" s="112"/>
      <x:c r="Q109" s="112"/>
      <x:c r="R109" s="114"/>
      <x:c r="S109" s="114"/>
      <x:c r="T109" s="113"/>
      <x:c r="U109" s="106"/>
      <x:c r="V109" s="106"/>
      <x:c r="W109" s="86"/>
      <x:c r="X109" s="86"/>
      <x:c r="Y109" s="86"/>
      <x:c r="Z109" s="86"/>
    </x:row>
    <x:row r="110">
      <x:c r="A110" s="86"/>
      <x:c r="B110" s="86"/>
      <x:c r="C110" s="106"/>
      <x:c r="D110" s="112"/>
      <x:c r="E110" s="113"/>
      <x:c r="F110" s="112"/>
      <x:c r="G110" s="113"/>
      <x:c r="H110" s="113"/>
      <x:c r="I110" s="113"/>
      <x:c r="J110" s="113"/>
      <x:c r="K110" s="113"/>
      <x:c r="L110" s="112"/>
      <x:c r="M110" s="112"/>
      <x:c r="N110" s="113"/>
      <x:c r="O110" s="113"/>
      <x:c r="P110" s="112"/>
      <x:c r="Q110" s="112"/>
      <x:c r="R110" s="114"/>
      <x:c r="S110" s="114"/>
      <x:c r="T110" s="113"/>
      <x:c r="U110" s="106"/>
      <x:c r="V110" s="106"/>
      <x:c r="W110" s="86"/>
      <x:c r="X110" s="86"/>
      <x:c r="Y110" s="86"/>
      <x:c r="Z110" s="86"/>
    </x:row>
    <x:row r="111">
      <x:c r="A111" s="86"/>
      <x:c r="B111" s="86"/>
      <x:c r="C111" s="106"/>
      <x:c r="D111" s="112"/>
      <x:c r="E111" s="113"/>
      <x:c r="F111" s="112"/>
      <x:c r="G111" s="113"/>
      <x:c r="H111" s="113"/>
      <x:c r="I111" s="113"/>
      <x:c r="J111" s="113"/>
      <x:c r="K111" s="113"/>
      <x:c r="L111" s="112"/>
      <x:c r="M111" s="112"/>
      <x:c r="N111" s="113"/>
      <x:c r="O111" s="113"/>
      <x:c r="P111" s="112"/>
      <x:c r="Q111" s="112"/>
      <x:c r="R111" s="114"/>
      <x:c r="S111" s="114"/>
      <x:c r="T111" s="113"/>
      <x:c r="U111" s="106"/>
      <x:c r="V111" s="106"/>
      <x:c r="W111" s="86"/>
      <x:c r="X111" s="86"/>
      <x:c r="Y111" s="86"/>
      <x:c r="Z111" s="86"/>
    </x:row>
    <x:row r="112">
      <x:c r="A112" s="86"/>
      <x:c r="B112" s="86"/>
      <x:c r="C112" s="106"/>
      <x:c r="D112" s="112"/>
      <x:c r="E112" s="113"/>
      <x:c r="F112" s="112"/>
      <x:c r="G112" s="113"/>
      <x:c r="H112" s="113"/>
      <x:c r="I112" s="113"/>
      <x:c r="J112" s="113"/>
      <x:c r="K112" s="113"/>
      <x:c r="L112" s="112"/>
      <x:c r="M112" s="112"/>
      <x:c r="N112" s="113"/>
      <x:c r="O112" s="113"/>
      <x:c r="P112" s="112"/>
      <x:c r="Q112" s="112"/>
      <x:c r="R112" s="114"/>
      <x:c r="S112" s="114"/>
      <x:c r="T112" s="113"/>
      <x:c r="U112" s="106"/>
      <x:c r="V112" s="106"/>
      <x:c r="W112" s="86"/>
      <x:c r="X112" s="86"/>
      <x:c r="Y112" s="86"/>
      <x:c r="Z112" s="86"/>
    </x:row>
    <x:row r="113">
      <x:c r="A113" s="86"/>
      <x:c r="B113" s="86"/>
      <x:c r="C113" s="106"/>
      <x:c r="D113" s="112"/>
      <x:c r="E113" s="113"/>
      <x:c r="F113" s="112"/>
      <x:c r="G113" s="113"/>
      <x:c r="H113" s="113"/>
      <x:c r="I113" s="113"/>
      <x:c r="J113" s="113"/>
      <x:c r="K113" s="113"/>
      <x:c r="L113" s="112"/>
      <x:c r="M113" s="112"/>
      <x:c r="N113" s="113"/>
      <x:c r="O113" s="113"/>
      <x:c r="P113" s="112"/>
      <x:c r="Q113" s="112"/>
      <x:c r="R113" s="114"/>
      <x:c r="S113" s="114"/>
      <x:c r="T113" s="113"/>
      <x:c r="U113" s="106"/>
      <x:c r="V113" s="106"/>
      <x:c r="W113" s="86"/>
      <x:c r="X113" s="86"/>
      <x:c r="Y113" s="86"/>
      <x:c r="Z113" s="86"/>
    </x:row>
    <x:row r="114">
      <x:c r="A114" s="86"/>
      <x:c r="B114" s="86"/>
      <x:c r="C114" s="106"/>
      <x:c r="D114" s="112"/>
      <x:c r="E114" s="113"/>
      <x:c r="F114" s="112"/>
      <x:c r="G114" s="113"/>
      <x:c r="H114" s="113"/>
      <x:c r="I114" s="113"/>
      <x:c r="J114" s="113"/>
      <x:c r="K114" s="113"/>
      <x:c r="L114" s="112"/>
      <x:c r="M114" s="112"/>
      <x:c r="N114" s="113"/>
      <x:c r="O114" s="113"/>
      <x:c r="P114" s="112"/>
      <x:c r="Q114" s="112"/>
      <x:c r="R114" s="114"/>
      <x:c r="S114" s="114"/>
      <x:c r="T114" s="113"/>
      <x:c r="U114" s="106"/>
      <x:c r="V114" s="106"/>
      <x:c r="W114" s="86"/>
      <x:c r="X114" s="86"/>
      <x:c r="Y114" s="86"/>
      <x:c r="Z114" s="86"/>
    </x:row>
    <x:row r="115">
      <x:c r="A115" s="86"/>
      <x:c r="B115" s="86"/>
      <x:c r="C115" s="106"/>
      <x:c r="D115" s="112"/>
      <x:c r="E115" s="113"/>
      <x:c r="F115" s="112"/>
      <x:c r="G115" s="113"/>
      <x:c r="H115" s="113"/>
      <x:c r="I115" s="113"/>
      <x:c r="J115" s="113"/>
      <x:c r="K115" s="113"/>
      <x:c r="L115" s="112"/>
      <x:c r="M115" s="112"/>
      <x:c r="N115" s="113"/>
      <x:c r="O115" s="113"/>
      <x:c r="P115" s="112"/>
      <x:c r="Q115" s="112"/>
      <x:c r="R115" s="114"/>
      <x:c r="S115" s="114"/>
      <x:c r="T115" s="113"/>
      <x:c r="U115" s="106"/>
      <x:c r="V115" s="106"/>
      <x:c r="W115" s="86"/>
      <x:c r="X115" s="86"/>
      <x:c r="Y115" s="86"/>
      <x:c r="Z115" s="86"/>
    </x:row>
    <x:row r="116">
      <x:c r="A116" s="86"/>
      <x:c r="B116" s="86"/>
      <x:c r="C116" s="106"/>
      <x:c r="D116" s="112"/>
      <x:c r="E116" s="113"/>
      <x:c r="F116" s="112"/>
      <x:c r="G116" s="113"/>
      <x:c r="H116" s="113"/>
      <x:c r="I116" s="113"/>
      <x:c r="J116" s="113"/>
      <x:c r="K116" s="113"/>
      <x:c r="L116" s="112"/>
      <x:c r="M116" s="112"/>
      <x:c r="N116" s="113"/>
      <x:c r="O116" s="113"/>
      <x:c r="P116" s="112"/>
      <x:c r="Q116" s="112"/>
      <x:c r="R116" s="114"/>
      <x:c r="S116" s="114"/>
      <x:c r="T116" s="113"/>
      <x:c r="U116" s="106"/>
      <x:c r="V116" s="106"/>
      <x:c r="W116" s="86"/>
      <x:c r="X116" s="86"/>
      <x:c r="Y116" s="86"/>
      <x:c r="Z116" s="86"/>
    </x:row>
    <x:row r="117">
      <x:c r="A117" s="86"/>
      <x:c r="B117" s="86"/>
      <x:c r="C117" s="106"/>
      <x:c r="D117" s="112"/>
      <x:c r="E117" s="113"/>
      <x:c r="F117" s="112"/>
      <x:c r="G117" s="113"/>
      <x:c r="H117" s="113"/>
      <x:c r="I117" s="113"/>
      <x:c r="J117" s="113"/>
      <x:c r="K117" s="113"/>
      <x:c r="L117" s="112"/>
      <x:c r="M117" s="112"/>
      <x:c r="N117" s="113"/>
      <x:c r="O117" s="113"/>
      <x:c r="P117" s="112"/>
      <x:c r="Q117" s="112"/>
      <x:c r="R117" s="114"/>
      <x:c r="S117" s="114"/>
      <x:c r="T117" s="113"/>
      <x:c r="U117" s="106"/>
      <x:c r="V117" s="106"/>
      <x:c r="W117" s="86"/>
      <x:c r="X117" s="86"/>
      <x:c r="Y117" s="86"/>
      <x:c r="Z117" s="86"/>
    </x:row>
    <x:row r="118">
      <x:c r="A118" s="86"/>
      <x:c r="B118" s="86"/>
      <x:c r="C118" s="106"/>
      <x:c r="D118" s="112"/>
      <x:c r="E118" s="113"/>
      <x:c r="F118" s="112"/>
      <x:c r="G118" s="113"/>
      <x:c r="H118" s="113"/>
      <x:c r="I118" s="113"/>
      <x:c r="J118" s="113"/>
      <x:c r="K118" s="113"/>
      <x:c r="L118" s="112"/>
      <x:c r="M118" s="112"/>
      <x:c r="N118" s="113"/>
      <x:c r="O118" s="113"/>
      <x:c r="P118" s="112"/>
      <x:c r="Q118" s="112"/>
      <x:c r="R118" s="114"/>
      <x:c r="S118" s="114"/>
      <x:c r="T118" s="113"/>
      <x:c r="U118" s="106"/>
      <x:c r="V118" s="106"/>
      <x:c r="W118" s="86"/>
      <x:c r="X118" s="86"/>
      <x:c r="Y118" s="86"/>
      <x:c r="Z118" s="86"/>
    </x:row>
    <x:row r="119">
      <x:c r="A119" s="86"/>
      <x:c r="B119" s="86"/>
      <x:c r="C119" s="106"/>
      <x:c r="D119" s="112"/>
      <x:c r="E119" s="113"/>
      <x:c r="F119" s="112"/>
      <x:c r="G119" s="113"/>
      <x:c r="H119" s="113"/>
      <x:c r="I119" s="113"/>
      <x:c r="J119" s="113"/>
      <x:c r="K119" s="113"/>
      <x:c r="L119" s="112"/>
      <x:c r="M119" s="112"/>
      <x:c r="N119" s="113"/>
      <x:c r="O119" s="113"/>
      <x:c r="P119" s="112"/>
      <x:c r="Q119" s="112"/>
      <x:c r="R119" s="114"/>
      <x:c r="S119" s="114"/>
      <x:c r="T119" s="113"/>
      <x:c r="U119" s="106"/>
      <x:c r="V119" s="106"/>
      <x:c r="W119" s="86"/>
      <x:c r="X119" s="86"/>
      <x:c r="Y119" s="86"/>
      <x:c r="Z119" s="86"/>
    </x:row>
    <x:row r="120">
      <x:c r="A120" s="86"/>
      <x:c r="B120" s="86"/>
      <x:c r="C120" s="106"/>
      <x:c r="D120" s="112"/>
      <x:c r="E120" s="113"/>
      <x:c r="F120" s="112"/>
      <x:c r="G120" s="113"/>
      <x:c r="H120" s="113"/>
      <x:c r="I120" s="113"/>
      <x:c r="J120" s="113"/>
      <x:c r="K120" s="113"/>
      <x:c r="L120" s="112"/>
      <x:c r="M120" s="112"/>
      <x:c r="N120" s="113"/>
      <x:c r="O120" s="113"/>
      <x:c r="P120" s="112"/>
      <x:c r="Q120" s="112"/>
      <x:c r="R120" s="114"/>
      <x:c r="S120" s="114"/>
      <x:c r="T120" s="113"/>
      <x:c r="U120" s="106"/>
      <x:c r="V120" s="106"/>
      <x:c r="W120" s="86"/>
      <x:c r="X120" s="86"/>
      <x:c r="Y120" s="86"/>
      <x:c r="Z120" s="86"/>
    </x:row>
    <x:row r="121">
      <x:c r="A121" s="86"/>
      <x:c r="B121" s="86"/>
      <x:c r="C121" s="106"/>
      <x:c r="D121" s="112"/>
      <x:c r="E121" s="113"/>
      <x:c r="F121" s="112"/>
      <x:c r="G121" s="113"/>
      <x:c r="H121" s="113"/>
      <x:c r="I121" s="113"/>
      <x:c r="J121" s="113"/>
      <x:c r="K121" s="113"/>
      <x:c r="L121" s="112"/>
      <x:c r="M121" s="112"/>
      <x:c r="N121" s="113"/>
      <x:c r="O121" s="113"/>
      <x:c r="P121" s="112"/>
      <x:c r="Q121" s="112"/>
      <x:c r="R121" s="114"/>
      <x:c r="S121" s="114"/>
      <x:c r="T121" s="113"/>
      <x:c r="U121" s="106"/>
      <x:c r="V121" s="106"/>
      <x:c r="W121" s="86"/>
      <x:c r="X121" s="86"/>
      <x:c r="Y121" s="86"/>
      <x:c r="Z121" s="86"/>
    </x:row>
    <x:row r="122">
      <x:c r="A122" s="86"/>
      <x:c r="B122" s="86"/>
      <x:c r="C122" s="106"/>
      <x:c r="D122" s="112"/>
      <x:c r="E122" s="113"/>
      <x:c r="F122" s="112"/>
      <x:c r="G122" s="113"/>
      <x:c r="H122" s="113"/>
      <x:c r="I122" s="113"/>
      <x:c r="J122" s="113"/>
      <x:c r="K122" s="113"/>
      <x:c r="L122" s="112"/>
      <x:c r="M122" s="112"/>
      <x:c r="N122" s="113"/>
      <x:c r="O122" s="113"/>
      <x:c r="P122" s="112"/>
      <x:c r="Q122" s="112"/>
      <x:c r="R122" s="114"/>
      <x:c r="S122" s="114"/>
      <x:c r="T122" s="113"/>
      <x:c r="U122" s="106"/>
      <x:c r="V122" s="106"/>
      <x:c r="W122" s="86"/>
      <x:c r="X122" s="86"/>
      <x:c r="Y122" s="86"/>
      <x:c r="Z122" s="86"/>
    </x:row>
    <x:row r="123">
      <x:c r="A123" s="86"/>
      <x:c r="B123" s="86"/>
      <x:c r="C123" s="106"/>
      <x:c r="D123" s="112"/>
      <x:c r="E123" s="113"/>
      <x:c r="F123" s="112"/>
      <x:c r="G123" s="113"/>
      <x:c r="H123" s="113"/>
      <x:c r="I123" s="113"/>
      <x:c r="J123" s="113"/>
      <x:c r="K123" s="113"/>
      <x:c r="L123" s="112"/>
      <x:c r="M123" s="112"/>
      <x:c r="N123" s="113"/>
      <x:c r="O123" s="113"/>
      <x:c r="P123" s="112"/>
      <x:c r="Q123" s="112"/>
      <x:c r="R123" s="114"/>
      <x:c r="S123" s="114"/>
      <x:c r="T123" s="113"/>
      <x:c r="U123" s="106"/>
      <x:c r="V123" s="106"/>
      <x:c r="W123" s="86"/>
      <x:c r="X123" s="86"/>
      <x:c r="Y123" s="86"/>
      <x:c r="Z123" s="86"/>
    </x:row>
    <x:row r="124">
      <x:c r="A124" s="86"/>
      <x:c r="B124" s="86"/>
      <x:c r="C124" s="106"/>
      <x:c r="D124" s="112"/>
      <x:c r="E124" s="113"/>
      <x:c r="F124" s="112"/>
      <x:c r="G124" s="113"/>
      <x:c r="H124" s="113"/>
      <x:c r="I124" s="113"/>
      <x:c r="J124" s="113"/>
      <x:c r="K124" s="113"/>
      <x:c r="L124" s="112"/>
      <x:c r="M124" s="112"/>
      <x:c r="N124" s="113"/>
      <x:c r="O124" s="113"/>
      <x:c r="P124" s="112"/>
      <x:c r="Q124" s="112"/>
      <x:c r="R124" s="114"/>
      <x:c r="S124" s="114"/>
      <x:c r="T124" s="113"/>
      <x:c r="U124" s="106"/>
      <x:c r="V124" s="106"/>
      <x:c r="W124" s="86"/>
      <x:c r="X124" s="86"/>
      <x:c r="Y124" s="86"/>
      <x:c r="Z124" s="86"/>
    </x:row>
    <x:row r="125">
      <x:c r="A125" s="86"/>
      <x:c r="B125" s="86"/>
      <x:c r="C125" s="106"/>
      <x:c r="D125" s="112"/>
      <x:c r="E125" s="113"/>
      <x:c r="F125" s="112"/>
      <x:c r="G125" s="113"/>
      <x:c r="H125" s="113"/>
      <x:c r="I125" s="113"/>
      <x:c r="J125" s="113"/>
      <x:c r="K125" s="113"/>
      <x:c r="L125" s="112"/>
      <x:c r="M125" s="112"/>
      <x:c r="N125" s="113"/>
      <x:c r="O125" s="113"/>
      <x:c r="P125" s="112"/>
      <x:c r="Q125" s="112"/>
      <x:c r="R125" s="114"/>
      <x:c r="S125" s="114"/>
      <x:c r="T125" s="113"/>
      <x:c r="U125" s="106"/>
      <x:c r="V125" s="106"/>
      <x:c r="W125" s="86"/>
      <x:c r="X125" s="86"/>
      <x:c r="Y125" s="86"/>
      <x:c r="Z125" s="86"/>
    </x:row>
    <x:row r="126">
      <x:c r="A126" s="86"/>
      <x:c r="B126" s="86"/>
      <x:c r="C126" s="106"/>
      <x:c r="D126" s="112"/>
      <x:c r="E126" s="113"/>
      <x:c r="F126" s="112"/>
      <x:c r="G126" s="113"/>
      <x:c r="H126" s="113"/>
      <x:c r="I126" s="113"/>
      <x:c r="J126" s="113"/>
      <x:c r="K126" s="113"/>
      <x:c r="L126" s="112"/>
      <x:c r="M126" s="112"/>
      <x:c r="N126" s="113"/>
      <x:c r="O126" s="113"/>
      <x:c r="P126" s="112"/>
      <x:c r="Q126" s="112"/>
      <x:c r="R126" s="114"/>
      <x:c r="S126" s="114"/>
      <x:c r="T126" s="113"/>
      <x:c r="U126" s="106"/>
      <x:c r="V126" s="106"/>
      <x:c r="W126" s="86"/>
      <x:c r="X126" s="86"/>
      <x:c r="Y126" s="86"/>
      <x:c r="Z126" s="86"/>
    </x:row>
    <x:row r="127">
      <x:c r="A127" s="86"/>
      <x:c r="B127" s="86"/>
      <x:c r="C127" s="106"/>
      <x:c r="D127" s="112"/>
      <x:c r="E127" s="113"/>
      <x:c r="F127" s="112"/>
      <x:c r="G127" s="113"/>
      <x:c r="H127" s="113"/>
      <x:c r="I127" s="113"/>
      <x:c r="J127" s="113"/>
      <x:c r="K127" s="113"/>
      <x:c r="L127" s="112"/>
      <x:c r="M127" s="112"/>
      <x:c r="N127" s="113"/>
      <x:c r="O127" s="113"/>
      <x:c r="P127" s="112"/>
      <x:c r="Q127" s="112"/>
      <x:c r="R127" s="114"/>
      <x:c r="S127" s="114"/>
      <x:c r="T127" s="113"/>
      <x:c r="U127" s="106"/>
      <x:c r="V127" s="106"/>
      <x:c r="W127" s="86"/>
      <x:c r="X127" s="86"/>
      <x:c r="Y127" s="86"/>
      <x:c r="Z127" s="86"/>
    </x:row>
    <x:row r="128">
      <x:c r="A128" s="86"/>
      <x:c r="B128" s="86"/>
      <x:c r="C128" s="106"/>
      <x:c r="D128" s="112"/>
      <x:c r="E128" s="113"/>
      <x:c r="F128" s="112"/>
      <x:c r="G128" s="113"/>
      <x:c r="H128" s="113"/>
      <x:c r="I128" s="113"/>
      <x:c r="J128" s="113"/>
      <x:c r="K128" s="113"/>
      <x:c r="L128" s="112"/>
      <x:c r="M128" s="112"/>
      <x:c r="N128" s="113"/>
      <x:c r="O128" s="113"/>
      <x:c r="P128" s="112"/>
      <x:c r="Q128" s="112"/>
      <x:c r="R128" s="114"/>
      <x:c r="S128" s="114"/>
      <x:c r="T128" s="113"/>
      <x:c r="U128" s="106"/>
      <x:c r="V128" s="106"/>
      <x:c r="W128" s="86"/>
      <x:c r="X128" s="86"/>
      <x:c r="Y128" s="86"/>
      <x:c r="Z128" s="86"/>
    </x:row>
    <x:row r="129">
      <x:c r="A129" s="86"/>
      <x:c r="B129" s="86"/>
      <x:c r="C129" s="106"/>
      <x:c r="D129" s="112"/>
      <x:c r="E129" s="113"/>
      <x:c r="F129" s="112"/>
      <x:c r="G129" s="113"/>
      <x:c r="H129" s="113"/>
      <x:c r="I129" s="113"/>
      <x:c r="J129" s="113"/>
      <x:c r="K129" s="113"/>
      <x:c r="L129" s="112"/>
      <x:c r="M129" s="112"/>
      <x:c r="N129" s="113"/>
      <x:c r="O129" s="113"/>
      <x:c r="P129" s="112"/>
      <x:c r="Q129" s="112"/>
      <x:c r="R129" s="114"/>
      <x:c r="S129" s="114"/>
      <x:c r="T129" s="113"/>
      <x:c r="U129" s="106"/>
      <x:c r="V129" s="106"/>
      <x:c r="W129" s="86"/>
      <x:c r="X129" s="86"/>
      <x:c r="Y129" s="86"/>
      <x:c r="Z129" s="86"/>
    </x:row>
    <x:row r="130">
      <x:c r="A130" s="86"/>
      <x:c r="B130" s="86"/>
      <x:c r="C130" s="106"/>
      <x:c r="D130" s="112"/>
      <x:c r="E130" s="113"/>
      <x:c r="F130" s="112"/>
      <x:c r="G130" s="113"/>
      <x:c r="H130" s="113"/>
      <x:c r="I130" s="113"/>
      <x:c r="J130" s="113"/>
      <x:c r="K130" s="113"/>
      <x:c r="L130" s="112"/>
      <x:c r="M130" s="112"/>
      <x:c r="N130" s="113"/>
      <x:c r="O130" s="113"/>
      <x:c r="P130" s="112"/>
      <x:c r="Q130" s="112"/>
      <x:c r="R130" s="114"/>
      <x:c r="S130" s="114"/>
      <x:c r="T130" s="113"/>
      <x:c r="U130" s="106"/>
      <x:c r="V130" s="106"/>
      <x:c r="W130" s="86"/>
      <x:c r="X130" s="86"/>
      <x:c r="Y130" s="86"/>
      <x:c r="Z130" s="86"/>
    </x:row>
    <x:row r="131">
      <x:c r="A131" s="86"/>
      <x:c r="B131" s="86"/>
      <x:c r="C131" s="106"/>
      <x:c r="D131" s="112"/>
      <x:c r="E131" s="113"/>
      <x:c r="F131" s="112"/>
      <x:c r="G131" s="113"/>
      <x:c r="H131" s="113"/>
      <x:c r="I131" s="113"/>
      <x:c r="J131" s="113"/>
      <x:c r="K131" s="113"/>
      <x:c r="L131" s="112"/>
      <x:c r="M131" s="112"/>
      <x:c r="N131" s="113"/>
      <x:c r="O131" s="113"/>
      <x:c r="P131" s="112"/>
      <x:c r="Q131" s="112"/>
      <x:c r="R131" s="114"/>
      <x:c r="S131" s="114"/>
      <x:c r="T131" s="113"/>
      <x:c r="U131" s="106"/>
      <x:c r="V131" s="106"/>
      <x:c r="W131" s="86"/>
      <x:c r="X131" s="86"/>
      <x:c r="Y131" s="86"/>
      <x:c r="Z131" s="86"/>
    </x:row>
    <x:row r="132">
      <x:c r="A132" s="86"/>
      <x:c r="B132" s="86"/>
      <x:c r="C132" s="106"/>
      <x:c r="D132" s="112"/>
      <x:c r="E132" s="113"/>
      <x:c r="F132" s="112"/>
      <x:c r="G132" s="113"/>
      <x:c r="H132" s="113"/>
      <x:c r="I132" s="113"/>
      <x:c r="J132" s="113"/>
      <x:c r="K132" s="113"/>
      <x:c r="L132" s="112"/>
      <x:c r="M132" s="112"/>
      <x:c r="N132" s="113"/>
      <x:c r="O132" s="113"/>
      <x:c r="P132" s="112"/>
      <x:c r="Q132" s="112"/>
      <x:c r="R132" s="114"/>
      <x:c r="S132" s="114"/>
      <x:c r="T132" s="113"/>
      <x:c r="U132" s="106"/>
      <x:c r="V132" s="106"/>
      <x:c r="W132" s="86"/>
      <x:c r="X132" s="86"/>
      <x:c r="Y132" s="86"/>
      <x:c r="Z132" s="86"/>
    </x:row>
    <x:row r="133">
      <x:c r="A133" s="86"/>
      <x:c r="B133" s="86"/>
      <x:c r="C133" s="106"/>
      <x:c r="D133" s="112"/>
      <x:c r="E133" s="113"/>
      <x:c r="F133" s="112"/>
      <x:c r="G133" s="113"/>
      <x:c r="H133" s="113"/>
      <x:c r="I133" s="113"/>
      <x:c r="J133" s="113"/>
      <x:c r="K133" s="113"/>
      <x:c r="L133" s="112"/>
      <x:c r="M133" s="112"/>
      <x:c r="N133" s="113"/>
      <x:c r="O133" s="113"/>
      <x:c r="P133" s="112"/>
      <x:c r="Q133" s="112"/>
      <x:c r="R133" s="114"/>
      <x:c r="S133" s="114"/>
      <x:c r="T133" s="113"/>
      <x:c r="U133" s="106"/>
      <x:c r="V133" s="106"/>
      <x:c r="W133" s="86"/>
      <x:c r="X133" s="86"/>
      <x:c r="Y133" s="86"/>
      <x:c r="Z133" s="86"/>
    </x:row>
    <x:row r="134">
      <x:c r="A134" s="86"/>
      <x:c r="B134" s="86"/>
      <x:c r="C134" s="106"/>
      <x:c r="D134" s="112"/>
      <x:c r="E134" s="113"/>
      <x:c r="F134" s="112"/>
      <x:c r="G134" s="113"/>
      <x:c r="H134" s="113"/>
      <x:c r="I134" s="113"/>
      <x:c r="J134" s="113"/>
      <x:c r="K134" s="113"/>
      <x:c r="L134" s="112"/>
      <x:c r="M134" s="112"/>
      <x:c r="N134" s="113"/>
      <x:c r="O134" s="113"/>
      <x:c r="P134" s="112"/>
      <x:c r="Q134" s="112"/>
      <x:c r="R134" s="114"/>
      <x:c r="S134" s="114"/>
      <x:c r="T134" s="113"/>
      <x:c r="U134" s="106"/>
      <x:c r="V134" s="106"/>
      <x:c r="W134" s="86"/>
      <x:c r="X134" s="86"/>
      <x:c r="Y134" s="86"/>
      <x:c r="Z134" s="86"/>
    </x:row>
    <x:row r="135">
      <x:c r="A135" s="86"/>
      <x:c r="B135" s="86"/>
      <x:c r="C135" s="106"/>
      <x:c r="D135" s="112"/>
      <x:c r="E135" s="113"/>
      <x:c r="F135" s="112"/>
      <x:c r="G135" s="113"/>
      <x:c r="H135" s="113"/>
      <x:c r="I135" s="113"/>
      <x:c r="J135" s="113"/>
      <x:c r="K135" s="113"/>
      <x:c r="L135" s="112"/>
      <x:c r="M135" s="112"/>
      <x:c r="N135" s="113"/>
      <x:c r="O135" s="113"/>
      <x:c r="P135" s="112"/>
      <x:c r="Q135" s="112"/>
      <x:c r="R135" s="114"/>
      <x:c r="S135" s="114"/>
      <x:c r="T135" s="113"/>
      <x:c r="U135" s="106"/>
      <x:c r="V135" s="106"/>
      <x:c r="W135" s="86"/>
      <x:c r="X135" s="86"/>
      <x:c r="Y135" s="86"/>
      <x:c r="Z135" s="86"/>
    </x:row>
    <x:row r="136">
      <x:c r="A136" s="86"/>
      <x:c r="B136" s="86"/>
      <x:c r="C136" s="106"/>
      <x:c r="D136" s="112"/>
      <x:c r="E136" s="113"/>
      <x:c r="F136" s="112"/>
      <x:c r="G136" s="113"/>
      <x:c r="H136" s="113"/>
      <x:c r="I136" s="113"/>
      <x:c r="J136" s="113"/>
      <x:c r="K136" s="113"/>
      <x:c r="L136" s="112"/>
      <x:c r="M136" s="112"/>
      <x:c r="N136" s="113"/>
      <x:c r="O136" s="113"/>
      <x:c r="P136" s="112"/>
      <x:c r="Q136" s="112"/>
      <x:c r="R136" s="114"/>
      <x:c r="S136" s="114"/>
      <x:c r="T136" s="113"/>
      <x:c r="U136" s="106"/>
      <x:c r="V136" s="106"/>
      <x:c r="W136" s="86"/>
      <x:c r="X136" s="86"/>
      <x:c r="Y136" s="86"/>
      <x:c r="Z136" s="86"/>
    </x:row>
    <x:row r="137">
      <x:c r="A137" s="86"/>
      <x:c r="B137" s="86"/>
      <x:c r="C137" s="106"/>
      <x:c r="D137" s="112"/>
      <x:c r="E137" s="113"/>
      <x:c r="F137" s="112"/>
      <x:c r="G137" s="113"/>
      <x:c r="H137" s="113"/>
      <x:c r="I137" s="113"/>
      <x:c r="J137" s="113"/>
      <x:c r="K137" s="113"/>
      <x:c r="L137" s="112"/>
      <x:c r="M137" s="112"/>
      <x:c r="N137" s="113"/>
      <x:c r="O137" s="113"/>
      <x:c r="P137" s="112"/>
      <x:c r="Q137" s="112"/>
      <x:c r="R137" s="114"/>
      <x:c r="S137" s="114"/>
      <x:c r="T137" s="113"/>
      <x:c r="U137" s="106"/>
      <x:c r="V137" s="106"/>
      <x:c r="W137" s="86"/>
      <x:c r="X137" s="86"/>
      <x:c r="Y137" s="86"/>
      <x:c r="Z137" s="86"/>
    </x:row>
    <x:row r="138">
      <x:c r="A138" s="86"/>
      <x:c r="B138" s="86"/>
      <x:c r="C138" s="106"/>
      <x:c r="D138" s="112"/>
      <x:c r="E138" s="113"/>
      <x:c r="F138" s="112"/>
      <x:c r="G138" s="113"/>
      <x:c r="H138" s="113"/>
      <x:c r="I138" s="113"/>
      <x:c r="J138" s="113"/>
      <x:c r="K138" s="113"/>
      <x:c r="L138" s="112"/>
      <x:c r="M138" s="112"/>
      <x:c r="N138" s="113"/>
      <x:c r="O138" s="113"/>
      <x:c r="P138" s="112"/>
      <x:c r="Q138" s="112"/>
      <x:c r="R138" s="114"/>
      <x:c r="S138" s="114"/>
      <x:c r="T138" s="113"/>
      <x:c r="U138" s="106"/>
      <x:c r="V138" s="106"/>
      <x:c r="W138" s="86"/>
      <x:c r="X138" s="86"/>
      <x:c r="Y138" s="86"/>
      <x:c r="Z138" s="86"/>
    </x:row>
    <x:row r="139">
      <x:c r="A139" s="86"/>
      <x:c r="B139" s="86"/>
      <x:c r="C139" s="106"/>
      <x:c r="D139" s="112"/>
      <x:c r="E139" s="113"/>
      <x:c r="F139" s="112"/>
      <x:c r="G139" s="113"/>
      <x:c r="H139" s="113"/>
      <x:c r="I139" s="113"/>
      <x:c r="J139" s="113"/>
      <x:c r="K139" s="113"/>
      <x:c r="L139" s="112"/>
      <x:c r="M139" s="112"/>
      <x:c r="N139" s="113"/>
      <x:c r="O139" s="113"/>
      <x:c r="P139" s="112"/>
      <x:c r="Q139" s="112"/>
      <x:c r="R139" s="114"/>
      <x:c r="S139" s="114"/>
      <x:c r="T139" s="113"/>
      <x:c r="U139" s="106"/>
      <x:c r="V139" s="106"/>
      <x:c r="W139" s="86"/>
      <x:c r="X139" s="86"/>
      <x:c r="Y139" s="86"/>
      <x:c r="Z139" s="86"/>
    </x:row>
    <x:row r="140">
      <x:c r="A140" s="86"/>
      <x:c r="B140" s="86"/>
      <x:c r="C140" s="106"/>
      <x:c r="D140" s="112"/>
      <x:c r="E140" s="113"/>
      <x:c r="F140" s="112"/>
      <x:c r="G140" s="113"/>
      <x:c r="H140" s="113"/>
      <x:c r="I140" s="113"/>
      <x:c r="J140" s="113"/>
      <x:c r="K140" s="113"/>
      <x:c r="L140" s="112"/>
      <x:c r="M140" s="112"/>
      <x:c r="N140" s="113"/>
      <x:c r="O140" s="113"/>
      <x:c r="P140" s="112"/>
      <x:c r="Q140" s="112"/>
      <x:c r="R140" s="114"/>
      <x:c r="S140" s="114"/>
      <x:c r="T140" s="113"/>
      <x:c r="U140" s="106"/>
      <x:c r="V140" s="106"/>
      <x:c r="W140" s="86"/>
      <x:c r="X140" s="86"/>
      <x:c r="Y140" s="86"/>
      <x:c r="Z140" s="86"/>
    </x:row>
    <x:row r="141">
      <x:c r="A141" s="86"/>
      <x:c r="B141" s="86"/>
      <x:c r="C141" s="106"/>
      <x:c r="D141" s="112"/>
      <x:c r="E141" s="113"/>
      <x:c r="F141" s="112"/>
      <x:c r="G141" s="113"/>
      <x:c r="H141" s="113"/>
      <x:c r="I141" s="113"/>
      <x:c r="J141" s="113"/>
      <x:c r="K141" s="113"/>
      <x:c r="L141" s="112"/>
      <x:c r="M141" s="112"/>
      <x:c r="N141" s="113"/>
      <x:c r="O141" s="113"/>
      <x:c r="P141" s="112"/>
      <x:c r="Q141" s="112"/>
      <x:c r="R141" s="114"/>
      <x:c r="S141" s="114"/>
      <x:c r="T141" s="113"/>
      <x:c r="U141" s="106"/>
      <x:c r="V141" s="106"/>
      <x:c r="W141" s="86"/>
      <x:c r="X141" s="86"/>
      <x:c r="Y141" s="86"/>
      <x:c r="Z141" s="86"/>
    </x:row>
    <x:row r="142">
      <x:c r="A142" s="86"/>
      <x:c r="B142" s="86"/>
      <x:c r="C142" s="106"/>
      <x:c r="D142" s="112"/>
      <x:c r="E142" s="113"/>
      <x:c r="F142" s="112"/>
      <x:c r="G142" s="113"/>
      <x:c r="H142" s="113"/>
      <x:c r="I142" s="113"/>
      <x:c r="J142" s="113"/>
      <x:c r="K142" s="113"/>
      <x:c r="L142" s="112"/>
      <x:c r="M142" s="112"/>
      <x:c r="N142" s="113"/>
      <x:c r="O142" s="113"/>
      <x:c r="P142" s="112"/>
      <x:c r="Q142" s="112"/>
      <x:c r="R142" s="114"/>
      <x:c r="S142" s="114"/>
      <x:c r="T142" s="113"/>
      <x:c r="U142" s="106"/>
      <x:c r="V142" s="106"/>
      <x:c r="W142" s="86"/>
      <x:c r="X142" s="86"/>
      <x:c r="Y142" s="86"/>
      <x:c r="Z142" s="86"/>
    </x:row>
    <x:row r="143">
      <x:c r="A143" s="86"/>
      <x:c r="B143" s="86"/>
      <x:c r="C143" s="106"/>
      <x:c r="D143" s="112"/>
      <x:c r="E143" s="113"/>
      <x:c r="F143" s="112"/>
      <x:c r="G143" s="113"/>
      <x:c r="H143" s="113"/>
      <x:c r="I143" s="113"/>
      <x:c r="J143" s="113"/>
      <x:c r="K143" s="113"/>
      <x:c r="L143" s="112"/>
      <x:c r="M143" s="112"/>
      <x:c r="N143" s="113"/>
      <x:c r="O143" s="113"/>
      <x:c r="P143" s="112"/>
      <x:c r="Q143" s="112"/>
      <x:c r="R143" s="114"/>
      <x:c r="S143" s="114"/>
      <x:c r="T143" s="113"/>
      <x:c r="U143" s="106"/>
      <x:c r="V143" s="106"/>
      <x:c r="W143" s="86"/>
      <x:c r="X143" s="86"/>
      <x:c r="Y143" s="86"/>
      <x:c r="Z143" s="86"/>
    </x:row>
    <x:row r="144">
      <x:c r="A144" s="86"/>
      <x:c r="B144" s="86"/>
      <x:c r="C144" s="106"/>
      <x:c r="D144" s="112"/>
      <x:c r="E144" s="113"/>
      <x:c r="F144" s="112"/>
      <x:c r="G144" s="113"/>
      <x:c r="H144" s="113"/>
      <x:c r="I144" s="113"/>
      <x:c r="J144" s="113"/>
      <x:c r="K144" s="113"/>
      <x:c r="L144" s="112"/>
      <x:c r="M144" s="112"/>
      <x:c r="N144" s="113"/>
      <x:c r="O144" s="113"/>
      <x:c r="P144" s="112"/>
      <x:c r="Q144" s="112"/>
      <x:c r="R144" s="114"/>
      <x:c r="S144" s="114"/>
      <x:c r="T144" s="113"/>
      <x:c r="U144" s="106"/>
      <x:c r="V144" s="106"/>
      <x:c r="W144" s="86"/>
      <x:c r="X144" s="86"/>
      <x:c r="Y144" s="86"/>
      <x:c r="Z144" s="86"/>
    </x:row>
    <x:row r="145">
      <x:c r="A145" s="86"/>
      <x:c r="B145" s="86"/>
      <x:c r="C145" s="106"/>
      <x:c r="D145" s="112"/>
      <x:c r="E145" s="113"/>
      <x:c r="F145" s="112"/>
      <x:c r="G145" s="113"/>
      <x:c r="H145" s="113"/>
      <x:c r="I145" s="113"/>
      <x:c r="J145" s="113"/>
      <x:c r="K145" s="113"/>
      <x:c r="L145" s="112"/>
      <x:c r="M145" s="112"/>
      <x:c r="N145" s="113"/>
      <x:c r="O145" s="113"/>
      <x:c r="P145" s="112"/>
      <x:c r="Q145" s="112"/>
      <x:c r="R145" s="114"/>
      <x:c r="S145" s="114"/>
      <x:c r="T145" s="113"/>
      <x:c r="U145" s="106"/>
      <x:c r="V145" s="106"/>
      <x:c r="W145" s="86"/>
      <x:c r="X145" s="86"/>
      <x:c r="Y145" s="86"/>
      <x:c r="Z145" s="86"/>
    </x:row>
    <x:row r="146">
      <x:c r="A146" s="86"/>
      <x:c r="B146" s="86"/>
      <x:c r="C146" s="106"/>
      <x:c r="D146" s="112"/>
      <x:c r="E146" s="113"/>
      <x:c r="F146" s="112"/>
      <x:c r="G146" s="113"/>
      <x:c r="H146" s="113"/>
      <x:c r="I146" s="113"/>
      <x:c r="J146" s="113"/>
      <x:c r="K146" s="113"/>
      <x:c r="L146" s="112"/>
      <x:c r="M146" s="112"/>
      <x:c r="N146" s="113"/>
      <x:c r="O146" s="113"/>
      <x:c r="P146" s="112"/>
      <x:c r="Q146" s="112"/>
      <x:c r="R146" s="114"/>
      <x:c r="S146" s="114"/>
      <x:c r="T146" s="113"/>
      <x:c r="U146" s="106"/>
      <x:c r="V146" s="106"/>
      <x:c r="W146" s="86"/>
      <x:c r="X146" s="86"/>
      <x:c r="Y146" s="86"/>
      <x:c r="Z146" s="86"/>
    </x:row>
    <x:row r="147">
      <x:c r="A147" s="86"/>
      <x:c r="B147" s="86"/>
      <x:c r="C147" s="106"/>
      <x:c r="D147" s="112"/>
      <x:c r="E147" s="113"/>
      <x:c r="F147" s="112"/>
      <x:c r="G147" s="113"/>
      <x:c r="H147" s="113"/>
      <x:c r="I147" s="113"/>
      <x:c r="J147" s="113"/>
      <x:c r="K147" s="113"/>
      <x:c r="L147" s="112"/>
      <x:c r="M147" s="112"/>
      <x:c r="N147" s="113"/>
      <x:c r="O147" s="113"/>
      <x:c r="P147" s="112"/>
      <x:c r="Q147" s="112"/>
      <x:c r="R147" s="114"/>
      <x:c r="S147" s="114"/>
      <x:c r="T147" s="113"/>
      <x:c r="U147" s="106"/>
      <x:c r="V147" s="106"/>
      <x:c r="W147" s="86"/>
      <x:c r="X147" s="86"/>
      <x:c r="Y147" s="86"/>
      <x:c r="Z147" s="86"/>
    </x:row>
    <x:row r="148">
      <x:c r="A148" s="86"/>
      <x:c r="B148" s="86"/>
      <x:c r="C148" s="106"/>
      <x:c r="D148" s="112"/>
      <x:c r="E148" s="113"/>
      <x:c r="F148" s="112"/>
      <x:c r="G148" s="113"/>
      <x:c r="H148" s="113"/>
      <x:c r="I148" s="113"/>
      <x:c r="J148" s="113"/>
      <x:c r="K148" s="113"/>
      <x:c r="L148" s="112"/>
      <x:c r="M148" s="112"/>
      <x:c r="N148" s="113"/>
      <x:c r="O148" s="113"/>
      <x:c r="P148" s="112"/>
      <x:c r="Q148" s="112"/>
      <x:c r="R148" s="114"/>
      <x:c r="S148" s="114"/>
      <x:c r="T148" s="113"/>
      <x:c r="U148" s="106"/>
      <x:c r="V148" s="106"/>
      <x:c r="W148" s="86"/>
      <x:c r="X148" s="86"/>
      <x:c r="Y148" s="86"/>
      <x:c r="Z148" s="86"/>
    </x:row>
    <x:row r="149">
      <x:c r="A149" s="86"/>
      <x:c r="B149" s="86"/>
      <x:c r="C149" s="106"/>
      <x:c r="D149" s="112"/>
      <x:c r="E149" s="113"/>
      <x:c r="F149" s="112"/>
      <x:c r="G149" s="113"/>
      <x:c r="H149" s="113"/>
      <x:c r="I149" s="113"/>
      <x:c r="J149" s="113"/>
      <x:c r="K149" s="113"/>
      <x:c r="L149" s="112"/>
      <x:c r="M149" s="112"/>
      <x:c r="N149" s="113"/>
      <x:c r="O149" s="113"/>
      <x:c r="P149" s="112"/>
      <x:c r="Q149" s="112"/>
      <x:c r="R149" s="114"/>
      <x:c r="S149" s="114"/>
      <x:c r="T149" s="113"/>
      <x:c r="U149" s="106"/>
      <x:c r="V149" s="106"/>
      <x:c r="W149" s="86"/>
      <x:c r="X149" s="86"/>
      <x:c r="Y149" s="86"/>
      <x:c r="Z149" s="86"/>
    </x:row>
    <x:row r="150">
      <x:c r="A150" s="86"/>
      <x:c r="B150" s="86"/>
      <x:c r="C150" s="106"/>
      <x:c r="D150" s="112"/>
      <x:c r="E150" s="113"/>
      <x:c r="F150" s="112"/>
      <x:c r="G150" s="113"/>
      <x:c r="H150" s="113"/>
      <x:c r="I150" s="113"/>
      <x:c r="J150" s="113"/>
      <x:c r="K150" s="113"/>
      <x:c r="L150" s="112"/>
      <x:c r="M150" s="112"/>
      <x:c r="N150" s="113"/>
      <x:c r="O150" s="113"/>
      <x:c r="P150" s="112"/>
      <x:c r="Q150" s="112"/>
      <x:c r="R150" s="114"/>
      <x:c r="S150" s="114"/>
      <x:c r="T150" s="113"/>
      <x:c r="U150" s="106"/>
      <x:c r="V150" s="106"/>
      <x:c r="W150" s="86"/>
      <x:c r="X150" s="86"/>
      <x:c r="Y150" s="86"/>
      <x:c r="Z150" s="86"/>
    </x:row>
    <x:row r="151">
      <x:c r="A151" s="86"/>
      <x:c r="B151" s="86"/>
      <x:c r="C151" s="106"/>
      <x:c r="D151" s="112"/>
      <x:c r="E151" s="113"/>
      <x:c r="F151" s="112"/>
      <x:c r="G151" s="113"/>
      <x:c r="H151" s="113"/>
      <x:c r="I151" s="113"/>
      <x:c r="J151" s="113"/>
      <x:c r="K151" s="113"/>
      <x:c r="L151" s="112"/>
      <x:c r="M151" s="112"/>
      <x:c r="N151" s="113"/>
      <x:c r="O151" s="113"/>
      <x:c r="P151" s="112"/>
      <x:c r="Q151" s="112"/>
      <x:c r="R151" s="114"/>
      <x:c r="S151" s="114"/>
      <x:c r="T151" s="113"/>
      <x:c r="U151" s="106"/>
      <x:c r="V151" s="106"/>
      <x:c r="W151" s="86"/>
      <x:c r="X151" s="86"/>
      <x:c r="Y151" s="86"/>
      <x:c r="Z151" s="86"/>
    </x:row>
    <x:row r="152">
      <x:c r="A152" s="86"/>
      <x:c r="B152" s="86"/>
      <x:c r="C152" s="106"/>
      <x:c r="D152" s="112"/>
      <x:c r="E152" s="113"/>
      <x:c r="F152" s="112"/>
      <x:c r="G152" s="113"/>
      <x:c r="H152" s="113"/>
      <x:c r="I152" s="113"/>
      <x:c r="J152" s="113"/>
      <x:c r="K152" s="113"/>
      <x:c r="L152" s="112"/>
      <x:c r="M152" s="112"/>
      <x:c r="N152" s="113"/>
      <x:c r="O152" s="113"/>
      <x:c r="P152" s="112"/>
      <x:c r="Q152" s="112"/>
      <x:c r="R152" s="114"/>
      <x:c r="S152" s="114"/>
      <x:c r="T152" s="113"/>
      <x:c r="U152" s="106"/>
      <x:c r="V152" s="106"/>
      <x:c r="W152" s="86"/>
      <x:c r="X152" s="86"/>
      <x:c r="Y152" s="86"/>
      <x:c r="Z152" s="86"/>
    </x:row>
    <x:row r="153">
      <x:c r="A153" s="86"/>
      <x:c r="B153" s="86"/>
      <x:c r="C153" s="106"/>
      <x:c r="D153" s="112"/>
      <x:c r="E153" s="113"/>
      <x:c r="F153" s="112"/>
      <x:c r="G153" s="113"/>
      <x:c r="H153" s="113"/>
      <x:c r="I153" s="113"/>
      <x:c r="J153" s="113"/>
      <x:c r="K153" s="113"/>
      <x:c r="L153" s="112"/>
      <x:c r="M153" s="112"/>
      <x:c r="N153" s="113"/>
      <x:c r="O153" s="113"/>
      <x:c r="P153" s="112"/>
      <x:c r="Q153" s="112"/>
      <x:c r="R153" s="114"/>
      <x:c r="S153" s="114"/>
      <x:c r="T153" s="113"/>
      <x:c r="U153" s="106"/>
      <x:c r="V153" s="106"/>
      <x:c r="W153" s="86"/>
      <x:c r="X153" s="86"/>
      <x:c r="Y153" s="86"/>
      <x:c r="Z153" s="86"/>
    </x:row>
    <x:row r="154">
      <x:c r="A154" s="86"/>
      <x:c r="B154" s="86"/>
      <x:c r="C154" s="106"/>
      <x:c r="D154" s="112"/>
      <x:c r="E154" s="113"/>
      <x:c r="F154" s="112"/>
      <x:c r="G154" s="113"/>
      <x:c r="H154" s="113"/>
      <x:c r="I154" s="113"/>
      <x:c r="J154" s="113"/>
      <x:c r="K154" s="113"/>
      <x:c r="L154" s="112"/>
      <x:c r="M154" s="112"/>
      <x:c r="N154" s="113"/>
      <x:c r="O154" s="113"/>
      <x:c r="P154" s="112"/>
      <x:c r="Q154" s="112"/>
      <x:c r="R154" s="114"/>
      <x:c r="S154" s="114"/>
      <x:c r="T154" s="113"/>
      <x:c r="U154" s="106"/>
      <x:c r="V154" s="106"/>
      <x:c r="W154" s="86"/>
      <x:c r="X154" s="86"/>
      <x:c r="Y154" s="86"/>
      <x:c r="Z154" s="86"/>
    </x:row>
    <x:row r="155">
      <x:c r="A155" s="86"/>
      <x:c r="B155" s="86"/>
      <x:c r="C155" s="106"/>
      <x:c r="D155" s="112"/>
      <x:c r="E155" s="113"/>
      <x:c r="F155" s="112"/>
      <x:c r="G155" s="113"/>
      <x:c r="H155" s="113"/>
      <x:c r="I155" s="113"/>
      <x:c r="J155" s="113"/>
      <x:c r="K155" s="113"/>
      <x:c r="L155" s="112"/>
      <x:c r="M155" s="112"/>
      <x:c r="N155" s="113"/>
      <x:c r="O155" s="113"/>
      <x:c r="P155" s="112"/>
      <x:c r="Q155" s="112"/>
      <x:c r="R155" s="114"/>
      <x:c r="S155" s="114"/>
      <x:c r="T155" s="113"/>
      <x:c r="U155" s="106"/>
      <x:c r="V155" s="106"/>
      <x:c r="W155" s="86"/>
      <x:c r="X155" s="86"/>
      <x:c r="Y155" s="86"/>
      <x:c r="Z155" s="86"/>
    </x:row>
    <x:row r="156">
      <x:c r="A156" s="86"/>
      <x:c r="B156" s="86"/>
      <x:c r="C156" s="106"/>
      <x:c r="D156" s="112"/>
      <x:c r="E156" s="113"/>
      <x:c r="F156" s="112"/>
      <x:c r="G156" s="113"/>
      <x:c r="H156" s="113"/>
      <x:c r="I156" s="113"/>
      <x:c r="J156" s="113"/>
      <x:c r="K156" s="113"/>
      <x:c r="L156" s="112"/>
      <x:c r="M156" s="112"/>
      <x:c r="N156" s="113"/>
      <x:c r="O156" s="113"/>
      <x:c r="P156" s="112"/>
      <x:c r="Q156" s="112"/>
      <x:c r="R156" s="114"/>
      <x:c r="S156" s="114"/>
      <x:c r="T156" s="113"/>
      <x:c r="U156" s="106"/>
      <x:c r="V156" s="106"/>
      <x:c r="W156" s="86"/>
      <x:c r="X156" s="86"/>
      <x:c r="Y156" s="86"/>
      <x:c r="Z156" s="86"/>
    </x:row>
    <x:row r="157">
      <x:c r="A157" s="86"/>
      <x:c r="B157" s="86"/>
      <x:c r="C157" s="106"/>
      <x:c r="D157" s="112"/>
      <x:c r="E157" s="113"/>
      <x:c r="F157" s="112"/>
      <x:c r="G157" s="113"/>
      <x:c r="H157" s="113"/>
      <x:c r="I157" s="113"/>
      <x:c r="J157" s="113"/>
      <x:c r="K157" s="113"/>
      <x:c r="L157" s="112"/>
      <x:c r="M157" s="112"/>
      <x:c r="N157" s="113"/>
      <x:c r="O157" s="113"/>
      <x:c r="P157" s="112"/>
      <x:c r="Q157" s="112"/>
      <x:c r="R157" s="114"/>
      <x:c r="S157" s="114"/>
      <x:c r="T157" s="113"/>
      <x:c r="U157" s="106"/>
      <x:c r="V157" s="106"/>
      <x:c r="W157" s="86"/>
      <x:c r="X157" s="86"/>
      <x:c r="Y157" s="86"/>
      <x:c r="Z157" s="86"/>
    </x:row>
    <x:row r="158">
      <x:c r="A158" s="86"/>
      <x:c r="B158" s="86"/>
      <x:c r="C158" s="106"/>
      <x:c r="D158" s="112"/>
      <x:c r="E158" s="113"/>
      <x:c r="F158" s="112"/>
      <x:c r="G158" s="113"/>
      <x:c r="H158" s="113"/>
      <x:c r="I158" s="113"/>
      <x:c r="J158" s="113"/>
      <x:c r="K158" s="113"/>
      <x:c r="L158" s="112"/>
      <x:c r="M158" s="112"/>
      <x:c r="N158" s="113"/>
      <x:c r="O158" s="113"/>
      <x:c r="P158" s="112"/>
      <x:c r="Q158" s="112"/>
      <x:c r="R158" s="114"/>
      <x:c r="S158" s="114"/>
      <x:c r="T158" s="113"/>
      <x:c r="U158" s="106"/>
      <x:c r="V158" s="106"/>
      <x:c r="W158" s="86"/>
      <x:c r="X158" s="86"/>
      <x:c r="Y158" s="86"/>
      <x:c r="Z158" s="86"/>
    </x:row>
    <x:row r="159">
      <x:c r="A159" s="86"/>
      <x:c r="B159" s="86"/>
      <x:c r="C159" s="106"/>
      <x:c r="D159" s="112"/>
      <x:c r="E159" s="113"/>
      <x:c r="F159" s="112"/>
      <x:c r="G159" s="113"/>
      <x:c r="H159" s="113"/>
      <x:c r="I159" s="113"/>
      <x:c r="J159" s="113"/>
      <x:c r="K159" s="113"/>
      <x:c r="L159" s="112"/>
      <x:c r="M159" s="112"/>
      <x:c r="N159" s="113"/>
      <x:c r="O159" s="113"/>
      <x:c r="P159" s="112"/>
      <x:c r="Q159" s="112"/>
      <x:c r="R159" s="114"/>
      <x:c r="S159" s="114"/>
      <x:c r="T159" s="113"/>
      <x:c r="U159" s="106"/>
      <x:c r="V159" s="106"/>
      <x:c r="W159" s="86"/>
      <x:c r="X159" s="86"/>
      <x:c r="Y159" s="86"/>
      <x:c r="Z159" s="86"/>
    </x:row>
    <x:row r="160">
      <x:c r="A160" s="86"/>
      <x:c r="B160" s="86"/>
      <x:c r="C160" s="106"/>
      <x:c r="D160" s="112"/>
      <x:c r="E160" s="113"/>
      <x:c r="F160" s="112"/>
      <x:c r="G160" s="113"/>
      <x:c r="H160" s="113"/>
      <x:c r="I160" s="113"/>
      <x:c r="J160" s="113"/>
      <x:c r="K160" s="113"/>
      <x:c r="L160" s="112"/>
      <x:c r="M160" s="112"/>
      <x:c r="N160" s="113"/>
      <x:c r="O160" s="113"/>
      <x:c r="P160" s="112"/>
      <x:c r="Q160" s="112"/>
      <x:c r="R160" s="114"/>
      <x:c r="S160" s="114"/>
      <x:c r="T160" s="113"/>
      <x:c r="U160" s="106"/>
      <x:c r="V160" s="106"/>
      <x:c r="W160" s="86"/>
      <x:c r="X160" s="86"/>
      <x:c r="Y160" s="86"/>
      <x:c r="Z160" s="86"/>
    </x:row>
    <x:row r="161">
      <x:c r="A161" s="86"/>
      <x:c r="B161" s="86"/>
      <x:c r="C161" s="106"/>
      <x:c r="D161" s="112"/>
      <x:c r="E161" s="113"/>
      <x:c r="F161" s="112"/>
      <x:c r="G161" s="113"/>
      <x:c r="H161" s="113"/>
      <x:c r="I161" s="113"/>
      <x:c r="J161" s="113"/>
      <x:c r="K161" s="113"/>
      <x:c r="L161" s="112"/>
      <x:c r="M161" s="112"/>
      <x:c r="N161" s="113"/>
      <x:c r="O161" s="113"/>
      <x:c r="P161" s="112"/>
      <x:c r="Q161" s="112"/>
      <x:c r="R161" s="114"/>
      <x:c r="S161" s="114"/>
      <x:c r="T161" s="113"/>
      <x:c r="U161" s="106"/>
      <x:c r="V161" s="106"/>
      <x:c r="W161" s="86"/>
      <x:c r="X161" s="86"/>
      <x:c r="Y161" s="86"/>
      <x:c r="Z161" s="86"/>
    </x:row>
    <x:row r="162">
      <x:c r="A162" s="86"/>
      <x:c r="B162" s="86"/>
      <x:c r="C162" s="106"/>
      <x:c r="D162" s="112"/>
      <x:c r="E162" s="113"/>
      <x:c r="F162" s="112"/>
      <x:c r="G162" s="113"/>
      <x:c r="H162" s="113"/>
      <x:c r="I162" s="113"/>
      <x:c r="J162" s="113"/>
      <x:c r="K162" s="113"/>
      <x:c r="L162" s="112"/>
      <x:c r="M162" s="112"/>
      <x:c r="N162" s="113"/>
      <x:c r="O162" s="113"/>
      <x:c r="P162" s="112"/>
      <x:c r="Q162" s="112"/>
      <x:c r="R162" s="114"/>
      <x:c r="S162" s="114"/>
      <x:c r="T162" s="113"/>
      <x:c r="U162" s="106"/>
      <x:c r="V162" s="106"/>
      <x:c r="W162" s="86"/>
      <x:c r="X162" s="86"/>
      <x:c r="Y162" s="86"/>
      <x:c r="Z162" s="86"/>
    </x:row>
    <x:row r="163">
      <x:c r="A163" s="86"/>
      <x:c r="B163" s="86"/>
      <x:c r="C163" s="106"/>
      <x:c r="D163" s="112"/>
      <x:c r="E163" s="113"/>
      <x:c r="F163" s="112"/>
      <x:c r="G163" s="113"/>
      <x:c r="H163" s="113"/>
      <x:c r="I163" s="113"/>
      <x:c r="J163" s="113"/>
      <x:c r="K163" s="113"/>
      <x:c r="L163" s="112"/>
      <x:c r="M163" s="112"/>
      <x:c r="N163" s="113"/>
      <x:c r="O163" s="113"/>
      <x:c r="P163" s="112"/>
      <x:c r="Q163" s="112"/>
      <x:c r="R163" s="114"/>
      <x:c r="S163" s="114"/>
      <x:c r="T163" s="113"/>
      <x:c r="U163" s="106"/>
      <x:c r="V163" s="106"/>
      <x:c r="W163" s="86"/>
      <x:c r="X163" s="86"/>
      <x:c r="Y163" s="86"/>
      <x:c r="Z163" s="86"/>
    </x:row>
    <x:row r="164">
      <x:c r="A164" s="86"/>
      <x:c r="B164" s="86"/>
      <x:c r="C164" s="106"/>
      <x:c r="D164" s="112"/>
      <x:c r="E164" s="113"/>
      <x:c r="F164" s="112"/>
      <x:c r="G164" s="113"/>
      <x:c r="H164" s="113"/>
      <x:c r="I164" s="113"/>
      <x:c r="J164" s="113"/>
      <x:c r="K164" s="113"/>
      <x:c r="L164" s="112"/>
      <x:c r="M164" s="112"/>
      <x:c r="N164" s="113"/>
      <x:c r="O164" s="113"/>
      <x:c r="P164" s="112"/>
      <x:c r="Q164" s="112"/>
      <x:c r="R164" s="114"/>
      <x:c r="S164" s="114"/>
      <x:c r="T164" s="113"/>
      <x:c r="U164" s="106"/>
      <x:c r="V164" s="106"/>
      <x:c r="W164" s="86"/>
      <x:c r="X164" s="86"/>
      <x:c r="Y164" s="86"/>
      <x:c r="Z164" s="86"/>
    </x:row>
    <x:row r="165">
      <x:c r="A165" s="86"/>
      <x:c r="B165" s="86"/>
      <x:c r="C165" s="106"/>
      <x:c r="D165" s="112"/>
      <x:c r="E165" s="113"/>
      <x:c r="F165" s="112"/>
      <x:c r="G165" s="113"/>
      <x:c r="H165" s="113"/>
      <x:c r="I165" s="113"/>
      <x:c r="J165" s="113"/>
      <x:c r="K165" s="113"/>
      <x:c r="L165" s="112"/>
      <x:c r="M165" s="112"/>
      <x:c r="N165" s="113"/>
      <x:c r="O165" s="113"/>
      <x:c r="P165" s="112"/>
      <x:c r="Q165" s="112"/>
      <x:c r="R165" s="114"/>
      <x:c r="S165" s="114"/>
      <x:c r="T165" s="113"/>
      <x:c r="U165" s="106"/>
      <x:c r="V165" s="106"/>
      <x:c r="W165" s="86"/>
      <x:c r="X165" s="86"/>
      <x:c r="Y165" s="86"/>
      <x:c r="Z165" s="86"/>
    </x:row>
    <x:row r="166">
      <x:c r="A166" s="86"/>
      <x:c r="B166" s="86"/>
      <x:c r="C166" s="106"/>
      <x:c r="D166" s="112"/>
      <x:c r="E166" s="113"/>
      <x:c r="F166" s="112"/>
      <x:c r="G166" s="113"/>
      <x:c r="H166" s="113"/>
      <x:c r="I166" s="113"/>
      <x:c r="J166" s="113"/>
      <x:c r="K166" s="113"/>
      <x:c r="L166" s="112"/>
      <x:c r="M166" s="112"/>
      <x:c r="N166" s="113"/>
      <x:c r="O166" s="113"/>
      <x:c r="P166" s="112"/>
      <x:c r="Q166" s="112"/>
      <x:c r="R166" s="114"/>
      <x:c r="S166" s="114"/>
      <x:c r="T166" s="113"/>
      <x:c r="U166" s="106"/>
      <x:c r="V166" s="106"/>
      <x:c r="W166" s="86"/>
      <x:c r="X166" s="86"/>
      <x:c r="Y166" s="86"/>
      <x:c r="Z166" s="86"/>
    </x:row>
    <x:row r="167">
      <x:c r="A167" s="86"/>
      <x:c r="B167" s="86"/>
      <x:c r="C167" s="106"/>
      <x:c r="D167" s="112"/>
      <x:c r="E167" s="113"/>
      <x:c r="F167" s="112"/>
      <x:c r="G167" s="113"/>
      <x:c r="H167" s="113"/>
      <x:c r="I167" s="113"/>
      <x:c r="J167" s="113"/>
      <x:c r="K167" s="113"/>
      <x:c r="L167" s="112"/>
      <x:c r="M167" s="112"/>
      <x:c r="N167" s="113"/>
      <x:c r="O167" s="113"/>
      <x:c r="P167" s="112"/>
      <x:c r="Q167" s="112"/>
      <x:c r="R167" s="114"/>
      <x:c r="S167" s="114"/>
      <x:c r="T167" s="113"/>
      <x:c r="U167" s="106"/>
      <x:c r="V167" s="106"/>
      <x:c r="W167" s="86"/>
      <x:c r="X167" s="86"/>
      <x:c r="Y167" s="86"/>
      <x:c r="Z167" s="86"/>
    </x:row>
    <x:row r="168">
      <x:c r="A168" s="86"/>
      <x:c r="B168" s="86"/>
      <x:c r="C168" s="106"/>
      <x:c r="D168" s="112"/>
      <x:c r="E168" s="113"/>
      <x:c r="F168" s="112"/>
      <x:c r="G168" s="113"/>
      <x:c r="H168" s="113"/>
      <x:c r="I168" s="113"/>
      <x:c r="J168" s="113"/>
      <x:c r="K168" s="113"/>
      <x:c r="L168" s="112"/>
      <x:c r="M168" s="112"/>
      <x:c r="N168" s="113"/>
      <x:c r="O168" s="113"/>
      <x:c r="P168" s="112"/>
      <x:c r="Q168" s="112"/>
      <x:c r="R168" s="114"/>
      <x:c r="S168" s="114"/>
      <x:c r="T168" s="113"/>
      <x:c r="U168" s="106"/>
      <x:c r="V168" s="106"/>
      <x:c r="W168" s="86"/>
      <x:c r="X168" s="86"/>
      <x:c r="Y168" s="86"/>
      <x:c r="Z168" s="86"/>
    </x:row>
    <x:row r="169">
      <x:c r="A169" s="86"/>
      <x:c r="B169" s="86"/>
      <x:c r="C169" s="106"/>
      <x:c r="D169" s="112"/>
      <x:c r="E169" s="113"/>
      <x:c r="F169" s="112"/>
      <x:c r="G169" s="113"/>
      <x:c r="H169" s="113"/>
      <x:c r="I169" s="113"/>
      <x:c r="J169" s="113"/>
      <x:c r="K169" s="113"/>
      <x:c r="L169" s="112"/>
      <x:c r="M169" s="112"/>
      <x:c r="N169" s="113"/>
      <x:c r="O169" s="113"/>
      <x:c r="P169" s="112"/>
      <x:c r="Q169" s="112"/>
      <x:c r="R169" s="114"/>
      <x:c r="S169" s="114"/>
      <x:c r="T169" s="113"/>
      <x:c r="U169" s="106"/>
      <x:c r="V169" s="106"/>
      <x:c r="W169" s="86"/>
      <x:c r="X169" s="86"/>
      <x:c r="Y169" s="86"/>
      <x:c r="Z169" s="86"/>
    </x:row>
    <x:row r="170">
      <x:c r="A170" s="86"/>
      <x:c r="B170" s="86"/>
      <x:c r="C170" s="106"/>
      <x:c r="D170" s="112"/>
      <x:c r="E170" s="113"/>
      <x:c r="F170" s="112"/>
      <x:c r="G170" s="113"/>
      <x:c r="H170" s="113"/>
      <x:c r="I170" s="113"/>
      <x:c r="J170" s="113"/>
      <x:c r="K170" s="113"/>
      <x:c r="L170" s="112"/>
      <x:c r="M170" s="112"/>
      <x:c r="N170" s="113"/>
      <x:c r="O170" s="113"/>
      <x:c r="P170" s="112"/>
      <x:c r="Q170" s="112"/>
      <x:c r="R170" s="114"/>
      <x:c r="S170" s="114"/>
      <x:c r="T170" s="113"/>
      <x:c r="U170" s="106"/>
      <x:c r="V170" s="106"/>
      <x:c r="W170" s="86"/>
      <x:c r="X170" s="86"/>
      <x:c r="Y170" s="86"/>
      <x:c r="Z170" s="86"/>
    </x:row>
    <x:row r="171">
      <x:c r="A171" s="86"/>
      <x:c r="B171" s="86"/>
      <x:c r="C171" s="106"/>
      <x:c r="D171" s="112"/>
      <x:c r="E171" s="113"/>
      <x:c r="F171" s="112"/>
      <x:c r="G171" s="113"/>
      <x:c r="H171" s="113"/>
      <x:c r="I171" s="113"/>
      <x:c r="J171" s="113"/>
      <x:c r="K171" s="113"/>
      <x:c r="L171" s="112"/>
      <x:c r="M171" s="112"/>
      <x:c r="N171" s="113"/>
      <x:c r="O171" s="113"/>
      <x:c r="P171" s="112"/>
      <x:c r="Q171" s="112"/>
      <x:c r="R171" s="114"/>
      <x:c r="S171" s="114"/>
      <x:c r="T171" s="113"/>
      <x:c r="U171" s="106"/>
      <x:c r="V171" s="106"/>
      <x:c r="W171" s="86"/>
      <x:c r="X171" s="86"/>
      <x:c r="Y171" s="86"/>
      <x:c r="Z171" s="86"/>
    </x:row>
    <x:row r="172">
      <x:c r="A172" s="86"/>
      <x:c r="B172" s="86"/>
      <x:c r="C172" s="106"/>
      <x:c r="D172" s="112"/>
      <x:c r="E172" s="113"/>
      <x:c r="F172" s="112"/>
      <x:c r="G172" s="113"/>
      <x:c r="H172" s="113"/>
      <x:c r="I172" s="113"/>
      <x:c r="J172" s="113"/>
      <x:c r="K172" s="113"/>
      <x:c r="L172" s="112"/>
      <x:c r="M172" s="112"/>
      <x:c r="N172" s="113"/>
      <x:c r="O172" s="113"/>
      <x:c r="P172" s="112"/>
      <x:c r="Q172" s="112"/>
      <x:c r="R172" s="114"/>
      <x:c r="S172" s="114"/>
      <x:c r="T172" s="113"/>
      <x:c r="U172" s="106"/>
      <x:c r="V172" s="106"/>
      <x:c r="W172" s="86"/>
      <x:c r="X172" s="86"/>
      <x:c r="Y172" s="86"/>
      <x:c r="Z172" s="86"/>
    </x:row>
    <x:row r="173">
      <x:c r="A173" s="86"/>
      <x:c r="B173" s="86"/>
      <x:c r="C173" s="106"/>
      <x:c r="D173" s="112"/>
      <x:c r="E173" s="113"/>
      <x:c r="F173" s="112"/>
      <x:c r="G173" s="113"/>
      <x:c r="H173" s="113"/>
      <x:c r="I173" s="113"/>
      <x:c r="J173" s="113"/>
      <x:c r="K173" s="113"/>
      <x:c r="L173" s="112"/>
      <x:c r="M173" s="112"/>
      <x:c r="N173" s="113"/>
      <x:c r="O173" s="113"/>
      <x:c r="P173" s="112"/>
      <x:c r="Q173" s="112"/>
      <x:c r="R173" s="114"/>
      <x:c r="S173" s="114"/>
      <x:c r="T173" s="113"/>
      <x:c r="U173" s="106"/>
      <x:c r="V173" s="106"/>
      <x:c r="W173" s="86"/>
      <x:c r="X173" s="86"/>
      <x:c r="Y173" s="86"/>
      <x:c r="Z173" s="86"/>
    </x:row>
    <x:row r="174">
      <x:c r="A174" s="86"/>
      <x:c r="B174" s="86"/>
      <x:c r="C174" s="106"/>
      <x:c r="D174" s="112"/>
      <x:c r="E174" s="113"/>
      <x:c r="F174" s="112"/>
      <x:c r="G174" s="113"/>
      <x:c r="H174" s="113"/>
      <x:c r="I174" s="113"/>
      <x:c r="J174" s="113"/>
      <x:c r="K174" s="113"/>
      <x:c r="L174" s="112"/>
      <x:c r="M174" s="112"/>
      <x:c r="N174" s="113"/>
      <x:c r="O174" s="113"/>
      <x:c r="P174" s="112"/>
      <x:c r="Q174" s="112"/>
      <x:c r="R174" s="114"/>
      <x:c r="S174" s="114"/>
      <x:c r="T174" s="113"/>
      <x:c r="U174" s="106"/>
      <x:c r="V174" s="106"/>
      <x:c r="W174" s="86"/>
      <x:c r="X174" s="86"/>
      <x:c r="Y174" s="86"/>
      <x:c r="Z174" s="86"/>
    </x:row>
    <x:row r="175">
      <x:c r="A175" s="86"/>
      <x:c r="B175" s="86"/>
      <x:c r="C175" s="106"/>
      <x:c r="D175" s="112"/>
      <x:c r="E175" s="113"/>
      <x:c r="F175" s="112"/>
      <x:c r="G175" s="113"/>
      <x:c r="H175" s="113"/>
      <x:c r="I175" s="113"/>
      <x:c r="J175" s="113"/>
      <x:c r="K175" s="113"/>
      <x:c r="L175" s="112"/>
      <x:c r="M175" s="112"/>
      <x:c r="N175" s="113"/>
      <x:c r="O175" s="113"/>
      <x:c r="P175" s="112"/>
      <x:c r="Q175" s="112"/>
      <x:c r="R175" s="114"/>
      <x:c r="S175" s="114"/>
      <x:c r="T175" s="113"/>
      <x:c r="U175" s="106"/>
      <x:c r="V175" s="106"/>
      <x:c r="W175" s="86"/>
      <x:c r="X175" s="86"/>
      <x:c r="Y175" s="86"/>
      <x:c r="Z175" s="86"/>
    </x:row>
    <x:row r="176">
      <x:c r="A176" s="86"/>
      <x:c r="B176" s="86"/>
      <x:c r="C176" s="106"/>
      <x:c r="D176" s="112"/>
      <x:c r="E176" s="113"/>
      <x:c r="F176" s="112"/>
      <x:c r="G176" s="113"/>
      <x:c r="H176" s="113"/>
      <x:c r="I176" s="113"/>
      <x:c r="J176" s="113"/>
      <x:c r="K176" s="113"/>
      <x:c r="L176" s="112"/>
      <x:c r="M176" s="112"/>
      <x:c r="N176" s="113"/>
      <x:c r="O176" s="113"/>
      <x:c r="P176" s="112"/>
      <x:c r="Q176" s="112"/>
      <x:c r="R176" s="114"/>
      <x:c r="S176" s="114"/>
      <x:c r="T176" s="113"/>
      <x:c r="U176" s="106"/>
      <x:c r="V176" s="106"/>
      <x:c r="W176" s="86"/>
      <x:c r="X176" s="86"/>
      <x:c r="Y176" s="86"/>
      <x:c r="Z176" s="86"/>
    </x:row>
    <x:row r="177">
      <x:c r="A177" s="86"/>
      <x:c r="B177" s="86"/>
      <x:c r="C177" s="106"/>
      <x:c r="D177" s="112"/>
      <x:c r="E177" s="113"/>
      <x:c r="F177" s="112"/>
      <x:c r="G177" s="113"/>
      <x:c r="H177" s="113"/>
      <x:c r="I177" s="113"/>
      <x:c r="J177" s="113"/>
      <x:c r="K177" s="113"/>
      <x:c r="L177" s="112"/>
      <x:c r="M177" s="112"/>
      <x:c r="N177" s="113"/>
      <x:c r="O177" s="113"/>
      <x:c r="P177" s="112"/>
      <x:c r="Q177" s="112"/>
      <x:c r="R177" s="114"/>
      <x:c r="S177" s="114"/>
      <x:c r="T177" s="113"/>
      <x:c r="U177" s="106"/>
      <x:c r="V177" s="106"/>
      <x:c r="W177" s="86"/>
      <x:c r="X177" s="86"/>
      <x:c r="Y177" s="86"/>
      <x:c r="Z177" s="86"/>
    </x:row>
    <x:row r="178">
      <x:c r="A178" s="86"/>
      <x:c r="B178" s="86"/>
      <x:c r="C178" s="106"/>
      <x:c r="D178" s="112"/>
      <x:c r="E178" s="113"/>
      <x:c r="F178" s="112"/>
      <x:c r="G178" s="113"/>
      <x:c r="H178" s="113"/>
      <x:c r="I178" s="113"/>
      <x:c r="J178" s="113"/>
      <x:c r="K178" s="113"/>
      <x:c r="L178" s="112"/>
      <x:c r="M178" s="112"/>
      <x:c r="N178" s="113"/>
      <x:c r="O178" s="113"/>
      <x:c r="P178" s="112"/>
      <x:c r="Q178" s="112"/>
      <x:c r="R178" s="114"/>
      <x:c r="S178" s="114"/>
      <x:c r="T178" s="113"/>
      <x:c r="U178" s="106"/>
      <x:c r="V178" s="106"/>
      <x:c r="W178" s="86"/>
      <x:c r="X178" s="86"/>
      <x:c r="Y178" s="86"/>
      <x:c r="Z178" s="86"/>
    </x:row>
    <x:row r="179">
      <x:c r="A179" s="86"/>
      <x:c r="B179" s="86"/>
      <x:c r="C179" s="106"/>
      <x:c r="D179" s="112"/>
      <x:c r="E179" s="113"/>
      <x:c r="F179" s="112"/>
      <x:c r="G179" s="113"/>
      <x:c r="H179" s="113"/>
      <x:c r="I179" s="113"/>
      <x:c r="J179" s="113"/>
      <x:c r="K179" s="113"/>
      <x:c r="L179" s="112"/>
      <x:c r="M179" s="112"/>
      <x:c r="N179" s="113"/>
      <x:c r="O179" s="113"/>
      <x:c r="P179" s="112"/>
      <x:c r="Q179" s="112"/>
      <x:c r="R179" s="114"/>
      <x:c r="S179" s="114"/>
      <x:c r="T179" s="113"/>
      <x:c r="U179" s="106"/>
      <x:c r="V179" s="106"/>
      <x:c r="W179" s="86"/>
      <x:c r="X179" s="86"/>
      <x:c r="Y179" s="86"/>
      <x:c r="Z179" s="86"/>
    </x:row>
    <x:row r="180">
      <x:c r="A180" s="86"/>
      <x:c r="B180" s="86"/>
      <x:c r="C180" s="106"/>
      <x:c r="D180" s="112"/>
      <x:c r="E180" s="113"/>
      <x:c r="F180" s="112"/>
      <x:c r="G180" s="113"/>
      <x:c r="H180" s="113"/>
      <x:c r="I180" s="113"/>
      <x:c r="J180" s="113"/>
      <x:c r="K180" s="113"/>
      <x:c r="L180" s="112"/>
      <x:c r="M180" s="112"/>
      <x:c r="N180" s="113"/>
      <x:c r="O180" s="113"/>
      <x:c r="P180" s="112"/>
      <x:c r="Q180" s="112"/>
      <x:c r="R180" s="114"/>
      <x:c r="S180" s="114"/>
      <x:c r="T180" s="113"/>
      <x:c r="U180" s="106"/>
      <x:c r="V180" s="106"/>
      <x:c r="W180" s="86"/>
      <x:c r="X180" s="86"/>
      <x:c r="Y180" s="86"/>
      <x:c r="Z180" s="86"/>
    </x:row>
    <x:row r="181">
      <x:c r="A181" s="86"/>
      <x:c r="B181" s="86"/>
      <x:c r="C181" s="106"/>
      <x:c r="D181" s="112"/>
      <x:c r="E181" s="113"/>
      <x:c r="F181" s="112"/>
      <x:c r="G181" s="113"/>
      <x:c r="H181" s="113"/>
      <x:c r="I181" s="113"/>
      <x:c r="J181" s="113"/>
      <x:c r="K181" s="113"/>
      <x:c r="L181" s="112"/>
      <x:c r="M181" s="112"/>
      <x:c r="N181" s="113"/>
      <x:c r="O181" s="113"/>
      <x:c r="P181" s="112"/>
      <x:c r="Q181" s="112"/>
      <x:c r="R181" s="114"/>
      <x:c r="S181" s="114"/>
      <x:c r="T181" s="113"/>
      <x:c r="U181" s="106"/>
      <x:c r="V181" s="106"/>
      <x:c r="W181" s="86"/>
      <x:c r="X181" s="86"/>
      <x:c r="Y181" s="86"/>
      <x:c r="Z181" s="86"/>
    </x:row>
    <x:row r="182">
      <x:c r="A182" s="86"/>
      <x:c r="B182" s="86"/>
      <x:c r="C182" s="106"/>
      <x:c r="D182" s="112"/>
      <x:c r="E182" s="113"/>
      <x:c r="F182" s="112"/>
      <x:c r="G182" s="113"/>
      <x:c r="H182" s="113"/>
      <x:c r="I182" s="113"/>
      <x:c r="J182" s="113"/>
      <x:c r="K182" s="113"/>
      <x:c r="L182" s="112"/>
      <x:c r="M182" s="112"/>
      <x:c r="N182" s="113"/>
      <x:c r="O182" s="113"/>
      <x:c r="P182" s="112"/>
      <x:c r="Q182" s="112"/>
      <x:c r="R182" s="114"/>
      <x:c r="S182" s="114"/>
      <x:c r="T182" s="113"/>
      <x:c r="U182" s="106"/>
      <x:c r="V182" s="106"/>
      <x:c r="W182" s="86"/>
      <x:c r="X182" s="86"/>
      <x:c r="Y182" s="86"/>
      <x:c r="Z182" s="86"/>
    </x:row>
    <x:row r="183">
      <x:c r="A183" s="86"/>
      <x:c r="B183" s="86"/>
      <x:c r="C183" s="106"/>
      <x:c r="D183" s="112"/>
      <x:c r="E183" s="113"/>
      <x:c r="F183" s="112"/>
      <x:c r="G183" s="113"/>
      <x:c r="H183" s="113"/>
      <x:c r="I183" s="113"/>
      <x:c r="J183" s="113"/>
      <x:c r="K183" s="113"/>
      <x:c r="L183" s="112"/>
      <x:c r="M183" s="112"/>
      <x:c r="N183" s="113"/>
      <x:c r="O183" s="113"/>
      <x:c r="P183" s="112"/>
      <x:c r="Q183" s="112"/>
      <x:c r="R183" s="114"/>
      <x:c r="S183" s="114"/>
      <x:c r="T183" s="113"/>
      <x:c r="U183" s="106"/>
      <x:c r="V183" s="106"/>
      <x:c r="W183" s="86"/>
      <x:c r="X183" s="86"/>
      <x:c r="Y183" s="86"/>
      <x:c r="Z183" s="86"/>
    </x:row>
    <x:row r="184">
      <x:c r="A184" s="86"/>
      <x:c r="B184" s="86"/>
      <x:c r="C184" s="106"/>
      <x:c r="D184" s="112"/>
      <x:c r="E184" s="113"/>
      <x:c r="F184" s="112"/>
      <x:c r="G184" s="113"/>
      <x:c r="H184" s="113"/>
      <x:c r="I184" s="113"/>
      <x:c r="J184" s="113"/>
      <x:c r="K184" s="113"/>
      <x:c r="L184" s="112"/>
      <x:c r="M184" s="112"/>
      <x:c r="N184" s="113"/>
      <x:c r="O184" s="113"/>
      <x:c r="P184" s="112"/>
      <x:c r="Q184" s="112"/>
      <x:c r="R184" s="114"/>
      <x:c r="S184" s="114"/>
      <x:c r="T184" s="113"/>
      <x:c r="U184" s="106"/>
      <x:c r="V184" s="106"/>
      <x:c r="W184" s="86"/>
      <x:c r="X184" s="86"/>
      <x:c r="Y184" s="86"/>
      <x:c r="Z184" s="86"/>
    </x:row>
    <x:row r="185">
      <x:c r="A185" s="86"/>
      <x:c r="B185" s="86"/>
      <x:c r="C185" s="106"/>
      <x:c r="D185" s="112"/>
      <x:c r="E185" s="113"/>
      <x:c r="F185" s="112"/>
      <x:c r="G185" s="113"/>
      <x:c r="H185" s="113"/>
      <x:c r="I185" s="113"/>
      <x:c r="J185" s="113"/>
      <x:c r="K185" s="113"/>
      <x:c r="L185" s="112"/>
      <x:c r="M185" s="112"/>
      <x:c r="N185" s="113"/>
      <x:c r="O185" s="113"/>
      <x:c r="P185" s="112"/>
      <x:c r="Q185" s="112"/>
      <x:c r="R185" s="114"/>
      <x:c r="S185" s="114"/>
      <x:c r="T185" s="113"/>
      <x:c r="U185" s="106"/>
      <x:c r="V185" s="106"/>
      <x:c r="W185" s="86"/>
      <x:c r="X185" s="86"/>
      <x:c r="Y185" s="86"/>
      <x:c r="Z185" s="86"/>
    </x:row>
    <x:row r="186">
      <x:c r="A186" s="86"/>
      <x:c r="B186" s="86"/>
      <x:c r="C186" s="106"/>
      <x:c r="D186" s="112"/>
      <x:c r="E186" s="113"/>
      <x:c r="F186" s="112"/>
      <x:c r="G186" s="113"/>
      <x:c r="H186" s="113"/>
      <x:c r="I186" s="113"/>
      <x:c r="J186" s="113"/>
      <x:c r="K186" s="113"/>
      <x:c r="L186" s="112"/>
      <x:c r="M186" s="112"/>
      <x:c r="N186" s="113"/>
      <x:c r="O186" s="113"/>
      <x:c r="P186" s="112"/>
      <x:c r="Q186" s="112"/>
      <x:c r="R186" s="114"/>
      <x:c r="S186" s="114"/>
      <x:c r="T186" s="113"/>
      <x:c r="U186" s="106"/>
      <x:c r="V186" s="106"/>
      <x:c r="W186" s="86"/>
      <x:c r="X186" s="86"/>
      <x:c r="Y186" s="86"/>
      <x:c r="Z186" s="86"/>
    </x:row>
    <x:row r="187">
      <x:c r="A187" s="86"/>
      <x:c r="B187" s="86"/>
      <x:c r="C187" s="106"/>
      <x:c r="D187" s="112"/>
      <x:c r="E187" s="113"/>
      <x:c r="F187" s="112"/>
      <x:c r="G187" s="113"/>
      <x:c r="H187" s="113"/>
      <x:c r="I187" s="113"/>
      <x:c r="J187" s="113"/>
      <x:c r="K187" s="113"/>
      <x:c r="L187" s="112"/>
      <x:c r="M187" s="112"/>
      <x:c r="N187" s="113"/>
      <x:c r="O187" s="113"/>
      <x:c r="P187" s="112"/>
      <x:c r="Q187" s="112"/>
      <x:c r="R187" s="114"/>
      <x:c r="S187" s="114"/>
      <x:c r="T187" s="113"/>
      <x:c r="U187" s="106"/>
      <x:c r="V187" s="106"/>
      <x:c r="W187" s="86"/>
      <x:c r="X187" s="86"/>
      <x:c r="Y187" s="86"/>
      <x:c r="Z187" s="86"/>
    </x:row>
    <x:row r="188">
      <x:c r="A188" s="86"/>
      <x:c r="B188" s="86"/>
      <x:c r="C188" s="106"/>
      <x:c r="D188" s="112"/>
      <x:c r="E188" s="113"/>
      <x:c r="F188" s="112"/>
      <x:c r="G188" s="113"/>
      <x:c r="H188" s="113"/>
      <x:c r="I188" s="113"/>
      <x:c r="J188" s="113"/>
      <x:c r="K188" s="113"/>
      <x:c r="L188" s="112"/>
      <x:c r="M188" s="112"/>
      <x:c r="N188" s="113"/>
      <x:c r="O188" s="113"/>
      <x:c r="P188" s="112"/>
      <x:c r="Q188" s="112"/>
      <x:c r="R188" s="114"/>
      <x:c r="S188" s="114"/>
      <x:c r="T188" s="113"/>
      <x:c r="U188" s="106"/>
      <x:c r="V188" s="106"/>
      <x:c r="W188" s="86"/>
      <x:c r="X188" s="86"/>
      <x:c r="Y188" s="86"/>
      <x:c r="Z188" s="86"/>
    </x:row>
    <x:row r="189">
      <x:c r="A189" s="86"/>
      <x:c r="B189" s="86"/>
      <x:c r="C189" s="106"/>
      <x:c r="D189" s="112"/>
      <x:c r="E189" s="113"/>
      <x:c r="F189" s="112"/>
      <x:c r="G189" s="113"/>
      <x:c r="H189" s="113"/>
      <x:c r="I189" s="113"/>
      <x:c r="J189" s="113"/>
      <x:c r="K189" s="113"/>
      <x:c r="L189" s="112"/>
      <x:c r="M189" s="112"/>
      <x:c r="N189" s="113"/>
      <x:c r="O189" s="113"/>
      <x:c r="P189" s="112"/>
      <x:c r="Q189" s="112"/>
      <x:c r="R189" s="114"/>
      <x:c r="S189" s="114"/>
      <x:c r="T189" s="113"/>
      <x:c r="U189" s="106"/>
      <x:c r="V189" s="106"/>
      <x:c r="W189" s="86"/>
      <x:c r="X189" s="86"/>
      <x:c r="Y189" s="86"/>
      <x:c r="Z189" s="86"/>
    </x:row>
    <x:row r="190">
      <x:c r="A190" s="86"/>
      <x:c r="B190" s="86"/>
      <x:c r="C190" s="106"/>
      <x:c r="D190" s="112"/>
      <x:c r="E190" s="113"/>
      <x:c r="F190" s="112"/>
      <x:c r="G190" s="113"/>
      <x:c r="H190" s="113"/>
      <x:c r="I190" s="113"/>
      <x:c r="J190" s="113"/>
      <x:c r="K190" s="113"/>
      <x:c r="L190" s="112"/>
      <x:c r="M190" s="112"/>
      <x:c r="N190" s="113"/>
      <x:c r="O190" s="113"/>
      <x:c r="P190" s="112"/>
      <x:c r="Q190" s="112"/>
      <x:c r="R190" s="114"/>
      <x:c r="S190" s="114"/>
      <x:c r="T190" s="113"/>
      <x:c r="U190" s="106"/>
      <x:c r="V190" s="106"/>
      <x:c r="W190" s="86"/>
      <x:c r="X190" s="86"/>
      <x:c r="Y190" s="86"/>
      <x:c r="Z190" s="86"/>
    </x:row>
    <x:row r="191">
      <x:c r="A191" s="86"/>
      <x:c r="B191" s="86"/>
      <x:c r="C191" s="106"/>
      <x:c r="D191" s="112"/>
      <x:c r="E191" s="113"/>
      <x:c r="F191" s="112"/>
      <x:c r="G191" s="113"/>
      <x:c r="H191" s="113"/>
      <x:c r="I191" s="113"/>
      <x:c r="J191" s="113"/>
      <x:c r="K191" s="113"/>
      <x:c r="L191" s="112"/>
      <x:c r="M191" s="112"/>
      <x:c r="N191" s="113"/>
      <x:c r="O191" s="113"/>
      <x:c r="P191" s="112"/>
      <x:c r="Q191" s="112"/>
      <x:c r="R191" s="114"/>
      <x:c r="S191" s="114"/>
      <x:c r="T191" s="113"/>
      <x:c r="U191" s="106"/>
      <x:c r="V191" s="106"/>
      <x:c r="W191" s="86"/>
      <x:c r="X191" s="86"/>
      <x:c r="Y191" s="86"/>
      <x:c r="Z191" s="86"/>
    </x:row>
    <x:row r="192">
      <x:c r="A192" s="86"/>
      <x:c r="B192" s="86"/>
      <x:c r="C192" s="106"/>
      <x:c r="D192" s="112"/>
      <x:c r="E192" s="113"/>
      <x:c r="F192" s="112"/>
      <x:c r="G192" s="113"/>
      <x:c r="H192" s="113"/>
      <x:c r="I192" s="113"/>
      <x:c r="J192" s="113"/>
      <x:c r="K192" s="113"/>
      <x:c r="L192" s="112"/>
      <x:c r="M192" s="112"/>
      <x:c r="N192" s="113"/>
      <x:c r="O192" s="113"/>
      <x:c r="P192" s="112"/>
      <x:c r="Q192" s="112"/>
      <x:c r="R192" s="114"/>
      <x:c r="S192" s="114"/>
      <x:c r="T192" s="113"/>
      <x:c r="U192" s="106"/>
      <x:c r="V192" s="106"/>
      <x:c r="W192" s="86"/>
      <x:c r="X192" s="86"/>
      <x:c r="Y192" s="86"/>
      <x:c r="Z192" s="86"/>
    </x:row>
    <x:row r="193">
      <x:c r="A193" s="86"/>
      <x:c r="B193" s="86"/>
      <x:c r="C193" s="106"/>
      <x:c r="D193" s="112"/>
      <x:c r="E193" s="113"/>
      <x:c r="F193" s="112"/>
      <x:c r="G193" s="113"/>
      <x:c r="H193" s="113"/>
      <x:c r="I193" s="113"/>
      <x:c r="J193" s="113"/>
      <x:c r="K193" s="113"/>
      <x:c r="L193" s="112"/>
      <x:c r="M193" s="112"/>
      <x:c r="N193" s="113"/>
      <x:c r="O193" s="113"/>
      <x:c r="P193" s="112"/>
      <x:c r="Q193" s="112"/>
      <x:c r="R193" s="114"/>
      <x:c r="S193" s="114"/>
      <x:c r="T193" s="113"/>
      <x:c r="U193" s="106"/>
      <x:c r="V193" s="106"/>
      <x:c r="W193" s="86"/>
      <x:c r="X193" s="86"/>
      <x:c r="Y193" s="86"/>
      <x:c r="Z193" s="86"/>
    </x:row>
    <x:row r="194">
      <x:c r="A194" s="86"/>
      <x:c r="B194" s="86"/>
      <x:c r="C194" s="106"/>
      <x:c r="D194" s="112"/>
      <x:c r="E194" s="113"/>
      <x:c r="F194" s="112"/>
      <x:c r="G194" s="113"/>
      <x:c r="H194" s="113"/>
      <x:c r="I194" s="113"/>
      <x:c r="J194" s="113"/>
      <x:c r="K194" s="113"/>
      <x:c r="L194" s="112"/>
      <x:c r="M194" s="112"/>
      <x:c r="N194" s="113"/>
      <x:c r="O194" s="113"/>
      <x:c r="P194" s="112"/>
      <x:c r="Q194" s="112"/>
      <x:c r="R194" s="114"/>
      <x:c r="S194" s="114"/>
      <x:c r="T194" s="113"/>
      <x:c r="U194" s="106"/>
      <x:c r="V194" s="106"/>
      <x:c r="W194" s="86"/>
      <x:c r="X194" s="86"/>
      <x:c r="Y194" s="86"/>
      <x:c r="Z194" s="86"/>
    </x:row>
    <x:row r="195">
      <x:c r="A195" s="86"/>
      <x:c r="B195" s="86"/>
      <x:c r="C195" s="106"/>
      <x:c r="D195" s="112"/>
      <x:c r="E195" s="113"/>
      <x:c r="F195" s="112"/>
      <x:c r="G195" s="113"/>
      <x:c r="H195" s="113"/>
      <x:c r="I195" s="113"/>
      <x:c r="J195" s="113"/>
      <x:c r="K195" s="113"/>
      <x:c r="L195" s="112"/>
      <x:c r="M195" s="112"/>
      <x:c r="N195" s="113"/>
      <x:c r="O195" s="113"/>
      <x:c r="P195" s="112"/>
      <x:c r="Q195" s="112"/>
      <x:c r="R195" s="114"/>
      <x:c r="S195" s="114"/>
      <x:c r="T195" s="113"/>
      <x:c r="U195" s="106"/>
      <x:c r="V195" s="106"/>
      <x:c r="W195" s="86"/>
      <x:c r="X195" s="86"/>
      <x:c r="Y195" s="86"/>
      <x:c r="Z195" s="86"/>
    </x:row>
    <x:row r="196">
      <x:c r="A196" s="86"/>
      <x:c r="B196" s="86"/>
      <x:c r="C196" s="106"/>
      <x:c r="D196" s="112"/>
      <x:c r="E196" s="113"/>
      <x:c r="F196" s="112"/>
      <x:c r="G196" s="113"/>
      <x:c r="H196" s="113"/>
      <x:c r="I196" s="113"/>
      <x:c r="J196" s="113"/>
      <x:c r="K196" s="113"/>
      <x:c r="L196" s="112"/>
      <x:c r="M196" s="112"/>
      <x:c r="N196" s="113"/>
      <x:c r="O196" s="113"/>
      <x:c r="P196" s="112"/>
      <x:c r="Q196" s="112"/>
      <x:c r="R196" s="114"/>
      <x:c r="S196" s="114"/>
      <x:c r="T196" s="113"/>
      <x:c r="U196" s="106"/>
      <x:c r="V196" s="106"/>
      <x:c r="W196" s="86"/>
      <x:c r="X196" s="86"/>
      <x:c r="Y196" s="86"/>
      <x:c r="Z196" s="86"/>
    </x:row>
    <x:row r="197">
      <x:c r="A197" s="86"/>
      <x:c r="B197" s="86"/>
      <x:c r="C197" s="106"/>
      <x:c r="D197" s="112"/>
      <x:c r="E197" s="113"/>
      <x:c r="F197" s="112"/>
      <x:c r="G197" s="113"/>
      <x:c r="H197" s="113"/>
      <x:c r="I197" s="113"/>
      <x:c r="J197" s="113"/>
      <x:c r="K197" s="113"/>
      <x:c r="L197" s="112"/>
      <x:c r="M197" s="112"/>
      <x:c r="N197" s="113"/>
      <x:c r="O197" s="113"/>
      <x:c r="P197" s="112"/>
      <x:c r="Q197" s="112"/>
      <x:c r="R197" s="114"/>
      <x:c r="S197" s="114"/>
      <x:c r="T197" s="113"/>
      <x:c r="U197" s="106"/>
      <x:c r="V197" s="106"/>
      <x:c r="W197" s="86"/>
      <x:c r="X197" s="86"/>
      <x:c r="Y197" s="86"/>
      <x:c r="Z197" s="86"/>
    </x:row>
    <x:row r="198">
      <x:c r="A198" s="86"/>
      <x:c r="B198" s="86"/>
      <x:c r="C198" s="106"/>
      <x:c r="D198" s="112"/>
      <x:c r="E198" s="113"/>
      <x:c r="F198" s="112"/>
      <x:c r="G198" s="113"/>
      <x:c r="H198" s="113"/>
      <x:c r="I198" s="113"/>
      <x:c r="J198" s="113"/>
      <x:c r="K198" s="113"/>
      <x:c r="L198" s="112"/>
      <x:c r="M198" s="112"/>
      <x:c r="N198" s="113"/>
      <x:c r="O198" s="113"/>
      <x:c r="P198" s="112"/>
      <x:c r="Q198" s="112"/>
      <x:c r="R198" s="114"/>
      <x:c r="S198" s="114"/>
      <x:c r="T198" s="113"/>
      <x:c r="U198" s="106"/>
      <x:c r="V198" s="106"/>
      <x:c r="W198" s="86"/>
      <x:c r="X198" s="86"/>
      <x:c r="Y198" s="86"/>
      <x:c r="Z198" s="86"/>
    </x:row>
    <x:row r="199">
      <x:c r="A199" s="86"/>
      <x:c r="B199" s="86"/>
      <x:c r="C199" s="106"/>
      <x:c r="D199" s="112"/>
      <x:c r="E199" s="113"/>
      <x:c r="F199" s="112"/>
      <x:c r="G199" s="113"/>
      <x:c r="H199" s="113"/>
      <x:c r="I199" s="113"/>
      <x:c r="J199" s="113"/>
      <x:c r="K199" s="113"/>
      <x:c r="L199" s="112"/>
      <x:c r="M199" s="112"/>
      <x:c r="N199" s="113"/>
      <x:c r="O199" s="113"/>
      <x:c r="P199" s="112"/>
      <x:c r="Q199" s="112"/>
      <x:c r="R199" s="114"/>
      <x:c r="S199" s="114"/>
      <x:c r="T199" s="113"/>
      <x:c r="U199" s="106"/>
      <x:c r="V199" s="106"/>
      <x:c r="W199" s="86"/>
      <x:c r="X199" s="86"/>
      <x:c r="Y199" s="86"/>
      <x:c r="Z199" s="86"/>
    </x:row>
    <x:row r="200">
      <x:c r="A200" s="86"/>
      <x:c r="B200" s="86"/>
      <x:c r="C200" s="106"/>
      <x:c r="D200" s="112"/>
      <x:c r="E200" s="113"/>
      <x:c r="F200" s="112"/>
      <x:c r="G200" s="113"/>
      <x:c r="H200" s="113"/>
      <x:c r="I200" s="113"/>
      <x:c r="J200" s="113"/>
      <x:c r="K200" s="113"/>
      <x:c r="L200" s="112"/>
      <x:c r="M200" s="112"/>
      <x:c r="N200" s="113"/>
      <x:c r="O200" s="113"/>
      <x:c r="P200" s="112"/>
      <x:c r="Q200" s="112"/>
      <x:c r="R200" s="114"/>
      <x:c r="S200" s="114"/>
      <x:c r="T200" s="113"/>
      <x:c r="U200" s="106"/>
      <x:c r="V200" s="10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V1"/>
  </x:mergeCells>
  <x:dataValidations count="1">
    <x:dataValidation type="list" sqref="V4:V200">
      <x:formula1>"正常,待Agent写入,待复核,冲突,缺失"</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1" hidden="0" customWidth="1"/>
    <x:col min="2" max="2" width="14" hidden="0" customWidth="1"/>
    <x:col min="3" max="3" width="12" hidden="0" customWidth="1"/>
    <x:col min="4" max="4" width="12" hidden="0" customWidth="1"/>
    <x:col min="5" max="5" width="12" hidden="0" customWidth="1"/>
    <x:col min="6" max="6" width="12" hidden="0" customWidth="1"/>
    <x:col min="7" max="7" width="12" hidden="0" customWidth="1"/>
    <x:col min="8" max="8" width="10" hidden="0" customWidth="1"/>
    <x:col min="9" max="9" width="10" hidden="0" customWidth="1"/>
    <x:col min="10" max="10" width="10" hidden="0" customWidth="1"/>
    <x:col min="11" max="11" width="12" hidden="0" customWidth="1"/>
    <x:col min="12" max="12" width="12" hidden="0" customWidth="1"/>
    <x:col min="13" max="13" width="14" hidden="0" customWidth="1"/>
    <x:col min="14" max="14" width="14" hidden="0" customWidth="1"/>
    <x:col min="15" max="15" width="15" hidden="0" customWidth="1"/>
    <x:col min="16" max="16" width="12" hidden="0" customWidth="1"/>
    <x:col min="17" max="17" width="12" hidden="0" customWidth="1"/>
    <x:col min="18" max="18" width="12" hidden="0" customWidth="1"/>
    <x:col min="19" max="19" width="18" hidden="0" customWidth="1"/>
    <x:col min="20" max="20" width="19" hidden="0" customWidth="1"/>
    <x:col min="21" max="21" width="12" hidden="0" customWidth="1"/>
  </x:cols>
  <x:sheetData>
    <x:row r="1">
      <x:c r="A1" s="5" t="str">
        <x:v>估值跟踪（行情/模型数据由Agent或脚本写入；当前未接实时数据）</x:v>
      </x:c>
      <x:c r="B1" s="5"/>
      <x:c r="C1" s="5"/>
      <x:c r="D1" s="5"/>
      <x:c r="E1" s="5"/>
      <x:c r="F1" s="5"/>
      <x:c r="G1" s="5"/>
      <x:c r="H1" s="5"/>
      <x:c r="I1" s="5"/>
      <x:c r="J1" s="5"/>
      <x:c r="K1" s="5"/>
      <x:c r="L1" s="5"/>
      <x:c r="M1" s="5"/>
      <x:c r="N1" s="5"/>
      <x:c r="O1" s="5"/>
      <x:c r="P1" s="5"/>
      <x:c r="Q1" s="5"/>
      <x:c r="R1" s="5"/>
      <x:c r="S1" s="5"/>
      <x:c r="T1" s="5"/>
      <x:c r="U1" s="5"/>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股票代码</x:v>
      </x:c>
      <x:c r="B3" s="13" t="str">
        <x:v>公司名称</x:v>
      </x:c>
      <x:c r="C3" s="13" t="str">
        <x:v>当前价(元)</x:v>
      </x:c>
      <x:c r="D3" s="13" t="str">
        <x:v>EPS TTM(元)</x:v>
      </x:c>
      <x:c r="E3" s="13" t="str">
        <x:v>BVPS(元)</x:v>
      </x:c>
      <x:c r="F3" s="13" t="str">
        <x:v>FCF/股(元)</x:v>
      </x:c>
      <x:c r="G3" s="13" t="str">
        <x:v>DPS TTM(元)</x:v>
      </x:c>
      <x:c r="H3" s="13" t="str">
        <x:v>PE</x:v>
      </x:c>
      <x:c r="I3" s="13" t="str">
        <x:v>PB</x:v>
      </x:c>
      <x:c r="J3" s="13" t="str">
        <x:v>股息率</x:v>
      </x:c>
      <x:c r="K3" s="13" t="str">
        <x:v>PE 目标倍数</x:v>
      </x:c>
      <x:c r="L3" s="13" t="str">
        <x:v>PB 目标倍数</x:v>
      </x:c>
      <x:c r="M3" s="13" t="str">
        <x:v>PE 模型合理价(元)</x:v>
      </x:c>
      <x:c r="N3" s="13" t="str">
        <x:v>PB 模型合理价(元)</x:v>
      </x:c>
      <x:c r="O3" s="13" t="str">
        <x:v>综合合理价(元)</x:v>
      </x:c>
      <x:c r="P3" s="13" t="str">
        <x:v>安全边际</x:v>
      </x:c>
      <x:c r="Q3" s="13" t="str">
        <x:v>估值状态</x:v>
      </x:c>
      <x:c r="R3" s="13" t="str">
        <x:v>模型/复核说明</x:v>
      </x:c>
      <x:c r="S3" s="13" t="str">
        <x:v>source_id</x:v>
      </x:c>
      <x:c r="T3" s="13" t="str">
        <x:v>更新时间</x:v>
      </x:c>
      <x:c r="U3" s="13" t="str">
        <x:v>数据状态</x:v>
      </x:c>
      <x:c r="V3" s="86"/>
      <x:c r="W3" s="86"/>
      <x:c r="X3" s="86"/>
      <x:c r="Y3" s="86"/>
      <x:c r="Z3" s="86"/>
    </x:row>
    <x:row r="4">
      <x:c r="A4" s="86" t="str">
        <x:v>600941</x:v>
      </x:c>
      <x:c r="B4" s="86" t="str">
        <x:v>中国移动</x:v>
      </x:c>
      <x:c r="C4" s="114" t="n">
        <x:v>100.53</x:v>
      </x:c>
      <x:c r="D4" s="114" t="n">
        <x:v>6.0861</x:v>
      </x:c>
      <x:c r="E4" s="114" t="n">
        <x:v>65.7615</x:v>
      </x:c>
      <x:c r="F4" s="114" t="n">
        <x:v>3.279514</x:v>
      </x:c>
      <x:c r="G4" s="114" t="n">
        <x:v>2.2012</x:v>
      </x:c>
      <x:c r="H4" s="118" t="n">
        <x:v>16.51796717109479</x:v>
      </x:c>
      <x:c r="I4" s="118" t="n">
        <x:v>1.5287060057936634</x:v>
      </x:c>
      <x:c r="J4" s="119"/>
      <x:c r="K4" s="120" t="n">
        <x:v>12</x:v>
      </x:c>
      <x:c r="L4" s="120" t="n">
        <x:v>1.5</x:v>
      </x:c>
      <x:c r="M4" s="114" t="n">
        <x:v>73.03</x:v>
      </x:c>
      <x:c r="N4" s="114" t="n">
        <x:v>98.64</x:v>
      </x:c>
      <x:c r="O4" s="107" t="n">
        <x:v>85.84</x:v>
      </x:c>
      <x:c r="P4" s="93" t="n">
        <x:v>-0.17113233923578752</x:v>
      </x:c>
      <x:c r="Q4" s="92" t="str">
        <x:v>模型估值待复核</x:v>
      </x:c>
      <x:c r="R4" s="113" t="str">
        <x:v>PE/PB 规则模型；待复核</x:v>
      </x:c>
      <x:c r="S4" s="106" t="str">
        <x:v>d8a63d02-da2c-43be-8557-a4679640380f</x:v>
      </x:c>
      <x:c r="T4" s="121" t="n">
        <x:v>46269.70660899305</x:v>
      </x:c>
      <x:c r="U4" s="92" t="str">
        <x:v>模型估值待复核</x:v>
      </x:c>
      <x:c r="V4" s="86" t="str">
        <x:v>模型估值待复核</x:v>
      </x:c>
      <x:c r="W4" s="86"/>
      <x:c r="X4" s="86"/>
      <x:c r="Y4" s="86"/>
      <x:c r="Z4" s="86"/>
    </x:row>
    <x:row r="5">
      <x:c r="A5" s="86" t="str">
        <x:v>600900</x:v>
      </x:c>
      <x:c r="B5" s="86" t="str">
        <x:v>长江电力</x:v>
      </x:c>
      <x:c r="C5" s="114" t="n">
        <x:v>28.44</x:v>
      </x:c>
      <x:c r="D5" s="114" t="n">
        <x:v>1.4999</x:v>
      </x:c>
      <x:c r="E5" s="114" t="n">
        <x:v>9.3229</x:v>
      </x:c>
      <x:c r="F5" s="114" t="n">
        <x:v>0.560637</x:v>
      </x:c>
      <x:c r="G5" s="114" t="n">
        <x:v>1</x:v>
      </x:c>
      <x:c r="H5" s="118" t="n">
        <x:v>18.961264084272287</x:v>
      </x:c>
      <x:c r="I5" s="118" t="n">
        <x:v>3.050552939535981</x:v>
      </x:c>
      <x:c r="J5" s="119"/>
      <x:c r="K5" s="120" t="n">
        <x:v>12</x:v>
      </x:c>
      <x:c r="L5" s="120" t="n">
        <x:v>1.5</x:v>
      </x:c>
      <x:c r="M5" s="114" t="n">
        <x:v>18</x:v>
      </x:c>
      <x:c r="N5" s="114" t="n">
        <x:v>13.98</x:v>
      </x:c>
      <x:c r="O5" s="107" t="n">
        <x:v>15.99</x:v>
      </x:c>
      <x:c r="P5" s="93" t="n">
        <x:v>-0.7786116322701688</x:v>
      </x:c>
      <x:c r="Q5" s="92" t="str">
        <x:v>模型估值待复核</x:v>
      </x:c>
      <x:c r="R5" s="113" t="str">
        <x:v>PE/PB 规则模型；待复核</x:v>
      </x:c>
      <x:c r="S5" s="106" t="str">
        <x:v>f3a9699e-dea0-4203-b9ee-b6378194f9c2</x:v>
      </x:c>
      <x:c r="T5" s="121" t="n">
        <x:v>46269.70660899305</x:v>
      </x:c>
      <x:c r="U5" s="92" t="str">
        <x:v>模型估值待复核</x:v>
      </x:c>
      <x:c r="V5" s="86" t="str">
        <x:v>模型估值待复核</x:v>
      </x:c>
      <x:c r="W5" s="86"/>
      <x:c r="X5" s="86"/>
      <x:c r="Y5" s="86"/>
      <x:c r="Z5" s="86"/>
    </x:row>
    <x:row r="6">
      <x:c r="A6" s="86" t="str">
        <x:v>600519</x:v>
      </x:c>
      <x:c r="B6" s="86" t="str">
        <x:v>贵州茅台</x:v>
      </x:c>
      <x:c r="C6" s="114" t="n">
        <x:v>1298.88</x:v>
      </x:c>
      <x:c r="D6" s="114" t="n">
        <x:v>67.5449</x:v>
      </x:c>
      <x:c r="E6" s="114" t="n">
        <x:v>209.6634</x:v>
      </x:c>
      <x:c r="F6" s="114" t="n">
        <x:v>28.18401</x:v>
      </x:c>
      <x:c r="G6" s="114" t="n">
        <x:v>51.9812</x:v>
      </x:c>
      <x:c r="H6" s="118" t="n">
        <x:v>19.22987523854503</x:v>
      </x:c>
      <x:c r="I6" s="118" t="n">
        <x:v>6.195072673628302</x:v>
      </x:c>
      <x:c r="J6" s="119"/>
      <x:c r="K6" s="120" t="n">
        <x:v>18</x:v>
      </x:c>
      <x:c r="L6" s="120" t="n">
        <x:v>4</x:v>
      </x:c>
      <x:c r="M6" s="114" t="n">
        <x:v>1215.81</x:v>
      </x:c>
      <x:c r="N6" s="114" t="n">
        <x:v>838.65</x:v>
      </x:c>
      <x:c r="O6" s="107" t="n">
        <x:v>1027.23</x:v>
      </x:c>
      <x:c r="P6" s="93" t="n">
        <x:v>-0.26444905230571536</x:v>
      </x:c>
      <x:c r="Q6" s="92" t="str">
        <x:v>模型估值待复核</x:v>
      </x:c>
      <x:c r="R6" s="113" t="str">
        <x:v>PE/PB 规则模型；待复核</x:v>
      </x:c>
      <x:c r="S6" s="106" t="str">
        <x:v>7ee58f16-001c-4be5-8206-dc0448cae4a1</x:v>
      </x:c>
      <x:c r="T6" s="121" t="n">
        <x:v>46269.70660899305</x:v>
      </x:c>
      <x:c r="U6" s="92" t="str">
        <x:v>模型估值待复核</x:v>
      </x:c>
      <x:c r="V6" s="86" t="str">
        <x:v>模型估值待复核</x:v>
      </x:c>
      <x:c r="W6" s="86"/>
      <x:c r="X6" s="86"/>
      <x:c r="Y6" s="86"/>
      <x:c r="Z6" s="86"/>
    </x:row>
    <x:row r="7">
      <x:c r="A7" s="86" t="str">
        <x:v>000333</x:v>
      </x:c>
      <x:c r="B7" s="86" t="str">
        <x:v>美的集团</x:v>
      </x:c>
      <x:c r="C7" s="114" t="n">
        <x:v>87.25</x:v>
      </x:c>
      <x:c r="D7" s="114" t="n">
        <x:v>5.8757</x:v>
      </x:c>
      <x:c r="E7" s="114" t="n">
        <x:v>29.6572</x:v>
      </x:c>
      <x:c r="F7" s="114" t="n">
        <x:v>6.071272</x:v>
      </x:c>
      <x:c r="G7" s="114" t="n">
        <x:v>4.3</x:v>
      </x:c>
      <x:c r="H7" s="118" t="n">
        <x:v>14.849294552138469</x:v>
      </x:c>
      <x:c r="I7" s="118" t="n">
        <x:v>2.9419500155105673</x:v>
      </x:c>
      <x:c r="J7" s="119"/>
      <x:c r="K7" s="120" t="n">
        <x:v>15</x:v>
      </x:c>
      <x:c r="L7" s="120" t="n">
        <x:v>2.5</x:v>
      </x:c>
      <x:c r="M7" s="114" t="n">
        <x:v>88.14</x:v>
      </x:c>
      <x:c r="N7" s="114" t="n">
        <x:v>74.14</x:v>
      </x:c>
      <x:c r="O7" s="107" t="n">
        <x:v>81.14</x:v>
      </x:c>
      <x:c r="P7" s="93" t="n">
        <x:v>-0.0753019472516638</x:v>
      </x:c>
      <x:c r="Q7" s="92" t="str">
        <x:v>模型估值待复核</x:v>
      </x:c>
      <x:c r="R7" s="113" t="str">
        <x:v>PE/PB 规则模型；待复核</x:v>
      </x:c>
      <x:c r="S7" s="106" t="str">
        <x:v>b02f6cda-e1ad-4632-a75d-0686a6e01881</x:v>
      </x:c>
      <x:c r="T7" s="121" t="n">
        <x:v>46269.70660899305</x:v>
      </x:c>
      <x:c r="U7" s="92" t="str">
        <x:v>模型估值待复核</x:v>
      </x:c>
      <x:c r="V7" s="86" t="str">
        <x:v>模型估值待复核</x:v>
      </x:c>
      <x:c r="W7" s="86"/>
      <x:c r="X7" s="86"/>
      <x:c r="Y7" s="86"/>
      <x:c r="Z7" s="86"/>
    </x:row>
    <x:row r="8">
      <x:c r="A8" s="86" t="str">
        <x:v>600036</x:v>
      </x:c>
      <x:c r="B8" s="86" t="str">
        <x:v>招商银行</x:v>
      </x:c>
      <x:c r="C8" s="114" t="n">
        <x:v>41.07</x:v>
      </x:c>
      <x:c r="D8" s="114" t="n">
        <x:v>6.0523</x:v>
      </x:c>
      <x:c r="E8" s="114" t="n">
        <x:v>53.6602</x:v>
      </x:c>
      <x:c r="F8" s="114"/>
      <x:c r="G8" s="114" t="n">
        <x:v>2.016</x:v>
      </x:c>
      <x:c r="H8" s="118" t="n">
        <x:v>6.78585000743519</x:v>
      </x:c>
      <x:c r="I8" s="118" t="n">
        <x:v>0.7653717280218858</x:v>
      </x:c>
      <x:c r="J8" s="119"/>
      <x:c r="K8" s="120" t="n">
        <x:v>8</x:v>
      </x:c>
      <x:c r="L8" s="120" t="n">
        <x:v>0.9</x:v>
      </x:c>
      <x:c r="M8" s="114" t="n">
        <x:v>48.42</x:v>
      </x:c>
      <x:c r="N8" s="114" t="n">
        <x:v>48.29</x:v>
      </x:c>
      <x:c r="O8" s="107" t="n">
        <x:v>48.36</x:v>
      </x:c>
      <x:c r="P8" s="93" t="n">
        <x:v>0.15074441687344914</x:v>
      </x:c>
      <x:c r="Q8" s="92" t="str">
        <x:v>模型估值待复核</x:v>
      </x:c>
      <x:c r="R8" s="113" t="str">
        <x:v>PE/PB 规则模型；待复核</x:v>
      </x:c>
      <x:c r="S8" s="106" t="str">
        <x:v>a1314791-a8f1-4a40-a91b-506b9cf48f30</x:v>
      </x:c>
      <x:c r="T8" s="121" t="n">
        <x:v>46269.70660899305</x:v>
      </x:c>
      <x:c r="U8" s="92" t="str">
        <x:v>模型估值待复核</x:v>
      </x:c>
      <x:c r="V8" s="86" t="str">
        <x:v>模型估值待复核</x:v>
      </x:c>
      <x:c r="W8" s="86"/>
      <x:c r="X8" s="86"/>
      <x:c r="Y8" s="86"/>
      <x:c r="Z8" s="86"/>
    </x:row>
    <x:row r="9">
      <x:c r="A9" s="86" t="str">
        <x:v>601288</x:v>
      </x:c>
      <x:c r="B9" s="86" t="str">
        <x:v>农业银行</x:v>
      </x:c>
      <x:c r="C9" s="114" t="n">
        <x:v>6.89</x:v>
      </x:c>
      <x:c r="D9" s="114" t="n">
        <x:v>0.8575</x:v>
      </x:c>
      <x:c r="E9" s="114" t="n">
        <x:v>9.5286</x:v>
      </x:c>
      <x:c r="F9" s="114"/>
      <x:c r="G9" s="114" t="n">
        <x:v>0.2495</x:v>
      </x:c>
      <x:c r="H9" s="118" t="n">
        <x:v>8.034985422740524</x:v>
      </x:c>
      <x:c r="I9" s="118" t="n">
        <x:v>0.7230862875973384</x:v>
      </x:c>
      <x:c r="J9" s="119"/>
      <x:c r="K9" s="120" t="n">
        <x:v>7</x:v>
      </x:c>
      <x:c r="L9" s="120" t="n">
        <x:v>0.75</x:v>
      </x:c>
      <x:c r="M9" s="114" t="n">
        <x:v>6</x:v>
      </x:c>
      <x:c r="N9" s="114" t="n">
        <x:v>7.15</x:v>
      </x:c>
      <x:c r="O9" s="107" t="n">
        <x:v>6.58</x:v>
      </x:c>
      <x:c r="P9" s="93" t="n">
        <x:v>-0.04711246200607903</x:v>
      </x:c>
      <x:c r="Q9" s="92" t="str">
        <x:v>模型估值待复核</x:v>
      </x:c>
      <x:c r="R9" s="113" t="str">
        <x:v>PE/PB 规则模型；待复核</x:v>
      </x:c>
      <x:c r="S9" s="106" t="str">
        <x:v>bc070387-24ed-4244-9551-1ea29fa0d8a1</x:v>
      </x:c>
      <x:c r="T9" s="121" t="n">
        <x:v>46269.70660899305</x:v>
      </x:c>
      <x:c r="U9" s="92" t="str">
        <x:v>模型估值待复核</x:v>
      </x:c>
      <x:c r="V9" s="86" t="str">
        <x:v>模型估值待复核</x:v>
      </x:c>
      <x:c r="W9" s="86"/>
      <x:c r="X9" s="86"/>
      <x:c r="Y9" s="86"/>
      <x:c r="Z9" s="86"/>
    </x:row>
    <x:row r="10">
      <x:c r="A10" s="86" t="str">
        <x:v>601088</x:v>
      </x:c>
      <x:c r="B10" s="86" t="str">
        <x:v>中国神华</x:v>
      </x:c>
      <x:c r="C10" s="114" t="n">
        <x:v>47.78</x:v>
      </x:c>
      <x:c r="D10" s="114" t="n">
        <x:v>3.3064</x:v>
      </x:c>
      <x:c r="E10" s="114" t="n">
        <x:v>25.3594</x:v>
      </x:c>
      <x:c r="F10" s="114" t="n">
        <x:v>4.258886</x:v>
      </x:c>
      <x:c r="G10" s="114" t="n">
        <x:v>2.01</x:v>
      </x:c>
      <x:c r="H10" s="118" t="n">
        <x:v>14.450762158238568</x:v>
      </x:c>
      <x:c r="I10" s="118" t="n">
        <x:v>1.8841139774600346</x:v>
      </x:c>
      <x:c r="J10" s="119"/>
      <x:c r="K10" s="120" t="n">
        <x:v>10</x:v>
      </x:c>
      <x:c r="L10" s="120" t="n">
        <x:v>1.4</x:v>
      </x:c>
      <x:c r="M10" s="114" t="n">
        <x:v>33.06</x:v>
      </x:c>
      <x:c r="N10" s="114" t="n">
        <x:v>35.5</x:v>
      </x:c>
      <x:c r="O10" s="107" t="n">
        <x:v>34.28</x:v>
      </x:c>
      <x:c r="P10" s="93" t="n">
        <x:v>-0.3938156359393232</x:v>
      </x:c>
      <x:c r="Q10" s="92" t="str">
        <x:v>模型估值待复核</x:v>
      </x:c>
      <x:c r="R10" s="113" t="str">
        <x:v>PE/PB 规则模型；待复核</x:v>
      </x:c>
      <x:c r="S10" s="106" t="str">
        <x:v>9327a7d3-3a92-4ba2-a1d0-9ee407fd769e</x:v>
      </x:c>
      <x:c r="T10" s="121" t="n">
        <x:v>46269.70660899305</x:v>
      </x:c>
      <x:c r="U10" s="92" t="str">
        <x:v>模型估值待复核</x:v>
      </x:c>
      <x:c r="V10" s="86" t="str">
        <x:v>模型估值待复核</x:v>
      </x:c>
      <x:c r="W10" s="86"/>
      <x:c r="X10" s="86"/>
      <x:c r="Y10" s="86"/>
      <x:c r="Z10" s="86"/>
    </x:row>
    <x:row r="11">
      <x:c r="A11" s="86" t="str">
        <x:v>600690</x:v>
      </x:c>
      <x:c r="B11" s="86" t="str">
        <x:v>海尔智家</x:v>
      </x:c>
      <x:c r="C11" s="114" t="n">
        <x:v>21.82</x:v>
      </x:c>
      <x:c r="D11" s="114" t="n">
        <x:v>1.9793</x:v>
      </x:c>
      <x:c r="E11" s="114" t="n">
        <x:v>13.7962</x:v>
      </x:c>
      <x:c r="F11" s="114" t="n">
        <x:v>0.173485</x:v>
      </x:c>
      <x:c r="G11" s="114" t="n">
        <x:v>1.1607</x:v>
      </x:c>
      <x:c r="H11" s="118" t="n">
        <x:v>11.024099429091093</x:v>
      </x:c>
      <x:c r="I11" s="118" t="n">
        <x:v>1.58159493193778</x:v>
      </x:c>
      <x:c r="J11" s="119"/>
      <x:c r="K11" s="120" t="n">
        <x:v>14</x:v>
      </x:c>
      <x:c r="L11" s="120" t="n">
        <x:v>2</x:v>
      </x:c>
      <x:c r="M11" s="114" t="n">
        <x:v>27.71</x:v>
      </x:c>
      <x:c r="N11" s="114" t="n">
        <x:v>27.59</x:v>
      </x:c>
      <x:c r="O11" s="107" t="n">
        <x:v>27.65</x:v>
      </x:c>
      <x:c r="P11" s="93" t="n">
        <x:v>0.2108499095840868</x:v>
      </x:c>
      <x:c r="Q11" s="92" t="str">
        <x:v>模型估值待复核</x:v>
      </x:c>
      <x:c r="R11" s="113" t="str">
        <x:v>PE/PB 规则模型；待复核</x:v>
      </x:c>
      <x:c r="S11" s="106" t="str">
        <x:v>33e7988c-ff8b-4663-916a-4797ef1235b7</x:v>
      </x:c>
      <x:c r="T11" s="121" t="n">
        <x:v>46269.70660899305</x:v>
      </x:c>
      <x:c r="U11" s="92" t="str">
        <x:v>模型估值待复核</x:v>
      </x:c>
      <x:c r="V11" s="86" t="str">
        <x:v>模型估值待复核</x:v>
      </x:c>
      <x:c r="W11" s="86"/>
      <x:c r="X11" s="86"/>
      <x:c r="Y11" s="86"/>
      <x:c r="Z11" s="86"/>
    </x:row>
    <x:row r="12">
      <x:c r="A12" s="86" t="str">
        <x:v>300750</x:v>
      </x:c>
      <x:c r="B12" s="86" t="str">
        <x:v>宁德时代</x:v>
      </x:c>
      <x:c r="C12" s="114" t="n">
        <x:v>349.5</x:v>
      </x:c>
      <x:c r="D12" s="114" t="n">
        <x:v>19.8915</x:v>
      </x:c>
      <x:c r="E12" s="114" t="n">
        <x:v>89.4719</x:v>
      </x:c>
      <x:c r="F12" s="114" t="n">
        <x:v>1.228456</x:v>
      </x:c>
      <x:c r="G12" s="114" t="n">
        <x:v>8.368</x:v>
      </x:c>
      <x:c r="H12" s="118" t="n">
        <x:v>17.570318980469043</x:v>
      </x:c>
      <x:c r="I12" s="118" t="n">
        <x:v>3.9062543658958844</x:v>
      </x:c>
      <x:c r="J12" s="119"/>
      <x:c r="K12" s="120" t="n">
        <x:v>20</x:v>
      </x:c>
      <x:c r="L12" s="120" t="n">
        <x:v>3</x:v>
      </x:c>
      <x:c r="M12" s="114" t="n">
        <x:v>397.83</x:v>
      </x:c>
      <x:c r="N12" s="114" t="n">
        <x:v>268.42</x:v>
      </x:c>
      <x:c r="O12" s="107" t="n">
        <x:v>333.13</x:v>
      </x:c>
      <x:c r="P12" s="93" t="n">
        <x:v>-0.04913997538498484</x:v>
      </x:c>
      <x:c r="Q12" s="92" t="str">
        <x:v>模型估值待复核</x:v>
      </x:c>
      <x:c r="R12" s="113" t="str">
        <x:v>PE/PB 规则模型；待复核</x:v>
      </x:c>
      <x:c r="S12" s="106" t="str">
        <x:v>f9e78667-8391-4511-bb62-a0f87ffc6727</x:v>
      </x:c>
      <x:c r="T12" s="121" t="n">
        <x:v>46269.70660899305</x:v>
      </x:c>
      <x:c r="U12" s="92" t="str">
        <x:v>模型估值待复核</x:v>
      </x:c>
      <x:c r="V12" s="86" t="str">
        <x:v>模型估值待复核</x:v>
      </x:c>
      <x:c r="W12" s="86"/>
      <x:c r="X12" s="86"/>
      <x:c r="Y12" s="86"/>
      <x:c r="Z12" s="86"/>
    </x:row>
    <x:row r="13">
      <x:c r="A13" s="86" t="str">
        <x:v>600887</x:v>
      </x:c>
      <x:c r="B13" s="86" t="str">
        <x:v>伊利股份</x:v>
      </x:c>
      <x:c r="C13" s="114" t="n">
        <x:v>26.56</x:v>
      </x:c>
      <x:c r="D13" s="114" t="n">
        <x:v>1.5497</x:v>
      </x:c>
      <x:c r="E13" s="114" t="n">
        <x:v>9.055</x:v>
      </x:c>
      <x:c r="F13" s="114" t="n">
        <x:v>3.054776</x:v>
      </x:c>
      <x:c r="G13" s="114" t="n">
        <x:v>1.38</x:v>
      </x:c>
      <x:c r="H13" s="118" t="n">
        <x:v>17.13880105826934</x:v>
      </x:c>
      <x:c r="I13" s="118" t="n">
        <x:v>2.9331860850358917</x:v>
      </x:c>
      <x:c r="J13" s="119"/>
      <x:c r="K13" s="120" t="n">
        <x:v>15</x:v>
      </x:c>
      <x:c r="L13" s="120" t="n">
        <x:v>2.5</x:v>
      </x:c>
      <x:c r="M13" s="114" t="n">
        <x:v>23.25</x:v>
      </x:c>
      <x:c r="N13" s="114" t="n">
        <x:v>22.64</x:v>
      </x:c>
      <x:c r="O13" s="107" t="n">
        <x:v>22.95</x:v>
      </x:c>
      <x:c r="P13" s="93" t="n">
        <x:v>-0.15729847494553376</x:v>
      </x:c>
      <x:c r="Q13" s="92" t="str">
        <x:v>模型估值待复核</x:v>
      </x:c>
      <x:c r="R13" s="113" t="str">
        <x:v>PE/PB 规则模型；待复核</x:v>
      </x:c>
      <x:c r="S13" s="106" t="str">
        <x:v>45174473-d082-44a9-86f7-ba89af398cee</x:v>
      </x:c>
      <x:c r="T13" s="121" t="n">
        <x:v>46269.70660899305</x:v>
      </x:c>
      <x:c r="U13" s="92" t="str">
        <x:v>模型估值待复核</x:v>
      </x:c>
      <x:c r="V13" s="86" t="str">
        <x:v>模型估值待复核</x:v>
      </x:c>
      <x:c r="W13" s="86"/>
      <x:c r="X13" s="86"/>
      <x:c r="Y13" s="86"/>
      <x:c r="Z13" s="86"/>
    </x:row>
    <x:row r="14">
      <x:c r="A14" s="86"/>
      <x:c r="B14" s="86"/>
      <x:c r="C14" s="114"/>
      <x:c r="D14" s="114"/>
      <x:c r="E14" s="114"/>
      <x:c r="F14" s="114"/>
      <x:c r="G14" s="114"/>
      <x:c r="H14" s="118"/>
      <x:c r="I14" s="118"/>
      <x:c r="J14" s="119"/>
      <x:c r="K14" s="120"/>
      <x:c r="L14" s="120"/>
      <x:c r="M14" s="114"/>
      <x:c r="N14" s="114"/>
      <x:c r="O14" s="107"/>
      <x:c r="P14" s="93"/>
      <x:c r="Q14" s="92"/>
      <x:c r="R14" s="113"/>
      <x:c r="S14" s="106"/>
      <x:c r="T14" s="121"/>
      <x:c r="U14" s="92"/>
      <x:c r="V14" s="86"/>
      <x:c r="W14" s="86"/>
      <x:c r="X14" s="86"/>
      <x:c r="Y14" s="86"/>
      <x:c r="Z14" s="86"/>
    </x:row>
    <x:row r="15">
      <x:c r="A15" s="86"/>
      <x:c r="B15" s="86"/>
      <x:c r="C15" s="114"/>
      <x:c r="D15" s="114"/>
      <x:c r="E15" s="114"/>
      <x:c r="F15" s="114"/>
      <x:c r="G15" s="114"/>
      <x:c r="H15" s="118"/>
      <x:c r="I15" s="118"/>
      <x:c r="J15" s="119"/>
      <x:c r="K15" s="120"/>
      <x:c r="L15" s="120"/>
      <x:c r="M15" s="114"/>
      <x:c r="N15" s="114"/>
      <x:c r="O15" s="107"/>
      <x:c r="P15" s="93"/>
      <x:c r="Q15" s="92"/>
      <x:c r="R15" s="113"/>
      <x:c r="S15" s="106"/>
      <x:c r="T15" s="121"/>
      <x:c r="U15" s="92"/>
      <x:c r="V15" s="86"/>
      <x:c r="W15" s="86"/>
      <x:c r="X15" s="86"/>
      <x:c r="Y15" s="86"/>
      <x:c r="Z15" s="86"/>
    </x:row>
    <x:row r="16">
      <x:c r="A16" s="86"/>
      <x:c r="B16" s="86"/>
      <x:c r="C16" s="114"/>
      <x:c r="D16" s="114"/>
      <x:c r="E16" s="114"/>
      <x:c r="F16" s="114"/>
      <x:c r="G16" s="114"/>
      <x:c r="H16" s="118"/>
      <x:c r="I16" s="118"/>
      <x:c r="J16" s="119"/>
      <x:c r="K16" s="120"/>
      <x:c r="L16" s="120"/>
      <x:c r="M16" s="114"/>
      <x:c r="N16" s="114"/>
      <x:c r="O16" s="107"/>
      <x:c r="P16" s="93"/>
      <x:c r="Q16" s="92"/>
      <x:c r="R16" s="113"/>
      <x:c r="S16" s="106"/>
      <x:c r="T16" s="121"/>
      <x:c r="U16" s="92"/>
      <x:c r="V16" s="86"/>
      <x:c r="W16" s="86"/>
      <x:c r="X16" s="86"/>
      <x:c r="Y16" s="86"/>
      <x:c r="Z16" s="86"/>
    </x:row>
    <x:row r="17">
      <x:c r="A17" s="86"/>
      <x:c r="B17" s="86"/>
      <x:c r="C17" s="114"/>
      <x:c r="D17" s="114"/>
      <x:c r="E17" s="114"/>
      <x:c r="F17" s="114"/>
      <x:c r="G17" s="114"/>
      <x:c r="H17" s="118"/>
      <x:c r="I17" s="118"/>
      <x:c r="J17" s="119"/>
      <x:c r="K17" s="120"/>
      <x:c r="L17" s="120"/>
      <x:c r="M17" s="114"/>
      <x:c r="N17" s="114"/>
      <x:c r="O17" s="107"/>
      <x:c r="P17" s="93"/>
      <x:c r="Q17" s="92"/>
      <x:c r="R17" s="113"/>
      <x:c r="S17" s="106"/>
      <x:c r="T17" s="121"/>
      <x:c r="U17" s="92"/>
      <x:c r="V17" s="86"/>
      <x:c r="W17" s="86"/>
      <x:c r="X17" s="86"/>
      <x:c r="Y17" s="86"/>
      <x:c r="Z17" s="86"/>
    </x:row>
    <x:row r="18">
      <x:c r="A18" s="86"/>
      <x:c r="B18" s="86"/>
      <x:c r="C18" s="114"/>
      <x:c r="D18" s="114"/>
      <x:c r="E18" s="114"/>
      <x:c r="F18" s="114"/>
      <x:c r="G18" s="114"/>
      <x:c r="H18" s="118"/>
      <x:c r="I18" s="118"/>
      <x:c r="J18" s="119"/>
      <x:c r="K18" s="120"/>
      <x:c r="L18" s="120"/>
      <x:c r="M18" s="114"/>
      <x:c r="N18" s="114"/>
      <x:c r="O18" s="107"/>
      <x:c r="P18" s="93"/>
      <x:c r="Q18" s="92"/>
      <x:c r="R18" s="113"/>
      <x:c r="S18" s="106"/>
      <x:c r="T18" s="121"/>
      <x:c r="U18" s="92"/>
      <x:c r="V18" s="86"/>
      <x:c r="W18" s="86"/>
      <x:c r="X18" s="86"/>
      <x:c r="Y18" s="86"/>
      <x:c r="Z18" s="86"/>
    </x:row>
    <x:row r="19">
      <x:c r="A19" s="86"/>
      <x:c r="B19" s="86"/>
      <x:c r="C19" s="114"/>
      <x:c r="D19" s="114"/>
      <x:c r="E19" s="114"/>
      <x:c r="F19" s="114"/>
      <x:c r="G19" s="114"/>
      <x:c r="H19" s="118"/>
      <x:c r="I19" s="118"/>
      <x:c r="J19" s="119"/>
      <x:c r="K19" s="120"/>
      <x:c r="L19" s="120"/>
      <x:c r="M19" s="114"/>
      <x:c r="N19" s="114"/>
      <x:c r="O19" s="107"/>
      <x:c r="P19" s="93"/>
      <x:c r="Q19" s="92"/>
      <x:c r="R19" s="113"/>
      <x:c r="S19" s="106"/>
      <x:c r="T19" s="121"/>
      <x:c r="U19" s="92"/>
      <x:c r="V19" s="86"/>
      <x:c r="W19" s="86"/>
      <x:c r="X19" s="86"/>
      <x:c r="Y19" s="86"/>
      <x:c r="Z19" s="86"/>
    </x:row>
    <x:row r="20">
      <x:c r="A20" s="86"/>
      <x:c r="B20" s="86"/>
      <x:c r="C20" s="114"/>
      <x:c r="D20" s="114"/>
      <x:c r="E20" s="114"/>
      <x:c r="F20" s="114"/>
      <x:c r="G20" s="114"/>
      <x:c r="H20" s="118"/>
      <x:c r="I20" s="118"/>
      <x:c r="J20" s="119"/>
      <x:c r="K20" s="120"/>
      <x:c r="L20" s="120"/>
      <x:c r="M20" s="114"/>
      <x:c r="N20" s="114"/>
      <x:c r="O20" s="107"/>
      <x:c r="P20" s="93"/>
      <x:c r="Q20" s="92"/>
      <x:c r="R20" s="113"/>
      <x:c r="S20" s="106"/>
      <x:c r="T20" s="121"/>
      <x:c r="U20" s="92"/>
      <x:c r="V20" s="86"/>
      <x:c r="W20" s="86"/>
      <x:c r="X20" s="86"/>
      <x:c r="Y20" s="86"/>
      <x:c r="Z20" s="86"/>
    </x:row>
    <x:row r="21">
      <x:c r="A21" s="86"/>
      <x:c r="B21" s="86"/>
      <x:c r="C21" s="114"/>
      <x:c r="D21" s="114"/>
      <x:c r="E21" s="114"/>
      <x:c r="F21" s="114"/>
      <x:c r="G21" s="114"/>
      <x:c r="H21" s="118"/>
      <x:c r="I21" s="118"/>
      <x:c r="J21" s="119"/>
      <x:c r="K21" s="120"/>
      <x:c r="L21" s="120"/>
      <x:c r="M21" s="114"/>
      <x:c r="N21" s="114"/>
      <x:c r="O21" s="107"/>
      <x:c r="P21" s="93"/>
      <x:c r="Q21" s="92"/>
      <x:c r="R21" s="113"/>
      <x:c r="S21" s="106"/>
      <x:c r="T21" s="121"/>
      <x:c r="U21" s="92"/>
      <x:c r="V21" s="86"/>
      <x:c r="W21" s="86"/>
      <x:c r="X21" s="86"/>
      <x:c r="Y21" s="86"/>
      <x:c r="Z21" s="86"/>
    </x:row>
    <x:row r="22">
      <x:c r="A22" s="86"/>
      <x:c r="B22" s="86"/>
      <x:c r="C22" s="114"/>
      <x:c r="D22" s="114"/>
      <x:c r="E22" s="114"/>
      <x:c r="F22" s="114"/>
      <x:c r="G22" s="114"/>
      <x:c r="H22" s="118"/>
      <x:c r="I22" s="118"/>
      <x:c r="J22" s="119"/>
      <x:c r="K22" s="120"/>
      <x:c r="L22" s="120"/>
      <x:c r="M22" s="114"/>
      <x:c r="N22" s="114"/>
      <x:c r="O22" s="107"/>
      <x:c r="P22" s="93"/>
      <x:c r="Q22" s="92"/>
      <x:c r="R22" s="113"/>
      <x:c r="S22" s="106"/>
      <x:c r="T22" s="121"/>
      <x:c r="U22" s="92"/>
      <x:c r="V22" s="86"/>
      <x:c r="W22" s="86"/>
      <x:c r="X22" s="86"/>
      <x:c r="Y22" s="86"/>
      <x:c r="Z22" s="86"/>
    </x:row>
    <x:row r="23">
      <x:c r="A23" s="86"/>
      <x:c r="B23" s="86"/>
      <x:c r="C23" s="114"/>
      <x:c r="D23" s="114"/>
      <x:c r="E23" s="114"/>
      <x:c r="F23" s="114"/>
      <x:c r="G23" s="114"/>
      <x:c r="H23" s="118"/>
      <x:c r="I23" s="118"/>
      <x:c r="J23" s="119"/>
      <x:c r="K23" s="120"/>
      <x:c r="L23" s="120"/>
      <x:c r="M23" s="114"/>
      <x:c r="N23" s="114"/>
      <x:c r="O23" s="107"/>
      <x:c r="P23" s="93"/>
      <x:c r="Q23" s="92"/>
      <x:c r="R23" s="113"/>
      <x:c r="S23" s="106"/>
      <x:c r="T23" s="121"/>
      <x:c r="U23" s="92"/>
      <x:c r="V23" s="86"/>
      <x:c r="W23" s="86"/>
      <x:c r="X23" s="86"/>
      <x:c r="Y23" s="86"/>
      <x:c r="Z23" s="86"/>
    </x:row>
    <x:row r="24">
      <x:c r="A24" s="86"/>
      <x:c r="B24" s="86"/>
      <x:c r="C24" s="114"/>
      <x:c r="D24" s="114"/>
      <x:c r="E24" s="114"/>
      <x:c r="F24" s="114"/>
      <x:c r="G24" s="114"/>
      <x:c r="H24" s="118"/>
      <x:c r="I24" s="118"/>
      <x:c r="J24" s="119"/>
      <x:c r="K24" s="120"/>
      <x:c r="L24" s="120"/>
      <x:c r="M24" s="114"/>
      <x:c r="N24" s="114"/>
      <x:c r="O24" s="107"/>
      <x:c r="P24" s="93"/>
      <x:c r="Q24" s="92"/>
      <x:c r="R24" s="113"/>
      <x:c r="S24" s="106"/>
      <x:c r="T24" s="121"/>
      <x:c r="U24" s="92"/>
      <x:c r="V24" s="86"/>
      <x:c r="W24" s="86"/>
      <x:c r="X24" s="86"/>
      <x:c r="Y24" s="86"/>
      <x:c r="Z24" s="86"/>
    </x:row>
    <x:row r="25">
      <x:c r="A25" s="86"/>
      <x:c r="B25" s="86"/>
      <x:c r="C25" s="114"/>
      <x:c r="D25" s="114"/>
      <x:c r="E25" s="114"/>
      <x:c r="F25" s="114"/>
      <x:c r="G25" s="114"/>
      <x:c r="H25" s="118"/>
      <x:c r="I25" s="118"/>
      <x:c r="J25" s="119"/>
      <x:c r="K25" s="120"/>
      <x:c r="L25" s="120"/>
      <x:c r="M25" s="114"/>
      <x:c r="N25" s="114"/>
      <x:c r="O25" s="107"/>
      <x:c r="P25" s="93"/>
      <x:c r="Q25" s="92"/>
      <x:c r="R25" s="113"/>
      <x:c r="S25" s="106"/>
      <x:c r="T25" s="121"/>
      <x:c r="U25" s="92"/>
      <x:c r="V25" s="86"/>
      <x:c r="W25" s="86"/>
      <x:c r="X25" s="86"/>
      <x:c r="Y25" s="86"/>
      <x:c r="Z25" s="86"/>
    </x:row>
    <x:row r="26">
      <x:c r="A26" s="86"/>
      <x:c r="B26" s="86"/>
      <x:c r="C26" s="114"/>
      <x:c r="D26" s="114"/>
      <x:c r="E26" s="114"/>
      <x:c r="F26" s="114"/>
      <x:c r="G26" s="114"/>
      <x:c r="H26" s="118"/>
      <x:c r="I26" s="118"/>
      <x:c r="J26" s="119"/>
      <x:c r="K26" s="120"/>
      <x:c r="L26" s="120"/>
      <x:c r="M26" s="114"/>
      <x:c r="N26" s="114"/>
      <x:c r="O26" s="107"/>
      <x:c r="P26" s="93"/>
      <x:c r="Q26" s="92"/>
      <x:c r="R26" s="113"/>
      <x:c r="S26" s="106"/>
      <x:c r="T26" s="121"/>
      <x:c r="U26" s="92"/>
      <x:c r="V26" s="86"/>
      <x:c r="W26" s="86"/>
      <x:c r="X26" s="86"/>
      <x:c r="Y26" s="86"/>
      <x:c r="Z26" s="86"/>
    </x:row>
    <x:row r="27">
      <x:c r="A27" s="86"/>
      <x:c r="B27" s="86"/>
      <x:c r="C27" s="114"/>
      <x:c r="D27" s="114"/>
      <x:c r="E27" s="114"/>
      <x:c r="F27" s="114"/>
      <x:c r="G27" s="114"/>
      <x:c r="H27" s="118"/>
      <x:c r="I27" s="118"/>
      <x:c r="J27" s="119"/>
      <x:c r="K27" s="120"/>
      <x:c r="L27" s="120"/>
      <x:c r="M27" s="114"/>
      <x:c r="N27" s="114"/>
      <x:c r="O27" s="107"/>
      <x:c r="P27" s="93"/>
      <x:c r="Q27" s="92"/>
      <x:c r="R27" s="113"/>
      <x:c r="S27" s="106"/>
      <x:c r="T27" s="121"/>
      <x:c r="U27" s="92"/>
      <x:c r="V27" s="86"/>
      <x:c r="W27" s="86"/>
      <x:c r="X27" s="86"/>
      <x:c r="Y27" s="86"/>
      <x:c r="Z27" s="86"/>
    </x:row>
    <x:row r="28">
      <x:c r="A28" s="86"/>
      <x:c r="B28" s="86"/>
      <x:c r="C28" s="114"/>
      <x:c r="D28" s="114"/>
      <x:c r="E28" s="114"/>
      <x:c r="F28" s="114"/>
      <x:c r="G28" s="114"/>
      <x:c r="H28" s="118"/>
      <x:c r="I28" s="118"/>
      <x:c r="J28" s="119"/>
      <x:c r="K28" s="120"/>
      <x:c r="L28" s="120"/>
      <x:c r="M28" s="114"/>
      <x:c r="N28" s="114"/>
      <x:c r="O28" s="107"/>
      <x:c r="P28" s="93"/>
      <x:c r="Q28" s="92"/>
      <x:c r="R28" s="113"/>
      <x:c r="S28" s="106"/>
      <x:c r="T28" s="121"/>
      <x:c r="U28" s="92"/>
      <x:c r="V28" s="86"/>
      <x:c r="W28" s="86"/>
      <x:c r="X28" s="86"/>
      <x:c r="Y28" s="86"/>
      <x:c r="Z28" s="86"/>
    </x:row>
    <x:row r="29">
      <x:c r="A29" s="86"/>
      <x:c r="B29" s="86"/>
      <x:c r="C29" s="114"/>
      <x:c r="D29" s="114"/>
      <x:c r="E29" s="114"/>
      <x:c r="F29" s="114"/>
      <x:c r="G29" s="114"/>
      <x:c r="H29" s="118"/>
      <x:c r="I29" s="118"/>
      <x:c r="J29" s="119"/>
      <x:c r="K29" s="120"/>
      <x:c r="L29" s="120"/>
      <x:c r="M29" s="114"/>
      <x:c r="N29" s="114"/>
      <x:c r="O29" s="107"/>
      <x:c r="P29" s="93"/>
      <x:c r="Q29" s="92"/>
      <x:c r="R29" s="113"/>
      <x:c r="S29" s="106"/>
      <x:c r="T29" s="121"/>
      <x:c r="U29" s="92"/>
      <x:c r="V29" s="86"/>
      <x:c r="W29" s="86"/>
      <x:c r="X29" s="86"/>
      <x:c r="Y29" s="86"/>
      <x:c r="Z29" s="86"/>
    </x:row>
    <x:row r="30">
      <x:c r="A30" s="86"/>
      <x:c r="B30" s="86"/>
      <x:c r="C30" s="114"/>
      <x:c r="D30" s="114"/>
      <x:c r="E30" s="114"/>
      <x:c r="F30" s="114"/>
      <x:c r="G30" s="114"/>
      <x:c r="H30" s="118"/>
      <x:c r="I30" s="118"/>
      <x:c r="J30" s="119"/>
      <x:c r="K30" s="120"/>
      <x:c r="L30" s="120"/>
      <x:c r="M30" s="114"/>
      <x:c r="N30" s="114"/>
      <x:c r="O30" s="107"/>
      <x:c r="P30" s="93"/>
      <x:c r="Q30" s="92"/>
      <x:c r="R30" s="113"/>
      <x:c r="S30" s="106"/>
      <x:c r="T30" s="121"/>
      <x:c r="U30" s="92"/>
      <x:c r="V30" s="86"/>
      <x:c r="W30" s="86"/>
      <x:c r="X30" s="86"/>
      <x:c r="Y30" s="86"/>
      <x:c r="Z30" s="86"/>
    </x:row>
    <x:row r="31">
      <x:c r="A31" s="86"/>
      <x:c r="B31" s="86"/>
      <x:c r="C31" s="114"/>
      <x:c r="D31" s="114"/>
      <x:c r="E31" s="114"/>
      <x:c r="F31" s="114"/>
      <x:c r="G31" s="114"/>
      <x:c r="H31" s="118"/>
      <x:c r="I31" s="118"/>
      <x:c r="J31" s="119"/>
      <x:c r="K31" s="120"/>
      <x:c r="L31" s="120"/>
      <x:c r="M31" s="114"/>
      <x:c r="N31" s="114"/>
      <x:c r="O31" s="107"/>
      <x:c r="P31" s="93"/>
      <x:c r="Q31" s="92"/>
      <x:c r="R31" s="113"/>
      <x:c r="S31" s="106"/>
      <x:c r="T31" s="121"/>
      <x:c r="U31" s="92"/>
      <x:c r="V31" s="86"/>
      <x:c r="W31" s="86"/>
      <x:c r="X31" s="86"/>
      <x:c r="Y31" s="86"/>
      <x:c r="Z31" s="86"/>
    </x:row>
    <x:row r="32">
      <x:c r="A32" s="86"/>
      <x:c r="B32" s="86"/>
      <x:c r="C32" s="114"/>
      <x:c r="D32" s="114"/>
      <x:c r="E32" s="114"/>
      <x:c r="F32" s="114"/>
      <x:c r="G32" s="114"/>
      <x:c r="H32" s="118"/>
      <x:c r="I32" s="118"/>
      <x:c r="J32" s="119"/>
      <x:c r="K32" s="120"/>
      <x:c r="L32" s="120"/>
      <x:c r="M32" s="114"/>
      <x:c r="N32" s="114"/>
      <x:c r="O32" s="107"/>
      <x:c r="P32" s="93"/>
      <x:c r="Q32" s="92"/>
      <x:c r="R32" s="113"/>
      <x:c r="S32" s="106"/>
      <x:c r="T32" s="121"/>
      <x:c r="U32" s="92"/>
      <x:c r="V32" s="86"/>
      <x:c r="W32" s="86"/>
      <x:c r="X32" s="86"/>
      <x:c r="Y32" s="86"/>
      <x:c r="Z32" s="86"/>
    </x:row>
    <x:row r="33">
      <x:c r="A33" s="86"/>
      <x:c r="B33" s="86"/>
      <x:c r="C33" s="114"/>
      <x:c r="D33" s="114"/>
      <x:c r="E33" s="114"/>
      <x:c r="F33" s="114"/>
      <x:c r="G33" s="114"/>
      <x:c r="H33" s="118"/>
      <x:c r="I33" s="118"/>
      <x:c r="J33" s="119"/>
      <x:c r="K33" s="120"/>
      <x:c r="L33" s="120"/>
      <x:c r="M33" s="114"/>
      <x:c r="N33" s="114"/>
      <x:c r="O33" s="107"/>
      <x:c r="P33" s="93"/>
      <x:c r="Q33" s="92"/>
      <x:c r="R33" s="113"/>
      <x:c r="S33" s="106"/>
      <x:c r="T33" s="121"/>
      <x:c r="U33" s="92"/>
      <x:c r="V33" s="86"/>
      <x:c r="W33" s="86"/>
      <x:c r="X33" s="86"/>
      <x:c r="Y33" s="86"/>
      <x:c r="Z33" s="86"/>
    </x:row>
    <x:row r="34">
      <x:c r="A34" s="86"/>
      <x:c r="B34" s="86"/>
      <x:c r="C34" s="114"/>
      <x:c r="D34" s="114"/>
      <x:c r="E34" s="114"/>
      <x:c r="F34" s="114"/>
      <x:c r="G34" s="114"/>
      <x:c r="H34" s="118"/>
      <x:c r="I34" s="118"/>
      <x:c r="J34" s="119"/>
      <x:c r="K34" s="120"/>
      <x:c r="L34" s="120"/>
      <x:c r="M34" s="114"/>
      <x:c r="N34" s="114"/>
      <x:c r="O34" s="107"/>
      <x:c r="P34" s="93"/>
      <x:c r="Q34" s="92"/>
      <x:c r="R34" s="113"/>
      <x:c r="S34" s="106"/>
      <x:c r="T34" s="121"/>
      <x:c r="U34" s="92"/>
      <x:c r="V34" s="86"/>
      <x:c r="W34" s="86"/>
      <x:c r="X34" s="86"/>
      <x:c r="Y34" s="86"/>
      <x:c r="Z34" s="86"/>
    </x:row>
    <x:row r="35">
      <x:c r="A35" s="86"/>
      <x:c r="B35" s="86"/>
      <x:c r="C35" s="114"/>
      <x:c r="D35" s="114"/>
      <x:c r="E35" s="114"/>
      <x:c r="F35" s="114"/>
      <x:c r="G35" s="114"/>
      <x:c r="H35" s="118"/>
      <x:c r="I35" s="118"/>
      <x:c r="J35" s="119"/>
      <x:c r="K35" s="120"/>
      <x:c r="L35" s="120"/>
      <x:c r="M35" s="114"/>
      <x:c r="N35" s="114"/>
      <x:c r="O35" s="107"/>
      <x:c r="P35" s="93"/>
      <x:c r="Q35" s="92"/>
      <x:c r="R35" s="113"/>
      <x:c r="S35" s="106"/>
      <x:c r="T35" s="121"/>
      <x:c r="U35" s="92"/>
      <x:c r="V35" s="86"/>
      <x:c r="W35" s="86"/>
      <x:c r="X35" s="86"/>
      <x:c r="Y35" s="86"/>
      <x:c r="Z35" s="86"/>
    </x:row>
    <x:row r="36">
      <x:c r="A36" s="86"/>
      <x:c r="B36" s="86"/>
      <x:c r="C36" s="114"/>
      <x:c r="D36" s="114"/>
      <x:c r="E36" s="114"/>
      <x:c r="F36" s="114"/>
      <x:c r="G36" s="114"/>
      <x:c r="H36" s="118"/>
      <x:c r="I36" s="118"/>
      <x:c r="J36" s="119"/>
      <x:c r="K36" s="120"/>
      <x:c r="L36" s="120"/>
      <x:c r="M36" s="114"/>
      <x:c r="N36" s="114"/>
      <x:c r="O36" s="107"/>
      <x:c r="P36" s="93"/>
      <x:c r="Q36" s="92"/>
      <x:c r="R36" s="113"/>
      <x:c r="S36" s="106"/>
      <x:c r="T36" s="121"/>
      <x:c r="U36" s="92"/>
      <x:c r="V36" s="86"/>
      <x:c r="W36" s="86"/>
      <x:c r="X36" s="86"/>
      <x:c r="Y36" s="86"/>
      <x:c r="Z36" s="86"/>
    </x:row>
    <x:row r="37">
      <x:c r="A37" s="86"/>
      <x:c r="B37" s="86"/>
      <x:c r="C37" s="114"/>
      <x:c r="D37" s="114"/>
      <x:c r="E37" s="114"/>
      <x:c r="F37" s="114"/>
      <x:c r="G37" s="114"/>
      <x:c r="H37" s="118"/>
      <x:c r="I37" s="118"/>
      <x:c r="J37" s="119"/>
      <x:c r="K37" s="120"/>
      <x:c r="L37" s="120"/>
      <x:c r="M37" s="114"/>
      <x:c r="N37" s="114"/>
      <x:c r="O37" s="107"/>
      <x:c r="P37" s="93"/>
      <x:c r="Q37" s="92"/>
      <x:c r="R37" s="113"/>
      <x:c r="S37" s="106"/>
      <x:c r="T37" s="121"/>
      <x:c r="U37" s="92"/>
      <x:c r="V37" s="86"/>
      <x:c r="W37" s="86"/>
      <x:c r="X37" s="86"/>
      <x:c r="Y37" s="86"/>
      <x:c r="Z37" s="86"/>
    </x:row>
    <x:row r="38">
      <x:c r="A38" s="86"/>
      <x:c r="B38" s="86"/>
      <x:c r="C38" s="114"/>
      <x:c r="D38" s="114"/>
      <x:c r="E38" s="114"/>
      <x:c r="F38" s="114"/>
      <x:c r="G38" s="114"/>
      <x:c r="H38" s="118"/>
      <x:c r="I38" s="118"/>
      <x:c r="J38" s="119"/>
      <x:c r="K38" s="120"/>
      <x:c r="L38" s="120"/>
      <x:c r="M38" s="114"/>
      <x:c r="N38" s="114"/>
      <x:c r="O38" s="107"/>
      <x:c r="P38" s="93"/>
      <x:c r="Q38" s="92"/>
      <x:c r="R38" s="113"/>
      <x:c r="S38" s="106"/>
      <x:c r="T38" s="121"/>
      <x:c r="U38" s="92"/>
      <x:c r="V38" s="86"/>
      <x:c r="W38" s="86"/>
      <x:c r="X38" s="86"/>
      <x:c r="Y38" s="86"/>
      <x:c r="Z38" s="86"/>
    </x:row>
    <x:row r="39">
      <x:c r="A39" s="86"/>
      <x:c r="B39" s="86"/>
      <x:c r="C39" s="114"/>
      <x:c r="D39" s="114"/>
      <x:c r="E39" s="114"/>
      <x:c r="F39" s="114"/>
      <x:c r="G39" s="114"/>
      <x:c r="H39" s="118"/>
      <x:c r="I39" s="118"/>
      <x:c r="J39" s="119"/>
      <x:c r="K39" s="120"/>
      <x:c r="L39" s="120"/>
      <x:c r="M39" s="114"/>
      <x:c r="N39" s="114"/>
      <x:c r="O39" s="107"/>
      <x:c r="P39" s="93"/>
      <x:c r="Q39" s="92"/>
      <x:c r="R39" s="113"/>
      <x:c r="S39" s="106"/>
      <x:c r="T39" s="121"/>
      <x:c r="U39" s="92"/>
      <x:c r="V39" s="86"/>
      <x:c r="W39" s="86"/>
      <x:c r="X39" s="86"/>
      <x:c r="Y39" s="86"/>
      <x:c r="Z39" s="86"/>
    </x:row>
    <x:row r="40">
      <x:c r="A40" s="86"/>
      <x:c r="B40" s="86"/>
      <x:c r="C40" s="114"/>
      <x:c r="D40" s="114"/>
      <x:c r="E40" s="114"/>
      <x:c r="F40" s="114"/>
      <x:c r="G40" s="114"/>
      <x:c r="H40" s="118"/>
      <x:c r="I40" s="118"/>
      <x:c r="J40" s="119"/>
      <x:c r="K40" s="120"/>
      <x:c r="L40" s="120"/>
      <x:c r="M40" s="114"/>
      <x:c r="N40" s="114"/>
      <x:c r="O40" s="107"/>
      <x:c r="P40" s="93"/>
      <x:c r="Q40" s="92"/>
      <x:c r="R40" s="113"/>
      <x:c r="S40" s="106"/>
      <x:c r="T40" s="121"/>
      <x:c r="U40" s="92"/>
      <x:c r="V40" s="86"/>
      <x:c r="W40" s="86"/>
      <x:c r="X40" s="86"/>
      <x:c r="Y40" s="86"/>
      <x:c r="Z40" s="86"/>
    </x:row>
    <x:row r="41">
      <x:c r="A41" s="86"/>
      <x:c r="B41" s="86"/>
      <x:c r="C41" s="114"/>
      <x:c r="D41" s="114"/>
      <x:c r="E41" s="114"/>
      <x:c r="F41" s="114"/>
      <x:c r="G41" s="114"/>
      <x:c r="H41" s="118"/>
      <x:c r="I41" s="118"/>
      <x:c r="J41" s="119"/>
      <x:c r="K41" s="120"/>
      <x:c r="L41" s="120"/>
      <x:c r="M41" s="114"/>
      <x:c r="N41" s="114"/>
      <x:c r="O41" s="107"/>
      <x:c r="P41" s="93"/>
      <x:c r="Q41" s="92"/>
      <x:c r="R41" s="113"/>
      <x:c r="S41" s="106"/>
      <x:c r="T41" s="121"/>
      <x:c r="U41" s="92"/>
      <x:c r="V41" s="86"/>
      <x:c r="W41" s="86"/>
      <x:c r="X41" s="86"/>
      <x:c r="Y41" s="86"/>
      <x:c r="Z41" s="86"/>
    </x:row>
    <x:row r="42">
      <x:c r="A42" s="86"/>
      <x:c r="B42" s="86"/>
      <x:c r="C42" s="114"/>
      <x:c r="D42" s="114"/>
      <x:c r="E42" s="114"/>
      <x:c r="F42" s="114"/>
      <x:c r="G42" s="114"/>
      <x:c r="H42" s="118"/>
      <x:c r="I42" s="118"/>
      <x:c r="J42" s="119"/>
      <x:c r="K42" s="120"/>
      <x:c r="L42" s="120"/>
      <x:c r="M42" s="114"/>
      <x:c r="N42" s="114"/>
      <x:c r="O42" s="107"/>
      <x:c r="P42" s="93"/>
      <x:c r="Q42" s="92"/>
      <x:c r="R42" s="113"/>
      <x:c r="S42" s="106"/>
      <x:c r="T42" s="121"/>
      <x:c r="U42" s="92"/>
      <x:c r="V42" s="86"/>
      <x:c r="W42" s="86"/>
      <x:c r="X42" s="86"/>
      <x:c r="Y42" s="86"/>
      <x:c r="Z42" s="86"/>
    </x:row>
    <x:row r="43">
      <x:c r="A43" s="86"/>
      <x:c r="B43" s="86"/>
      <x:c r="C43" s="114"/>
      <x:c r="D43" s="114"/>
      <x:c r="E43" s="114"/>
      <x:c r="F43" s="114"/>
      <x:c r="G43" s="114"/>
      <x:c r="H43" s="118"/>
      <x:c r="I43" s="118"/>
      <x:c r="J43" s="119"/>
      <x:c r="K43" s="120"/>
      <x:c r="L43" s="120"/>
      <x:c r="M43" s="114"/>
      <x:c r="N43" s="114"/>
      <x:c r="O43" s="107"/>
      <x:c r="P43" s="93"/>
      <x:c r="Q43" s="92"/>
      <x:c r="R43" s="113"/>
      <x:c r="S43" s="106"/>
      <x:c r="T43" s="121"/>
      <x:c r="U43" s="92"/>
      <x:c r="V43" s="86"/>
      <x:c r="W43" s="86"/>
      <x:c r="X43" s="86"/>
      <x:c r="Y43" s="86"/>
      <x:c r="Z43" s="86"/>
    </x:row>
    <x:row r="44">
      <x:c r="A44" s="86"/>
      <x:c r="B44" s="86"/>
      <x:c r="C44" s="114"/>
      <x:c r="D44" s="114"/>
      <x:c r="E44" s="114"/>
      <x:c r="F44" s="114"/>
      <x:c r="G44" s="114"/>
      <x:c r="H44" s="118"/>
      <x:c r="I44" s="118"/>
      <x:c r="J44" s="119"/>
      <x:c r="K44" s="120"/>
      <x:c r="L44" s="120"/>
      <x:c r="M44" s="114"/>
      <x:c r="N44" s="114"/>
      <x:c r="O44" s="107"/>
      <x:c r="P44" s="93"/>
      <x:c r="Q44" s="92"/>
      <x:c r="R44" s="113"/>
      <x:c r="S44" s="106"/>
      <x:c r="T44" s="121"/>
      <x:c r="U44" s="92"/>
      <x:c r="V44" s="86"/>
      <x:c r="W44" s="86"/>
      <x:c r="X44" s="86"/>
      <x:c r="Y44" s="86"/>
      <x:c r="Z44" s="86"/>
    </x:row>
    <x:row r="45">
      <x:c r="A45" s="86"/>
      <x:c r="B45" s="86"/>
      <x:c r="C45" s="114"/>
      <x:c r="D45" s="114"/>
      <x:c r="E45" s="114"/>
      <x:c r="F45" s="114"/>
      <x:c r="G45" s="114"/>
      <x:c r="H45" s="118"/>
      <x:c r="I45" s="118"/>
      <x:c r="J45" s="119"/>
      <x:c r="K45" s="120"/>
      <x:c r="L45" s="120"/>
      <x:c r="M45" s="114"/>
      <x:c r="N45" s="114"/>
      <x:c r="O45" s="107"/>
      <x:c r="P45" s="93"/>
      <x:c r="Q45" s="92"/>
      <x:c r="R45" s="113"/>
      <x:c r="S45" s="106"/>
      <x:c r="T45" s="121"/>
      <x:c r="U45" s="92"/>
      <x:c r="V45" s="86"/>
      <x:c r="W45" s="86"/>
      <x:c r="X45" s="86"/>
      <x:c r="Y45" s="86"/>
      <x:c r="Z45" s="86"/>
    </x:row>
    <x:row r="46">
      <x:c r="A46" s="86"/>
      <x:c r="B46" s="86"/>
      <x:c r="C46" s="114"/>
      <x:c r="D46" s="114"/>
      <x:c r="E46" s="114"/>
      <x:c r="F46" s="114"/>
      <x:c r="G46" s="114"/>
      <x:c r="H46" s="118"/>
      <x:c r="I46" s="118"/>
      <x:c r="J46" s="119"/>
      <x:c r="K46" s="120"/>
      <x:c r="L46" s="120"/>
      <x:c r="M46" s="114"/>
      <x:c r="N46" s="114"/>
      <x:c r="O46" s="107"/>
      <x:c r="P46" s="93"/>
      <x:c r="Q46" s="92"/>
      <x:c r="R46" s="113"/>
      <x:c r="S46" s="106"/>
      <x:c r="T46" s="121"/>
      <x:c r="U46" s="92"/>
      <x:c r="V46" s="86"/>
      <x:c r="W46" s="86"/>
      <x:c r="X46" s="86"/>
      <x:c r="Y46" s="86"/>
      <x:c r="Z46" s="86"/>
    </x:row>
    <x:row r="47">
      <x:c r="A47" s="86"/>
      <x:c r="B47" s="86"/>
      <x:c r="C47" s="114"/>
      <x:c r="D47" s="114"/>
      <x:c r="E47" s="114"/>
      <x:c r="F47" s="114"/>
      <x:c r="G47" s="114"/>
      <x:c r="H47" s="118"/>
      <x:c r="I47" s="118"/>
      <x:c r="J47" s="119"/>
      <x:c r="K47" s="120"/>
      <x:c r="L47" s="120"/>
      <x:c r="M47" s="114"/>
      <x:c r="N47" s="114"/>
      <x:c r="O47" s="107"/>
      <x:c r="P47" s="93"/>
      <x:c r="Q47" s="92"/>
      <x:c r="R47" s="113"/>
      <x:c r="S47" s="106"/>
      <x:c r="T47" s="121"/>
      <x:c r="U47" s="92"/>
      <x:c r="V47" s="86"/>
      <x:c r="W47" s="86"/>
      <x:c r="X47" s="86"/>
      <x:c r="Y47" s="86"/>
      <x:c r="Z47" s="86"/>
    </x:row>
    <x:row r="48">
      <x:c r="A48" s="86"/>
      <x:c r="B48" s="86"/>
      <x:c r="C48" s="114"/>
      <x:c r="D48" s="114"/>
      <x:c r="E48" s="114"/>
      <x:c r="F48" s="114"/>
      <x:c r="G48" s="114"/>
      <x:c r="H48" s="118"/>
      <x:c r="I48" s="118"/>
      <x:c r="J48" s="119"/>
      <x:c r="K48" s="120"/>
      <x:c r="L48" s="120"/>
      <x:c r="M48" s="114"/>
      <x:c r="N48" s="114"/>
      <x:c r="O48" s="107"/>
      <x:c r="P48" s="93"/>
      <x:c r="Q48" s="92"/>
      <x:c r="R48" s="113"/>
      <x:c r="S48" s="106"/>
      <x:c r="T48" s="121"/>
      <x:c r="U48" s="92"/>
      <x:c r="V48" s="86"/>
      <x:c r="W48" s="86"/>
      <x:c r="X48" s="86"/>
      <x:c r="Y48" s="86"/>
      <x:c r="Z48" s="86"/>
    </x:row>
    <x:row r="49">
      <x:c r="A49" s="86"/>
      <x:c r="B49" s="86"/>
      <x:c r="C49" s="114"/>
      <x:c r="D49" s="114"/>
      <x:c r="E49" s="114"/>
      <x:c r="F49" s="114"/>
      <x:c r="G49" s="114"/>
      <x:c r="H49" s="118"/>
      <x:c r="I49" s="118"/>
      <x:c r="J49" s="119"/>
      <x:c r="K49" s="120"/>
      <x:c r="L49" s="120"/>
      <x:c r="M49" s="114"/>
      <x:c r="N49" s="114"/>
      <x:c r="O49" s="107"/>
      <x:c r="P49" s="93"/>
      <x:c r="Q49" s="92"/>
      <x:c r="R49" s="113"/>
      <x:c r="S49" s="106"/>
      <x:c r="T49" s="121"/>
      <x:c r="U49" s="92"/>
      <x:c r="V49" s="86"/>
      <x:c r="W49" s="86"/>
      <x:c r="X49" s="86"/>
      <x:c r="Y49" s="86"/>
      <x:c r="Z49" s="86"/>
    </x:row>
    <x:row r="50">
      <x:c r="A50" s="86"/>
      <x:c r="B50" s="86"/>
      <x:c r="C50" s="114"/>
      <x:c r="D50" s="114"/>
      <x:c r="E50" s="114"/>
      <x:c r="F50" s="114"/>
      <x:c r="G50" s="114"/>
      <x:c r="H50" s="118"/>
      <x:c r="I50" s="118"/>
      <x:c r="J50" s="119"/>
      <x:c r="K50" s="120"/>
      <x:c r="L50" s="120"/>
      <x:c r="M50" s="114"/>
      <x:c r="N50" s="114"/>
      <x:c r="O50" s="107"/>
      <x:c r="P50" s="93"/>
      <x:c r="Q50" s="92"/>
      <x:c r="R50" s="113"/>
      <x:c r="S50" s="106"/>
      <x:c r="T50" s="121"/>
      <x:c r="U50" s="92"/>
      <x:c r="V50" s="86"/>
      <x:c r="W50" s="86"/>
      <x:c r="X50" s="86"/>
      <x:c r="Y50" s="86"/>
      <x:c r="Z50" s="86"/>
    </x:row>
    <x:row r="51">
      <x:c r="A51" s="86"/>
      <x:c r="B51" s="86"/>
      <x:c r="C51" s="114"/>
      <x:c r="D51" s="114"/>
      <x:c r="E51" s="114"/>
      <x:c r="F51" s="114"/>
      <x:c r="G51" s="114"/>
      <x:c r="H51" s="118"/>
      <x:c r="I51" s="118"/>
      <x:c r="J51" s="119"/>
      <x:c r="K51" s="120"/>
      <x:c r="L51" s="120"/>
      <x:c r="M51" s="114"/>
      <x:c r="N51" s="114"/>
      <x:c r="O51" s="107"/>
      <x:c r="P51" s="93"/>
      <x:c r="Q51" s="92"/>
      <x:c r="R51" s="113"/>
      <x:c r="S51" s="106"/>
      <x:c r="T51" s="121"/>
      <x:c r="U51" s="92"/>
      <x:c r="V51" s="86"/>
      <x:c r="W51" s="86"/>
      <x:c r="X51" s="86"/>
      <x:c r="Y51" s="86"/>
      <x:c r="Z51" s="86"/>
    </x:row>
    <x:row r="52">
      <x:c r="A52" s="86"/>
      <x:c r="B52" s="86"/>
      <x:c r="C52" s="114"/>
      <x:c r="D52" s="114"/>
      <x:c r="E52" s="114"/>
      <x:c r="F52" s="114"/>
      <x:c r="G52" s="114"/>
      <x:c r="H52" s="118"/>
      <x:c r="I52" s="118"/>
      <x:c r="J52" s="119"/>
      <x:c r="K52" s="120"/>
      <x:c r="L52" s="120"/>
      <x:c r="M52" s="114"/>
      <x:c r="N52" s="114"/>
      <x:c r="O52" s="107"/>
      <x:c r="P52" s="93"/>
      <x:c r="Q52" s="92"/>
      <x:c r="R52" s="113"/>
      <x:c r="S52" s="106"/>
      <x:c r="T52" s="121"/>
      <x:c r="U52" s="92"/>
      <x:c r="V52" s="86"/>
      <x:c r="W52" s="86"/>
      <x:c r="X52" s="86"/>
      <x:c r="Y52" s="86"/>
      <x:c r="Z52" s="86"/>
    </x:row>
    <x:row r="53">
      <x:c r="A53" s="86"/>
      <x:c r="B53" s="86"/>
      <x:c r="C53" s="114"/>
      <x:c r="D53" s="114"/>
      <x:c r="E53" s="114"/>
      <x:c r="F53" s="114"/>
      <x:c r="G53" s="114"/>
      <x:c r="H53" s="118"/>
      <x:c r="I53" s="118"/>
      <x:c r="J53" s="119"/>
      <x:c r="K53" s="120"/>
      <x:c r="L53" s="120"/>
      <x:c r="M53" s="114"/>
      <x:c r="N53" s="114"/>
      <x:c r="O53" s="107"/>
      <x:c r="P53" s="93"/>
      <x:c r="Q53" s="92"/>
      <x:c r="R53" s="113"/>
      <x:c r="S53" s="106"/>
      <x:c r="T53" s="121"/>
      <x:c r="U53" s="92"/>
      <x:c r="V53" s="86"/>
      <x:c r="W53" s="86"/>
      <x:c r="X53" s="86"/>
      <x:c r="Y53" s="86"/>
      <x:c r="Z53" s="86"/>
    </x:row>
    <x:row r="54">
      <x:c r="A54" s="86"/>
      <x:c r="B54" s="86"/>
      <x:c r="C54" s="114"/>
      <x:c r="D54" s="114"/>
      <x:c r="E54" s="114"/>
      <x:c r="F54" s="114"/>
      <x:c r="G54" s="114"/>
      <x:c r="H54" s="118"/>
      <x:c r="I54" s="118"/>
      <x:c r="J54" s="119"/>
      <x:c r="K54" s="120"/>
      <x:c r="L54" s="120"/>
      <x:c r="M54" s="114"/>
      <x:c r="N54" s="114"/>
      <x:c r="O54" s="107"/>
      <x:c r="P54" s="93"/>
      <x:c r="Q54" s="92"/>
      <x:c r="R54" s="113"/>
      <x:c r="S54" s="106"/>
      <x:c r="T54" s="121"/>
      <x:c r="U54" s="92"/>
      <x:c r="V54" s="86"/>
      <x:c r="W54" s="86"/>
      <x:c r="X54" s="86"/>
      <x:c r="Y54" s="86"/>
      <x:c r="Z54" s="86"/>
    </x:row>
    <x:row r="55">
      <x:c r="A55" s="86"/>
      <x:c r="B55" s="86"/>
      <x:c r="C55" s="114"/>
      <x:c r="D55" s="114"/>
      <x:c r="E55" s="114"/>
      <x:c r="F55" s="114"/>
      <x:c r="G55" s="114"/>
      <x:c r="H55" s="118"/>
      <x:c r="I55" s="118"/>
      <x:c r="J55" s="119"/>
      <x:c r="K55" s="120"/>
      <x:c r="L55" s="120"/>
      <x:c r="M55" s="114"/>
      <x:c r="N55" s="114"/>
      <x:c r="O55" s="107"/>
      <x:c r="P55" s="93"/>
      <x:c r="Q55" s="92"/>
      <x:c r="R55" s="113"/>
      <x:c r="S55" s="106"/>
      <x:c r="T55" s="121"/>
      <x:c r="U55" s="92"/>
      <x:c r="V55" s="86"/>
      <x:c r="W55" s="86"/>
      <x:c r="X55" s="86"/>
      <x:c r="Y55" s="86"/>
      <x:c r="Z55" s="86"/>
    </x:row>
    <x:row r="56">
      <x:c r="A56" s="86"/>
      <x:c r="B56" s="86"/>
      <x:c r="C56" s="114"/>
      <x:c r="D56" s="114"/>
      <x:c r="E56" s="114"/>
      <x:c r="F56" s="114"/>
      <x:c r="G56" s="114"/>
      <x:c r="H56" s="118"/>
      <x:c r="I56" s="118"/>
      <x:c r="J56" s="119"/>
      <x:c r="K56" s="120"/>
      <x:c r="L56" s="120"/>
      <x:c r="M56" s="114"/>
      <x:c r="N56" s="114"/>
      <x:c r="O56" s="107"/>
      <x:c r="P56" s="93"/>
      <x:c r="Q56" s="92"/>
      <x:c r="R56" s="113"/>
      <x:c r="S56" s="106"/>
      <x:c r="T56" s="121"/>
      <x:c r="U56" s="92"/>
      <x:c r="V56" s="86"/>
      <x:c r="W56" s="86"/>
      <x:c r="X56" s="86"/>
      <x:c r="Y56" s="86"/>
      <x:c r="Z56" s="86"/>
    </x:row>
    <x:row r="57">
      <x:c r="A57" s="86"/>
      <x:c r="B57" s="86"/>
      <x:c r="C57" s="114"/>
      <x:c r="D57" s="114"/>
      <x:c r="E57" s="114"/>
      <x:c r="F57" s="114"/>
      <x:c r="G57" s="114"/>
      <x:c r="H57" s="118"/>
      <x:c r="I57" s="118"/>
      <x:c r="J57" s="119"/>
      <x:c r="K57" s="120"/>
      <x:c r="L57" s="120"/>
      <x:c r="M57" s="114"/>
      <x:c r="N57" s="114"/>
      <x:c r="O57" s="107"/>
      <x:c r="P57" s="93"/>
      <x:c r="Q57" s="92"/>
      <x:c r="R57" s="113"/>
      <x:c r="S57" s="106"/>
      <x:c r="T57" s="121"/>
      <x:c r="U57" s="92"/>
      <x:c r="V57" s="86"/>
      <x:c r="W57" s="86"/>
      <x:c r="X57" s="86"/>
      <x:c r="Y57" s="86"/>
      <x:c r="Z57" s="86"/>
    </x:row>
    <x:row r="58">
      <x:c r="A58" s="86"/>
      <x:c r="B58" s="86"/>
      <x:c r="C58" s="114"/>
      <x:c r="D58" s="114"/>
      <x:c r="E58" s="114"/>
      <x:c r="F58" s="114"/>
      <x:c r="G58" s="114"/>
      <x:c r="H58" s="118"/>
      <x:c r="I58" s="118"/>
      <x:c r="J58" s="119"/>
      <x:c r="K58" s="120"/>
      <x:c r="L58" s="120"/>
      <x:c r="M58" s="114"/>
      <x:c r="N58" s="114"/>
      <x:c r="O58" s="107"/>
      <x:c r="P58" s="93"/>
      <x:c r="Q58" s="92"/>
      <x:c r="R58" s="113"/>
      <x:c r="S58" s="106"/>
      <x:c r="T58" s="121"/>
      <x:c r="U58" s="92"/>
      <x:c r="V58" s="86"/>
      <x:c r="W58" s="86"/>
      <x:c r="X58" s="86"/>
      <x:c r="Y58" s="86"/>
      <x:c r="Z58" s="86"/>
    </x:row>
    <x:row r="59">
      <x:c r="A59" s="86"/>
      <x:c r="B59" s="86"/>
      <x:c r="C59" s="114"/>
      <x:c r="D59" s="114"/>
      <x:c r="E59" s="114"/>
      <x:c r="F59" s="114"/>
      <x:c r="G59" s="114"/>
      <x:c r="H59" s="118"/>
      <x:c r="I59" s="118"/>
      <x:c r="J59" s="119"/>
      <x:c r="K59" s="120"/>
      <x:c r="L59" s="120"/>
      <x:c r="M59" s="114"/>
      <x:c r="N59" s="114"/>
      <x:c r="O59" s="107"/>
      <x:c r="P59" s="93"/>
      <x:c r="Q59" s="92"/>
      <x:c r="R59" s="113"/>
      <x:c r="S59" s="106"/>
      <x:c r="T59" s="121"/>
      <x:c r="U59" s="92"/>
      <x:c r="V59" s="86"/>
      <x:c r="W59" s="86"/>
      <x:c r="X59" s="86"/>
      <x:c r="Y59" s="86"/>
      <x:c r="Z59" s="86"/>
    </x:row>
    <x:row r="60">
      <x:c r="A60" s="86"/>
      <x:c r="B60" s="86"/>
      <x:c r="C60" s="114"/>
      <x:c r="D60" s="114"/>
      <x:c r="E60" s="114"/>
      <x:c r="F60" s="114"/>
      <x:c r="G60" s="114"/>
      <x:c r="H60" s="118"/>
      <x:c r="I60" s="118"/>
      <x:c r="J60" s="119"/>
      <x:c r="K60" s="120"/>
      <x:c r="L60" s="120"/>
      <x:c r="M60" s="114"/>
      <x:c r="N60" s="114"/>
      <x:c r="O60" s="107"/>
      <x:c r="P60" s="93"/>
      <x:c r="Q60" s="92"/>
      <x:c r="R60" s="113"/>
      <x:c r="S60" s="106"/>
      <x:c r="T60" s="121"/>
      <x:c r="U60" s="92"/>
      <x:c r="V60" s="86"/>
      <x:c r="W60" s="86"/>
      <x:c r="X60" s="86"/>
      <x:c r="Y60" s="86"/>
      <x:c r="Z60" s="86"/>
    </x:row>
    <x:row r="61">
      <x:c r="A61" s="86"/>
      <x:c r="B61" s="86"/>
      <x:c r="C61" s="114"/>
      <x:c r="D61" s="114"/>
      <x:c r="E61" s="114"/>
      <x:c r="F61" s="114"/>
      <x:c r="G61" s="114"/>
      <x:c r="H61" s="118"/>
      <x:c r="I61" s="118"/>
      <x:c r="J61" s="119"/>
      <x:c r="K61" s="120"/>
      <x:c r="L61" s="120"/>
      <x:c r="M61" s="114"/>
      <x:c r="N61" s="114"/>
      <x:c r="O61" s="107"/>
      <x:c r="P61" s="93"/>
      <x:c r="Q61" s="92"/>
      <x:c r="R61" s="113"/>
      <x:c r="S61" s="106"/>
      <x:c r="T61" s="121"/>
      <x:c r="U61" s="92"/>
      <x:c r="V61" s="86"/>
      <x:c r="W61" s="86"/>
      <x:c r="X61" s="86"/>
      <x:c r="Y61" s="86"/>
      <x:c r="Z61" s="86"/>
    </x:row>
    <x:row r="62">
      <x:c r="A62" s="86"/>
      <x:c r="B62" s="86"/>
      <x:c r="C62" s="114"/>
      <x:c r="D62" s="114"/>
      <x:c r="E62" s="114"/>
      <x:c r="F62" s="114"/>
      <x:c r="G62" s="114"/>
      <x:c r="H62" s="118"/>
      <x:c r="I62" s="118"/>
      <x:c r="J62" s="119"/>
      <x:c r="K62" s="120"/>
      <x:c r="L62" s="120"/>
      <x:c r="M62" s="114"/>
      <x:c r="N62" s="114"/>
      <x:c r="O62" s="107"/>
      <x:c r="P62" s="93"/>
      <x:c r="Q62" s="92"/>
      <x:c r="R62" s="113"/>
      <x:c r="S62" s="106"/>
      <x:c r="T62" s="121"/>
      <x:c r="U62" s="92"/>
      <x:c r="V62" s="86"/>
      <x:c r="W62" s="86"/>
      <x:c r="X62" s="86"/>
      <x:c r="Y62" s="86"/>
      <x:c r="Z62" s="86"/>
    </x:row>
    <x:row r="63">
      <x:c r="A63" s="86"/>
      <x:c r="B63" s="86"/>
      <x:c r="C63" s="114"/>
      <x:c r="D63" s="114"/>
      <x:c r="E63" s="114"/>
      <x:c r="F63" s="114"/>
      <x:c r="G63" s="114"/>
      <x:c r="H63" s="118"/>
      <x:c r="I63" s="118"/>
      <x:c r="J63" s="119"/>
      <x:c r="K63" s="120"/>
      <x:c r="L63" s="120"/>
      <x:c r="M63" s="114"/>
      <x:c r="N63" s="114"/>
      <x:c r="O63" s="107"/>
      <x:c r="P63" s="93"/>
      <x:c r="Q63" s="92"/>
      <x:c r="R63" s="113"/>
      <x:c r="S63" s="106"/>
      <x:c r="T63" s="121"/>
      <x:c r="U63" s="92"/>
      <x:c r="V63" s="86"/>
      <x:c r="W63" s="86"/>
      <x:c r="X63" s="86"/>
      <x:c r="Y63" s="86"/>
      <x:c r="Z63" s="86"/>
    </x:row>
    <x:row r="64">
      <x:c r="A64" s="86"/>
      <x:c r="B64" s="86"/>
      <x:c r="C64" s="114"/>
      <x:c r="D64" s="114"/>
      <x:c r="E64" s="114"/>
      <x:c r="F64" s="114"/>
      <x:c r="G64" s="114"/>
      <x:c r="H64" s="118"/>
      <x:c r="I64" s="118"/>
      <x:c r="J64" s="119"/>
      <x:c r="K64" s="120"/>
      <x:c r="L64" s="120"/>
      <x:c r="M64" s="114"/>
      <x:c r="N64" s="114"/>
      <x:c r="O64" s="107"/>
      <x:c r="P64" s="93"/>
      <x:c r="Q64" s="92"/>
      <x:c r="R64" s="113"/>
      <x:c r="S64" s="106"/>
      <x:c r="T64" s="121"/>
      <x:c r="U64" s="92"/>
      <x:c r="V64" s="86"/>
      <x:c r="W64" s="86"/>
      <x:c r="X64" s="86"/>
      <x:c r="Y64" s="86"/>
      <x:c r="Z64" s="86"/>
    </x:row>
    <x:row r="65">
      <x:c r="A65" s="86"/>
      <x:c r="B65" s="86"/>
      <x:c r="C65" s="114"/>
      <x:c r="D65" s="114"/>
      <x:c r="E65" s="114"/>
      <x:c r="F65" s="114"/>
      <x:c r="G65" s="114"/>
      <x:c r="H65" s="118"/>
      <x:c r="I65" s="118"/>
      <x:c r="J65" s="119"/>
      <x:c r="K65" s="120"/>
      <x:c r="L65" s="120"/>
      <x:c r="M65" s="114"/>
      <x:c r="N65" s="114"/>
      <x:c r="O65" s="107"/>
      <x:c r="P65" s="93"/>
      <x:c r="Q65" s="92"/>
      <x:c r="R65" s="113"/>
      <x:c r="S65" s="106"/>
      <x:c r="T65" s="121"/>
      <x:c r="U65" s="92"/>
      <x:c r="V65" s="86"/>
      <x:c r="W65" s="86"/>
      <x:c r="X65" s="86"/>
      <x:c r="Y65" s="86"/>
      <x:c r="Z65" s="86"/>
    </x:row>
    <x:row r="66">
      <x:c r="A66" s="86"/>
      <x:c r="B66" s="86"/>
      <x:c r="C66" s="114"/>
      <x:c r="D66" s="114"/>
      <x:c r="E66" s="114"/>
      <x:c r="F66" s="114"/>
      <x:c r="G66" s="114"/>
      <x:c r="H66" s="118"/>
      <x:c r="I66" s="118"/>
      <x:c r="J66" s="119"/>
      <x:c r="K66" s="120"/>
      <x:c r="L66" s="120"/>
      <x:c r="M66" s="114"/>
      <x:c r="N66" s="114"/>
      <x:c r="O66" s="107"/>
      <x:c r="P66" s="93"/>
      <x:c r="Q66" s="92"/>
      <x:c r="R66" s="113"/>
      <x:c r="S66" s="106"/>
      <x:c r="T66" s="121"/>
      <x:c r="U66" s="92"/>
      <x:c r="V66" s="86"/>
      <x:c r="W66" s="86"/>
      <x:c r="X66" s="86"/>
      <x:c r="Y66" s="86"/>
      <x:c r="Z66" s="86"/>
    </x:row>
    <x:row r="67">
      <x:c r="A67" s="86"/>
      <x:c r="B67" s="86"/>
      <x:c r="C67" s="114"/>
      <x:c r="D67" s="114"/>
      <x:c r="E67" s="114"/>
      <x:c r="F67" s="114"/>
      <x:c r="G67" s="114"/>
      <x:c r="H67" s="118"/>
      <x:c r="I67" s="118"/>
      <x:c r="J67" s="119"/>
      <x:c r="K67" s="120"/>
      <x:c r="L67" s="120"/>
      <x:c r="M67" s="114"/>
      <x:c r="N67" s="114"/>
      <x:c r="O67" s="107"/>
      <x:c r="P67" s="93"/>
      <x:c r="Q67" s="92"/>
      <x:c r="R67" s="113"/>
      <x:c r="S67" s="106"/>
      <x:c r="T67" s="121"/>
      <x:c r="U67" s="92"/>
      <x:c r="V67" s="86"/>
      <x:c r="W67" s="86"/>
      <x:c r="X67" s="86"/>
      <x:c r="Y67" s="86"/>
      <x:c r="Z67" s="86"/>
    </x:row>
    <x:row r="68">
      <x:c r="A68" s="86"/>
      <x:c r="B68" s="86"/>
      <x:c r="C68" s="114"/>
      <x:c r="D68" s="114"/>
      <x:c r="E68" s="114"/>
      <x:c r="F68" s="114"/>
      <x:c r="G68" s="114"/>
      <x:c r="H68" s="118"/>
      <x:c r="I68" s="118"/>
      <x:c r="J68" s="119"/>
      <x:c r="K68" s="120"/>
      <x:c r="L68" s="120"/>
      <x:c r="M68" s="114"/>
      <x:c r="N68" s="114"/>
      <x:c r="O68" s="107"/>
      <x:c r="P68" s="93"/>
      <x:c r="Q68" s="92"/>
      <x:c r="R68" s="113"/>
      <x:c r="S68" s="106"/>
      <x:c r="T68" s="121"/>
      <x:c r="U68" s="92"/>
      <x:c r="V68" s="86"/>
      <x:c r="W68" s="86"/>
      <x:c r="X68" s="86"/>
      <x:c r="Y68" s="86"/>
      <x:c r="Z68" s="86"/>
    </x:row>
    <x:row r="69">
      <x:c r="A69" s="86"/>
      <x:c r="B69" s="86"/>
      <x:c r="C69" s="114"/>
      <x:c r="D69" s="114"/>
      <x:c r="E69" s="114"/>
      <x:c r="F69" s="114"/>
      <x:c r="G69" s="114"/>
      <x:c r="H69" s="118"/>
      <x:c r="I69" s="118"/>
      <x:c r="J69" s="119"/>
      <x:c r="K69" s="120"/>
      <x:c r="L69" s="120"/>
      <x:c r="M69" s="114"/>
      <x:c r="N69" s="114"/>
      <x:c r="O69" s="107"/>
      <x:c r="P69" s="93"/>
      <x:c r="Q69" s="92"/>
      <x:c r="R69" s="113"/>
      <x:c r="S69" s="106"/>
      <x:c r="T69" s="121"/>
      <x:c r="U69" s="92"/>
      <x:c r="V69" s="86"/>
      <x:c r="W69" s="86"/>
      <x:c r="X69" s="86"/>
      <x:c r="Y69" s="86"/>
      <x:c r="Z69" s="86"/>
    </x:row>
    <x:row r="70">
      <x:c r="A70" s="86"/>
      <x:c r="B70" s="86"/>
      <x:c r="C70" s="114"/>
      <x:c r="D70" s="114"/>
      <x:c r="E70" s="114"/>
      <x:c r="F70" s="114"/>
      <x:c r="G70" s="114"/>
      <x:c r="H70" s="118"/>
      <x:c r="I70" s="118"/>
      <x:c r="J70" s="119"/>
      <x:c r="K70" s="120"/>
      <x:c r="L70" s="120"/>
      <x:c r="M70" s="114"/>
      <x:c r="N70" s="114"/>
      <x:c r="O70" s="107"/>
      <x:c r="P70" s="93"/>
      <x:c r="Q70" s="92"/>
      <x:c r="R70" s="113"/>
      <x:c r="S70" s="106"/>
      <x:c r="T70" s="121"/>
      <x:c r="U70" s="92"/>
      <x:c r="V70" s="86"/>
      <x:c r="W70" s="86"/>
      <x:c r="X70" s="86"/>
      <x:c r="Y70" s="86"/>
      <x:c r="Z70" s="86"/>
    </x:row>
    <x:row r="71">
      <x:c r="A71" s="86"/>
      <x:c r="B71" s="86"/>
      <x:c r="C71" s="114"/>
      <x:c r="D71" s="114"/>
      <x:c r="E71" s="114"/>
      <x:c r="F71" s="114"/>
      <x:c r="G71" s="114"/>
      <x:c r="H71" s="118"/>
      <x:c r="I71" s="118"/>
      <x:c r="J71" s="119"/>
      <x:c r="K71" s="120"/>
      <x:c r="L71" s="120"/>
      <x:c r="M71" s="114"/>
      <x:c r="N71" s="114"/>
      <x:c r="O71" s="107"/>
      <x:c r="P71" s="93"/>
      <x:c r="Q71" s="92"/>
      <x:c r="R71" s="113"/>
      <x:c r="S71" s="106"/>
      <x:c r="T71" s="121"/>
      <x:c r="U71" s="92"/>
      <x:c r="V71" s="86"/>
      <x:c r="W71" s="86"/>
      <x:c r="X71" s="86"/>
      <x:c r="Y71" s="86"/>
      <x:c r="Z71" s="86"/>
    </x:row>
    <x:row r="72">
      <x:c r="A72" s="86"/>
      <x:c r="B72" s="86"/>
      <x:c r="C72" s="114"/>
      <x:c r="D72" s="114"/>
      <x:c r="E72" s="114"/>
      <x:c r="F72" s="114"/>
      <x:c r="G72" s="114"/>
      <x:c r="H72" s="118"/>
      <x:c r="I72" s="118"/>
      <x:c r="J72" s="119"/>
      <x:c r="K72" s="120"/>
      <x:c r="L72" s="120"/>
      <x:c r="M72" s="114"/>
      <x:c r="N72" s="114"/>
      <x:c r="O72" s="107"/>
      <x:c r="P72" s="93"/>
      <x:c r="Q72" s="92"/>
      <x:c r="R72" s="113"/>
      <x:c r="S72" s="106"/>
      <x:c r="T72" s="121"/>
      <x:c r="U72" s="92"/>
      <x:c r="V72" s="86"/>
      <x:c r="W72" s="86"/>
      <x:c r="X72" s="86"/>
      <x:c r="Y72" s="86"/>
      <x:c r="Z72" s="86"/>
    </x:row>
    <x:row r="73">
      <x:c r="A73" s="86"/>
      <x:c r="B73" s="86"/>
      <x:c r="C73" s="114"/>
      <x:c r="D73" s="114"/>
      <x:c r="E73" s="114"/>
      <x:c r="F73" s="114"/>
      <x:c r="G73" s="114"/>
      <x:c r="H73" s="118"/>
      <x:c r="I73" s="118"/>
      <x:c r="J73" s="119"/>
      <x:c r="K73" s="120"/>
      <x:c r="L73" s="120"/>
      <x:c r="M73" s="114"/>
      <x:c r="N73" s="114"/>
      <x:c r="O73" s="107"/>
      <x:c r="P73" s="93"/>
      <x:c r="Q73" s="92"/>
      <x:c r="R73" s="113"/>
      <x:c r="S73" s="106"/>
      <x:c r="T73" s="121"/>
      <x:c r="U73" s="92"/>
      <x:c r="V73" s="86"/>
      <x:c r="W73" s="86"/>
      <x:c r="X73" s="86"/>
      <x:c r="Y73" s="86"/>
      <x:c r="Z73" s="86"/>
    </x:row>
    <x:row r="74">
      <x:c r="A74" s="86"/>
      <x:c r="B74" s="86"/>
      <x:c r="C74" s="114"/>
      <x:c r="D74" s="114"/>
      <x:c r="E74" s="114"/>
      <x:c r="F74" s="114"/>
      <x:c r="G74" s="114"/>
      <x:c r="H74" s="118"/>
      <x:c r="I74" s="118"/>
      <x:c r="J74" s="119"/>
      <x:c r="K74" s="120"/>
      <x:c r="L74" s="120"/>
      <x:c r="M74" s="114"/>
      <x:c r="N74" s="114"/>
      <x:c r="O74" s="107"/>
      <x:c r="P74" s="93"/>
      <x:c r="Q74" s="92"/>
      <x:c r="R74" s="113"/>
      <x:c r="S74" s="106"/>
      <x:c r="T74" s="121"/>
      <x:c r="U74" s="92"/>
      <x:c r="V74" s="86"/>
      <x:c r="W74" s="86"/>
      <x:c r="X74" s="86"/>
      <x:c r="Y74" s="86"/>
      <x:c r="Z74" s="86"/>
    </x:row>
    <x:row r="75">
      <x:c r="A75" s="86"/>
      <x:c r="B75" s="86"/>
      <x:c r="C75" s="114"/>
      <x:c r="D75" s="114"/>
      <x:c r="E75" s="114"/>
      <x:c r="F75" s="114"/>
      <x:c r="G75" s="114"/>
      <x:c r="H75" s="118"/>
      <x:c r="I75" s="118"/>
      <x:c r="J75" s="119"/>
      <x:c r="K75" s="120"/>
      <x:c r="L75" s="120"/>
      <x:c r="M75" s="114"/>
      <x:c r="N75" s="114"/>
      <x:c r="O75" s="107"/>
      <x:c r="P75" s="93"/>
      <x:c r="Q75" s="92"/>
      <x:c r="R75" s="113"/>
      <x:c r="S75" s="106"/>
      <x:c r="T75" s="121"/>
      <x:c r="U75" s="92"/>
      <x:c r="V75" s="86"/>
      <x:c r="W75" s="86"/>
      <x:c r="X75" s="86"/>
      <x:c r="Y75" s="86"/>
      <x:c r="Z75" s="86"/>
    </x:row>
    <x:row r="76">
      <x:c r="A76" s="86"/>
      <x:c r="B76" s="86"/>
      <x:c r="C76" s="114"/>
      <x:c r="D76" s="114"/>
      <x:c r="E76" s="114"/>
      <x:c r="F76" s="114"/>
      <x:c r="G76" s="114"/>
      <x:c r="H76" s="118"/>
      <x:c r="I76" s="118"/>
      <x:c r="J76" s="119"/>
      <x:c r="K76" s="120"/>
      <x:c r="L76" s="120"/>
      <x:c r="M76" s="114"/>
      <x:c r="N76" s="114"/>
      <x:c r="O76" s="107"/>
      <x:c r="P76" s="93"/>
      <x:c r="Q76" s="92"/>
      <x:c r="R76" s="113"/>
      <x:c r="S76" s="106"/>
      <x:c r="T76" s="121"/>
      <x:c r="U76" s="92"/>
      <x:c r="V76" s="86"/>
      <x:c r="W76" s="86"/>
      <x:c r="X76" s="86"/>
      <x:c r="Y76" s="86"/>
      <x:c r="Z76" s="86"/>
    </x:row>
    <x:row r="77">
      <x:c r="A77" s="86"/>
      <x:c r="B77" s="86"/>
      <x:c r="C77" s="114"/>
      <x:c r="D77" s="114"/>
      <x:c r="E77" s="114"/>
      <x:c r="F77" s="114"/>
      <x:c r="G77" s="114"/>
      <x:c r="H77" s="118"/>
      <x:c r="I77" s="118"/>
      <x:c r="J77" s="119"/>
      <x:c r="K77" s="120"/>
      <x:c r="L77" s="120"/>
      <x:c r="M77" s="114"/>
      <x:c r="N77" s="114"/>
      <x:c r="O77" s="107"/>
      <x:c r="P77" s="93"/>
      <x:c r="Q77" s="92"/>
      <x:c r="R77" s="113"/>
      <x:c r="S77" s="106"/>
      <x:c r="T77" s="121"/>
      <x:c r="U77" s="92"/>
      <x:c r="V77" s="86"/>
      <x:c r="W77" s="86"/>
      <x:c r="X77" s="86"/>
      <x:c r="Y77" s="86"/>
      <x:c r="Z77" s="86"/>
    </x:row>
    <x:row r="78">
      <x:c r="A78" s="86"/>
      <x:c r="B78" s="86"/>
      <x:c r="C78" s="114"/>
      <x:c r="D78" s="114"/>
      <x:c r="E78" s="114"/>
      <x:c r="F78" s="114"/>
      <x:c r="G78" s="114"/>
      <x:c r="H78" s="118"/>
      <x:c r="I78" s="118"/>
      <x:c r="J78" s="119"/>
      <x:c r="K78" s="120"/>
      <x:c r="L78" s="120"/>
      <x:c r="M78" s="114"/>
      <x:c r="N78" s="114"/>
      <x:c r="O78" s="107"/>
      <x:c r="P78" s="93"/>
      <x:c r="Q78" s="92"/>
      <x:c r="R78" s="113"/>
      <x:c r="S78" s="106"/>
      <x:c r="T78" s="121"/>
      <x:c r="U78" s="92"/>
      <x:c r="V78" s="86"/>
      <x:c r="W78" s="86"/>
      <x:c r="X78" s="86"/>
      <x:c r="Y78" s="86"/>
      <x:c r="Z78" s="86"/>
    </x:row>
    <x:row r="79">
      <x:c r="A79" s="86"/>
      <x:c r="B79" s="86"/>
      <x:c r="C79" s="114"/>
      <x:c r="D79" s="114"/>
      <x:c r="E79" s="114"/>
      <x:c r="F79" s="114"/>
      <x:c r="G79" s="114"/>
      <x:c r="H79" s="118"/>
      <x:c r="I79" s="118"/>
      <x:c r="J79" s="119"/>
      <x:c r="K79" s="120"/>
      <x:c r="L79" s="120"/>
      <x:c r="M79" s="114"/>
      <x:c r="N79" s="114"/>
      <x:c r="O79" s="107"/>
      <x:c r="P79" s="93"/>
      <x:c r="Q79" s="92"/>
      <x:c r="R79" s="113"/>
      <x:c r="S79" s="106"/>
      <x:c r="T79" s="121"/>
      <x:c r="U79" s="92"/>
      <x:c r="V79" s="86"/>
      <x:c r="W79" s="86"/>
      <x:c r="X79" s="86"/>
      <x:c r="Y79" s="86"/>
      <x:c r="Z79" s="86"/>
    </x:row>
    <x:row r="80">
      <x:c r="A80" s="86"/>
      <x:c r="B80" s="86"/>
      <x:c r="C80" s="114"/>
      <x:c r="D80" s="114"/>
      <x:c r="E80" s="114"/>
      <x:c r="F80" s="114"/>
      <x:c r="G80" s="114"/>
      <x:c r="H80" s="118"/>
      <x:c r="I80" s="118"/>
      <x:c r="J80" s="119"/>
      <x:c r="K80" s="120"/>
      <x:c r="L80" s="120"/>
      <x:c r="M80" s="114"/>
      <x:c r="N80" s="114"/>
      <x:c r="O80" s="107"/>
      <x:c r="P80" s="93"/>
      <x:c r="Q80" s="92"/>
      <x:c r="R80" s="113"/>
      <x:c r="S80" s="106"/>
      <x:c r="T80" s="121"/>
      <x:c r="U80" s="92"/>
      <x:c r="V80" s="86"/>
      <x:c r="W80" s="86"/>
      <x:c r="X80" s="86"/>
      <x:c r="Y80" s="86"/>
      <x:c r="Z80" s="86"/>
    </x:row>
    <x:row r="81">
      <x:c r="A81" s="86"/>
      <x:c r="B81" s="86"/>
      <x:c r="C81" s="114"/>
      <x:c r="D81" s="114"/>
      <x:c r="E81" s="114"/>
      <x:c r="F81" s="114"/>
      <x:c r="G81" s="114"/>
      <x:c r="H81" s="118"/>
      <x:c r="I81" s="118"/>
      <x:c r="J81" s="119"/>
      <x:c r="K81" s="120"/>
      <x:c r="L81" s="120"/>
      <x:c r="M81" s="114"/>
      <x:c r="N81" s="114"/>
      <x:c r="O81" s="107"/>
      <x:c r="P81" s="93"/>
      <x:c r="Q81" s="92"/>
      <x:c r="R81" s="113"/>
      <x:c r="S81" s="106"/>
      <x:c r="T81" s="121"/>
      <x:c r="U81" s="92"/>
      <x:c r="V81" s="86"/>
      <x:c r="W81" s="86"/>
      <x:c r="X81" s="86"/>
      <x:c r="Y81" s="86"/>
      <x:c r="Z81" s="86"/>
    </x:row>
    <x:row r="82">
      <x:c r="A82" s="86"/>
      <x:c r="B82" s="86"/>
      <x:c r="C82" s="114"/>
      <x:c r="D82" s="114"/>
      <x:c r="E82" s="114"/>
      <x:c r="F82" s="114"/>
      <x:c r="G82" s="114"/>
      <x:c r="H82" s="118"/>
      <x:c r="I82" s="118"/>
      <x:c r="J82" s="119"/>
      <x:c r="K82" s="120"/>
      <x:c r="L82" s="120"/>
      <x:c r="M82" s="114"/>
      <x:c r="N82" s="114"/>
      <x:c r="O82" s="107"/>
      <x:c r="P82" s="93"/>
      <x:c r="Q82" s="92"/>
      <x:c r="R82" s="113"/>
      <x:c r="S82" s="106"/>
      <x:c r="T82" s="121"/>
      <x:c r="U82" s="92"/>
      <x:c r="V82" s="86"/>
      <x:c r="W82" s="86"/>
      <x:c r="X82" s="86"/>
      <x:c r="Y82" s="86"/>
      <x:c r="Z82" s="86"/>
    </x:row>
    <x:row r="83">
      <x:c r="A83" s="86"/>
      <x:c r="B83" s="86"/>
      <x:c r="C83" s="114"/>
      <x:c r="D83" s="114"/>
      <x:c r="E83" s="114"/>
      <x:c r="F83" s="114"/>
      <x:c r="G83" s="114"/>
      <x:c r="H83" s="118"/>
      <x:c r="I83" s="118"/>
      <x:c r="J83" s="119"/>
      <x:c r="K83" s="120"/>
      <x:c r="L83" s="120"/>
      <x:c r="M83" s="114"/>
      <x:c r="N83" s="114"/>
      <x:c r="O83" s="107"/>
      <x:c r="P83" s="93"/>
      <x:c r="Q83" s="92"/>
      <x:c r="R83" s="113"/>
      <x:c r="S83" s="106"/>
      <x:c r="T83" s="121"/>
      <x:c r="U83" s="92"/>
      <x:c r="V83" s="86"/>
      <x:c r="W83" s="86"/>
      <x:c r="X83" s="86"/>
      <x:c r="Y83" s="86"/>
      <x:c r="Z83" s="86"/>
    </x:row>
    <x:row r="84">
      <x:c r="A84" s="86"/>
      <x:c r="B84" s="86"/>
      <x:c r="C84" s="114"/>
      <x:c r="D84" s="114"/>
      <x:c r="E84" s="114"/>
      <x:c r="F84" s="114"/>
      <x:c r="G84" s="114"/>
      <x:c r="H84" s="118"/>
      <x:c r="I84" s="118"/>
      <x:c r="J84" s="119"/>
      <x:c r="K84" s="120"/>
      <x:c r="L84" s="120"/>
      <x:c r="M84" s="114"/>
      <x:c r="N84" s="114"/>
      <x:c r="O84" s="107"/>
      <x:c r="P84" s="93"/>
      <x:c r="Q84" s="92"/>
      <x:c r="R84" s="113"/>
      <x:c r="S84" s="106"/>
      <x:c r="T84" s="121"/>
      <x:c r="U84" s="92"/>
      <x:c r="V84" s="86"/>
      <x:c r="W84" s="86"/>
      <x:c r="X84" s="86"/>
      <x:c r="Y84" s="86"/>
      <x:c r="Z84" s="86"/>
    </x:row>
    <x:row r="85">
      <x:c r="A85" s="86"/>
      <x:c r="B85" s="86"/>
      <x:c r="C85" s="114"/>
      <x:c r="D85" s="114"/>
      <x:c r="E85" s="114"/>
      <x:c r="F85" s="114"/>
      <x:c r="G85" s="114"/>
      <x:c r="H85" s="118"/>
      <x:c r="I85" s="118"/>
      <x:c r="J85" s="119"/>
      <x:c r="K85" s="120"/>
      <x:c r="L85" s="120"/>
      <x:c r="M85" s="114"/>
      <x:c r="N85" s="114"/>
      <x:c r="O85" s="107"/>
      <x:c r="P85" s="93"/>
      <x:c r="Q85" s="92"/>
      <x:c r="R85" s="113"/>
      <x:c r="S85" s="106"/>
      <x:c r="T85" s="121"/>
      <x:c r="U85" s="92"/>
      <x:c r="V85" s="86"/>
      <x:c r="W85" s="86"/>
      <x:c r="X85" s="86"/>
      <x:c r="Y85" s="86"/>
      <x:c r="Z85" s="86"/>
    </x:row>
    <x:row r="86">
      <x:c r="A86" s="86"/>
      <x:c r="B86" s="86"/>
      <x:c r="C86" s="114"/>
      <x:c r="D86" s="114"/>
      <x:c r="E86" s="114"/>
      <x:c r="F86" s="114"/>
      <x:c r="G86" s="114"/>
      <x:c r="H86" s="118"/>
      <x:c r="I86" s="118"/>
      <x:c r="J86" s="119"/>
      <x:c r="K86" s="120"/>
      <x:c r="L86" s="120"/>
      <x:c r="M86" s="114"/>
      <x:c r="N86" s="114"/>
      <x:c r="O86" s="107"/>
      <x:c r="P86" s="93"/>
      <x:c r="Q86" s="92"/>
      <x:c r="R86" s="113"/>
      <x:c r="S86" s="106"/>
      <x:c r="T86" s="121"/>
      <x:c r="U86" s="92"/>
      <x:c r="V86" s="86"/>
      <x:c r="W86" s="86"/>
      <x:c r="X86" s="86"/>
      <x:c r="Y86" s="86"/>
      <x:c r="Z86" s="86"/>
    </x:row>
    <x:row r="87">
      <x:c r="A87" s="86"/>
      <x:c r="B87" s="86"/>
      <x:c r="C87" s="114"/>
      <x:c r="D87" s="114"/>
      <x:c r="E87" s="114"/>
      <x:c r="F87" s="114"/>
      <x:c r="G87" s="114"/>
      <x:c r="H87" s="118"/>
      <x:c r="I87" s="118"/>
      <x:c r="J87" s="119"/>
      <x:c r="K87" s="120"/>
      <x:c r="L87" s="120"/>
      <x:c r="M87" s="114"/>
      <x:c r="N87" s="114"/>
      <x:c r="O87" s="107"/>
      <x:c r="P87" s="93"/>
      <x:c r="Q87" s="92"/>
      <x:c r="R87" s="113"/>
      <x:c r="S87" s="106"/>
      <x:c r="T87" s="121"/>
      <x:c r="U87" s="92"/>
      <x:c r="V87" s="86"/>
      <x:c r="W87" s="86"/>
      <x:c r="X87" s="86"/>
      <x:c r="Y87" s="86"/>
      <x:c r="Z87" s="86"/>
    </x:row>
    <x:row r="88">
      <x:c r="A88" s="86"/>
      <x:c r="B88" s="86"/>
      <x:c r="C88" s="114"/>
      <x:c r="D88" s="114"/>
      <x:c r="E88" s="114"/>
      <x:c r="F88" s="114"/>
      <x:c r="G88" s="114"/>
      <x:c r="H88" s="118"/>
      <x:c r="I88" s="118"/>
      <x:c r="J88" s="119"/>
      <x:c r="K88" s="120"/>
      <x:c r="L88" s="120"/>
      <x:c r="M88" s="114"/>
      <x:c r="N88" s="114"/>
      <x:c r="O88" s="107"/>
      <x:c r="P88" s="93"/>
      <x:c r="Q88" s="92"/>
      <x:c r="R88" s="113"/>
      <x:c r="S88" s="106"/>
      <x:c r="T88" s="121"/>
      <x:c r="U88" s="92"/>
      <x:c r="V88" s="86"/>
      <x:c r="W88" s="86"/>
      <x:c r="X88" s="86"/>
      <x:c r="Y88" s="86"/>
      <x:c r="Z88" s="86"/>
    </x:row>
    <x:row r="89">
      <x:c r="A89" s="86"/>
      <x:c r="B89" s="86"/>
      <x:c r="C89" s="114"/>
      <x:c r="D89" s="114"/>
      <x:c r="E89" s="114"/>
      <x:c r="F89" s="114"/>
      <x:c r="G89" s="114"/>
      <x:c r="H89" s="118"/>
      <x:c r="I89" s="118"/>
      <x:c r="J89" s="119"/>
      <x:c r="K89" s="120"/>
      <x:c r="L89" s="120"/>
      <x:c r="M89" s="114"/>
      <x:c r="N89" s="114"/>
      <x:c r="O89" s="107"/>
      <x:c r="P89" s="93"/>
      <x:c r="Q89" s="92"/>
      <x:c r="R89" s="113"/>
      <x:c r="S89" s="106"/>
      <x:c r="T89" s="121"/>
      <x:c r="U89" s="92"/>
      <x:c r="V89" s="86"/>
      <x:c r="W89" s="86"/>
      <x:c r="X89" s="86"/>
      <x:c r="Y89" s="86"/>
      <x:c r="Z89" s="86"/>
    </x:row>
    <x:row r="90">
      <x:c r="A90" s="86"/>
      <x:c r="B90" s="86"/>
      <x:c r="C90" s="114"/>
      <x:c r="D90" s="114"/>
      <x:c r="E90" s="114"/>
      <x:c r="F90" s="114"/>
      <x:c r="G90" s="114"/>
      <x:c r="H90" s="118"/>
      <x:c r="I90" s="118"/>
      <x:c r="J90" s="119"/>
      <x:c r="K90" s="120"/>
      <x:c r="L90" s="120"/>
      <x:c r="M90" s="114"/>
      <x:c r="N90" s="114"/>
      <x:c r="O90" s="107"/>
      <x:c r="P90" s="93"/>
      <x:c r="Q90" s="92"/>
      <x:c r="R90" s="113"/>
      <x:c r="S90" s="106"/>
      <x:c r="T90" s="121"/>
      <x:c r="U90" s="92"/>
      <x:c r="V90" s="86"/>
      <x:c r="W90" s="86"/>
      <x:c r="X90" s="86"/>
      <x:c r="Y90" s="86"/>
      <x:c r="Z90" s="86"/>
    </x:row>
    <x:row r="91">
      <x:c r="A91" s="86"/>
      <x:c r="B91" s="86"/>
      <x:c r="C91" s="114"/>
      <x:c r="D91" s="114"/>
      <x:c r="E91" s="114"/>
      <x:c r="F91" s="114"/>
      <x:c r="G91" s="114"/>
      <x:c r="H91" s="118"/>
      <x:c r="I91" s="118"/>
      <x:c r="J91" s="119"/>
      <x:c r="K91" s="120"/>
      <x:c r="L91" s="120"/>
      <x:c r="M91" s="114"/>
      <x:c r="N91" s="114"/>
      <x:c r="O91" s="107"/>
      <x:c r="P91" s="93"/>
      <x:c r="Q91" s="92"/>
      <x:c r="R91" s="113"/>
      <x:c r="S91" s="106"/>
      <x:c r="T91" s="121"/>
      <x:c r="U91" s="92"/>
      <x:c r="V91" s="86"/>
      <x:c r="W91" s="86"/>
      <x:c r="X91" s="86"/>
      <x:c r="Y91" s="86"/>
      <x:c r="Z91" s="86"/>
    </x:row>
    <x:row r="92">
      <x:c r="A92" s="86"/>
      <x:c r="B92" s="86"/>
      <x:c r="C92" s="114"/>
      <x:c r="D92" s="114"/>
      <x:c r="E92" s="114"/>
      <x:c r="F92" s="114"/>
      <x:c r="G92" s="114"/>
      <x:c r="H92" s="118"/>
      <x:c r="I92" s="118"/>
      <x:c r="J92" s="119"/>
      <x:c r="K92" s="120"/>
      <x:c r="L92" s="120"/>
      <x:c r="M92" s="114"/>
      <x:c r="N92" s="114"/>
      <x:c r="O92" s="107"/>
      <x:c r="P92" s="93"/>
      <x:c r="Q92" s="92"/>
      <x:c r="R92" s="113"/>
      <x:c r="S92" s="106"/>
      <x:c r="T92" s="121"/>
      <x:c r="U92" s="92"/>
      <x:c r="V92" s="86"/>
      <x:c r="W92" s="86"/>
      <x:c r="X92" s="86"/>
      <x:c r="Y92" s="86"/>
      <x:c r="Z92" s="86"/>
    </x:row>
    <x:row r="93">
      <x:c r="A93" s="86"/>
      <x:c r="B93" s="86"/>
      <x:c r="C93" s="114"/>
      <x:c r="D93" s="114"/>
      <x:c r="E93" s="114"/>
      <x:c r="F93" s="114"/>
      <x:c r="G93" s="114"/>
      <x:c r="H93" s="118"/>
      <x:c r="I93" s="118"/>
      <x:c r="J93" s="119"/>
      <x:c r="K93" s="120"/>
      <x:c r="L93" s="120"/>
      <x:c r="M93" s="114"/>
      <x:c r="N93" s="114"/>
      <x:c r="O93" s="107"/>
      <x:c r="P93" s="93"/>
      <x:c r="Q93" s="92"/>
      <x:c r="R93" s="113"/>
      <x:c r="S93" s="106"/>
      <x:c r="T93" s="121"/>
      <x:c r="U93" s="92"/>
      <x:c r="V93" s="86"/>
      <x:c r="W93" s="86"/>
      <x:c r="X93" s="86"/>
      <x:c r="Y93" s="86"/>
      <x:c r="Z93" s="86"/>
    </x:row>
    <x:row r="94">
      <x:c r="A94" s="86"/>
      <x:c r="B94" s="86"/>
      <x:c r="C94" s="114"/>
      <x:c r="D94" s="114"/>
      <x:c r="E94" s="114"/>
      <x:c r="F94" s="114"/>
      <x:c r="G94" s="114"/>
      <x:c r="H94" s="118"/>
      <x:c r="I94" s="118"/>
      <x:c r="J94" s="119"/>
      <x:c r="K94" s="120"/>
      <x:c r="L94" s="120"/>
      <x:c r="M94" s="114"/>
      <x:c r="N94" s="114"/>
      <x:c r="O94" s="107"/>
      <x:c r="P94" s="93"/>
      <x:c r="Q94" s="92"/>
      <x:c r="R94" s="113"/>
      <x:c r="S94" s="106"/>
      <x:c r="T94" s="121"/>
      <x:c r="U94" s="92"/>
      <x:c r="V94" s="86"/>
      <x:c r="W94" s="86"/>
      <x:c r="X94" s="86"/>
      <x:c r="Y94" s="86"/>
      <x:c r="Z94" s="86"/>
    </x:row>
    <x:row r="95">
      <x:c r="A95" s="86"/>
      <x:c r="B95" s="86"/>
      <x:c r="C95" s="114"/>
      <x:c r="D95" s="114"/>
      <x:c r="E95" s="114"/>
      <x:c r="F95" s="114"/>
      <x:c r="G95" s="114"/>
      <x:c r="H95" s="118"/>
      <x:c r="I95" s="118"/>
      <x:c r="J95" s="119"/>
      <x:c r="K95" s="120"/>
      <x:c r="L95" s="120"/>
      <x:c r="M95" s="114"/>
      <x:c r="N95" s="114"/>
      <x:c r="O95" s="107"/>
      <x:c r="P95" s="93"/>
      <x:c r="Q95" s="92"/>
      <x:c r="R95" s="113"/>
      <x:c r="S95" s="106"/>
      <x:c r="T95" s="121"/>
      <x:c r="U95" s="92"/>
      <x:c r="V95" s="86"/>
      <x:c r="W95" s="86"/>
      <x:c r="X95" s="86"/>
      <x:c r="Y95" s="86"/>
      <x:c r="Z95" s="86"/>
    </x:row>
    <x:row r="96">
      <x:c r="A96" s="86"/>
      <x:c r="B96" s="86"/>
      <x:c r="C96" s="114"/>
      <x:c r="D96" s="114"/>
      <x:c r="E96" s="114"/>
      <x:c r="F96" s="114"/>
      <x:c r="G96" s="114"/>
      <x:c r="H96" s="118"/>
      <x:c r="I96" s="118"/>
      <x:c r="J96" s="119"/>
      <x:c r="K96" s="120"/>
      <x:c r="L96" s="120"/>
      <x:c r="M96" s="114"/>
      <x:c r="N96" s="114"/>
      <x:c r="O96" s="107"/>
      <x:c r="P96" s="93"/>
      <x:c r="Q96" s="92"/>
      <x:c r="R96" s="113"/>
      <x:c r="S96" s="106"/>
      <x:c r="T96" s="121"/>
      <x:c r="U96" s="92"/>
      <x:c r="V96" s="86"/>
      <x:c r="W96" s="86"/>
      <x:c r="X96" s="86"/>
      <x:c r="Y96" s="86"/>
      <x:c r="Z96" s="86"/>
    </x:row>
    <x:row r="97">
      <x:c r="A97" s="86"/>
      <x:c r="B97" s="86"/>
      <x:c r="C97" s="114"/>
      <x:c r="D97" s="114"/>
      <x:c r="E97" s="114"/>
      <x:c r="F97" s="114"/>
      <x:c r="G97" s="114"/>
      <x:c r="H97" s="118"/>
      <x:c r="I97" s="118"/>
      <x:c r="J97" s="119"/>
      <x:c r="K97" s="120"/>
      <x:c r="L97" s="120"/>
      <x:c r="M97" s="114"/>
      <x:c r="N97" s="114"/>
      <x:c r="O97" s="107"/>
      <x:c r="P97" s="93"/>
      <x:c r="Q97" s="92"/>
      <x:c r="R97" s="113"/>
      <x:c r="S97" s="106"/>
      <x:c r="T97" s="121"/>
      <x:c r="U97" s="92"/>
      <x:c r="V97" s="86"/>
      <x:c r="W97" s="86"/>
      <x:c r="X97" s="86"/>
      <x:c r="Y97" s="86"/>
      <x:c r="Z97" s="86"/>
    </x:row>
    <x:row r="98">
      <x:c r="A98" s="86"/>
      <x:c r="B98" s="86"/>
      <x:c r="C98" s="114"/>
      <x:c r="D98" s="114"/>
      <x:c r="E98" s="114"/>
      <x:c r="F98" s="114"/>
      <x:c r="G98" s="114"/>
      <x:c r="H98" s="118"/>
      <x:c r="I98" s="118"/>
      <x:c r="J98" s="119"/>
      <x:c r="K98" s="120"/>
      <x:c r="L98" s="120"/>
      <x:c r="M98" s="114"/>
      <x:c r="N98" s="114"/>
      <x:c r="O98" s="107"/>
      <x:c r="P98" s="93"/>
      <x:c r="Q98" s="92"/>
      <x:c r="R98" s="113"/>
      <x:c r="S98" s="106"/>
      <x:c r="T98" s="121"/>
      <x:c r="U98" s="92"/>
      <x:c r="V98" s="86"/>
      <x:c r="W98" s="86"/>
      <x:c r="X98" s="86"/>
      <x:c r="Y98" s="86"/>
      <x:c r="Z98" s="86"/>
    </x:row>
    <x:row r="99">
      <x:c r="A99" s="86"/>
      <x:c r="B99" s="86"/>
      <x:c r="C99" s="114"/>
      <x:c r="D99" s="114"/>
      <x:c r="E99" s="114"/>
      <x:c r="F99" s="114"/>
      <x:c r="G99" s="114"/>
      <x:c r="H99" s="118"/>
      <x:c r="I99" s="118"/>
      <x:c r="J99" s="119"/>
      <x:c r="K99" s="120"/>
      <x:c r="L99" s="120"/>
      <x:c r="M99" s="114"/>
      <x:c r="N99" s="114"/>
      <x:c r="O99" s="107"/>
      <x:c r="P99" s="93"/>
      <x:c r="Q99" s="92"/>
      <x:c r="R99" s="113"/>
      <x:c r="S99" s="106"/>
      <x:c r="T99" s="121"/>
      <x:c r="U99" s="92"/>
      <x:c r="V99" s="86"/>
      <x:c r="W99" s="86"/>
      <x:c r="X99" s="86"/>
      <x:c r="Y99" s="86"/>
      <x:c r="Z99" s="86"/>
    </x:row>
    <x:row r="100">
      <x:c r="A100" s="86"/>
      <x:c r="B100" s="86"/>
      <x:c r="C100" s="114"/>
      <x:c r="D100" s="114"/>
      <x:c r="E100" s="114"/>
      <x:c r="F100" s="114"/>
      <x:c r="G100" s="114"/>
      <x:c r="H100" s="118"/>
      <x:c r="I100" s="118"/>
      <x:c r="J100" s="119"/>
      <x:c r="K100" s="120"/>
      <x:c r="L100" s="120"/>
      <x:c r="M100" s="114"/>
      <x:c r="N100" s="114"/>
      <x:c r="O100" s="107"/>
      <x:c r="P100" s="93"/>
      <x:c r="Q100" s="92"/>
      <x:c r="R100" s="113"/>
      <x:c r="S100" s="106"/>
      <x:c r="T100" s="121"/>
      <x:c r="U100" s="92"/>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U1"/>
  </x:mergeCells>
  <x:conditionalFormatting sqref="Q4:Q100">
    <x:cfRule type="expression" dxfId="0" priority="1">
      <x:formula>Q4="深度低估"</x:formula>
    </x:cfRule>
    <x:cfRule type="expression" dxfId="1" priority="2">
      <x:formula>Q4="高估"</x:formula>
    </x:cfRule>
  </x:conditionalFormatting>
  <x:conditionalFormatting sqref="U4:U100">
    <x:cfRule type="expression" dxfId="2" priority="3">
      <x:formula>U4&lt;&gt;"正常"</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1" hidden="0" customWidth="1"/>
    <x:col min="2" max="2" width="14" hidden="0" customWidth="1"/>
    <x:col min="3" max="3" width="15" hidden="0" customWidth="1"/>
    <x:col min="4" max="4" width="12" hidden="0" customWidth="1"/>
    <x:col min="5" max="5" width="10" hidden="0" customWidth="1"/>
    <x:col min="6" max="6" width="12" hidden="0" customWidth="1"/>
    <x:col min="7" max="7" width="14" hidden="0" customWidth="1"/>
    <x:col min="8" max="8" width="12" hidden="0" customWidth="1"/>
    <x:col min="9" max="9" width="14" hidden="0" customWidth="1"/>
    <x:col min="10" max="10" width="14" hidden="0" customWidth="1"/>
    <x:col min="11" max="11" width="12" hidden="0" customWidth="1"/>
    <x:col min="12" max="12" width="12" hidden="0" customWidth="1"/>
    <x:col min="13" max="13" width="28" hidden="0" customWidth="1"/>
    <x:col min="14" max="14" width="24" hidden="0" customWidth="1"/>
  </x:cols>
  <x:sheetData>
    <x:row r="1">
      <x:c r="A1" s="5" t="str">
        <x:v>仓位管理（只输出框架与规则；实际交易由你确认）</x:v>
      </x:c>
      <x:c r="B1" s="5"/>
      <x:c r="C1" s="5"/>
      <x:c r="D1" s="5"/>
      <x:c r="E1" s="5"/>
      <x:c r="F1" s="5"/>
      <x:c r="G1" s="5"/>
      <x:c r="H1" s="5"/>
      <x:c r="I1" s="5"/>
      <x:c r="J1" s="5"/>
      <x:c r="K1" s="5"/>
      <x:c r="L1" s="5"/>
      <x:c r="M1" s="5"/>
      <x:c r="N1" s="5"/>
      <x:c r="O1" s="86"/>
      <x:c r="P1" s="86"/>
      <x:c r="Q1" s="86"/>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57" t="str">
        <x:v>可投资总资产(元)</x:v>
      </x:c>
      <x:c r="B3" s="114" t="n">
        <x:v>1000000</x:v>
      </x:c>
      <x:c r="C3" s="86"/>
      <x:c r="D3" s="86"/>
      <x:c r="E3" s="86"/>
      <x:c r="F3" s="86"/>
      <x:c r="G3" s="86"/>
      <x:c r="H3" s="86"/>
      <x:c r="I3" s="86"/>
      <x:c r="J3" s="86"/>
      <x:c r="K3" s="86"/>
      <x:c r="L3" s="86"/>
      <x:c r="M3" s="86"/>
      <x:c r="N3" s="86"/>
      <x:c r="O3" s="86"/>
      <x:c r="P3" s="86"/>
      <x:c r="Q3" s="86"/>
      <x:c r="R3" s="86"/>
      <x:c r="S3" s="86"/>
      <x:c r="T3" s="86"/>
      <x:c r="U3" s="86"/>
      <x:c r="V3" s="86"/>
      <x:c r="W3" s="86"/>
      <x:c r="X3" s="86"/>
      <x:c r="Y3" s="86"/>
      <x:c r="Z3" s="86"/>
    </x:row>
    <x:row r="4">
      <x:c r="A4" s="57" t="str">
        <x:v>当前现金(元)</x:v>
      </x:c>
      <x:c r="B4" s="114" t="n">
        <x:v>1000000</x:v>
      </x:c>
      <x:c r="C4" s="86"/>
      <x:c r="D4" s="86"/>
      <x:c r="E4" s="86"/>
      <x:c r="F4" s="86"/>
      <x:c r="G4" s="86"/>
      <x:c r="H4" s="86"/>
      <x:c r="I4" s="86"/>
      <x:c r="J4" s="86"/>
      <x:c r="K4" s="86"/>
      <x:c r="L4" s="86"/>
      <x:c r="M4" s="86"/>
      <x:c r="N4" s="86"/>
      <x:c r="O4" s="86"/>
      <x:c r="P4" s="86"/>
      <x:c r="Q4" s="86"/>
      <x:c r="R4" s="86"/>
      <x:c r="S4" s="86"/>
      <x:c r="T4" s="86"/>
      <x:c r="U4" s="86"/>
      <x:c r="V4" s="86"/>
      <x:c r="W4" s="86"/>
      <x:c r="X4" s="86"/>
      <x:c r="Y4" s="86"/>
      <x:c r="Z4" s="86"/>
    </x:row>
    <x:row r="5">
      <x:c r="A5" s="57" t="str">
        <x:v>持仓市值(元)</x:v>
      </x:c>
      <x:c r="B5" s="107" t="n">
        <x:f>SUM(G10:G100)</x:f>
        <x:v>0</x:v>
      </x:c>
      <x:c r="C5" s="86"/>
      <x:c r="D5" s="86"/>
      <x:c r="E5" s="86"/>
      <x:c r="F5" s="86"/>
      <x:c r="G5" s="86"/>
      <x:c r="H5" s="86"/>
      <x:c r="I5" s="86"/>
      <x:c r="J5" s="86"/>
      <x:c r="K5" s="86"/>
      <x:c r="L5" s="86"/>
      <x:c r="M5" s="86"/>
      <x:c r="N5" s="86"/>
      <x:c r="O5" s="86"/>
      <x:c r="P5" s="86"/>
      <x:c r="Q5" s="86"/>
      <x:c r="R5" s="86"/>
      <x:c r="S5" s="86"/>
      <x:c r="T5" s="86"/>
      <x:c r="U5" s="86"/>
      <x:c r="V5" s="86"/>
      <x:c r="W5" s="86"/>
      <x:c r="X5" s="86"/>
      <x:c r="Y5" s="86"/>
      <x:c r="Z5" s="86"/>
    </x:row>
    <x:row r="6">
      <x:c r="A6" s="57" t="str">
        <x:v>现金比例</x:v>
      </x:c>
      <x:c r="B6" s="93" t="n">
        <x:f>IF(B3=0,"",B4/B3)</x:f>
        <x:v>1</x:v>
      </x:c>
      <x:c r="C6" s="86"/>
      <x:c r="D6" s="86"/>
      <x:c r="E6" s="86"/>
      <x:c r="F6" s="86"/>
      <x:c r="G6" s="86"/>
      <x:c r="H6" s="86"/>
      <x:c r="I6" s="86"/>
      <x:c r="J6" s="86"/>
      <x:c r="K6" s="86"/>
      <x:c r="L6" s="86"/>
      <x:c r="M6" s="86"/>
      <x:c r="N6" s="86"/>
      <x:c r="O6" s="86"/>
      <x:c r="P6" s="86"/>
      <x:c r="Q6" s="86"/>
      <x:c r="R6" s="86"/>
      <x:c r="S6" s="86"/>
      <x:c r="T6" s="86"/>
      <x:c r="U6" s="86"/>
      <x:c r="V6" s="86"/>
      <x:c r="W6" s="86"/>
      <x:c r="X6" s="86"/>
      <x:c r="Y6" s="86"/>
      <x:c r="Z6" s="86"/>
    </x:row>
    <x:row r="7">
      <x:c r="A7" s="57" t="str">
        <x:v>持仓比例</x:v>
      </x:c>
      <x:c r="B7" s="93" t="n">
        <x:f>IF(B3=0,"",B5/B3)</x:f>
        <x:v>0</x:v>
      </x:c>
      <x:c r="C7" s="86"/>
      <x:c r="D7" s="86"/>
      <x:c r="E7" s="86"/>
      <x:c r="F7" s="86"/>
      <x:c r="G7" s="86"/>
      <x:c r="H7" s="86"/>
      <x:c r="I7" s="86"/>
      <x:c r="J7" s="86"/>
      <x:c r="K7" s="86"/>
      <x:c r="L7" s="86"/>
      <x:c r="M7" s="86"/>
      <x:c r="N7" s="86"/>
      <x:c r="O7" s="86"/>
      <x:c r="P7" s="86"/>
      <x:c r="Q7" s="86"/>
      <x:c r="R7" s="86"/>
      <x:c r="S7" s="86"/>
      <x:c r="T7" s="86"/>
      <x:c r="U7" s="86"/>
      <x:c r="V7" s="86"/>
      <x:c r="W7" s="86"/>
      <x:c r="X7" s="86"/>
      <x:c r="Y7" s="86"/>
      <x:c r="Z7" s="86"/>
    </x:row>
    <x:row r="8">
      <x:c r="A8" s="57" t="str">
        <x:v>股票总仓位上限</x:v>
      </x:c>
      <x:c r="B8" s="93" t="n">
        <x:f>'12_系统设置'!$E$13</x:f>
        <x:v>0.8</x:v>
      </x:c>
      <x:c r="C8" s="86"/>
      <x:c r="D8" s="86"/>
      <x:c r="E8" s="86"/>
      <x:c r="F8" s="86"/>
      <x:c r="G8" s="86"/>
      <x:c r="H8" s="86"/>
      <x:c r="I8" s="86"/>
      <x:c r="J8" s="86"/>
      <x:c r="K8" s="86"/>
      <x:c r="L8" s="86"/>
      <x:c r="M8" s="86"/>
      <x:c r="N8" s="86"/>
      <x:c r="O8" s="86"/>
      <x:c r="P8" s="86"/>
      <x:c r="Q8" s="86"/>
      <x:c r="R8" s="86"/>
      <x:c r="S8" s="86"/>
      <x:c r="T8" s="86"/>
      <x:c r="U8" s="86"/>
      <x:c r="V8" s="86"/>
      <x:c r="W8" s="86"/>
      <x:c r="X8" s="86"/>
      <x:c r="Y8" s="86"/>
      <x:c r="Z8" s="86"/>
    </x:row>
    <x:row r="9">
      <x:c r="A9" s="13" t="str">
        <x:v>股票代码</x:v>
      </x:c>
      <x:c r="B9" s="13" t="str">
        <x:v>公司名称</x:v>
      </x:c>
      <x:c r="C9" s="13" t="str">
        <x:v>建仓信号</x:v>
      </x:c>
      <x:c r="D9" s="13" t="str">
        <x:v>目标仓位</x:v>
      </x:c>
      <x:c r="E9" s="13" t="str">
        <x:v>当前股数</x:v>
      </x:c>
      <x:c r="F9" s="13" t="str">
        <x:v>当前价(元)</x:v>
      </x:c>
      <x:c r="G9" s="13" t="str">
        <x:v>当前市值(元)</x:v>
      </x:c>
      <x:c r="H9" s="13" t="str">
        <x:v>当前仓位</x:v>
      </x:c>
      <x:c r="I9" s="13" t="str">
        <x:v>目标市值(元)</x:v>
      </x:c>
      <x:c r="J9" s="13" t="str">
        <x:v>差额市值(元)</x:v>
      </x:c>
      <x:c r="K9" s="13" t="str">
        <x:v>建议动作</x:v>
      </x:c>
      <x:c r="L9" s="13" t="str">
        <x:v>单股上限</x:v>
      </x:c>
      <x:c r="M9" s="13" t="str">
        <x:v>再评估触发</x:v>
      </x:c>
      <x:c r="N9" s="13" t="str">
        <x:v>备注</x:v>
      </x:c>
      <x:c r="O9" s="86"/>
      <x:c r="P9" s="86"/>
      <x:c r="Q9" s="86"/>
      <x:c r="R9" s="86"/>
      <x:c r="S9" s="86"/>
      <x:c r="T9" s="86"/>
      <x:c r="U9" s="86"/>
      <x:c r="V9" s="86"/>
      <x:c r="W9" s="86"/>
      <x:c r="X9" s="86"/>
      <x:c r="Y9" s="86"/>
      <x:c r="Z9" s="86"/>
    </x:row>
    <x:row r="10">
      <x:c r="A10" s="86" t="str">
        <x:v>600941</x:v>
      </x:c>
      <x:c r="B10" s="86" t="str">
        <x:v>中国移动</x:v>
      </x:c>
      <x:c r="C10" s="92" t="str">
        <x:v>等待复核</x:v>
      </x:c>
      <x:c r="D10" s="93" t="n">
        <x:v>0</x:v>
      </x:c>
      <x:c r="E10" s="106" t="n">
        <x:v>0</x:v>
      </x:c>
      <x:c r="F10" s="107" t="n">
        <x:v>100.53</x:v>
      </x:c>
      <x:c r="G10" s="107" t="n">
        <x:f>IF(OR(E10="",F10=""),0,E10*F10)</x:f>
        <x:v>0</x:v>
      </x:c>
      <x:c r="H10" s="93" t="n">
        <x:f>IF($B$3=0,"",G10/$B$3)</x:f>
        <x:v>0</x:v>
      </x:c>
      <x:c r="I10" s="107" t="n">
        <x:f>D10*$B$3</x:f>
        <x:v>0</x:v>
      </x:c>
      <x:c r="J10" s="107" t="n">
        <x:f>I10-G10</x:f>
        <x:v>0</x:v>
      </x:c>
      <x:c r="K10" s="92" t="str">
        <x:v>Agent 自动验证</x:v>
      </x:c>
      <x:c r="L10" s="93" t="n">
        <x:f>'12_系统设置'!$E$12</x:f>
        <x:v>0.1</x:v>
      </x:c>
      <x:c r="M10" s="86" t="str">
        <x:v>基本面恶化/估值失效/数据冲突</x:v>
      </x:c>
      <x:c r="N10" s="86"/>
      <x:c r="O10" s="86"/>
      <x:c r="P10" s="86"/>
      <x:c r="Q10" s="86"/>
      <x:c r="R10" s="86"/>
      <x:c r="S10" s="86"/>
      <x:c r="T10" s="86"/>
      <x:c r="U10" s="86"/>
      <x:c r="V10" s="86"/>
      <x:c r="W10" s="86"/>
      <x:c r="X10" s="86"/>
      <x:c r="Y10" s="86"/>
      <x:c r="Z10" s="86"/>
    </x:row>
    <x:row r="11">
      <x:c r="A11" s="86" t="str">
        <x:v>600900</x:v>
      </x:c>
      <x:c r="B11" s="86" t="str">
        <x:v>长江电力</x:v>
      </x:c>
      <x:c r="C11" s="92" t="str">
        <x:v>等待复核</x:v>
      </x:c>
      <x:c r="D11" s="93" t="n">
        <x:v>0</x:v>
      </x:c>
      <x:c r="E11" s="106" t="n">
        <x:v>0</x:v>
      </x:c>
      <x:c r="F11" s="107" t="n">
        <x:v>28.44</x:v>
      </x:c>
      <x:c r="G11" s="107" t="n">
        <x:f>IF(OR(E11="",F11=""),0,E11*F11)</x:f>
        <x:v>0</x:v>
      </x:c>
      <x:c r="H11" s="93" t="n">
        <x:f>IF($B$3=0,"",G11/$B$3)</x:f>
        <x:v>0</x:v>
      </x:c>
      <x:c r="I11" s="107" t="n">
        <x:f>D11*$B$3</x:f>
        <x:v>0</x:v>
      </x:c>
      <x:c r="J11" s="107" t="n">
        <x:f>I11-G11</x:f>
        <x:v>0</x:v>
      </x:c>
      <x:c r="K11" s="92" t="str">
        <x:v>Agent 自动验证</x:v>
      </x:c>
      <x:c r="L11" s="93" t="n">
        <x:f>'12_系统设置'!$E$12</x:f>
        <x:v>0.1</x:v>
      </x:c>
      <x:c r="M11" s="86" t="str">
        <x:v>基本面恶化/估值失效/数据冲突</x:v>
      </x:c>
      <x:c r="N11" s="86"/>
      <x:c r="O11" s="86"/>
      <x:c r="P11" s="86"/>
      <x:c r="Q11" s="86"/>
      <x:c r="R11" s="86"/>
      <x:c r="S11" s="86"/>
      <x:c r="T11" s="86"/>
      <x:c r="U11" s="86"/>
      <x:c r="V11" s="86"/>
      <x:c r="W11" s="86"/>
      <x:c r="X11" s="86"/>
      <x:c r="Y11" s="86"/>
      <x:c r="Z11" s="86"/>
    </x:row>
    <x:row r="12">
      <x:c r="A12" s="86" t="str">
        <x:v>600519</x:v>
      </x:c>
      <x:c r="B12" s="86" t="str">
        <x:v>贵州茅台</x:v>
      </x:c>
      <x:c r="C12" s="92" t="str">
        <x:v>等待复核</x:v>
      </x:c>
      <x:c r="D12" s="93" t="n">
        <x:v>0</x:v>
      </x:c>
      <x:c r="E12" s="106" t="n">
        <x:v>0</x:v>
      </x:c>
      <x:c r="F12" s="107" t="n">
        <x:v>1298.88</x:v>
      </x:c>
      <x:c r="G12" s="107" t="n">
        <x:f>IF(OR(E12="",F12=""),0,E12*F12)</x:f>
        <x:v>0</x:v>
      </x:c>
      <x:c r="H12" s="93" t="n">
        <x:f>IF($B$3=0,"",G12/$B$3)</x:f>
        <x:v>0</x:v>
      </x:c>
      <x:c r="I12" s="107" t="n">
        <x:f>D12*$B$3</x:f>
        <x:v>0</x:v>
      </x:c>
      <x:c r="J12" s="107" t="n">
        <x:f>I12-G12</x:f>
        <x:v>0</x:v>
      </x:c>
      <x:c r="K12" s="92" t="str">
        <x:v>Agent 自动验证</x:v>
      </x:c>
      <x:c r="L12" s="93" t="n">
        <x:f>'12_系统设置'!$E$12</x:f>
        <x:v>0.1</x:v>
      </x:c>
      <x:c r="M12" s="86" t="str">
        <x:v>基本面恶化/估值失效/数据冲突</x:v>
      </x:c>
      <x:c r="N12" s="86"/>
      <x:c r="O12" s="86"/>
      <x:c r="P12" s="86"/>
      <x:c r="Q12" s="86"/>
      <x:c r="R12" s="86"/>
      <x:c r="S12" s="86"/>
      <x:c r="T12" s="86"/>
      <x:c r="U12" s="86"/>
      <x:c r="V12" s="86"/>
      <x:c r="W12" s="86"/>
      <x:c r="X12" s="86"/>
      <x:c r="Y12" s="86"/>
      <x:c r="Z12" s="86"/>
    </x:row>
    <x:row r="13">
      <x:c r="A13" s="86" t="str">
        <x:v>000333</x:v>
      </x:c>
      <x:c r="B13" s="86" t="str">
        <x:v>美的集团</x:v>
      </x:c>
      <x:c r="C13" s="92" t="str">
        <x:v>等待复核</x:v>
      </x:c>
      <x:c r="D13" s="93" t="n">
        <x:v>0</x:v>
      </x:c>
      <x:c r="E13" s="106" t="n">
        <x:v>0</x:v>
      </x:c>
      <x:c r="F13" s="107" t="n">
        <x:v>87.25</x:v>
      </x:c>
      <x:c r="G13" s="107" t="n">
        <x:f>IF(OR(E13="",F13=""),0,E13*F13)</x:f>
        <x:v>0</x:v>
      </x:c>
      <x:c r="H13" s="93" t="n">
        <x:f>IF($B$3=0,"",G13/$B$3)</x:f>
        <x:v>0</x:v>
      </x:c>
      <x:c r="I13" s="107" t="n">
        <x:f>D13*$B$3</x:f>
        <x:v>0</x:v>
      </x:c>
      <x:c r="J13" s="107" t="n">
        <x:f>I13-G13</x:f>
        <x:v>0</x:v>
      </x:c>
      <x:c r="K13" s="92" t="str">
        <x:v>Agent 自动验证</x:v>
      </x:c>
      <x:c r="L13" s="93" t="n">
        <x:f>'12_系统设置'!$E$12</x:f>
        <x:v>0.1</x:v>
      </x:c>
      <x:c r="M13" s="86" t="str">
        <x:v>基本面恶化/估值失效/数据冲突</x:v>
      </x:c>
      <x:c r="N13" s="86"/>
      <x:c r="O13" s="86"/>
      <x:c r="P13" s="86"/>
      <x:c r="Q13" s="86"/>
      <x:c r="R13" s="86"/>
      <x:c r="S13" s="86"/>
      <x:c r="T13" s="86"/>
      <x:c r="U13" s="86"/>
      <x:c r="V13" s="86"/>
      <x:c r="W13" s="86"/>
      <x:c r="X13" s="86"/>
      <x:c r="Y13" s="86"/>
      <x:c r="Z13" s="86"/>
    </x:row>
    <x:row r="14">
      <x:c r="A14" s="86" t="str">
        <x:v>600036</x:v>
      </x:c>
      <x:c r="B14" s="86" t="str">
        <x:v>招商银行</x:v>
      </x:c>
      <x:c r="C14" s="92" t="str">
        <x:v>等待复核</x:v>
      </x:c>
      <x:c r="D14" s="93" t="n">
        <x:v>0</x:v>
      </x:c>
      <x:c r="E14" s="106" t="n">
        <x:v>0</x:v>
      </x:c>
      <x:c r="F14" s="107" t="n">
        <x:v>41.07</x:v>
      </x:c>
      <x:c r="G14" s="107" t="n">
        <x:f>IF(OR(E14="",F14=""),0,E14*F14)</x:f>
        <x:v>0</x:v>
      </x:c>
      <x:c r="H14" s="93" t="n">
        <x:f>IF($B$3=0,"",G14/$B$3)</x:f>
        <x:v>0</x:v>
      </x:c>
      <x:c r="I14" s="107" t="n">
        <x:f>D14*$B$3</x:f>
        <x:v>0</x:v>
      </x:c>
      <x:c r="J14" s="107" t="n">
        <x:f>I14-G14</x:f>
        <x:v>0</x:v>
      </x:c>
      <x:c r="K14" s="92" t="str">
        <x:v>Agent 自动验证</x:v>
      </x:c>
      <x:c r="L14" s="93" t="n">
        <x:f>'12_系统设置'!$E$12</x:f>
        <x:v>0.1</x:v>
      </x:c>
      <x:c r="M14" s="86" t="str">
        <x:v>基本面恶化/估值失效/数据冲突</x:v>
      </x:c>
      <x:c r="N14" s="86"/>
      <x:c r="O14" s="86"/>
      <x:c r="P14" s="86"/>
      <x:c r="Q14" s="86"/>
      <x:c r="R14" s="86"/>
      <x:c r="S14" s="86"/>
      <x:c r="T14" s="86"/>
      <x:c r="U14" s="86"/>
      <x:c r="V14" s="86"/>
      <x:c r="W14" s="86"/>
      <x:c r="X14" s="86"/>
      <x:c r="Y14" s="86"/>
      <x:c r="Z14" s="86"/>
    </x:row>
    <x:row r="15">
      <x:c r="A15" s="86" t="str">
        <x:v>601288</x:v>
      </x:c>
      <x:c r="B15" s="86" t="str">
        <x:v>农业银行</x:v>
      </x:c>
      <x:c r="C15" s="92" t="str">
        <x:v>等待复核</x:v>
      </x:c>
      <x:c r="D15" s="93" t="n">
        <x:v>0</x:v>
      </x:c>
      <x:c r="E15" s="106" t="n">
        <x:v>0</x:v>
      </x:c>
      <x:c r="F15" s="107" t="n">
        <x:v>6.89</x:v>
      </x:c>
      <x:c r="G15" s="107" t="n">
        <x:f>IF(OR(E15="",F15=""),0,E15*F15)</x:f>
        <x:v>0</x:v>
      </x:c>
      <x:c r="H15" s="93" t="n">
        <x:f>IF($B$3=0,"",G15/$B$3)</x:f>
        <x:v>0</x:v>
      </x:c>
      <x:c r="I15" s="107" t="n">
        <x:f>D15*$B$3</x:f>
        <x:v>0</x:v>
      </x:c>
      <x:c r="J15" s="107" t="n">
        <x:f>I15-G15</x:f>
        <x:v>0</x:v>
      </x:c>
      <x:c r="K15" s="92" t="str">
        <x:v>Agent 自动验证</x:v>
      </x:c>
      <x:c r="L15" s="93" t="n">
        <x:f>'12_系统设置'!$E$12</x:f>
        <x:v>0.1</x:v>
      </x:c>
      <x:c r="M15" s="86" t="str">
        <x:v>基本面恶化/估值失效/数据冲突</x:v>
      </x:c>
      <x:c r="N15" s="86"/>
      <x:c r="O15" s="86"/>
      <x:c r="P15" s="86"/>
      <x:c r="Q15" s="86"/>
      <x:c r="R15" s="86"/>
      <x:c r="S15" s="86"/>
      <x:c r="T15" s="86"/>
      <x:c r="U15" s="86"/>
      <x:c r="V15" s="86"/>
      <x:c r="W15" s="86"/>
      <x:c r="X15" s="86"/>
      <x:c r="Y15" s="86"/>
      <x:c r="Z15" s="86"/>
    </x:row>
    <x:row r="16">
      <x:c r="A16" s="86" t="str">
        <x:v>601088</x:v>
      </x:c>
      <x:c r="B16" s="86" t="str">
        <x:v>中国神华</x:v>
      </x:c>
      <x:c r="C16" s="92" t="str">
        <x:v>等待复核</x:v>
      </x:c>
      <x:c r="D16" s="93" t="n">
        <x:v>0</x:v>
      </x:c>
      <x:c r="E16" s="106" t="n">
        <x:v>0</x:v>
      </x:c>
      <x:c r="F16" s="107" t="n">
        <x:v>47.78</x:v>
      </x:c>
      <x:c r="G16" s="107" t="n">
        <x:f>IF(OR(E16="",F16=""),0,E16*F16)</x:f>
        <x:v>0</x:v>
      </x:c>
      <x:c r="H16" s="93" t="n">
        <x:f>IF($B$3=0,"",G16/$B$3)</x:f>
        <x:v>0</x:v>
      </x:c>
      <x:c r="I16" s="107" t="n">
        <x:f>D16*$B$3</x:f>
        <x:v>0</x:v>
      </x:c>
      <x:c r="J16" s="107" t="n">
        <x:f>I16-G16</x:f>
        <x:v>0</x:v>
      </x:c>
      <x:c r="K16" s="92" t="str">
        <x:v>Agent 自动验证</x:v>
      </x:c>
      <x:c r="L16" s="93" t="n">
        <x:f>'12_系统设置'!$E$12</x:f>
        <x:v>0.1</x:v>
      </x:c>
      <x:c r="M16" s="86" t="str">
        <x:v>基本面恶化/估值失效/数据冲突</x:v>
      </x:c>
      <x:c r="N16" s="86"/>
      <x:c r="O16" s="86"/>
      <x:c r="P16" s="86"/>
      <x:c r="Q16" s="86"/>
      <x:c r="R16" s="86"/>
      <x:c r="S16" s="86"/>
      <x:c r="T16" s="86"/>
      <x:c r="U16" s="86"/>
      <x:c r="V16" s="86"/>
      <x:c r="W16" s="86"/>
      <x:c r="X16" s="86"/>
      <x:c r="Y16" s="86"/>
      <x:c r="Z16" s="86"/>
    </x:row>
    <x:row r="17">
      <x:c r="A17" s="86" t="str">
        <x:v>600690</x:v>
      </x:c>
      <x:c r="B17" s="86" t="str">
        <x:v>海尔智家</x:v>
      </x:c>
      <x:c r="C17" s="92" t="str">
        <x:v>等待复核</x:v>
      </x:c>
      <x:c r="D17" s="93" t="n">
        <x:v>0</x:v>
      </x:c>
      <x:c r="E17" s="106" t="n">
        <x:v>0</x:v>
      </x:c>
      <x:c r="F17" s="107" t="n">
        <x:v>21.82</x:v>
      </x:c>
      <x:c r="G17" s="107" t="n">
        <x:f>IF(OR(E17="",F17=""),0,E17*F17)</x:f>
        <x:v>0</x:v>
      </x:c>
      <x:c r="H17" s="93" t="n">
        <x:f>IF($B$3=0,"",G17/$B$3)</x:f>
        <x:v>0</x:v>
      </x:c>
      <x:c r="I17" s="107" t="n">
        <x:f>D17*$B$3</x:f>
        <x:v>0</x:v>
      </x:c>
      <x:c r="J17" s="107" t="n">
        <x:f>I17-G17</x:f>
        <x:v>0</x:v>
      </x:c>
      <x:c r="K17" s="92" t="str">
        <x:v>Agent 自动验证</x:v>
      </x:c>
      <x:c r="L17" s="93" t="n">
        <x:f>'12_系统设置'!$E$12</x:f>
        <x:v>0.1</x:v>
      </x:c>
      <x:c r="M17" s="86" t="str">
        <x:v>基本面恶化/估值失效/数据冲突</x:v>
      </x:c>
      <x:c r="N17" s="86"/>
      <x:c r="O17" s="86"/>
      <x:c r="P17" s="86"/>
      <x:c r="Q17" s="86"/>
      <x:c r="R17" s="86"/>
      <x:c r="S17" s="86"/>
      <x:c r="T17" s="86"/>
      <x:c r="U17" s="86"/>
      <x:c r="V17" s="86"/>
      <x:c r="W17" s="86"/>
      <x:c r="X17" s="86"/>
      <x:c r="Y17" s="86"/>
      <x:c r="Z17" s="86"/>
    </x:row>
    <x:row r="18">
      <x:c r="A18" s="86" t="str">
        <x:v>300750</x:v>
      </x:c>
      <x:c r="B18" s="86" t="str">
        <x:v>宁德时代</x:v>
      </x:c>
      <x:c r="C18" s="92" t="str">
        <x:v>等待复核</x:v>
      </x:c>
      <x:c r="D18" s="93" t="n">
        <x:v>0</x:v>
      </x:c>
      <x:c r="E18" s="106" t="n">
        <x:v>0</x:v>
      </x:c>
      <x:c r="F18" s="107" t="n">
        <x:v>349.5</x:v>
      </x:c>
      <x:c r="G18" s="107" t="n">
        <x:f>IF(OR(E18="",F18=""),0,E18*F18)</x:f>
        <x:v>0</x:v>
      </x:c>
      <x:c r="H18" s="93" t="n">
        <x:f>IF($B$3=0,"",G18/$B$3)</x:f>
        <x:v>0</x:v>
      </x:c>
      <x:c r="I18" s="107" t="n">
        <x:f>D18*$B$3</x:f>
        <x:v>0</x:v>
      </x:c>
      <x:c r="J18" s="107" t="n">
        <x:f>I18-G18</x:f>
        <x:v>0</x:v>
      </x:c>
      <x:c r="K18" s="92" t="str">
        <x:v>Agent 自动验证</x:v>
      </x:c>
      <x:c r="L18" s="93" t="n">
        <x:f>'12_系统设置'!$E$12</x:f>
        <x:v>0.1</x:v>
      </x:c>
      <x:c r="M18" s="86" t="str">
        <x:v>基本面恶化/估值失效/数据冲突</x:v>
      </x:c>
      <x:c r="N18" s="86"/>
      <x:c r="O18" s="86"/>
      <x:c r="P18" s="86"/>
      <x:c r="Q18" s="86"/>
      <x:c r="R18" s="86"/>
      <x:c r="S18" s="86"/>
      <x:c r="T18" s="86"/>
      <x:c r="U18" s="86"/>
      <x:c r="V18" s="86"/>
      <x:c r="W18" s="86"/>
      <x:c r="X18" s="86"/>
      <x:c r="Y18" s="86"/>
      <x:c r="Z18" s="86"/>
    </x:row>
    <x:row r="19">
      <x:c r="A19" s="86" t="str">
        <x:v>600887</x:v>
      </x:c>
      <x:c r="B19" s="86" t="str">
        <x:v>伊利股份</x:v>
      </x:c>
      <x:c r="C19" s="92" t="str">
        <x:v>等待复核</x:v>
      </x:c>
      <x:c r="D19" s="93" t="n">
        <x:v>0</x:v>
      </x:c>
      <x:c r="E19" s="106" t="n">
        <x:v>0</x:v>
      </x:c>
      <x:c r="F19" s="107" t="n">
        <x:v>26.56</x:v>
      </x:c>
      <x:c r="G19" s="107" t="n">
        <x:f>IF(OR(E19="",F19=""),0,E19*F19)</x:f>
        <x:v>0</x:v>
      </x:c>
      <x:c r="H19" s="93" t="n">
        <x:f>IF($B$3=0,"",G19/$B$3)</x:f>
        <x:v>0</x:v>
      </x:c>
      <x:c r="I19" s="107" t="n">
        <x:f>D19*$B$3</x:f>
        <x:v>0</x:v>
      </x:c>
      <x:c r="J19" s="107" t="n">
        <x:f>I19-G19</x:f>
        <x:v>0</x:v>
      </x:c>
      <x:c r="K19" s="92" t="str">
        <x:v>Agent 自动验证</x:v>
      </x:c>
      <x:c r="L19" s="93" t="n">
        <x:f>'12_系统设置'!$E$12</x:f>
        <x:v>0.1</x:v>
      </x:c>
      <x:c r="M19" s="86" t="str">
        <x:v>基本面恶化/估值失效/数据冲突</x:v>
      </x:c>
      <x:c r="N19" s="86"/>
      <x:c r="O19" s="86"/>
      <x:c r="P19" s="86"/>
      <x:c r="Q19" s="86"/>
      <x:c r="R19" s="86"/>
      <x:c r="S19" s="86"/>
      <x:c r="T19" s="86"/>
      <x:c r="U19" s="86"/>
      <x:c r="V19" s="86"/>
      <x:c r="W19" s="86"/>
      <x:c r="X19" s="86"/>
      <x:c r="Y19" s="86"/>
      <x:c r="Z19" s="86"/>
    </x:row>
    <x:row r="20">
      <x:c r="A20" s="86"/>
      <x:c r="B20" s="86"/>
      <x:c r="C20" s="92"/>
      <x:c r="D20" s="93"/>
      <x:c r="E20" s="106"/>
      <x:c r="F20" s="107"/>
      <x:c r="G20" s="107"/>
      <x:c r="H20" s="93"/>
      <x:c r="I20" s="107"/>
      <x:c r="J20" s="107"/>
      <x:c r="K20" s="92"/>
      <x:c r="L20" s="93"/>
      <x:c r="M20" s="86"/>
      <x:c r="N20" s="86"/>
      <x:c r="O20" s="86"/>
      <x:c r="P20" s="86"/>
      <x:c r="Q20" s="86"/>
      <x:c r="R20" s="86"/>
      <x:c r="S20" s="86"/>
      <x:c r="T20" s="86"/>
      <x:c r="U20" s="86"/>
      <x:c r="V20" s="86"/>
      <x:c r="W20" s="86"/>
      <x:c r="X20" s="86"/>
      <x:c r="Y20" s="86"/>
      <x:c r="Z20" s="86"/>
    </x:row>
    <x:row r="21">
      <x:c r="A21" s="86"/>
      <x:c r="B21" s="86"/>
      <x:c r="C21" s="92"/>
      <x:c r="D21" s="93"/>
      <x:c r="E21" s="106"/>
      <x:c r="F21" s="107"/>
      <x:c r="G21" s="107"/>
      <x:c r="H21" s="93"/>
      <x:c r="I21" s="107"/>
      <x:c r="J21" s="107"/>
      <x:c r="K21" s="92"/>
      <x:c r="L21" s="93"/>
      <x:c r="M21" s="86"/>
      <x:c r="N21" s="86"/>
      <x:c r="O21" s="86"/>
      <x:c r="P21" s="86"/>
      <x:c r="Q21" s="86"/>
      <x:c r="R21" s="86"/>
      <x:c r="S21" s="86"/>
      <x:c r="T21" s="86"/>
      <x:c r="U21" s="86"/>
      <x:c r="V21" s="86"/>
      <x:c r="W21" s="86"/>
      <x:c r="X21" s="86"/>
      <x:c r="Y21" s="86"/>
      <x:c r="Z21" s="86"/>
    </x:row>
    <x:row r="22">
      <x:c r="A22" s="86"/>
      <x:c r="B22" s="86"/>
      <x:c r="C22" s="92"/>
      <x:c r="D22" s="93"/>
      <x:c r="E22" s="106"/>
      <x:c r="F22" s="107"/>
      <x:c r="G22" s="107"/>
      <x:c r="H22" s="93"/>
      <x:c r="I22" s="107"/>
      <x:c r="J22" s="107"/>
      <x:c r="K22" s="92"/>
      <x:c r="L22" s="93"/>
      <x:c r="M22" s="86"/>
      <x:c r="N22" s="86"/>
      <x:c r="O22" s="86"/>
      <x:c r="P22" s="86"/>
      <x:c r="Q22" s="86"/>
      <x:c r="R22" s="86"/>
      <x:c r="S22" s="86"/>
      <x:c r="T22" s="86"/>
      <x:c r="U22" s="86"/>
      <x:c r="V22" s="86"/>
      <x:c r="W22" s="86"/>
      <x:c r="X22" s="86"/>
      <x:c r="Y22" s="86"/>
      <x:c r="Z22" s="86"/>
    </x:row>
    <x:row r="23">
      <x:c r="A23" s="86"/>
      <x:c r="B23" s="86"/>
      <x:c r="C23" s="92"/>
      <x:c r="D23" s="93"/>
      <x:c r="E23" s="106"/>
      <x:c r="F23" s="107"/>
      <x:c r="G23" s="107"/>
      <x:c r="H23" s="93"/>
      <x:c r="I23" s="107"/>
      <x:c r="J23" s="107"/>
      <x:c r="K23" s="92"/>
      <x:c r="L23" s="93"/>
      <x:c r="M23" s="86"/>
      <x:c r="N23" s="86"/>
      <x:c r="O23" s="86"/>
      <x:c r="P23" s="86"/>
      <x:c r="Q23" s="86"/>
      <x:c r="R23" s="86"/>
      <x:c r="S23" s="86"/>
      <x:c r="T23" s="86"/>
      <x:c r="U23" s="86"/>
      <x:c r="V23" s="86"/>
      <x:c r="W23" s="86"/>
      <x:c r="X23" s="86"/>
      <x:c r="Y23" s="86"/>
      <x:c r="Z23" s="86"/>
    </x:row>
    <x:row r="24">
      <x:c r="A24" s="86"/>
      <x:c r="B24" s="86"/>
      <x:c r="C24" s="92"/>
      <x:c r="D24" s="93"/>
      <x:c r="E24" s="106"/>
      <x:c r="F24" s="107"/>
      <x:c r="G24" s="107"/>
      <x:c r="H24" s="93"/>
      <x:c r="I24" s="107"/>
      <x:c r="J24" s="107"/>
      <x:c r="K24" s="92"/>
      <x:c r="L24" s="93"/>
      <x:c r="M24" s="86"/>
      <x:c r="N24" s="86"/>
      <x:c r="O24" s="86"/>
      <x:c r="P24" s="86"/>
      <x:c r="Q24" s="86"/>
      <x:c r="R24" s="86"/>
      <x:c r="S24" s="86"/>
      <x:c r="T24" s="86"/>
      <x:c r="U24" s="86"/>
      <x:c r="V24" s="86"/>
      <x:c r="W24" s="86"/>
      <x:c r="X24" s="86"/>
      <x:c r="Y24" s="86"/>
      <x:c r="Z24" s="86"/>
    </x:row>
    <x:row r="25">
      <x:c r="A25" s="86"/>
      <x:c r="B25" s="86"/>
      <x:c r="C25" s="92"/>
      <x:c r="D25" s="93"/>
      <x:c r="E25" s="106"/>
      <x:c r="F25" s="107"/>
      <x:c r="G25" s="107"/>
      <x:c r="H25" s="93"/>
      <x:c r="I25" s="107"/>
      <x:c r="J25" s="107"/>
      <x:c r="K25" s="92"/>
      <x:c r="L25" s="93"/>
      <x:c r="M25" s="86"/>
      <x:c r="N25" s="86"/>
      <x:c r="O25" s="86"/>
      <x:c r="P25" s="86"/>
      <x:c r="Q25" s="86"/>
      <x:c r="R25" s="86"/>
      <x:c r="S25" s="86"/>
      <x:c r="T25" s="86"/>
      <x:c r="U25" s="86"/>
      <x:c r="V25" s="86"/>
      <x:c r="W25" s="86"/>
      <x:c r="X25" s="86"/>
      <x:c r="Y25" s="86"/>
      <x:c r="Z25" s="86"/>
    </x:row>
    <x:row r="26">
      <x:c r="A26" s="86"/>
      <x:c r="B26" s="86"/>
      <x:c r="C26" s="92"/>
      <x:c r="D26" s="93"/>
      <x:c r="E26" s="106"/>
      <x:c r="F26" s="107"/>
      <x:c r="G26" s="107"/>
      <x:c r="H26" s="93"/>
      <x:c r="I26" s="107"/>
      <x:c r="J26" s="107"/>
      <x:c r="K26" s="92"/>
      <x:c r="L26" s="93"/>
      <x:c r="M26" s="86"/>
      <x:c r="N26" s="86"/>
      <x:c r="O26" s="86"/>
      <x:c r="P26" s="86"/>
      <x:c r="Q26" s="86"/>
      <x:c r="R26" s="86"/>
      <x:c r="S26" s="86"/>
      <x:c r="T26" s="86"/>
      <x:c r="U26" s="86"/>
      <x:c r="V26" s="86"/>
      <x:c r="W26" s="86"/>
      <x:c r="X26" s="86"/>
      <x:c r="Y26" s="86"/>
      <x:c r="Z26" s="86"/>
    </x:row>
    <x:row r="27">
      <x:c r="A27" s="86"/>
      <x:c r="B27" s="86"/>
      <x:c r="C27" s="92"/>
      <x:c r="D27" s="93"/>
      <x:c r="E27" s="106"/>
      <x:c r="F27" s="107"/>
      <x:c r="G27" s="107"/>
      <x:c r="H27" s="93"/>
      <x:c r="I27" s="107"/>
      <x:c r="J27" s="107"/>
      <x:c r="K27" s="92"/>
      <x:c r="L27" s="93"/>
      <x:c r="M27" s="86"/>
      <x:c r="N27" s="86"/>
      <x:c r="O27" s="86"/>
      <x:c r="P27" s="86"/>
      <x:c r="Q27" s="86"/>
      <x:c r="R27" s="86"/>
      <x:c r="S27" s="86"/>
      <x:c r="T27" s="86"/>
      <x:c r="U27" s="86"/>
      <x:c r="V27" s="86"/>
      <x:c r="W27" s="86"/>
      <x:c r="X27" s="86"/>
      <x:c r="Y27" s="86"/>
      <x:c r="Z27" s="86"/>
    </x:row>
    <x:row r="28">
      <x:c r="A28" s="86"/>
      <x:c r="B28" s="86"/>
      <x:c r="C28" s="92"/>
      <x:c r="D28" s="93"/>
      <x:c r="E28" s="106"/>
      <x:c r="F28" s="107"/>
      <x:c r="G28" s="107"/>
      <x:c r="H28" s="93"/>
      <x:c r="I28" s="107"/>
      <x:c r="J28" s="107"/>
      <x:c r="K28" s="92"/>
      <x:c r="L28" s="93"/>
      <x:c r="M28" s="86"/>
      <x:c r="N28" s="86"/>
      <x:c r="O28" s="86"/>
      <x:c r="P28" s="86"/>
      <x:c r="Q28" s="86"/>
      <x:c r="R28" s="86"/>
      <x:c r="S28" s="86"/>
      <x:c r="T28" s="86"/>
      <x:c r="U28" s="86"/>
      <x:c r="V28" s="86"/>
      <x:c r="W28" s="86"/>
      <x:c r="X28" s="86"/>
      <x:c r="Y28" s="86"/>
      <x:c r="Z28" s="86"/>
    </x:row>
    <x:row r="29">
      <x:c r="A29" s="86"/>
      <x:c r="B29" s="86"/>
      <x:c r="C29" s="92"/>
      <x:c r="D29" s="93"/>
      <x:c r="E29" s="106"/>
      <x:c r="F29" s="107"/>
      <x:c r="G29" s="107"/>
      <x:c r="H29" s="93"/>
      <x:c r="I29" s="107"/>
      <x:c r="J29" s="107"/>
      <x:c r="K29" s="92"/>
      <x:c r="L29" s="93"/>
      <x:c r="M29" s="86"/>
      <x:c r="N29" s="86"/>
      <x:c r="O29" s="86"/>
      <x:c r="P29" s="86"/>
      <x:c r="Q29" s="86"/>
      <x:c r="R29" s="86"/>
      <x:c r="S29" s="86"/>
      <x:c r="T29" s="86"/>
      <x:c r="U29" s="86"/>
      <x:c r="V29" s="86"/>
      <x:c r="W29" s="86"/>
      <x:c r="X29" s="86"/>
      <x:c r="Y29" s="86"/>
      <x:c r="Z29" s="86"/>
    </x:row>
    <x:row r="30">
      <x:c r="A30" s="86"/>
      <x:c r="B30" s="86"/>
      <x:c r="C30" s="92"/>
      <x:c r="D30" s="93"/>
      <x:c r="E30" s="106"/>
      <x:c r="F30" s="107"/>
      <x:c r="G30" s="107"/>
      <x:c r="H30" s="93"/>
      <x:c r="I30" s="107"/>
      <x:c r="J30" s="107"/>
      <x:c r="K30" s="92"/>
      <x:c r="L30" s="93"/>
      <x:c r="M30" s="86"/>
      <x:c r="N30" s="86"/>
      <x:c r="O30" s="86"/>
      <x:c r="P30" s="86"/>
      <x:c r="Q30" s="86"/>
      <x:c r="R30" s="86"/>
      <x:c r="S30" s="86"/>
      <x:c r="T30" s="86"/>
      <x:c r="U30" s="86"/>
      <x:c r="V30" s="86"/>
      <x:c r="W30" s="86"/>
      <x:c r="X30" s="86"/>
      <x:c r="Y30" s="86"/>
      <x:c r="Z30" s="86"/>
    </x:row>
    <x:row r="31">
      <x:c r="A31" s="86"/>
      <x:c r="B31" s="86"/>
      <x:c r="C31" s="92"/>
      <x:c r="D31" s="93"/>
      <x:c r="E31" s="106"/>
      <x:c r="F31" s="107"/>
      <x:c r="G31" s="107"/>
      <x:c r="H31" s="93"/>
      <x:c r="I31" s="107"/>
      <x:c r="J31" s="107"/>
      <x:c r="K31" s="92"/>
      <x:c r="L31" s="93"/>
      <x:c r="M31" s="86"/>
      <x:c r="N31" s="86"/>
      <x:c r="O31" s="86"/>
      <x:c r="P31" s="86"/>
      <x:c r="Q31" s="86"/>
      <x:c r="R31" s="86"/>
      <x:c r="S31" s="86"/>
      <x:c r="T31" s="86"/>
      <x:c r="U31" s="86"/>
      <x:c r="V31" s="86"/>
      <x:c r="W31" s="86"/>
      <x:c r="X31" s="86"/>
      <x:c r="Y31" s="86"/>
      <x:c r="Z31" s="86"/>
    </x:row>
    <x:row r="32">
      <x:c r="A32" s="86"/>
      <x:c r="B32" s="86"/>
      <x:c r="C32" s="92"/>
      <x:c r="D32" s="93"/>
      <x:c r="E32" s="106"/>
      <x:c r="F32" s="107"/>
      <x:c r="G32" s="107"/>
      <x:c r="H32" s="93"/>
      <x:c r="I32" s="107"/>
      <x:c r="J32" s="107"/>
      <x:c r="K32" s="92"/>
      <x:c r="L32" s="93"/>
      <x:c r="M32" s="86"/>
      <x:c r="N32" s="86"/>
      <x:c r="O32" s="86"/>
      <x:c r="P32" s="86"/>
      <x:c r="Q32" s="86"/>
      <x:c r="R32" s="86"/>
      <x:c r="S32" s="86"/>
      <x:c r="T32" s="86"/>
      <x:c r="U32" s="86"/>
      <x:c r="V32" s="86"/>
      <x:c r="W32" s="86"/>
      <x:c r="X32" s="86"/>
      <x:c r="Y32" s="86"/>
      <x:c r="Z32" s="86"/>
    </x:row>
    <x:row r="33">
      <x:c r="A33" s="86"/>
      <x:c r="B33" s="86"/>
      <x:c r="C33" s="92"/>
      <x:c r="D33" s="93"/>
      <x:c r="E33" s="106"/>
      <x:c r="F33" s="107"/>
      <x:c r="G33" s="107"/>
      <x:c r="H33" s="93"/>
      <x:c r="I33" s="107"/>
      <x:c r="J33" s="107"/>
      <x:c r="K33" s="92"/>
      <x:c r="L33" s="93"/>
      <x:c r="M33" s="86"/>
      <x:c r="N33" s="86"/>
      <x:c r="O33" s="86"/>
      <x:c r="P33" s="86"/>
      <x:c r="Q33" s="86"/>
      <x:c r="R33" s="86"/>
      <x:c r="S33" s="86"/>
      <x:c r="T33" s="86"/>
      <x:c r="U33" s="86"/>
      <x:c r="V33" s="86"/>
      <x:c r="W33" s="86"/>
      <x:c r="X33" s="86"/>
      <x:c r="Y33" s="86"/>
      <x:c r="Z33" s="86"/>
    </x:row>
    <x:row r="34">
      <x:c r="A34" s="86"/>
      <x:c r="B34" s="86"/>
      <x:c r="C34" s="92"/>
      <x:c r="D34" s="93"/>
      <x:c r="E34" s="106"/>
      <x:c r="F34" s="107"/>
      <x:c r="G34" s="107"/>
      <x:c r="H34" s="93"/>
      <x:c r="I34" s="107"/>
      <x:c r="J34" s="107"/>
      <x:c r="K34" s="92"/>
      <x:c r="L34" s="93"/>
      <x:c r="M34" s="86"/>
      <x:c r="N34" s="86"/>
      <x:c r="O34" s="86"/>
      <x:c r="P34" s="86"/>
      <x:c r="Q34" s="86"/>
      <x:c r="R34" s="86"/>
      <x:c r="S34" s="86"/>
      <x:c r="T34" s="86"/>
      <x:c r="U34" s="86"/>
      <x:c r="V34" s="86"/>
      <x:c r="W34" s="86"/>
      <x:c r="X34" s="86"/>
      <x:c r="Y34" s="86"/>
      <x:c r="Z34" s="86"/>
    </x:row>
    <x:row r="35">
      <x:c r="A35" s="86"/>
      <x:c r="B35" s="86"/>
      <x:c r="C35" s="92"/>
      <x:c r="D35" s="93"/>
      <x:c r="E35" s="106"/>
      <x:c r="F35" s="107"/>
      <x:c r="G35" s="107"/>
      <x:c r="H35" s="93"/>
      <x:c r="I35" s="107"/>
      <x:c r="J35" s="107"/>
      <x:c r="K35" s="92"/>
      <x:c r="L35" s="93"/>
      <x:c r="M35" s="86"/>
      <x:c r="N35" s="86"/>
      <x:c r="O35" s="86"/>
      <x:c r="P35" s="86"/>
      <x:c r="Q35" s="86"/>
      <x:c r="R35" s="86"/>
      <x:c r="S35" s="86"/>
      <x:c r="T35" s="86"/>
      <x:c r="U35" s="86"/>
      <x:c r="V35" s="86"/>
      <x:c r="W35" s="86"/>
      <x:c r="X35" s="86"/>
      <x:c r="Y35" s="86"/>
      <x:c r="Z35" s="86"/>
    </x:row>
    <x:row r="36">
      <x:c r="A36" s="86"/>
      <x:c r="B36" s="86"/>
      <x:c r="C36" s="92"/>
      <x:c r="D36" s="93"/>
      <x:c r="E36" s="106"/>
      <x:c r="F36" s="107"/>
      <x:c r="G36" s="107"/>
      <x:c r="H36" s="93"/>
      <x:c r="I36" s="107"/>
      <x:c r="J36" s="107"/>
      <x:c r="K36" s="92"/>
      <x:c r="L36" s="93"/>
      <x:c r="M36" s="86"/>
      <x:c r="N36" s="86"/>
      <x:c r="O36" s="86"/>
      <x:c r="P36" s="86"/>
      <x:c r="Q36" s="86"/>
      <x:c r="R36" s="86"/>
      <x:c r="S36" s="86"/>
      <x:c r="T36" s="86"/>
      <x:c r="U36" s="86"/>
      <x:c r="V36" s="86"/>
      <x:c r="W36" s="86"/>
      <x:c r="X36" s="86"/>
      <x:c r="Y36" s="86"/>
      <x:c r="Z36" s="86"/>
    </x:row>
    <x:row r="37">
      <x:c r="A37" s="86"/>
      <x:c r="B37" s="86"/>
      <x:c r="C37" s="92"/>
      <x:c r="D37" s="93"/>
      <x:c r="E37" s="106"/>
      <x:c r="F37" s="107"/>
      <x:c r="G37" s="107"/>
      <x:c r="H37" s="93"/>
      <x:c r="I37" s="107"/>
      <x:c r="J37" s="107"/>
      <x:c r="K37" s="92"/>
      <x:c r="L37" s="93"/>
      <x:c r="M37" s="86"/>
      <x:c r="N37" s="86"/>
      <x:c r="O37" s="86"/>
      <x:c r="P37" s="86"/>
      <x:c r="Q37" s="86"/>
      <x:c r="R37" s="86"/>
      <x:c r="S37" s="86"/>
      <x:c r="T37" s="86"/>
      <x:c r="U37" s="86"/>
      <x:c r="V37" s="86"/>
      <x:c r="W37" s="86"/>
      <x:c r="X37" s="86"/>
      <x:c r="Y37" s="86"/>
      <x:c r="Z37" s="86"/>
    </x:row>
    <x:row r="38">
      <x:c r="A38" s="86"/>
      <x:c r="B38" s="86"/>
      <x:c r="C38" s="92"/>
      <x:c r="D38" s="93"/>
      <x:c r="E38" s="106"/>
      <x:c r="F38" s="107"/>
      <x:c r="G38" s="107"/>
      <x:c r="H38" s="93"/>
      <x:c r="I38" s="107"/>
      <x:c r="J38" s="107"/>
      <x:c r="K38" s="92"/>
      <x:c r="L38" s="93"/>
      <x:c r="M38" s="86"/>
      <x:c r="N38" s="86"/>
      <x:c r="O38" s="86"/>
      <x:c r="P38" s="86"/>
      <x:c r="Q38" s="86"/>
      <x:c r="R38" s="86"/>
      <x:c r="S38" s="86"/>
      <x:c r="T38" s="86"/>
      <x:c r="U38" s="86"/>
      <x:c r="V38" s="86"/>
      <x:c r="W38" s="86"/>
      <x:c r="X38" s="86"/>
      <x:c r="Y38" s="86"/>
      <x:c r="Z38" s="86"/>
    </x:row>
    <x:row r="39">
      <x:c r="A39" s="86"/>
      <x:c r="B39" s="86"/>
      <x:c r="C39" s="92"/>
      <x:c r="D39" s="93"/>
      <x:c r="E39" s="106"/>
      <x:c r="F39" s="107"/>
      <x:c r="G39" s="107"/>
      <x:c r="H39" s="93"/>
      <x:c r="I39" s="107"/>
      <x:c r="J39" s="107"/>
      <x:c r="K39" s="92"/>
      <x:c r="L39" s="93"/>
      <x:c r="M39" s="86"/>
      <x:c r="N39" s="86"/>
      <x:c r="O39" s="86"/>
      <x:c r="P39" s="86"/>
      <x:c r="Q39" s="86"/>
      <x:c r="R39" s="86"/>
      <x:c r="S39" s="86"/>
      <x:c r="T39" s="86"/>
      <x:c r="U39" s="86"/>
      <x:c r="V39" s="86"/>
      <x:c r="W39" s="86"/>
      <x:c r="X39" s="86"/>
      <x:c r="Y39" s="86"/>
      <x:c r="Z39" s="86"/>
    </x:row>
    <x:row r="40">
      <x:c r="A40" s="86"/>
      <x:c r="B40" s="86"/>
      <x:c r="C40" s="92"/>
      <x:c r="D40" s="93"/>
      <x:c r="E40" s="106"/>
      <x:c r="F40" s="107"/>
      <x:c r="G40" s="107"/>
      <x:c r="H40" s="93"/>
      <x:c r="I40" s="107"/>
      <x:c r="J40" s="107"/>
      <x:c r="K40" s="92"/>
      <x:c r="L40" s="93"/>
      <x:c r="M40" s="86"/>
      <x:c r="N40" s="86"/>
      <x:c r="O40" s="86"/>
      <x:c r="P40" s="86"/>
      <x:c r="Q40" s="86"/>
      <x:c r="R40" s="86"/>
      <x:c r="S40" s="86"/>
      <x:c r="T40" s="86"/>
      <x:c r="U40" s="86"/>
      <x:c r="V40" s="86"/>
      <x:c r="W40" s="86"/>
      <x:c r="X40" s="86"/>
      <x:c r="Y40" s="86"/>
      <x:c r="Z40" s="86"/>
    </x:row>
    <x:row r="41">
      <x:c r="A41" s="86"/>
      <x:c r="B41" s="86"/>
      <x:c r="C41" s="92"/>
      <x:c r="D41" s="93"/>
      <x:c r="E41" s="106"/>
      <x:c r="F41" s="107"/>
      <x:c r="G41" s="107"/>
      <x:c r="H41" s="93"/>
      <x:c r="I41" s="107"/>
      <x:c r="J41" s="107"/>
      <x:c r="K41" s="92"/>
      <x:c r="L41" s="93"/>
      <x:c r="M41" s="86"/>
      <x:c r="N41" s="86"/>
      <x:c r="O41" s="86"/>
      <x:c r="P41" s="86"/>
      <x:c r="Q41" s="86"/>
      <x:c r="R41" s="86"/>
      <x:c r="S41" s="86"/>
      <x:c r="T41" s="86"/>
      <x:c r="U41" s="86"/>
      <x:c r="V41" s="86"/>
      <x:c r="W41" s="86"/>
      <x:c r="X41" s="86"/>
      <x:c r="Y41" s="86"/>
      <x:c r="Z41" s="86"/>
    </x:row>
    <x:row r="42">
      <x:c r="A42" s="86"/>
      <x:c r="B42" s="86"/>
      <x:c r="C42" s="92"/>
      <x:c r="D42" s="93"/>
      <x:c r="E42" s="106"/>
      <x:c r="F42" s="107"/>
      <x:c r="G42" s="107"/>
      <x:c r="H42" s="93"/>
      <x:c r="I42" s="107"/>
      <x:c r="J42" s="107"/>
      <x:c r="K42" s="92"/>
      <x:c r="L42" s="93"/>
      <x:c r="M42" s="86"/>
      <x:c r="N42" s="86"/>
      <x:c r="O42" s="86"/>
      <x:c r="P42" s="86"/>
      <x:c r="Q42" s="86"/>
      <x:c r="R42" s="86"/>
      <x:c r="S42" s="86"/>
      <x:c r="T42" s="86"/>
      <x:c r="U42" s="86"/>
      <x:c r="V42" s="86"/>
      <x:c r="W42" s="86"/>
      <x:c r="X42" s="86"/>
      <x:c r="Y42" s="86"/>
      <x:c r="Z42" s="86"/>
    </x:row>
    <x:row r="43">
      <x:c r="A43" s="86"/>
      <x:c r="B43" s="86"/>
      <x:c r="C43" s="92"/>
      <x:c r="D43" s="93"/>
      <x:c r="E43" s="106"/>
      <x:c r="F43" s="107"/>
      <x:c r="G43" s="107"/>
      <x:c r="H43" s="93"/>
      <x:c r="I43" s="107"/>
      <x:c r="J43" s="107"/>
      <x:c r="K43" s="92"/>
      <x:c r="L43" s="93"/>
      <x:c r="M43" s="86"/>
      <x:c r="N43" s="86"/>
      <x:c r="O43" s="86"/>
      <x:c r="P43" s="86"/>
      <x:c r="Q43" s="86"/>
      <x:c r="R43" s="86"/>
      <x:c r="S43" s="86"/>
      <x:c r="T43" s="86"/>
      <x:c r="U43" s="86"/>
      <x:c r="V43" s="86"/>
      <x:c r="W43" s="86"/>
      <x:c r="X43" s="86"/>
      <x:c r="Y43" s="86"/>
      <x:c r="Z43" s="86"/>
    </x:row>
    <x:row r="44">
      <x:c r="A44" s="86"/>
      <x:c r="B44" s="86"/>
      <x:c r="C44" s="92"/>
      <x:c r="D44" s="93"/>
      <x:c r="E44" s="106"/>
      <x:c r="F44" s="107"/>
      <x:c r="G44" s="107"/>
      <x:c r="H44" s="93"/>
      <x:c r="I44" s="107"/>
      <x:c r="J44" s="107"/>
      <x:c r="K44" s="92"/>
      <x:c r="L44" s="93"/>
      <x:c r="M44" s="86"/>
      <x:c r="N44" s="86"/>
      <x:c r="O44" s="86"/>
      <x:c r="P44" s="86"/>
      <x:c r="Q44" s="86"/>
      <x:c r="R44" s="86"/>
      <x:c r="S44" s="86"/>
      <x:c r="T44" s="86"/>
      <x:c r="U44" s="86"/>
      <x:c r="V44" s="86"/>
      <x:c r="W44" s="86"/>
      <x:c r="X44" s="86"/>
      <x:c r="Y44" s="86"/>
      <x:c r="Z44" s="86"/>
    </x:row>
    <x:row r="45">
      <x:c r="A45" s="86"/>
      <x:c r="B45" s="86"/>
      <x:c r="C45" s="92"/>
      <x:c r="D45" s="93"/>
      <x:c r="E45" s="106"/>
      <x:c r="F45" s="107"/>
      <x:c r="G45" s="107"/>
      <x:c r="H45" s="93"/>
      <x:c r="I45" s="107"/>
      <x:c r="J45" s="107"/>
      <x:c r="K45" s="92"/>
      <x:c r="L45" s="93"/>
      <x:c r="M45" s="86"/>
      <x:c r="N45" s="86"/>
      <x:c r="O45" s="86"/>
      <x:c r="P45" s="86"/>
      <x:c r="Q45" s="86"/>
      <x:c r="R45" s="86"/>
      <x:c r="S45" s="86"/>
      <x:c r="T45" s="86"/>
      <x:c r="U45" s="86"/>
      <x:c r="V45" s="86"/>
      <x:c r="W45" s="86"/>
      <x:c r="X45" s="86"/>
      <x:c r="Y45" s="86"/>
      <x:c r="Z45" s="86"/>
    </x:row>
    <x:row r="46">
      <x:c r="A46" s="86"/>
      <x:c r="B46" s="86"/>
      <x:c r="C46" s="92"/>
      <x:c r="D46" s="93"/>
      <x:c r="E46" s="106"/>
      <x:c r="F46" s="107"/>
      <x:c r="G46" s="107"/>
      <x:c r="H46" s="93"/>
      <x:c r="I46" s="107"/>
      <x:c r="J46" s="107"/>
      <x:c r="K46" s="92"/>
      <x:c r="L46" s="93"/>
      <x:c r="M46" s="86"/>
      <x:c r="N46" s="86"/>
      <x:c r="O46" s="86"/>
      <x:c r="P46" s="86"/>
      <x:c r="Q46" s="86"/>
      <x:c r="R46" s="86"/>
      <x:c r="S46" s="86"/>
      <x:c r="T46" s="86"/>
      <x:c r="U46" s="86"/>
      <x:c r="V46" s="86"/>
      <x:c r="W46" s="86"/>
      <x:c r="X46" s="86"/>
      <x:c r="Y46" s="86"/>
      <x:c r="Z46" s="86"/>
    </x:row>
    <x:row r="47">
      <x:c r="A47" s="86"/>
      <x:c r="B47" s="86"/>
      <x:c r="C47" s="92"/>
      <x:c r="D47" s="93"/>
      <x:c r="E47" s="106"/>
      <x:c r="F47" s="107"/>
      <x:c r="G47" s="107"/>
      <x:c r="H47" s="93"/>
      <x:c r="I47" s="107"/>
      <x:c r="J47" s="107"/>
      <x:c r="K47" s="92"/>
      <x:c r="L47" s="93"/>
      <x:c r="M47" s="86"/>
      <x:c r="N47" s="86"/>
      <x:c r="O47" s="86"/>
      <x:c r="P47" s="86"/>
      <x:c r="Q47" s="86"/>
      <x:c r="R47" s="86"/>
      <x:c r="S47" s="86"/>
      <x:c r="T47" s="86"/>
      <x:c r="U47" s="86"/>
      <x:c r="V47" s="86"/>
      <x:c r="W47" s="86"/>
      <x:c r="X47" s="86"/>
      <x:c r="Y47" s="86"/>
      <x:c r="Z47" s="86"/>
    </x:row>
    <x:row r="48">
      <x:c r="A48" s="86"/>
      <x:c r="B48" s="86"/>
      <x:c r="C48" s="92"/>
      <x:c r="D48" s="93"/>
      <x:c r="E48" s="106"/>
      <x:c r="F48" s="107"/>
      <x:c r="G48" s="107"/>
      <x:c r="H48" s="93"/>
      <x:c r="I48" s="107"/>
      <x:c r="J48" s="107"/>
      <x:c r="K48" s="92"/>
      <x:c r="L48" s="93"/>
      <x:c r="M48" s="86"/>
      <x:c r="N48" s="86"/>
      <x:c r="O48" s="86"/>
      <x:c r="P48" s="86"/>
      <x:c r="Q48" s="86"/>
      <x:c r="R48" s="86"/>
      <x:c r="S48" s="86"/>
      <x:c r="T48" s="86"/>
      <x:c r="U48" s="86"/>
      <x:c r="V48" s="86"/>
      <x:c r="W48" s="86"/>
      <x:c r="X48" s="86"/>
      <x:c r="Y48" s="86"/>
      <x:c r="Z48" s="86"/>
    </x:row>
    <x:row r="49">
      <x:c r="A49" s="86"/>
      <x:c r="B49" s="86"/>
      <x:c r="C49" s="92"/>
      <x:c r="D49" s="93"/>
      <x:c r="E49" s="106"/>
      <x:c r="F49" s="107"/>
      <x:c r="G49" s="107"/>
      <x:c r="H49" s="93"/>
      <x:c r="I49" s="107"/>
      <x:c r="J49" s="107"/>
      <x:c r="K49" s="92"/>
      <x:c r="L49" s="93"/>
      <x:c r="M49" s="86"/>
      <x:c r="N49" s="86"/>
      <x:c r="O49" s="86"/>
      <x:c r="P49" s="86"/>
      <x:c r="Q49" s="86"/>
      <x:c r="R49" s="86"/>
      <x:c r="S49" s="86"/>
      <x:c r="T49" s="86"/>
      <x:c r="U49" s="86"/>
      <x:c r="V49" s="86"/>
      <x:c r="W49" s="86"/>
      <x:c r="X49" s="86"/>
      <x:c r="Y49" s="86"/>
      <x:c r="Z49" s="86"/>
    </x:row>
    <x:row r="50">
      <x:c r="A50" s="86"/>
      <x:c r="B50" s="86"/>
      <x:c r="C50" s="92"/>
      <x:c r="D50" s="93"/>
      <x:c r="E50" s="106"/>
      <x:c r="F50" s="107"/>
      <x:c r="G50" s="107"/>
      <x:c r="H50" s="93"/>
      <x:c r="I50" s="107"/>
      <x:c r="J50" s="107"/>
      <x:c r="K50" s="92"/>
      <x:c r="L50" s="93"/>
      <x:c r="M50" s="86"/>
      <x:c r="N50" s="86"/>
      <x:c r="O50" s="86"/>
      <x:c r="P50" s="86"/>
      <x:c r="Q50" s="86"/>
      <x:c r="R50" s="86"/>
      <x:c r="S50" s="86"/>
      <x:c r="T50" s="86"/>
      <x:c r="U50" s="86"/>
      <x:c r="V50" s="86"/>
      <x:c r="W50" s="86"/>
      <x:c r="X50" s="86"/>
      <x:c r="Y50" s="86"/>
      <x:c r="Z50" s="86"/>
    </x:row>
    <x:row r="51">
      <x:c r="A51" s="86"/>
      <x:c r="B51" s="86"/>
      <x:c r="C51" s="92"/>
      <x:c r="D51" s="93"/>
      <x:c r="E51" s="106"/>
      <x:c r="F51" s="107"/>
      <x:c r="G51" s="107"/>
      <x:c r="H51" s="93"/>
      <x:c r="I51" s="107"/>
      <x:c r="J51" s="107"/>
      <x:c r="K51" s="92"/>
      <x:c r="L51" s="93"/>
      <x:c r="M51" s="86"/>
      <x:c r="N51" s="86"/>
      <x:c r="O51" s="86"/>
      <x:c r="P51" s="86"/>
      <x:c r="Q51" s="86"/>
      <x:c r="R51" s="86"/>
      <x:c r="S51" s="86"/>
      <x:c r="T51" s="86"/>
      <x:c r="U51" s="86"/>
      <x:c r="V51" s="86"/>
      <x:c r="W51" s="86"/>
      <x:c r="X51" s="86"/>
      <x:c r="Y51" s="86"/>
      <x:c r="Z51" s="86"/>
    </x:row>
    <x:row r="52">
      <x:c r="A52" s="86"/>
      <x:c r="B52" s="86"/>
      <x:c r="C52" s="92"/>
      <x:c r="D52" s="93"/>
      <x:c r="E52" s="106"/>
      <x:c r="F52" s="107"/>
      <x:c r="G52" s="107"/>
      <x:c r="H52" s="93"/>
      <x:c r="I52" s="107"/>
      <x:c r="J52" s="107"/>
      <x:c r="K52" s="92"/>
      <x:c r="L52" s="93"/>
      <x:c r="M52" s="86"/>
      <x:c r="N52" s="86"/>
      <x:c r="O52" s="86"/>
      <x:c r="P52" s="86"/>
      <x:c r="Q52" s="86"/>
      <x:c r="R52" s="86"/>
      <x:c r="S52" s="86"/>
      <x:c r="T52" s="86"/>
      <x:c r="U52" s="86"/>
      <x:c r="V52" s="86"/>
      <x:c r="W52" s="86"/>
      <x:c r="X52" s="86"/>
      <x:c r="Y52" s="86"/>
      <x:c r="Z52" s="86"/>
    </x:row>
    <x:row r="53">
      <x:c r="A53" s="86"/>
      <x:c r="B53" s="86"/>
      <x:c r="C53" s="92"/>
      <x:c r="D53" s="93"/>
      <x:c r="E53" s="106"/>
      <x:c r="F53" s="107"/>
      <x:c r="G53" s="107"/>
      <x:c r="H53" s="93"/>
      <x:c r="I53" s="107"/>
      <x:c r="J53" s="107"/>
      <x:c r="K53" s="92"/>
      <x:c r="L53" s="93"/>
      <x:c r="M53" s="86"/>
      <x:c r="N53" s="86"/>
      <x:c r="O53" s="86"/>
      <x:c r="P53" s="86"/>
      <x:c r="Q53" s="86"/>
      <x:c r="R53" s="86"/>
      <x:c r="S53" s="86"/>
      <x:c r="T53" s="86"/>
      <x:c r="U53" s="86"/>
      <x:c r="V53" s="86"/>
      <x:c r="W53" s="86"/>
      <x:c r="X53" s="86"/>
      <x:c r="Y53" s="86"/>
      <x:c r="Z53" s="86"/>
    </x:row>
    <x:row r="54">
      <x:c r="A54" s="86"/>
      <x:c r="B54" s="86"/>
      <x:c r="C54" s="92"/>
      <x:c r="D54" s="93"/>
      <x:c r="E54" s="106"/>
      <x:c r="F54" s="107"/>
      <x:c r="G54" s="107"/>
      <x:c r="H54" s="93"/>
      <x:c r="I54" s="107"/>
      <x:c r="J54" s="107"/>
      <x:c r="K54" s="92"/>
      <x:c r="L54" s="93"/>
      <x:c r="M54" s="86"/>
      <x:c r="N54" s="86"/>
      <x:c r="O54" s="86"/>
      <x:c r="P54" s="86"/>
      <x:c r="Q54" s="86"/>
      <x:c r="R54" s="86"/>
      <x:c r="S54" s="86"/>
      <x:c r="T54" s="86"/>
      <x:c r="U54" s="86"/>
      <x:c r="V54" s="86"/>
      <x:c r="W54" s="86"/>
      <x:c r="X54" s="86"/>
      <x:c r="Y54" s="86"/>
      <x:c r="Z54" s="86"/>
    </x:row>
    <x:row r="55">
      <x:c r="A55" s="86"/>
      <x:c r="B55" s="86"/>
      <x:c r="C55" s="92"/>
      <x:c r="D55" s="93"/>
      <x:c r="E55" s="106"/>
      <x:c r="F55" s="107"/>
      <x:c r="G55" s="107"/>
      <x:c r="H55" s="93"/>
      <x:c r="I55" s="107"/>
      <x:c r="J55" s="107"/>
      <x:c r="K55" s="92"/>
      <x:c r="L55" s="93"/>
      <x:c r="M55" s="86"/>
      <x:c r="N55" s="86"/>
      <x:c r="O55" s="86"/>
      <x:c r="P55" s="86"/>
      <x:c r="Q55" s="86"/>
      <x:c r="R55" s="86"/>
      <x:c r="S55" s="86"/>
      <x:c r="T55" s="86"/>
      <x:c r="U55" s="86"/>
      <x:c r="V55" s="86"/>
      <x:c r="W55" s="86"/>
      <x:c r="X55" s="86"/>
      <x:c r="Y55" s="86"/>
      <x:c r="Z55" s="86"/>
    </x:row>
    <x:row r="56">
      <x:c r="A56" s="86"/>
      <x:c r="B56" s="86"/>
      <x:c r="C56" s="92"/>
      <x:c r="D56" s="93"/>
      <x:c r="E56" s="106"/>
      <x:c r="F56" s="107"/>
      <x:c r="G56" s="107"/>
      <x:c r="H56" s="93"/>
      <x:c r="I56" s="107"/>
      <x:c r="J56" s="107"/>
      <x:c r="K56" s="92"/>
      <x:c r="L56" s="93"/>
      <x:c r="M56" s="86"/>
      <x:c r="N56" s="86"/>
      <x:c r="O56" s="86"/>
      <x:c r="P56" s="86"/>
      <x:c r="Q56" s="86"/>
      <x:c r="R56" s="86"/>
      <x:c r="S56" s="86"/>
      <x:c r="T56" s="86"/>
      <x:c r="U56" s="86"/>
      <x:c r="V56" s="86"/>
      <x:c r="W56" s="86"/>
      <x:c r="X56" s="86"/>
      <x:c r="Y56" s="86"/>
      <x:c r="Z56" s="86"/>
    </x:row>
    <x:row r="57">
      <x:c r="A57" s="86"/>
      <x:c r="B57" s="86"/>
      <x:c r="C57" s="92"/>
      <x:c r="D57" s="93"/>
      <x:c r="E57" s="106"/>
      <x:c r="F57" s="107"/>
      <x:c r="G57" s="107"/>
      <x:c r="H57" s="93"/>
      <x:c r="I57" s="107"/>
      <x:c r="J57" s="107"/>
      <x:c r="K57" s="92"/>
      <x:c r="L57" s="93"/>
      <x:c r="M57" s="86"/>
      <x:c r="N57" s="86"/>
      <x:c r="O57" s="86"/>
      <x:c r="P57" s="86"/>
      <x:c r="Q57" s="86"/>
      <x:c r="R57" s="86"/>
      <x:c r="S57" s="86"/>
      <x:c r="T57" s="86"/>
      <x:c r="U57" s="86"/>
      <x:c r="V57" s="86"/>
      <x:c r="W57" s="86"/>
      <x:c r="X57" s="86"/>
      <x:c r="Y57" s="86"/>
      <x:c r="Z57" s="86"/>
    </x:row>
    <x:row r="58">
      <x:c r="A58" s="86"/>
      <x:c r="B58" s="86"/>
      <x:c r="C58" s="92"/>
      <x:c r="D58" s="93"/>
      <x:c r="E58" s="106"/>
      <x:c r="F58" s="107"/>
      <x:c r="G58" s="107"/>
      <x:c r="H58" s="93"/>
      <x:c r="I58" s="107"/>
      <x:c r="J58" s="107"/>
      <x:c r="K58" s="92"/>
      <x:c r="L58" s="93"/>
      <x:c r="M58" s="86"/>
      <x:c r="N58" s="86"/>
      <x:c r="O58" s="86"/>
      <x:c r="P58" s="86"/>
      <x:c r="Q58" s="86"/>
      <x:c r="R58" s="86"/>
      <x:c r="S58" s="86"/>
      <x:c r="T58" s="86"/>
      <x:c r="U58" s="86"/>
      <x:c r="V58" s="86"/>
      <x:c r="W58" s="86"/>
      <x:c r="X58" s="86"/>
      <x:c r="Y58" s="86"/>
      <x:c r="Z58" s="86"/>
    </x:row>
    <x:row r="59">
      <x:c r="A59" s="86"/>
      <x:c r="B59" s="86"/>
      <x:c r="C59" s="92"/>
      <x:c r="D59" s="93"/>
      <x:c r="E59" s="106"/>
      <x:c r="F59" s="107"/>
      <x:c r="G59" s="107"/>
      <x:c r="H59" s="93"/>
      <x:c r="I59" s="107"/>
      <x:c r="J59" s="107"/>
      <x:c r="K59" s="92"/>
      <x:c r="L59" s="93"/>
      <x:c r="M59" s="86"/>
      <x:c r="N59" s="86"/>
      <x:c r="O59" s="86"/>
      <x:c r="P59" s="86"/>
      <x:c r="Q59" s="86"/>
      <x:c r="R59" s="86"/>
      <x:c r="S59" s="86"/>
      <x:c r="T59" s="86"/>
      <x:c r="U59" s="86"/>
      <x:c r="V59" s="86"/>
      <x:c r="W59" s="86"/>
      <x:c r="X59" s="86"/>
      <x:c r="Y59" s="86"/>
      <x:c r="Z59" s="86"/>
    </x:row>
    <x:row r="60">
      <x:c r="A60" s="86"/>
      <x:c r="B60" s="86"/>
      <x:c r="C60" s="92"/>
      <x:c r="D60" s="93"/>
      <x:c r="E60" s="106"/>
      <x:c r="F60" s="107"/>
      <x:c r="G60" s="107"/>
      <x:c r="H60" s="93"/>
      <x:c r="I60" s="107"/>
      <x:c r="J60" s="107"/>
      <x:c r="K60" s="92"/>
      <x:c r="L60" s="93"/>
      <x:c r="M60" s="86"/>
      <x:c r="N60" s="86"/>
      <x:c r="O60" s="86"/>
      <x:c r="P60" s="86"/>
      <x:c r="Q60" s="86"/>
      <x:c r="R60" s="86"/>
      <x:c r="S60" s="86"/>
      <x:c r="T60" s="86"/>
      <x:c r="U60" s="86"/>
      <x:c r="V60" s="86"/>
      <x:c r="W60" s="86"/>
      <x:c r="X60" s="86"/>
      <x:c r="Y60" s="86"/>
      <x:c r="Z60" s="86"/>
    </x:row>
    <x:row r="61">
      <x:c r="A61" s="86"/>
      <x:c r="B61" s="86"/>
      <x:c r="C61" s="92"/>
      <x:c r="D61" s="93"/>
      <x:c r="E61" s="106"/>
      <x:c r="F61" s="107"/>
      <x:c r="G61" s="107"/>
      <x:c r="H61" s="93"/>
      <x:c r="I61" s="107"/>
      <x:c r="J61" s="107"/>
      <x:c r="K61" s="92"/>
      <x:c r="L61" s="93"/>
      <x:c r="M61" s="86"/>
      <x:c r="N61" s="86"/>
      <x:c r="O61" s="86"/>
      <x:c r="P61" s="86"/>
      <x:c r="Q61" s="86"/>
      <x:c r="R61" s="86"/>
      <x:c r="S61" s="86"/>
      <x:c r="T61" s="86"/>
      <x:c r="U61" s="86"/>
      <x:c r="V61" s="86"/>
      <x:c r="W61" s="86"/>
      <x:c r="X61" s="86"/>
      <x:c r="Y61" s="86"/>
      <x:c r="Z61" s="86"/>
    </x:row>
    <x:row r="62">
      <x:c r="A62" s="86"/>
      <x:c r="B62" s="86"/>
      <x:c r="C62" s="92"/>
      <x:c r="D62" s="93"/>
      <x:c r="E62" s="106"/>
      <x:c r="F62" s="107"/>
      <x:c r="G62" s="107"/>
      <x:c r="H62" s="93"/>
      <x:c r="I62" s="107"/>
      <x:c r="J62" s="107"/>
      <x:c r="K62" s="92"/>
      <x:c r="L62" s="93"/>
      <x:c r="M62" s="86"/>
      <x:c r="N62" s="86"/>
      <x:c r="O62" s="86"/>
      <x:c r="P62" s="86"/>
      <x:c r="Q62" s="86"/>
      <x:c r="R62" s="86"/>
      <x:c r="S62" s="86"/>
      <x:c r="T62" s="86"/>
      <x:c r="U62" s="86"/>
      <x:c r="V62" s="86"/>
      <x:c r="W62" s="86"/>
      <x:c r="X62" s="86"/>
      <x:c r="Y62" s="86"/>
      <x:c r="Z62" s="86"/>
    </x:row>
    <x:row r="63">
      <x:c r="A63" s="86"/>
      <x:c r="B63" s="86"/>
      <x:c r="C63" s="92"/>
      <x:c r="D63" s="93"/>
      <x:c r="E63" s="106"/>
      <x:c r="F63" s="107"/>
      <x:c r="G63" s="107"/>
      <x:c r="H63" s="93"/>
      <x:c r="I63" s="107"/>
      <x:c r="J63" s="107"/>
      <x:c r="K63" s="92"/>
      <x:c r="L63" s="93"/>
      <x:c r="M63" s="86"/>
      <x:c r="N63" s="86"/>
      <x:c r="O63" s="86"/>
      <x:c r="P63" s="86"/>
      <x:c r="Q63" s="86"/>
      <x:c r="R63" s="86"/>
      <x:c r="S63" s="86"/>
      <x:c r="T63" s="86"/>
      <x:c r="U63" s="86"/>
      <x:c r="V63" s="86"/>
      <x:c r="W63" s="86"/>
      <x:c r="X63" s="86"/>
      <x:c r="Y63" s="86"/>
      <x:c r="Z63" s="86"/>
    </x:row>
    <x:row r="64">
      <x:c r="A64" s="86"/>
      <x:c r="B64" s="86"/>
      <x:c r="C64" s="92"/>
      <x:c r="D64" s="93"/>
      <x:c r="E64" s="106"/>
      <x:c r="F64" s="107"/>
      <x:c r="G64" s="107"/>
      <x:c r="H64" s="93"/>
      <x:c r="I64" s="107"/>
      <x:c r="J64" s="107"/>
      <x:c r="K64" s="92"/>
      <x:c r="L64" s="93"/>
      <x:c r="M64" s="86"/>
      <x:c r="N64" s="86"/>
      <x:c r="O64" s="86"/>
      <x:c r="P64" s="86"/>
      <x:c r="Q64" s="86"/>
      <x:c r="R64" s="86"/>
      <x:c r="S64" s="86"/>
      <x:c r="T64" s="86"/>
      <x:c r="U64" s="86"/>
      <x:c r="V64" s="86"/>
      <x:c r="W64" s="86"/>
      <x:c r="X64" s="86"/>
      <x:c r="Y64" s="86"/>
      <x:c r="Z64" s="86"/>
    </x:row>
    <x:row r="65">
      <x:c r="A65" s="86"/>
      <x:c r="B65" s="86"/>
      <x:c r="C65" s="92"/>
      <x:c r="D65" s="93"/>
      <x:c r="E65" s="106"/>
      <x:c r="F65" s="107"/>
      <x:c r="G65" s="107"/>
      <x:c r="H65" s="93"/>
      <x:c r="I65" s="107"/>
      <x:c r="J65" s="107"/>
      <x:c r="K65" s="92"/>
      <x:c r="L65" s="93"/>
      <x:c r="M65" s="86"/>
      <x:c r="N65" s="86"/>
      <x:c r="O65" s="86"/>
      <x:c r="P65" s="86"/>
      <x:c r="Q65" s="86"/>
      <x:c r="R65" s="86"/>
      <x:c r="S65" s="86"/>
      <x:c r="T65" s="86"/>
      <x:c r="U65" s="86"/>
      <x:c r="V65" s="86"/>
      <x:c r="W65" s="86"/>
      <x:c r="X65" s="86"/>
      <x:c r="Y65" s="86"/>
      <x:c r="Z65" s="86"/>
    </x:row>
    <x:row r="66">
      <x:c r="A66" s="86"/>
      <x:c r="B66" s="86"/>
      <x:c r="C66" s="92"/>
      <x:c r="D66" s="93"/>
      <x:c r="E66" s="106"/>
      <x:c r="F66" s="107"/>
      <x:c r="G66" s="107"/>
      <x:c r="H66" s="93"/>
      <x:c r="I66" s="107"/>
      <x:c r="J66" s="107"/>
      <x:c r="K66" s="92"/>
      <x:c r="L66" s="93"/>
      <x:c r="M66" s="86"/>
      <x:c r="N66" s="86"/>
      <x:c r="O66" s="86"/>
      <x:c r="P66" s="86"/>
      <x:c r="Q66" s="86"/>
      <x:c r="R66" s="86"/>
      <x:c r="S66" s="86"/>
      <x:c r="T66" s="86"/>
      <x:c r="U66" s="86"/>
      <x:c r="V66" s="86"/>
      <x:c r="W66" s="86"/>
      <x:c r="X66" s="86"/>
      <x:c r="Y66" s="86"/>
      <x:c r="Z66" s="86"/>
    </x:row>
    <x:row r="67">
      <x:c r="A67" s="86"/>
      <x:c r="B67" s="86"/>
      <x:c r="C67" s="92"/>
      <x:c r="D67" s="93"/>
      <x:c r="E67" s="106"/>
      <x:c r="F67" s="107"/>
      <x:c r="G67" s="107"/>
      <x:c r="H67" s="93"/>
      <x:c r="I67" s="107"/>
      <x:c r="J67" s="107"/>
      <x:c r="K67" s="92"/>
      <x:c r="L67" s="93"/>
      <x:c r="M67" s="86"/>
      <x:c r="N67" s="86"/>
      <x:c r="O67" s="86"/>
      <x:c r="P67" s="86"/>
      <x:c r="Q67" s="86"/>
      <x:c r="R67" s="86"/>
      <x:c r="S67" s="86"/>
      <x:c r="T67" s="86"/>
      <x:c r="U67" s="86"/>
      <x:c r="V67" s="86"/>
      <x:c r="W67" s="86"/>
      <x:c r="X67" s="86"/>
      <x:c r="Y67" s="86"/>
      <x:c r="Z67" s="86"/>
    </x:row>
    <x:row r="68">
      <x:c r="A68" s="86"/>
      <x:c r="B68" s="86"/>
      <x:c r="C68" s="92"/>
      <x:c r="D68" s="93"/>
      <x:c r="E68" s="106"/>
      <x:c r="F68" s="107"/>
      <x:c r="G68" s="107"/>
      <x:c r="H68" s="93"/>
      <x:c r="I68" s="107"/>
      <x:c r="J68" s="107"/>
      <x:c r="K68" s="92"/>
      <x:c r="L68" s="93"/>
      <x:c r="M68" s="86"/>
      <x:c r="N68" s="86"/>
      <x:c r="O68" s="86"/>
      <x:c r="P68" s="86"/>
      <x:c r="Q68" s="86"/>
      <x:c r="R68" s="86"/>
      <x:c r="S68" s="86"/>
      <x:c r="T68" s="86"/>
      <x:c r="U68" s="86"/>
      <x:c r="V68" s="86"/>
      <x:c r="W68" s="86"/>
      <x:c r="X68" s="86"/>
      <x:c r="Y68" s="86"/>
      <x:c r="Z68" s="86"/>
    </x:row>
    <x:row r="69">
      <x:c r="A69" s="86"/>
      <x:c r="B69" s="86"/>
      <x:c r="C69" s="92"/>
      <x:c r="D69" s="93"/>
      <x:c r="E69" s="106"/>
      <x:c r="F69" s="107"/>
      <x:c r="G69" s="107"/>
      <x:c r="H69" s="93"/>
      <x:c r="I69" s="107"/>
      <x:c r="J69" s="107"/>
      <x:c r="K69" s="92"/>
      <x:c r="L69" s="93"/>
      <x:c r="M69" s="86"/>
      <x:c r="N69" s="86"/>
      <x:c r="O69" s="86"/>
      <x:c r="P69" s="86"/>
      <x:c r="Q69" s="86"/>
      <x:c r="R69" s="86"/>
      <x:c r="S69" s="86"/>
      <x:c r="T69" s="86"/>
      <x:c r="U69" s="86"/>
      <x:c r="V69" s="86"/>
      <x:c r="W69" s="86"/>
      <x:c r="X69" s="86"/>
      <x:c r="Y69" s="86"/>
      <x:c r="Z69" s="86"/>
    </x:row>
    <x:row r="70">
      <x:c r="A70" s="86"/>
      <x:c r="B70" s="86"/>
      <x:c r="C70" s="92"/>
      <x:c r="D70" s="93"/>
      <x:c r="E70" s="106"/>
      <x:c r="F70" s="107"/>
      <x:c r="G70" s="107"/>
      <x:c r="H70" s="93"/>
      <x:c r="I70" s="107"/>
      <x:c r="J70" s="107"/>
      <x:c r="K70" s="92"/>
      <x:c r="L70" s="93"/>
      <x:c r="M70" s="86"/>
      <x:c r="N70" s="86"/>
      <x:c r="O70" s="86"/>
      <x:c r="P70" s="86"/>
      <x:c r="Q70" s="86"/>
      <x:c r="R70" s="86"/>
      <x:c r="S70" s="86"/>
      <x:c r="T70" s="86"/>
      <x:c r="U70" s="86"/>
      <x:c r="V70" s="86"/>
      <x:c r="W70" s="86"/>
      <x:c r="X70" s="86"/>
      <x:c r="Y70" s="86"/>
      <x:c r="Z70" s="86"/>
    </x:row>
    <x:row r="71">
      <x:c r="A71" s="86"/>
      <x:c r="B71" s="86"/>
      <x:c r="C71" s="92"/>
      <x:c r="D71" s="93"/>
      <x:c r="E71" s="106"/>
      <x:c r="F71" s="107"/>
      <x:c r="G71" s="107"/>
      <x:c r="H71" s="93"/>
      <x:c r="I71" s="107"/>
      <x:c r="J71" s="107"/>
      <x:c r="K71" s="92"/>
      <x:c r="L71" s="93"/>
      <x:c r="M71" s="86"/>
      <x:c r="N71" s="86"/>
      <x:c r="O71" s="86"/>
      <x:c r="P71" s="86"/>
      <x:c r="Q71" s="86"/>
      <x:c r="R71" s="86"/>
      <x:c r="S71" s="86"/>
      <x:c r="T71" s="86"/>
      <x:c r="U71" s="86"/>
      <x:c r="V71" s="86"/>
      <x:c r="W71" s="86"/>
      <x:c r="X71" s="86"/>
      <x:c r="Y71" s="86"/>
      <x:c r="Z71" s="86"/>
    </x:row>
    <x:row r="72">
      <x:c r="A72" s="86"/>
      <x:c r="B72" s="86"/>
      <x:c r="C72" s="92"/>
      <x:c r="D72" s="93"/>
      <x:c r="E72" s="106"/>
      <x:c r="F72" s="107"/>
      <x:c r="G72" s="107"/>
      <x:c r="H72" s="93"/>
      <x:c r="I72" s="107"/>
      <x:c r="J72" s="107"/>
      <x:c r="K72" s="92"/>
      <x:c r="L72" s="93"/>
      <x:c r="M72" s="86"/>
      <x:c r="N72" s="86"/>
      <x:c r="O72" s="86"/>
      <x:c r="P72" s="86"/>
      <x:c r="Q72" s="86"/>
      <x:c r="R72" s="86"/>
      <x:c r="S72" s="86"/>
      <x:c r="T72" s="86"/>
      <x:c r="U72" s="86"/>
      <x:c r="V72" s="86"/>
      <x:c r="W72" s="86"/>
      <x:c r="X72" s="86"/>
      <x:c r="Y72" s="86"/>
      <x:c r="Z72" s="86"/>
    </x:row>
    <x:row r="73">
      <x:c r="A73" s="86"/>
      <x:c r="B73" s="86"/>
      <x:c r="C73" s="92"/>
      <x:c r="D73" s="93"/>
      <x:c r="E73" s="106"/>
      <x:c r="F73" s="107"/>
      <x:c r="G73" s="107"/>
      <x:c r="H73" s="93"/>
      <x:c r="I73" s="107"/>
      <x:c r="J73" s="107"/>
      <x:c r="K73" s="92"/>
      <x:c r="L73" s="93"/>
      <x:c r="M73" s="86"/>
      <x:c r="N73" s="86"/>
      <x:c r="O73" s="86"/>
      <x:c r="P73" s="86"/>
      <x:c r="Q73" s="86"/>
      <x:c r="R73" s="86"/>
      <x:c r="S73" s="86"/>
      <x:c r="T73" s="86"/>
      <x:c r="U73" s="86"/>
      <x:c r="V73" s="86"/>
      <x:c r="W73" s="86"/>
      <x:c r="X73" s="86"/>
      <x:c r="Y73" s="86"/>
      <x:c r="Z73" s="86"/>
    </x:row>
    <x:row r="74">
      <x:c r="A74" s="86"/>
      <x:c r="B74" s="86"/>
      <x:c r="C74" s="92"/>
      <x:c r="D74" s="93"/>
      <x:c r="E74" s="106"/>
      <x:c r="F74" s="107"/>
      <x:c r="G74" s="107"/>
      <x:c r="H74" s="93"/>
      <x:c r="I74" s="107"/>
      <x:c r="J74" s="107"/>
      <x:c r="K74" s="92"/>
      <x:c r="L74" s="93"/>
      <x:c r="M74" s="86"/>
      <x:c r="N74" s="86"/>
      <x:c r="O74" s="86"/>
      <x:c r="P74" s="86"/>
      <x:c r="Q74" s="86"/>
      <x:c r="R74" s="86"/>
      <x:c r="S74" s="86"/>
      <x:c r="T74" s="86"/>
      <x:c r="U74" s="86"/>
      <x:c r="V74" s="86"/>
      <x:c r="W74" s="86"/>
      <x:c r="X74" s="86"/>
      <x:c r="Y74" s="86"/>
      <x:c r="Z74" s="86"/>
    </x:row>
    <x:row r="75">
      <x:c r="A75" s="86"/>
      <x:c r="B75" s="86"/>
      <x:c r="C75" s="92"/>
      <x:c r="D75" s="93"/>
      <x:c r="E75" s="106"/>
      <x:c r="F75" s="107"/>
      <x:c r="G75" s="107"/>
      <x:c r="H75" s="93"/>
      <x:c r="I75" s="107"/>
      <x:c r="J75" s="107"/>
      <x:c r="K75" s="92"/>
      <x:c r="L75" s="93"/>
      <x:c r="M75" s="86"/>
      <x:c r="N75" s="86"/>
      <x:c r="O75" s="86"/>
      <x:c r="P75" s="86"/>
      <x:c r="Q75" s="86"/>
      <x:c r="R75" s="86"/>
      <x:c r="S75" s="86"/>
      <x:c r="T75" s="86"/>
      <x:c r="U75" s="86"/>
      <x:c r="V75" s="86"/>
      <x:c r="W75" s="86"/>
      <x:c r="X75" s="86"/>
      <x:c r="Y75" s="86"/>
      <x:c r="Z75" s="86"/>
    </x:row>
    <x:row r="76">
      <x:c r="A76" s="86"/>
      <x:c r="B76" s="86"/>
      <x:c r="C76" s="92"/>
      <x:c r="D76" s="93"/>
      <x:c r="E76" s="106"/>
      <x:c r="F76" s="107"/>
      <x:c r="G76" s="107"/>
      <x:c r="H76" s="93"/>
      <x:c r="I76" s="107"/>
      <x:c r="J76" s="107"/>
      <x:c r="K76" s="92"/>
      <x:c r="L76" s="93"/>
      <x:c r="M76" s="86"/>
      <x:c r="N76" s="86"/>
      <x:c r="O76" s="86"/>
      <x:c r="P76" s="86"/>
      <x:c r="Q76" s="86"/>
      <x:c r="R76" s="86"/>
      <x:c r="S76" s="86"/>
      <x:c r="T76" s="86"/>
      <x:c r="U76" s="86"/>
      <x:c r="V76" s="86"/>
      <x:c r="W76" s="86"/>
      <x:c r="X76" s="86"/>
      <x:c r="Y76" s="86"/>
      <x:c r="Z76" s="86"/>
    </x:row>
    <x:row r="77">
      <x:c r="A77" s="86"/>
      <x:c r="B77" s="86"/>
      <x:c r="C77" s="92"/>
      <x:c r="D77" s="93"/>
      <x:c r="E77" s="106"/>
      <x:c r="F77" s="107"/>
      <x:c r="G77" s="107"/>
      <x:c r="H77" s="93"/>
      <x:c r="I77" s="107"/>
      <x:c r="J77" s="107"/>
      <x:c r="K77" s="92"/>
      <x:c r="L77" s="93"/>
      <x:c r="M77" s="86"/>
      <x:c r="N77" s="86"/>
      <x:c r="O77" s="86"/>
      <x:c r="P77" s="86"/>
      <x:c r="Q77" s="86"/>
      <x:c r="R77" s="86"/>
      <x:c r="S77" s="86"/>
      <x:c r="T77" s="86"/>
      <x:c r="U77" s="86"/>
      <x:c r="V77" s="86"/>
      <x:c r="W77" s="86"/>
      <x:c r="X77" s="86"/>
      <x:c r="Y77" s="86"/>
      <x:c r="Z77" s="86"/>
    </x:row>
    <x:row r="78">
      <x:c r="A78" s="86"/>
      <x:c r="B78" s="86"/>
      <x:c r="C78" s="92"/>
      <x:c r="D78" s="93"/>
      <x:c r="E78" s="106"/>
      <x:c r="F78" s="107"/>
      <x:c r="G78" s="107"/>
      <x:c r="H78" s="93"/>
      <x:c r="I78" s="107"/>
      <x:c r="J78" s="107"/>
      <x:c r="K78" s="92"/>
      <x:c r="L78" s="93"/>
      <x:c r="M78" s="86"/>
      <x:c r="N78" s="86"/>
      <x:c r="O78" s="86"/>
      <x:c r="P78" s="86"/>
      <x:c r="Q78" s="86"/>
      <x:c r="R78" s="86"/>
      <x:c r="S78" s="86"/>
      <x:c r="T78" s="86"/>
      <x:c r="U78" s="86"/>
      <x:c r="V78" s="86"/>
      <x:c r="W78" s="86"/>
      <x:c r="X78" s="86"/>
      <x:c r="Y78" s="86"/>
      <x:c r="Z78" s="86"/>
    </x:row>
    <x:row r="79">
      <x:c r="A79" s="86"/>
      <x:c r="B79" s="86"/>
      <x:c r="C79" s="92"/>
      <x:c r="D79" s="93"/>
      <x:c r="E79" s="106"/>
      <x:c r="F79" s="107"/>
      <x:c r="G79" s="107"/>
      <x:c r="H79" s="93"/>
      <x:c r="I79" s="107"/>
      <x:c r="J79" s="107"/>
      <x:c r="K79" s="92"/>
      <x:c r="L79" s="93"/>
      <x:c r="M79" s="86"/>
      <x:c r="N79" s="86"/>
      <x:c r="O79" s="86"/>
      <x:c r="P79" s="86"/>
      <x:c r="Q79" s="86"/>
      <x:c r="R79" s="86"/>
      <x:c r="S79" s="86"/>
      <x:c r="T79" s="86"/>
      <x:c r="U79" s="86"/>
      <x:c r="V79" s="86"/>
      <x:c r="W79" s="86"/>
      <x:c r="X79" s="86"/>
      <x:c r="Y79" s="86"/>
      <x:c r="Z79" s="86"/>
    </x:row>
    <x:row r="80">
      <x:c r="A80" s="86"/>
      <x:c r="B80" s="86"/>
      <x:c r="C80" s="92"/>
      <x:c r="D80" s="93"/>
      <x:c r="E80" s="106"/>
      <x:c r="F80" s="107"/>
      <x:c r="G80" s="107"/>
      <x:c r="H80" s="93"/>
      <x:c r="I80" s="107"/>
      <x:c r="J80" s="107"/>
      <x:c r="K80" s="92"/>
      <x:c r="L80" s="93"/>
      <x:c r="M80" s="86"/>
      <x:c r="N80" s="86"/>
      <x:c r="O80" s="86"/>
      <x:c r="P80" s="86"/>
      <x:c r="Q80" s="86"/>
      <x:c r="R80" s="86"/>
      <x:c r="S80" s="86"/>
      <x:c r="T80" s="86"/>
      <x:c r="U80" s="86"/>
      <x:c r="V80" s="86"/>
      <x:c r="W80" s="86"/>
      <x:c r="X80" s="86"/>
      <x:c r="Y80" s="86"/>
      <x:c r="Z80" s="86"/>
    </x:row>
    <x:row r="81">
      <x:c r="A81" s="86"/>
      <x:c r="B81" s="86"/>
      <x:c r="C81" s="92"/>
      <x:c r="D81" s="93"/>
      <x:c r="E81" s="106"/>
      <x:c r="F81" s="107"/>
      <x:c r="G81" s="107"/>
      <x:c r="H81" s="93"/>
      <x:c r="I81" s="107"/>
      <x:c r="J81" s="107"/>
      <x:c r="K81" s="92"/>
      <x:c r="L81" s="93"/>
      <x:c r="M81" s="86"/>
      <x:c r="N81" s="86"/>
      <x:c r="O81" s="86"/>
      <x:c r="P81" s="86"/>
      <x:c r="Q81" s="86"/>
      <x:c r="R81" s="86"/>
      <x:c r="S81" s="86"/>
      <x:c r="T81" s="86"/>
      <x:c r="U81" s="86"/>
      <x:c r="V81" s="86"/>
      <x:c r="W81" s="86"/>
      <x:c r="X81" s="86"/>
      <x:c r="Y81" s="86"/>
      <x:c r="Z81" s="86"/>
    </x:row>
    <x:row r="82">
      <x:c r="A82" s="86"/>
      <x:c r="B82" s="86"/>
      <x:c r="C82" s="92"/>
      <x:c r="D82" s="93"/>
      <x:c r="E82" s="106"/>
      <x:c r="F82" s="107"/>
      <x:c r="G82" s="107"/>
      <x:c r="H82" s="93"/>
      <x:c r="I82" s="107"/>
      <x:c r="J82" s="107"/>
      <x:c r="K82" s="92"/>
      <x:c r="L82" s="93"/>
      <x:c r="M82" s="86"/>
      <x:c r="N82" s="86"/>
      <x:c r="O82" s="86"/>
      <x:c r="P82" s="86"/>
      <x:c r="Q82" s="86"/>
      <x:c r="R82" s="86"/>
      <x:c r="S82" s="86"/>
      <x:c r="T82" s="86"/>
      <x:c r="U82" s="86"/>
      <x:c r="V82" s="86"/>
      <x:c r="W82" s="86"/>
      <x:c r="X82" s="86"/>
      <x:c r="Y82" s="86"/>
      <x:c r="Z82" s="86"/>
    </x:row>
    <x:row r="83">
      <x:c r="A83" s="86"/>
      <x:c r="B83" s="86"/>
      <x:c r="C83" s="92"/>
      <x:c r="D83" s="93"/>
      <x:c r="E83" s="106"/>
      <x:c r="F83" s="107"/>
      <x:c r="G83" s="107"/>
      <x:c r="H83" s="93"/>
      <x:c r="I83" s="107"/>
      <x:c r="J83" s="107"/>
      <x:c r="K83" s="92"/>
      <x:c r="L83" s="93"/>
      <x:c r="M83" s="86"/>
      <x:c r="N83" s="86"/>
      <x:c r="O83" s="86"/>
      <x:c r="P83" s="86"/>
      <x:c r="Q83" s="86"/>
      <x:c r="R83" s="86"/>
      <x:c r="S83" s="86"/>
      <x:c r="T83" s="86"/>
      <x:c r="U83" s="86"/>
      <x:c r="V83" s="86"/>
      <x:c r="W83" s="86"/>
      <x:c r="X83" s="86"/>
      <x:c r="Y83" s="86"/>
      <x:c r="Z83" s="86"/>
    </x:row>
    <x:row r="84">
      <x:c r="A84" s="86"/>
      <x:c r="B84" s="86"/>
      <x:c r="C84" s="92"/>
      <x:c r="D84" s="93"/>
      <x:c r="E84" s="106"/>
      <x:c r="F84" s="107"/>
      <x:c r="G84" s="107"/>
      <x:c r="H84" s="93"/>
      <x:c r="I84" s="107"/>
      <x:c r="J84" s="107"/>
      <x:c r="K84" s="92"/>
      <x:c r="L84" s="93"/>
      <x:c r="M84" s="86"/>
      <x:c r="N84" s="86"/>
      <x:c r="O84" s="86"/>
      <x:c r="P84" s="86"/>
      <x:c r="Q84" s="86"/>
      <x:c r="R84" s="86"/>
      <x:c r="S84" s="86"/>
      <x:c r="T84" s="86"/>
      <x:c r="U84" s="86"/>
      <x:c r="V84" s="86"/>
      <x:c r="W84" s="86"/>
      <x:c r="X84" s="86"/>
      <x:c r="Y84" s="86"/>
      <x:c r="Z84" s="86"/>
    </x:row>
    <x:row r="85">
      <x:c r="A85" s="86"/>
      <x:c r="B85" s="86"/>
      <x:c r="C85" s="92"/>
      <x:c r="D85" s="93"/>
      <x:c r="E85" s="106"/>
      <x:c r="F85" s="107"/>
      <x:c r="G85" s="107"/>
      <x:c r="H85" s="93"/>
      <x:c r="I85" s="107"/>
      <x:c r="J85" s="107"/>
      <x:c r="K85" s="92"/>
      <x:c r="L85" s="93"/>
      <x:c r="M85" s="86"/>
      <x:c r="N85" s="86"/>
      <x:c r="O85" s="86"/>
      <x:c r="P85" s="86"/>
      <x:c r="Q85" s="86"/>
      <x:c r="R85" s="86"/>
      <x:c r="S85" s="86"/>
      <x:c r="T85" s="86"/>
      <x:c r="U85" s="86"/>
      <x:c r="V85" s="86"/>
      <x:c r="W85" s="86"/>
      <x:c r="X85" s="86"/>
      <x:c r="Y85" s="86"/>
      <x:c r="Z85" s="86"/>
    </x:row>
    <x:row r="86">
      <x:c r="A86" s="86"/>
      <x:c r="B86" s="86"/>
      <x:c r="C86" s="92"/>
      <x:c r="D86" s="93"/>
      <x:c r="E86" s="106"/>
      <x:c r="F86" s="107"/>
      <x:c r="G86" s="107"/>
      <x:c r="H86" s="93"/>
      <x:c r="I86" s="107"/>
      <x:c r="J86" s="107"/>
      <x:c r="K86" s="92"/>
      <x:c r="L86" s="93"/>
      <x:c r="M86" s="86"/>
      <x:c r="N86" s="86"/>
      <x:c r="O86" s="86"/>
      <x:c r="P86" s="86"/>
      <x:c r="Q86" s="86"/>
      <x:c r="R86" s="86"/>
      <x:c r="S86" s="86"/>
      <x:c r="T86" s="86"/>
      <x:c r="U86" s="86"/>
      <x:c r="V86" s="86"/>
      <x:c r="W86" s="86"/>
      <x:c r="X86" s="86"/>
      <x:c r="Y86" s="86"/>
      <x:c r="Z86" s="86"/>
    </x:row>
    <x:row r="87">
      <x:c r="A87" s="86"/>
      <x:c r="B87" s="86"/>
      <x:c r="C87" s="92"/>
      <x:c r="D87" s="93"/>
      <x:c r="E87" s="106"/>
      <x:c r="F87" s="107"/>
      <x:c r="G87" s="107"/>
      <x:c r="H87" s="93"/>
      <x:c r="I87" s="107"/>
      <x:c r="J87" s="107"/>
      <x:c r="K87" s="92"/>
      <x:c r="L87" s="93"/>
      <x:c r="M87" s="86"/>
      <x:c r="N87" s="86"/>
      <x:c r="O87" s="86"/>
      <x:c r="P87" s="86"/>
      <x:c r="Q87" s="86"/>
      <x:c r="R87" s="86"/>
      <x:c r="S87" s="86"/>
      <x:c r="T87" s="86"/>
      <x:c r="U87" s="86"/>
      <x:c r="V87" s="86"/>
      <x:c r="W87" s="86"/>
      <x:c r="X87" s="86"/>
      <x:c r="Y87" s="86"/>
      <x:c r="Z87" s="86"/>
    </x:row>
    <x:row r="88">
      <x:c r="A88" s="86"/>
      <x:c r="B88" s="86"/>
      <x:c r="C88" s="92"/>
      <x:c r="D88" s="93"/>
      <x:c r="E88" s="106"/>
      <x:c r="F88" s="107"/>
      <x:c r="G88" s="107"/>
      <x:c r="H88" s="93"/>
      <x:c r="I88" s="107"/>
      <x:c r="J88" s="107"/>
      <x:c r="K88" s="92"/>
      <x:c r="L88" s="93"/>
      <x:c r="M88" s="86"/>
      <x:c r="N88" s="86"/>
      <x:c r="O88" s="86"/>
      <x:c r="P88" s="86"/>
      <x:c r="Q88" s="86"/>
      <x:c r="R88" s="86"/>
      <x:c r="S88" s="86"/>
      <x:c r="T88" s="86"/>
      <x:c r="U88" s="86"/>
      <x:c r="V88" s="86"/>
      <x:c r="W88" s="86"/>
      <x:c r="X88" s="86"/>
      <x:c r="Y88" s="86"/>
      <x:c r="Z88" s="86"/>
    </x:row>
    <x:row r="89">
      <x:c r="A89" s="86"/>
      <x:c r="B89" s="86"/>
      <x:c r="C89" s="92"/>
      <x:c r="D89" s="93"/>
      <x:c r="E89" s="106"/>
      <x:c r="F89" s="107"/>
      <x:c r="G89" s="107"/>
      <x:c r="H89" s="93"/>
      <x:c r="I89" s="107"/>
      <x:c r="J89" s="107"/>
      <x:c r="K89" s="92"/>
      <x:c r="L89" s="93"/>
      <x:c r="M89" s="86"/>
      <x:c r="N89" s="86"/>
      <x:c r="O89" s="86"/>
      <x:c r="P89" s="86"/>
      <x:c r="Q89" s="86"/>
      <x:c r="R89" s="86"/>
      <x:c r="S89" s="86"/>
      <x:c r="T89" s="86"/>
      <x:c r="U89" s="86"/>
      <x:c r="V89" s="86"/>
      <x:c r="W89" s="86"/>
      <x:c r="X89" s="86"/>
      <x:c r="Y89" s="86"/>
      <x:c r="Z89" s="86"/>
    </x:row>
    <x:row r="90">
      <x:c r="A90" s="86"/>
      <x:c r="B90" s="86"/>
      <x:c r="C90" s="92"/>
      <x:c r="D90" s="93"/>
      <x:c r="E90" s="106"/>
      <x:c r="F90" s="107"/>
      <x:c r="G90" s="107"/>
      <x:c r="H90" s="93"/>
      <x:c r="I90" s="107"/>
      <x:c r="J90" s="107"/>
      <x:c r="K90" s="92"/>
      <x:c r="L90" s="93"/>
      <x:c r="M90" s="86"/>
      <x:c r="N90" s="86"/>
      <x:c r="O90" s="86"/>
      <x:c r="P90" s="86"/>
      <x:c r="Q90" s="86"/>
      <x:c r="R90" s="86"/>
      <x:c r="S90" s="86"/>
      <x:c r="T90" s="86"/>
      <x:c r="U90" s="86"/>
      <x:c r="V90" s="86"/>
      <x:c r="W90" s="86"/>
      <x:c r="X90" s="86"/>
      <x:c r="Y90" s="86"/>
      <x:c r="Z90" s="86"/>
    </x:row>
    <x:row r="91">
      <x:c r="A91" s="86"/>
      <x:c r="B91" s="86"/>
      <x:c r="C91" s="92"/>
      <x:c r="D91" s="93"/>
      <x:c r="E91" s="106"/>
      <x:c r="F91" s="107"/>
      <x:c r="G91" s="107"/>
      <x:c r="H91" s="93"/>
      <x:c r="I91" s="107"/>
      <x:c r="J91" s="107"/>
      <x:c r="K91" s="92"/>
      <x:c r="L91" s="93"/>
      <x:c r="M91" s="86"/>
      <x:c r="N91" s="86"/>
      <x:c r="O91" s="86"/>
      <x:c r="P91" s="86"/>
      <x:c r="Q91" s="86"/>
      <x:c r="R91" s="86"/>
      <x:c r="S91" s="86"/>
      <x:c r="T91" s="86"/>
      <x:c r="U91" s="86"/>
      <x:c r="V91" s="86"/>
      <x:c r="W91" s="86"/>
      <x:c r="X91" s="86"/>
      <x:c r="Y91" s="86"/>
      <x:c r="Z91" s="86"/>
    </x:row>
    <x:row r="92">
      <x:c r="A92" s="86"/>
      <x:c r="B92" s="86"/>
      <x:c r="C92" s="92"/>
      <x:c r="D92" s="93"/>
      <x:c r="E92" s="106"/>
      <x:c r="F92" s="107"/>
      <x:c r="G92" s="107"/>
      <x:c r="H92" s="93"/>
      <x:c r="I92" s="107"/>
      <x:c r="J92" s="107"/>
      <x:c r="K92" s="92"/>
      <x:c r="L92" s="93"/>
      <x:c r="M92" s="86"/>
      <x:c r="N92" s="86"/>
      <x:c r="O92" s="86"/>
      <x:c r="P92" s="86"/>
      <x:c r="Q92" s="86"/>
      <x:c r="R92" s="86"/>
      <x:c r="S92" s="86"/>
      <x:c r="T92" s="86"/>
      <x:c r="U92" s="86"/>
      <x:c r="V92" s="86"/>
      <x:c r="W92" s="86"/>
      <x:c r="X92" s="86"/>
      <x:c r="Y92" s="86"/>
      <x:c r="Z92" s="86"/>
    </x:row>
    <x:row r="93">
      <x:c r="A93" s="86"/>
      <x:c r="B93" s="86"/>
      <x:c r="C93" s="92"/>
      <x:c r="D93" s="93"/>
      <x:c r="E93" s="106"/>
      <x:c r="F93" s="107"/>
      <x:c r="G93" s="107"/>
      <x:c r="H93" s="93"/>
      <x:c r="I93" s="107"/>
      <x:c r="J93" s="107"/>
      <x:c r="K93" s="92"/>
      <x:c r="L93" s="93"/>
      <x:c r="M93" s="86"/>
      <x:c r="N93" s="86"/>
      <x:c r="O93" s="86"/>
      <x:c r="P93" s="86"/>
      <x:c r="Q93" s="86"/>
      <x:c r="R93" s="86"/>
      <x:c r="S93" s="86"/>
      <x:c r="T93" s="86"/>
      <x:c r="U93" s="86"/>
      <x:c r="V93" s="86"/>
      <x:c r="W93" s="86"/>
      <x:c r="X93" s="86"/>
      <x:c r="Y93" s="86"/>
      <x:c r="Z93" s="86"/>
    </x:row>
    <x:row r="94">
      <x:c r="A94" s="86"/>
      <x:c r="B94" s="86"/>
      <x:c r="C94" s="92"/>
      <x:c r="D94" s="93"/>
      <x:c r="E94" s="106"/>
      <x:c r="F94" s="107"/>
      <x:c r="G94" s="107"/>
      <x:c r="H94" s="93"/>
      <x:c r="I94" s="107"/>
      <x:c r="J94" s="107"/>
      <x:c r="K94" s="92"/>
      <x:c r="L94" s="93"/>
      <x:c r="M94" s="86"/>
      <x:c r="N94" s="86"/>
      <x:c r="O94" s="86"/>
      <x:c r="P94" s="86"/>
      <x:c r="Q94" s="86"/>
      <x:c r="R94" s="86"/>
      <x:c r="S94" s="86"/>
      <x:c r="T94" s="86"/>
      <x:c r="U94" s="86"/>
      <x:c r="V94" s="86"/>
      <x:c r="W94" s="86"/>
      <x:c r="X94" s="86"/>
      <x:c r="Y94" s="86"/>
      <x:c r="Z94" s="86"/>
    </x:row>
    <x:row r="95">
      <x:c r="A95" s="86"/>
      <x:c r="B95" s="86"/>
      <x:c r="C95" s="92"/>
      <x:c r="D95" s="93"/>
      <x:c r="E95" s="106"/>
      <x:c r="F95" s="107"/>
      <x:c r="G95" s="107"/>
      <x:c r="H95" s="93"/>
      <x:c r="I95" s="107"/>
      <x:c r="J95" s="107"/>
      <x:c r="K95" s="92"/>
      <x:c r="L95" s="93"/>
      <x:c r="M95" s="86"/>
      <x:c r="N95" s="86"/>
      <x:c r="O95" s="86"/>
      <x:c r="P95" s="86"/>
      <x:c r="Q95" s="86"/>
      <x:c r="R95" s="86"/>
      <x:c r="S95" s="86"/>
      <x:c r="T95" s="86"/>
      <x:c r="U95" s="86"/>
      <x:c r="V95" s="86"/>
      <x:c r="W95" s="86"/>
      <x:c r="X95" s="86"/>
      <x:c r="Y95" s="86"/>
      <x:c r="Z95" s="86"/>
    </x:row>
    <x:row r="96">
      <x:c r="A96" s="86"/>
      <x:c r="B96" s="86"/>
      <x:c r="C96" s="92"/>
      <x:c r="D96" s="93"/>
      <x:c r="E96" s="106"/>
      <x:c r="F96" s="107"/>
      <x:c r="G96" s="107"/>
      <x:c r="H96" s="93"/>
      <x:c r="I96" s="107"/>
      <x:c r="J96" s="107"/>
      <x:c r="K96" s="92"/>
      <x:c r="L96" s="93"/>
      <x:c r="M96" s="86"/>
      <x:c r="N96" s="86"/>
      <x:c r="O96" s="86"/>
      <x:c r="P96" s="86"/>
      <x:c r="Q96" s="86"/>
      <x:c r="R96" s="86"/>
      <x:c r="S96" s="86"/>
      <x:c r="T96" s="86"/>
      <x:c r="U96" s="86"/>
      <x:c r="V96" s="86"/>
      <x:c r="W96" s="86"/>
      <x:c r="X96" s="86"/>
      <x:c r="Y96" s="86"/>
      <x:c r="Z96" s="86"/>
    </x:row>
    <x:row r="97">
      <x:c r="A97" s="86"/>
      <x:c r="B97" s="86"/>
      <x:c r="C97" s="92"/>
      <x:c r="D97" s="93"/>
      <x:c r="E97" s="106"/>
      <x:c r="F97" s="107"/>
      <x:c r="G97" s="107"/>
      <x:c r="H97" s="93"/>
      <x:c r="I97" s="107"/>
      <x:c r="J97" s="107"/>
      <x:c r="K97" s="92"/>
      <x:c r="L97" s="93"/>
      <x:c r="M97" s="86"/>
      <x:c r="N97" s="86"/>
      <x:c r="O97" s="86"/>
      <x:c r="P97" s="86"/>
      <x:c r="Q97" s="86"/>
      <x:c r="R97" s="86"/>
      <x:c r="S97" s="86"/>
      <x:c r="T97" s="86"/>
      <x:c r="U97" s="86"/>
      <x:c r="V97" s="86"/>
      <x:c r="W97" s="86"/>
      <x:c r="X97" s="86"/>
      <x:c r="Y97" s="86"/>
      <x:c r="Z97" s="86"/>
    </x:row>
    <x:row r="98">
      <x:c r="A98" s="86"/>
      <x:c r="B98" s="86"/>
      <x:c r="C98" s="92"/>
      <x:c r="D98" s="93"/>
      <x:c r="E98" s="106"/>
      <x:c r="F98" s="107"/>
      <x:c r="G98" s="107"/>
      <x:c r="H98" s="93"/>
      <x:c r="I98" s="107"/>
      <x:c r="J98" s="107"/>
      <x:c r="K98" s="92"/>
      <x:c r="L98" s="93"/>
      <x:c r="M98" s="86"/>
      <x:c r="N98" s="86"/>
      <x:c r="O98" s="86"/>
      <x:c r="P98" s="86"/>
      <x:c r="Q98" s="86"/>
      <x:c r="R98" s="86"/>
      <x:c r="S98" s="86"/>
      <x:c r="T98" s="86"/>
      <x:c r="U98" s="86"/>
      <x:c r="V98" s="86"/>
      <x:c r="W98" s="86"/>
      <x:c r="X98" s="86"/>
      <x:c r="Y98" s="86"/>
      <x:c r="Z98" s="86"/>
    </x:row>
    <x:row r="99">
      <x:c r="A99" s="86"/>
      <x:c r="B99" s="86"/>
      <x:c r="C99" s="92"/>
      <x:c r="D99" s="93"/>
      <x:c r="E99" s="106"/>
      <x:c r="F99" s="107"/>
      <x:c r="G99" s="107"/>
      <x:c r="H99" s="93"/>
      <x:c r="I99" s="107"/>
      <x:c r="J99" s="107"/>
      <x:c r="K99" s="92"/>
      <x:c r="L99" s="93"/>
      <x:c r="M99" s="86"/>
      <x:c r="N99" s="86"/>
      <x:c r="O99" s="86"/>
      <x:c r="P99" s="86"/>
      <x:c r="Q99" s="86"/>
      <x:c r="R99" s="86"/>
      <x:c r="S99" s="86"/>
      <x:c r="T99" s="86"/>
      <x:c r="U99" s="86"/>
      <x:c r="V99" s="86"/>
      <x:c r="W99" s="86"/>
      <x:c r="X99" s="86"/>
      <x:c r="Y99" s="86"/>
      <x:c r="Z99" s="86"/>
    </x:row>
    <x:row r="100">
      <x:c r="A100" s="86"/>
      <x:c r="B100" s="86"/>
      <x:c r="C100" s="92"/>
      <x:c r="D100" s="93"/>
      <x:c r="E100" s="106"/>
      <x:c r="F100" s="107"/>
      <x:c r="G100" s="107"/>
      <x:c r="H100" s="93"/>
      <x:c r="I100" s="107"/>
      <x:c r="J100" s="107"/>
      <x:c r="K100" s="92"/>
      <x:c r="L100" s="93"/>
      <x:c r="M100" s="86"/>
      <x:c r="N100" s="86"/>
      <x:c r="O100" s="86"/>
      <x:c r="P100" s="86"/>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N1"/>
  </x:mergeCells>
  <x:conditionalFormatting sqref="K10:K100">
    <x:cfRule type="expression" dxfId="6" priority="1">
      <x:formula>K10="可增加"</x:formula>
    </x:cfRule>
    <x:cfRule type="expression" dxfId="7" priority="2">
      <x:formula>K10="需降低"</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1" hidden="0" customWidth="1"/>
    <x:col min="3" max="3" width="14" hidden="0" customWidth="1"/>
    <x:col min="4" max="4" width="12" hidden="0" customWidth="1"/>
    <x:col min="5" max="5" width="10" hidden="0" customWidth="1"/>
    <x:col min="6" max="6" width="12" hidden="0" customWidth="1"/>
    <x:col min="7" max="7" width="12" hidden="0" customWidth="1"/>
    <x:col min="8" max="8" width="15" hidden="0" customWidth="1"/>
    <x:col min="9" max="9" width="12" hidden="0" customWidth="1"/>
    <x:col min="10" max="10" width="12" hidden="0" customWidth="1"/>
    <x:col min="11" max="11" width="12" hidden="0" customWidth="1"/>
    <x:col min="12" max="12" width="10" hidden="0" customWidth="1"/>
    <x:col min="13" max="13" width="10" hidden="0" customWidth="1"/>
    <x:col min="14" max="14" width="30" hidden="0" customWidth="1"/>
    <x:col min="15" max="15" width="14" hidden="0" customWidth="1"/>
    <x:col min="16" max="16" width="19" hidden="0" customWidth="1"/>
  </x:cols>
  <x:sheetData>
    <x:row r="1">
      <x:c r="A1" s="5" t="str">
        <x:v>月度跟踪快照（Agent每月写“值”，不要写会随行情变化的公式，以便保留历史）</x:v>
      </x:c>
      <x:c r="B1" s="5"/>
      <x:c r="C1" s="5"/>
      <x:c r="D1" s="5"/>
      <x:c r="E1" s="5"/>
      <x:c r="F1" s="5"/>
      <x:c r="G1" s="5"/>
      <x:c r="H1" s="5"/>
      <x:c r="I1" s="5"/>
      <x:c r="J1" s="5"/>
      <x:c r="K1" s="5"/>
      <x:c r="L1" s="5"/>
      <x:c r="M1" s="5"/>
      <x:c r="N1" s="5"/>
      <x:c r="O1" s="5"/>
      <x:c r="P1" s="5"/>
      <x:c r="Q1" s="86"/>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月份</x:v>
      </x:c>
      <x:c r="B3" s="13" t="str">
        <x:v>股票代码</x:v>
      </x:c>
      <x:c r="C3" s="13" t="str">
        <x:v>公司名称</x:v>
      </x:c>
      <x:c r="D3" s="13" t="str">
        <x:v>月末价(元)</x:v>
      </x:c>
      <x:c r="E3" s="13" t="str">
        <x:v>质量分</x:v>
      </x:c>
      <x:c r="F3" s="13" t="str">
        <x:v>安全边际</x:v>
      </x:c>
      <x:c r="G3" s="13" t="str">
        <x:v>估值状态</x:v>
      </x:c>
      <x:c r="H3" s="13" t="str">
        <x:v>建仓信号</x:v>
      </x:c>
      <x:c r="I3" s="13" t="str">
        <x:v>当前仓位</x:v>
      </x:c>
      <x:c r="J3" s="13" t="str">
        <x:v>营收TTM YoY</x:v>
      </x:c>
      <x:c r="K3" s="13" t="str">
        <x:v>净利TTM YoY</x:v>
      </x:c>
      <x:c r="L3" s="13" t="str">
        <x:v>ROE TTM</x:v>
      </x:c>
      <x:c r="M3" s="13" t="str">
        <x:v>股息率</x:v>
      </x:c>
      <x:c r="N3" s="13" t="str">
        <x:v>本月重大变化</x:v>
      </x:c>
      <x:c r="O3" s="13" t="str">
        <x:v>数据完整性</x:v>
      </x:c>
      <x:c r="P3" s="13" t="str">
        <x:v>快照时间</x:v>
      </x:c>
      <x:c r="Q3" s="86"/>
      <x:c r="R3" s="86"/>
      <x:c r="S3" s="86"/>
      <x:c r="T3" s="86"/>
      <x:c r="U3" s="86"/>
      <x:c r="V3" s="86"/>
      <x:c r="W3" s="86"/>
      <x:c r="X3" s="86"/>
      <x:c r="Y3" s="86"/>
      <x:c r="Z3" s="86"/>
    </x:row>
    <x:row r="4">
      <x:c r="A4" s="106" t="str">
        <x:v>2026-09</x:v>
      </x:c>
      <x:c r="B4" s="106" t="str">
        <x:v>600941</x:v>
      </x:c>
      <x:c r="C4" s="106" t="str">
        <x:v>中国移动</x:v>
      </x:c>
      <x:c r="D4" s="114"/>
      <x:c r="E4" s="106"/>
      <x:c r="F4" s="113"/>
      <x:c r="G4" s="106"/>
      <x:c r="H4" s="106"/>
      <x:c r="I4" s="113"/>
      <x:c r="J4" s="113"/>
      <x:c r="K4" s="113"/>
      <x:c r="L4" s="113"/>
      <x:c r="M4" s="113"/>
      <x:c r="N4" s="106"/>
      <x:c r="O4" s="106" t="str">
        <x:v>待Agent快照</x:v>
      </x:c>
      <x:c r="P4" s="121"/>
      <x:c r="Q4" s="86"/>
      <x:c r="R4" s="86"/>
      <x:c r="S4" s="86"/>
      <x:c r="T4" s="86"/>
      <x:c r="U4" s="86"/>
      <x:c r="V4" s="86"/>
      <x:c r="W4" s="86"/>
      <x:c r="X4" s="86"/>
      <x:c r="Y4" s="86"/>
      <x:c r="Z4" s="86"/>
    </x:row>
    <x:row r="5">
      <x:c r="A5" s="106" t="str">
        <x:v>2026-09</x:v>
      </x:c>
      <x:c r="B5" s="106" t="str">
        <x:v>600900</x:v>
      </x:c>
      <x:c r="C5" s="106" t="str">
        <x:v>长江电力</x:v>
      </x:c>
      <x:c r="D5" s="114"/>
      <x:c r="E5" s="106"/>
      <x:c r="F5" s="113"/>
      <x:c r="G5" s="106"/>
      <x:c r="H5" s="106"/>
      <x:c r="I5" s="113"/>
      <x:c r="J5" s="113"/>
      <x:c r="K5" s="113"/>
      <x:c r="L5" s="113"/>
      <x:c r="M5" s="113"/>
      <x:c r="N5" s="106"/>
      <x:c r="O5" s="106" t="str">
        <x:v>待Agent快照</x:v>
      </x:c>
      <x:c r="P5" s="121"/>
      <x:c r="Q5" s="86"/>
      <x:c r="R5" s="86"/>
      <x:c r="S5" s="86"/>
      <x:c r="T5" s="86"/>
      <x:c r="U5" s="86"/>
      <x:c r="V5" s="86"/>
      <x:c r="W5" s="86"/>
      <x:c r="X5" s="86"/>
      <x:c r="Y5" s="86"/>
      <x:c r="Z5" s="86"/>
    </x:row>
    <x:row r="6">
      <x:c r="A6" s="106" t="str">
        <x:v>2026-09</x:v>
      </x:c>
      <x:c r="B6" s="106" t="str">
        <x:v>600519</x:v>
      </x:c>
      <x:c r="C6" s="106" t="str">
        <x:v>贵州茅台</x:v>
      </x:c>
      <x:c r="D6" s="114"/>
      <x:c r="E6" s="106"/>
      <x:c r="F6" s="113"/>
      <x:c r="G6" s="106"/>
      <x:c r="H6" s="106"/>
      <x:c r="I6" s="113"/>
      <x:c r="J6" s="113"/>
      <x:c r="K6" s="113"/>
      <x:c r="L6" s="113"/>
      <x:c r="M6" s="113"/>
      <x:c r="N6" s="106"/>
      <x:c r="O6" s="106" t="str">
        <x:v>待Agent快照</x:v>
      </x:c>
      <x:c r="P6" s="121"/>
      <x:c r="Q6" s="86"/>
      <x:c r="R6" s="86"/>
      <x:c r="S6" s="86"/>
      <x:c r="T6" s="86"/>
      <x:c r="U6" s="86"/>
      <x:c r="V6" s="86"/>
      <x:c r="W6" s="86"/>
      <x:c r="X6" s="86"/>
      <x:c r="Y6" s="86"/>
      <x:c r="Z6" s="86"/>
    </x:row>
    <x:row r="7">
      <x:c r="A7" s="106" t="str">
        <x:v>2026-09</x:v>
      </x:c>
      <x:c r="B7" s="106" t="str">
        <x:v>000333</x:v>
      </x:c>
      <x:c r="C7" s="106" t="str">
        <x:v>美的集团</x:v>
      </x:c>
      <x:c r="D7" s="114"/>
      <x:c r="E7" s="106"/>
      <x:c r="F7" s="113"/>
      <x:c r="G7" s="106"/>
      <x:c r="H7" s="106"/>
      <x:c r="I7" s="113"/>
      <x:c r="J7" s="113"/>
      <x:c r="K7" s="113"/>
      <x:c r="L7" s="113"/>
      <x:c r="M7" s="113"/>
      <x:c r="N7" s="106"/>
      <x:c r="O7" s="106" t="str">
        <x:v>待Agent快照</x:v>
      </x:c>
      <x:c r="P7" s="121"/>
      <x:c r="Q7" s="86"/>
      <x:c r="R7" s="86"/>
      <x:c r="S7" s="86"/>
      <x:c r="T7" s="86"/>
      <x:c r="U7" s="86"/>
      <x:c r="V7" s="86"/>
      <x:c r="W7" s="86"/>
      <x:c r="X7" s="86"/>
      <x:c r="Y7" s="86"/>
      <x:c r="Z7" s="86"/>
    </x:row>
    <x:row r="8">
      <x:c r="A8" s="106" t="str">
        <x:v>2026-09</x:v>
      </x:c>
      <x:c r="B8" s="106" t="str">
        <x:v>600036</x:v>
      </x:c>
      <x:c r="C8" s="106" t="str">
        <x:v>招商银行</x:v>
      </x:c>
      <x:c r="D8" s="114"/>
      <x:c r="E8" s="106"/>
      <x:c r="F8" s="113"/>
      <x:c r="G8" s="106"/>
      <x:c r="H8" s="106"/>
      <x:c r="I8" s="113"/>
      <x:c r="J8" s="113"/>
      <x:c r="K8" s="113"/>
      <x:c r="L8" s="113"/>
      <x:c r="M8" s="113"/>
      <x:c r="N8" s="106"/>
      <x:c r="O8" s="106" t="str">
        <x:v>待Agent快照</x:v>
      </x:c>
      <x:c r="P8" s="121"/>
      <x:c r="Q8" s="86"/>
      <x:c r="R8" s="86"/>
      <x:c r="S8" s="86"/>
      <x:c r="T8" s="86"/>
      <x:c r="U8" s="86"/>
      <x:c r="V8" s="86"/>
      <x:c r="W8" s="86"/>
      <x:c r="X8" s="86"/>
      <x:c r="Y8" s="86"/>
      <x:c r="Z8" s="86"/>
    </x:row>
    <x:row r="9">
      <x:c r="A9" s="106" t="str">
        <x:v>2026-09</x:v>
      </x:c>
      <x:c r="B9" s="106" t="str">
        <x:v>601288</x:v>
      </x:c>
      <x:c r="C9" s="106" t="str">
        <x:v>农业银行</x:v>
      </x:c>
      <x:c r="D9" s="114"/>
      <x:c r="E9" s="106"/>
      <x:c r="F9" s="113"/>
      <x:c r="G9" s="106"/>
      <x:c r="H9" s="106"/>
      <x:c r="I9" s="113"/>
      <x:c r="J9" s="113"/>
      <x:c r="K9" s="113"/>
      <x:c r="L9" s="113"/>
      <x:c r="M9" s="113"/>
      <x:c r="N9" s="106"/>
      <x:c r="O9" s="106" t="str">
        <x:v>待Agent快照</x:v>
      </x:c>
      <x:c r="P9" s="121"/>
      <x:c r="Q9" s="86"/>
      <x:c r="R9" s="86"/>
      <x:c r="S9" s="86"/>
      <x:c r="T9" s="86"/>
      <x:c r="U9" s="86"/>
      <x:c r="V9" s="86"/>
      <x:c r="W9" s="86"/>
      <x:c r="X9" s="86"/>
      <x:c r="Y9" s="86"/>
      <x:c r="Z9" s="86"/>
    </x:row>
    <x:row r="10">
      <x:c r="A10" s="106" t="str">
        <x:v>2026-09</x:v>
      </x:c>
      <x:c r="B10" s="106" t="str">
        <x:v>601088</x:v>
      </x:c>
      <x:c r="C10" s="106" t="str">
        <x:v>中国神华</x:v>
      </x:c>
      <x:c r="D10" s="114"/>
      <x:c r="E10" s="106"/>
      <x:c r="F10" s="113"/>
      <x:c r="G10" s="106"/>
      <x:c r="H10" s="106"/>
      <x:c r="I10" s="113"/>
      <x:c r="J10" s="113"/>
      <x:c r="K10" s="113"/>
      <x:c r="L10" s="113"/>
      <x:c r="M10" s="113"/>
      <x:c r="N10" s="106"/>
      <x:c r="O10" s="106" t="str">
        <x:v>待Agent快照</x:v>
      </x:c>
      <x:c r="P10" s="121"/>
      <x:c r="Q10" s="86"/>
      <x:c r="R10" s="86"/>
      <x:c r="S10" s="86"/>
      <x:c r="T10" s="86"/>
      <x:c r="U10" s="86"/>
      <x:c r="V10" s="86"/>
      <x:c r="W10" s="86"/>
      <x:c r="X10" s="86"/>
      <x:c r="Y10" s="86"/>
      <x:c r="Z10" s="86"/>
    </x:row>
    <x:row r="11">
      <x:c r="A11" s="106" t="str">
        <x:v>2026-09</x:v>
      </x:c>
      <x:c r="B11" s="106" t="str">
        <x:v>600690</x:v>
      </x:c>
      <x:c r="C11" s="106" t="str">
        <x:v>海尔智家</x:v>
      </x:c>
      <x:c r="D11" s="114"/>
      <x:c r="E11" s="106"/>
      <x:c r="F11" s="113"/>
      <x:c r="G11" s="106"/>
      <x:c r="H11" s="106"/>
      <x:c r="I11" s="113"/>
      <x:c r="J11" s="113"/>
      <x:c r="K11" s="113"/>
      <x:c r="L11" s="113"/>
      <x:c r="M11" s="113"/>
      <x:c r="N11" s="106"/>
      <x:c r="O11" s="106" t="str">
        <x:v>待Agent快照</x:v>
      </x:c>
      <x:c r="P11" s="121"/>
      <x:c r="Q11" s="86"/>
      <x:c r="R11" s="86"/>
      <x:c r="S11" s="86"/>
      <x:c r="T11" s="86"/>
      <x:c r="U11" s="86"/>
      <x:c r="V11" s="86"/>
      <x:c r="W11" s="86"/>
      <x:c r="X11" s="86"/>
      <x:c r="Y11" s="86"/>
      <x:c r="Z11" s="86"/>
    </x:row>
    <x:row r="12">
      <x:c r="A12" s="106" t="str">
        <x:v>2026-09</x:v>
      </x:c>
      <x:c r="B12" s="106" t="str">
        <x:v>300750</x:v>
      </x:c>
      <x:c r="C12" s="106" t="str">
        <x:v>宁德时代</x:v>
      </x:c>
      <x:c r="D12" s="114"/>
      <x:c r="E12" s="106"/>
      <x:c r="F12" s="113"/>
      <x:c r="G12" s="106"/>
      <x:c r="H12" s="106"/>
      <x:c r="I12" s="113"/>
      <x:c r="J12" s="113"/>
      <x:c r="K12" s="113"/>
      <x:c r="L12" s="113"/>
      <x:c r="M12" s="113"/>
      <x:c r="N12" s="106"/>
      <x:c r="O12" s="106" t="str">
        <x:v>待Agent快照</x:v>
      </x:c>
      <x:c r="P12" s="121"/>
      <x:c r="Q12" s="86"/>
      <x:c r="R12" s="86"/>
      <x:c r="S12" s="86"/>
      <x:c r="T12" s="86"/>
      <x:c r="U12" s="86"/>
      <x:c r="V12" s="86"/>
      <x:c r="W12" s="86"/>
      <x:c r="X12" s="86"/>
      <x:c r="Y12" s="86"/>
      <x:c r="Z12" s="86"/>
    </x:row>
    <x:row r="13">
      <x:c r="A13" s="106" t="str">
        <x:v>2026-09</x:v>
      </x:c>
      <x:c r="B13" s="106" t="str">
        <x:v>600887</x:v>
      </x:c>
      <x:c r="C13" s="106" t="str">
        <x:v>伊利股份</x:v>
      </x:c>
      <x:c r="D13" s="114"/>
      <x:c r="E13" s="106"/>
      <x:c r="F13" s="113"/>
      <x:c r="G13" s="106"/>
      <x:c r="H13" s="106"/>
      <x:c r="I13" s="113"/>
      <x:c r="J13" s="113"/>
      <x:c r="K13" s="113"/>
      <x:c r="L13" s="113"/>
      <x:c r="M13" s="113"/>
      <x:c r="N13" s="106"/>
      <x:c r="O13" s="106" t="str">
        <x:v>待Agent快照</x:v>
      </x:c>
      <x:c r="P13" s="121"/>
      <x:c r="Q13" s="86"/>
      <x:c r="R13" s="86"/>
      <x:c r="S13" s="86"/>
      <x:c r="T13" s="86"/>
      <x:c r="U13" s="86"/>
      <x:c r="V13" s="86"/>
      <x:c r="W13" s="86"/>
      <x:c r="X13" s="86"/>
      <x:c r="Y13" s="86"/>
      <x:c r="Z13" s="86"/>
    </x:row>
    <x:row r="14">
      <x:c r="A14" s="106"/>
      <x:c r="B14" s="106"/>
      <x:c r="C14" s="106"/>
      <x:c r="D14" s="114"/>
      <x:c r="E14" s="106"/>
      <x:c r="F14" s="113"/>
      <x:c r="G14" s="106"/>
      <x:c r="H14" s="106"/>
      <x:c r="I14" s="113"/>
      <x:c r="J14" s="113"/>
      <x:c r="K14" s="113"/>
      <x:c r="L14" s="113"/>
      <x:c r="M14" s="113"/>
      <x:c r="N14" s="106"/>
      <x:c r="O14" s="106"/>
      <x:c r="P14" s="121"/>
      <x:c r="Q14" s="86"/>
      <x:c r="R14" s="86"/>
      <x:c r="S14" s="86"/>
      <x:c r="T14" s="86"/>
      <x:c r="U14" s="86"/>
      <x:c r="V14" s="86"/>
      <x:c r="W14" s="86"/>
      <x:c r="X14" s="86"/>
      <x:c r="Y14" s="86"/>
      <x:c r="Z14" s="86"/>
    </x:row>
    <x:row r="15">
      <x:c r="A15" s="106"/>
      <x:c r="B15" s="106"/>
      <x:c r="C15" s="106"/>
      <x:c r="D15" s="114"/>
      <x:c r="E15" s="106"/>
      <x:c r="F15" s="113"/>
      <x:c r="G15" s="106"/>
      <x:c r="H15" s="106"/>
      <x:c r="I15" s="113"/>
      <x:c r="J15" s="113"/>
      <x:c r="K15" s="113"/>
      <x:c r="L15" s="113"/>
      <x:c r="M15" s="113"/>
      <x:c r="N15" s="106"/>
      <x:c r="O15" s="106"/>
      <x:c r="P15" s="121"/>
      <x:c r="Q15" s="86"/>
      <x:c r="R15" s="86"/>
      <x:c r="S15" s="86"/>
      <x:c r="T15" s="86"/>
      <x:c r="U15" s="86"/>
      <x:c r="V15" s="86"/>
      <x:c r="W15" s="86"/>
      <x:c r="X15" s="86"/>
      <x:c r="Y15" s="86"/>
      <x:c r="Z15" s="86"/>
    </x:row>
    <x:row r="16">
      <x:c r="A16" s="106"/>
      <x:c r="B16" s="106"/>
      <x:c r="C16" s="106"/>
      <x:c r="D16" s="114"/>
      <x:c r="E16" s="106"/>
      <x:c r="F16" s="113"/>
      <x:c r="G16" s="106"/>
      <x:c r="H16" s="106"/>
      <x:c r="I16" s="113"/>
      <x:c r="J16" s="113"/>
      <x:c r="K16" s="113"/>
      <x:c r="L16" s="113"/>
      <x:c r="M16" s="113"/>
      <x:c r="N16" s="106"/>
      <x:c r="O16" s="106"/>
      <x:c r="P16" s="121"/>
      <x:c r="Q16" s="86"/>
      <x:c r="R16" s="86"/>
      <x:c r="S16" s="86"/>
      <x:c r="T16" s="86"/>
      <x:c r="U16" s="86"/>
      <x:c r="V16" s="86"/>
      <x:c r="W16" s="86"/>
      <x:c r="X16" s="86"/>
      <x:c r="Y16" s="86"/>
      <x:c r="Z16" s="86"/>
    </x:row>
    <x:row r="17">
      <x:c r="A17" s="106"/>
      <x:c r="B17" s="106"/>
      <x:c r="C17" s="106"/>
      <x:c r="D17" s="114"/>
      <x:c r="E17" s="106"/>
      <x:c r="F17" s="113"/>
      <x:c r="G17" s="106"/>
      <x:c r="H17" s="106"/>
      <x:c r="I17" s="113"/>
      <x:c r="J17" s="113"/>
      <x:c r="K17" s="113"/>
      <x:c r="L17" s="113"/>
      <x:c r="M17" s="113"/>
      <x:c r="N17" s="106"/>
      <x:c r="O17" s="106"/>
      <x:c r="P17" s="121"/>
      <x:c r="Q17" s="86"/>
      <x:c r="R17" s="86"/>
      <x:c r="S17" s="86"/>
      <x:c r="T17" s="86"/>
      <x:c r="U17" s="86"/>
      <x:c r="V17" s="86"/>
      <x:c r="W17" s="86"/>
      <x:c r="X17" s="86"/>
      <x:c r="Y17" s="86"/>
      <x:c r="Z17" s="86"/>
    </x:row>
    <x:row r="18">
      <x:c r="A18" s="106"/>
      <x:c r="B18" s="106"/>
      <x:c r="C18" s="106"/>
      <x:c r="D18" s="114"/>
      <x:c r="E18" s="106"/>
      <x:c r="F18" s="113"/>
      <x:c r="G18" s="106"/>
      <x:c r="H18" s="106"/>
      <x:c r="I18" s="113"/>
      <x:c r="J18" s="113"/>
      <x:c r="K18" s="113"/>
      <x:c r="L18" s="113"/>
      <x:c r="M18" s="113"/>
      <x:c r="N18" s="106"/>
      <x:c r="O18" s="106"/>
      <x:c r="P18" s="121"/>
      <x:c r="Q18" s="86"/>
      <x:c r="R18" s="86"/>
      <x:c r="S18" s="86"/>
      <x:c r="T18" s="86"/>
      <x:c r="U18" s="86"/>
      <x:c r="V18" s="86"/>
      <x:c r="W18" s="86"/>
      <x:c r="X18" s="86"/>
      <x:c r="Y18" s="86"/>
      <x:c r="Z18" s="86"/>
    </x:row>
    <x:row r="19">
      <x:c r="A19" s="106"/>
      <x:c r="B19" s="106"/>
      <x:c r="C19" s="106"/>
      <x:c r="D19" s="114"/>
      <x:c r="E19" s="106"/>
      <x:c r="F19" s="113"/>
      <x:c r="G19" s="106"/>
      <x:c r="H19" s="106"/>
      <x:c r="I19" s="113"/>
      <x:c r="J19" s="113"/>
      <x:c r="K19" s="113"/>
      <x:c r="L19" s="113"/>
      <x:c r="M19" s="113"/>
      <x:c r="N19" s="106"/>
      <x:c r="O19" s="106"/>
      <x:c r="P19" s="121"/>
      <x:c r="Q19" s="86"/>
      <x:c r="R19" s="86"/>
      <x:c r="S19" s="86"/>
      <x:c r="T19" s="86"/>
      <x:c r="U19" s="86"/>
      <x:c r="V19" s="86"/>
      <x:c r="W19" s="86"/>
      <x:c r="X19" s="86"/>
      <x:c r="Y19" s="86"/>
      <x:c r="Z19" s="86"/>
    </x:row>
    <x:row r="20">
      <x:c r="A20" s="106"/>
      <x:c r="B20" s="106"/>
      <x:c r="C20" s="106"/>
      <x:c r="D20" s="114"/>
      <x:c r="E20" s="106"/>
      <x:c r="F20" s="113"/>
      <x:c r="G20" s="106"/>
      <x:c r="H20" s="106"/>
      <x:c r="I20" s="113"/>
      <x:c r="J20" s="113"/>
      <x:c r="K20" s="113"/>
      <x:c r="L20" s="113"/>
      <x:c r="M20" s="113"/>
      <x:c r="N20" s="106"/>
      <x:c r="O20" s="106"/>
      <x:c r="P20" s="121"/>
      <x:c r="Q20" s="86"/>
      <x:c r="R20" s="86"/>
      <x:c r="S20" s="86"/>
      <x:c r="T20" s="86"/>
      <x:c r="U20" s="86"/>
      <x:c r="V20" s="86"/>
      <x:c r="W20" s="86"/>
      <x:c r="X20" s="86"/>
      <x:c r="Y20" s="86"/>
      <x:c r="Z20" s="86"/>
    </x:row>
    <x:row r="21">
      <x:c r="A21" s="106"/>
      <x:c r="B21" s="106"/>
      <x:c r="C21" s="106"/>
      <x:c r="D21" s="114"/>
      <x:c r="E21" s="106"/>
      <x:c r="F21" s="113"/>
      <x:c r="G21" s="106"/>
      <x:c r="H21" s="106"/>
      <x:c r="I21" s="113"/>
      <x:c r="J21" s="113"/>
      <x:c r="K21" s="113"/>
      <x:c r="L21" s="113"/>
      <x:c r="M21" s="113"/>
      <x:c r="N21" s="106"/>
      <x:c r="O21" s="106"/>
      <x:c r="P21" s="121"/>
      <x:c r="Q21" s="86"/>
      <x:c r="R21" s="86"/>
      <x:c r="S21" s="86"/>
      <x:c r="T21" s="86"/>
      <x:c r="U21" s="86"/>
      <x:c r="V21" s="86"/>
      <x:c r="W21" s="86"/>
      <x:c r="X21" s="86"/>
      <x:c r="Y21" s="86"/>
      <x:c r="Z21" s="86"/>
    </x:row>
    <x:row r="22">
      <x:c r="A22" s="106"/>
      <x:c r="B22" s="106"/>
      <x:c r="C22" s="106"/>
      <x:c r="D22" s="114"/>
      <x:c r="E22" s="106"/>
      <x:c r="F22" s="113"/>
      <x:c r="G22" s="106"/>
      <x:c r="H22" s="106"/>
      <x:c r="I22" s="113"/>
      <x:c r="J22" s="113"/>
      <x:c r="K22" s="113"/>
      <x:c r="L22" s="113"/>
      <x:c r="M22" s="113"/>
      <x:c r="N22" s="106"/>
      <x:c r="O22" s="106"/>
      <x:c r="P22" s="121"/>
      <x:c r="Q22" s="86"/>
      <x:c r="R22" s="86"/>
      <x:c r="S22" s="86"/>
      <x:c r="T22" s="86"/>
      <x:c r="U22" s="86"/>
      <x:c r="V22" s="86"/>
      <x:c r="W22" s="86"/>
      <x:c r="X22" s="86"/>
      <x:c r="Y22" s="86"/>
      <x:c r="Z22" s="86"/>
    </x:row>
    <x:row r="23">
      <x:c r="A23" s="106"/>
      <x:c r="B23" s="106"/>
      <x:c r="C23" s="106"/>
      <x:c r="D23" s="114"/>
      <x:c r="E23" s="106"/>
      <x:c r="F23" s="113"/>
      <x:c r="G23" s="106"/>
      <x:c r="H23" s="106"/>
      <x:c r="I23" s="113"/>
      <x:c r="J23" s="113"/>
      <x:c r="K23" s="113"/>
      <x:c r="L23" s="113"/>
      <x:c r="M23" s="113"/>
      <x:c r="N23" s="106"/>
      <x:c r="O23" s="106"/>
      <x:c r="P23" s="121"/>
      <x:c r="Q23" s="86"/>
      <x:c r="R23" s="86"/>
      <x:c r="S23" s="86"/>
      <x:c r="T23" s="86"/>
      <x:c r="U23" s="86"/>
      <x:c r="V23" s="86"/>
      <x:c r="W23" s="86"/>
      <x:c r="X23" s="86"/>
      <x:c r="Y23" s="86"/>
      <x:c r="Z23" s="86"/>
    </x:row>
    <x:row r="24">
      <x:c r="A24" s="106"/>
      <x:c r="B24" s="106"/>
      <x:c r="C24" s="106"/>
      <x:c r="D24" s="114"/>
      <x:c r="E24" s="106"/>
      <x:c r="F24" s="113"/>
      <x:c r="G24" s="106"/>
      <x:c r="H24" s="106"/>
      <x:c r="I24" s="113"/>
      <x:c r="J24" s="113"/>
      <x:c r="K24" s="113"/>
      <x:c r="L24" s="113"/>
      <x:c r="M24" s="113"/>
      <x:c r="N24" s="106"/>
      <x:c r="O24" s="106"/>
      <x:c r="P24" s="121"/>
      <x:c r="Q24" s="86"/>
      <x:c r="R24" s="86"/>
      <x:c r="S24" s="86"/>
      <x:c r="T24" s="86"/>
      <x:c r="U24" s="86"/>
      <x:c r="V24" s="86"/>
      <x:c r="W24" s="86"/>
      <x:c r="X24" s="86"/>
      <x:c r="Y24" s="86"/>
      <x:c r="Z24" s="86"/>
    </x:row>
    <x:row r="25">
      <x:c r="A25" s="106"/>
      <x:c r="B25" s="106"/>
      <x:c r="C25" s="106"/>
      <x:c r="D25" s="114"/>
      <x:c r="E25" s="106"/>
      <x:c r="F25" s="113"/>
      <x:c r="G25" s="106"/>
      <x:c r="H25" s="106"/>
      <x:c r="I25" s="113"/>
      <x:c r="J25" s="113"/>
      <x:c r="K25" s="113"/>
      <x:c r="L25" s="113"/>
      <x:c r="M25" s="113"/>
      <x:c r="N25" s="106"/>
      <x:c r="O25" s="106"/>
      <x:c r="P25" s="121"/>
      <x:c r="Q25" s="86"/>
      <x:c r="R25" s="86"/>
      <x:c r="S25" s="86"/>
      <x:c r="T25" s="86"/>
      <x:c r="U25" s="86"/>
      <x:c r="V25" s="86"/>
      <x:c r="W25" s="86"/>
      <x:c r="X25" s="86"/>
      <x:c r="Y25" s="86"/>
      <x:c r="Z25" s="86"/>
    </x:row>
    <x:row r="26">
      <x:c r="A26" s="106"/>
      <x:c r="B26" s="106"/>
      <x:c r="C26" s="106"/>
      <x:c r="D26" s="114"/>
      <x:c r="E26" s="106"/>
      <x:c r="F26" s="113"/>
      <x:c r="G26" s="106"/>
      <x:c r="H26" s="106"/>
      <x:c r="I26" s="113"/>
      <x:c r="J26" s="113"/>
      <x:c r="K26" s="113"/>
      <x:c r="L26" s="113"/>
      <x:c r="M26" s="113"/>
      <x:c r="N26" s="106"/>
      <x:c r="O26" s="106"/>
      <x:c r="P26" s="121"/>
      <x:c r="Q26" s="86"/>
      <x:c r="R26" s="86"/>
      <x:c r="S26" s="86"/>
      <x:c r="T26" s="86"/>
      <x:c r="U26" s="86"/>
      <x:c r="V26" s="86"/>
      <x:c r="W26" s="86"/>
      <x:c r="X26" s="86"/>
      <x:c r="Y26" s="86"/>
      <x:c r="Z26" s="86"/>
    </x:row>
    <x:row r="27">
      <x:c r="A27" s="106"/>
      <x:c r="B27" s="106"/>
      <x:c r="C27" s="106"/>
      <x:c r="D27" s="114"/>
      <x:c r="E27" s="106"/>
      <x:c r="F27" s="113"/>
      <x:c r="G27" s="106"/>
      <x:c r="H27" s="106"/>
      <x:c r="I27" s="113"/>
      <x:c r="J27" s="113"/>
      <x:c r="K27" s="113"/>
      <x:c r="L27" s="113"/>
      <x:c r="M27" s="113"/>
      <x:c r="N27" s="106"/>
      <x:c r="O27" s="106"/>
      <x:c r="P27" s="121"/>
      <x:c r="Q27" s="86"/>
      <x:c r="R27" s="86"/>
      <x:c r="S27" s="86"/>
      <x:c r="T27" s="86"/>
      <x:c r="U27" s="86"/>
      <x:c r="V27" s="86"/>
      <x:c r="W27" s="86"/>
      <x:c r="X27" s="86"/>
      <x:c r="Y27" s="86"/>
      <x:c r="Z27" s="86"/>
    </x:row>
    <x:row r="28">
      <x:c r="A28" s="106"/>
      <x:c r="B28" s="106"/>
      <x:c r="C28" s="106"/>
      <x:c r="D28" s="114"/>
      <x:c r="E28" s="106"/>
      <x:c r="F28" s="113"/>
      <x:c r="G28" s="106"/>
      <x:c r="H28" s="106"/>
      <x:c r="I28" s="113"/>
      <x:c r="J28" s="113"/>
      <x:c r="K28" s="113"/>
      <x:c r="L28" s="113"/>
      <x:c r="M28" s="113"/>
      <x:c r="N28" s="106"/>
      <x:c r="O28" s="106"/>
      <x:c r="P28" s="121"/>
      <x:c r="Q28" s="86"/>
      <x:c r="R28" s="86"/>
      <x:c r="S28" s="86"/>
      <x:c r="T28" s="86"/>
      <x:c r="U28" s="86"/>
      <x:c r="V28" s="86"/>
      <x:c r="W28" s="86"/>
      <x:c r="X28" s="86"/>
      <x:c r="Y28" s="86"/>
      <x:c r="Z28" s="86"/>
    </x:row>
    <x:row r="29">
      <x:c r="A29" s="106"/>
      <x:c r="B29" s="106"/>
      <x:c r="C29" s="106"/>
      <x:c r="D29" s="114"/>
      <x:c r="E29" s="106"/>
      <x:c r="F29" s="113"/>
      <x:c r="G29" s="106"/>
      <x:c r="H29" s="106"/>
      <x:c r="I29" s="113"/>
      <x:c r="J29" s="113"/>
      <x:c r="K29" s="113"/>
      <x:c r="L29" s="113"/>
      <x:c r="M29" s="113"/>
      <x:c r="N29" s="106"/>
      <x:c r="O29" s="106"/>
      <x:c r="P29" s="121"/>
      <x:c r="Q29" s="86"/>
      <x:c r="R29" s="86"/>
      <x:c r="S29" s="86"/>
      <x:c r="T29" s="86"/>
      <x:c r="U29" s="86"/>
      <x:c r="V29" s="86"/>
      <x:c r="W29" s="86"/>
      <x:c r="X29" s="86"/>
      <x:c r="Y29" s="86"/>
      <x:c r="Z29" s="86"/>
    </x:row>
    <x:row r="30">
      <x:c r="A30" s="106"/>
      <x:c r="B30" s="106"/>
      <x:c r="C30" s="106"/>
      <x:c r="D30" s="114"/>
      <x:c r="E30" s="106"/>
      <x:c r="F30" s="113"/>
      <x:c r="G30" s="106"/>
      <x:c r="H30" s="106"/>
      <x:c r="I30" s="113"/>
      <x:c r="J30" s="113"/>
      <x:c r="K30" s="113"/>
      <x:c r="L30" s="113"/>
      <x:c r="M30" s="113"/>
      <x:c r="N30" s="106"/>
      <x:c r="O30" s="106"/>
      <x:c r="P30" s="121"/>
      <x:c r="Q30" s="86"/>
      <x:c r="R30" s="86"/>
      <x:c r="S30" s="86"/>
      <x:c r="T30" s="86"/>
      <x:c r="U30" s="86"/>
      <x:c r="V30" s="86"/>
      <x:c r="W30" s="86"/>
      <x:c r="X30" s="86"/>
      <x:c r="Y30" s="86"/>
      <x:c r="Z30" s="86"/>
    </x:row>
    <x:row r="31">
      <x:c r="A31" s="106"/>
      <x:c r="B31" s="106"/>
      <x:c r="C31" s="106"/>
      <x:c r="D31" s="114"/>
      <x:c r="E31" s="106"/>
      <x:c r="F31" s="113"/>
      <x:c r="G31" s="106"/>
      <x:c r="H31" s="106"/>
      <x:c r="I31" s="113"/>
      <x:c r="J31" s="113"/>
      <x:c r="K31" s="113"/>
      <x:c r="L31" s="113"/>
      <x:c r="M31" s="113"/>
      <x:c r="N31" s="106"/>
      <x:c r="O31" s="106"/>
      <x:c r="P31" s="121"/>
      <x:c r="Q31" s="86"/>
      <x:c r="R31" s="86"/>
      <x:c r="S31" s="86"/>
      <x:c r="T31" s="86"/>
      <x:c r="U31" s="86"/>
      <x:c r="V31" s="86"/>
      <x:c r="W31" s="86"/>
      <x:c r="X31" s="86"/>
      <x:c r="Y31" s="86"/>
      <x:c r="Z31" s="86"/>
    </x:row>
    <x:row r="32">
      <x:c r="A32" s="106"/>
      <x:c r="B32" s="106"/>
      <x:c r="C32" s="106"/>
      <x:c r="D32" s="114"/>
      <x:c r="E32" s="106"/>
      <x:c r="F32" s="113"/>
      <x:c r="G32" s="106"/>
      <x:c r="H32" s="106"/>
      <x:c r="I32" s="113"/>
      <x:c r="J32" s="113"/>
      <x:c r="K32" s="113"/>
      <x:c r="L32" s="113"/>
      <x:c r="M32" s="113"/>
      <x:c r="N32" s="106"/>
      <x:c r="O32" s="106"/>
      <x:c r="P32" s="121"/>
      <x:c r="Q32" s="86"/>
      <x:c r="R32" s="86"/>
      <x:c r="S32" s="86"/>
      <x:c r="T32" s="86"/>
      <x:c r="U32" s="86"/>
      <x:c r="V32" s="86"/>
      <x:c r="W32" s="86"/>
      <x:c r="X32" s="86"/>
      <x:c r="Y32" s="86"/>
      <x:c r="Z32" s="86"/>
    </x:row>
    <x:row r="33">
      <x:c r="A33" s="106"/>
      <x:c r="B33" s="106"/>
      <x:c r="C33" s="106"/>
      <x:c r="D33" s="114"/>
      <x:c r="E33" s="106"/>
      <x:c r="F33" s="113"/>
      <x:c r="G33" s="106"/>
      <x:c r="H33" s="106"/>
      <x:c r="I33" s="113"/>
      <x:c r="J33" s="113"/>
      <x:c r="K33" s="113"/>
      <x:c r="L33" s="113"/>
      <x:c r="M33" s="113"/>
      <x:c r="N33" s="106"/>
      <x:c r="O33" s="106"/>
      <x:c r="P33" s="121"/>
      <x:c r="Q33" s="86"/>
      <x:c r="R33" s="86"/>
      <x:c r="S33" s="86"/>
      <x:c r="T33" s="86"/>
      <x:c r="U33" s="86"/>
      <x:c r="V33" s="86"/>
      <x:c r="W33" s="86"/>
      <x:c r="X33" s="86"/>
      <x:c r="Y33" s="86"/>
      <x:c r="Z33" s="86"/>
    </x:row>
    <x:row r="34">
      <x:c r="A34" s="106"/>
      <x:c r="B34" s="106"/>
      <x:c r="C34" s="106"/>
      <x:c r="D34" s="114"/>
      <x:c r="E34" s="106"/>
      <x:c r="F34" s="113"/>
      <x:c r="G34" s="106"/>
      <x:c r="H34" s="106"/>
      <x:c r="I34" s="113"/>
      <x:c r="J34" s="113"/>
      <x:c r="K34" s="113"/>
      <x:c r="L34" s="113"/>
      <x:c r="M34" s="113"/>
      <x:c r="N34" s="106"/>
      <x:c r="O34" s="106"/>
      <x:c r="P34" s="121"/>
      <x:c r="Q34" s="86"/>
      <x:c r="R34" s="86"/>
      <x:c r="S34" s="86"/>
      <x:c r="T34" s="86"/>
      <x:c r="U34" s="86"/>
      <x:c r="V34" s="86"/>
      <x:c r="W34" s="86"/>
      <x:c r="X34" s="86"/>
      <x:c r="Y34" s="86"/>
      <x:c r="Z34" s="86"/>
    </x:row>
    <x:row r="35">
      <x:c r="A35" s="106"/>
      <x:c r="B35" s="106"/>
      <x:c r="C35" s="106"/>
      <x:c r="D35" s="114"/>
      <x:c r="E35" s="106"/>
      <x:c r="F35" s="113"/>
      <x:c r="G35" s="106"/>
      <x:c r="H35" s="106"/>
      <x:c r="I35" s="113"/>
      <x:c r="J35" s="113"/>
      <x:c r="K35" s="113"/>
      <x:c r="L35" s="113"/>
      <x:c r="M35" s="113"/>
      <x:c r="N35" s="106"/>
      <x:c r="O35" s="106"/>
      <x:c r="P35" s="121"/>
      <x:c r="Q35" s="86"/>
      <x:c r="R35" s="86"/>
      <x:c r="S35" s="86"/>
      <x:c r="T35" s="86"/>
      <x:c r="U35" s="86"/>
      <x:c r="V35" s="86"/>
      <x:c r="W35" s="86"/>
      <x:c r="X35" s="86"/>
      <x:c r="Y35" s="86"/>
      <x:c r="Z35" s="86"/>
    </x:row>
    <x:row r="36">
      <x:c r="A36" s="106"/>
      <x:c r="B36" s="106"/>
      <x:c r="C36" s="106"/>
      <x:c r="D36" s="114"/>
      <x:c r="E36" s="106"/>
      <x:c r="F36" s="113"/>
      <x:c r="G36" s="106"/>
      <x:c r="H36" s="106"/>
      <x:c r="I36" s="113"/>
      <x:c r="J36" s="113"/>
      <x:c r="K36" s="113"/>
      <x:c r="L36" s="113"/>
      <x:c r="M36" s="113"/>
      <x:c r="N36" s="106"/>
      <x:c r="O36" s="106"/>
      <x:c r="P36" s="121"/>
      <x:c r="Q36" s="86"/>
      <x:c r="R36" s="86"/>
      <x:c r="S36" s="86"/>
      <x:c r="T36" s="86"/>
      <x:c r="U36" s="86"/>
      <x:c r="V36" s="86"/>
      <x:c r="W36" s="86"/>
      <x:c r="X36" s="86"/>
      <x:c r="Y36" s="86"/>
      <x:c r="Z36" s="86"/>
    </x:row>
    <x:row r="37">
      <x:c r="A37" s="106"/>
      <x:c r="B37" s="106"/>
      <x:c r="C37" s="106"/>
      <x:c r="D37" s="114"/>
      <x:c r="E37" s="106"/>
      <x:c r="F37" s="113"/>
      <x:c r="G37" s="106"/>
      <x:c r="H37" s="106"/>
      <x:c r="I37" s="113"/>
      <x:c r="J37" s="113"/>
      <x:c r="K37" s="113"/>
      <x:c r="L37" s="113"/>
      <x:c r="M37" s="113"/>
      <x:c r="N37" s="106"/>
      <x:c r="O37" s="106"/>
      <x:c r="P37" s="121"/>
      <x:c r="Q37" s="86"/>
      <x:c r="R37" s="86"/>
      <x:c r="S37" s="86"/>
      <x:c r="T37" s="86"/>
      <x:c r="U37" s="86"/>
      <x:c r="V37" s="86"/>
      <x:c r="W37" s="86"/>
      <x:c r="X37" s="86"/>
      <x:c r="Y37" s="86"/>
      <x:c r="Z37" s="86"/>
    </x:row>
    <x:row r="38">
      <x:c r="A38" s="106"/>
      <x:c r="B38" s="106"/>
      <x:c r="C38" s="106"/>
      <x:c r="D38" s="114"/>
      <x:c r="E38" s="106"/>
      <x:c r="F38" s="113"/>
      <x:c r="G38" s="106"/>
      <x:c r="H38" s="106"/>
      <x:c r="I38" s="113"/>
      <x:c r="J38" s="113"/>
      <x:c r="K38" s="113"/>
      <x:c r="L38" s="113"/>
      <x:c r="M38" s="113"/>
      <x:c r="N38" s="106"/>
      <x:c r="O38" s="106"/>
      <x:c r="P38" s="121"/>
      <x:c r="Q38" s="86"/>
      <x:c r="R38" s="86"/>
      <x:c r="S38" s="86"/>
      <x:c r="T38" s="86"/>
      <x:c r="U38" s="86"/>
      <x:c r="V38" s="86"/>
      <x:c r="W38" s="86"/>
      <x:c r="X38" s="86"/>
      <x:c r="Y38" s="86"/>
      <x:c r="Z38" s="86"/>
    </x:row>
    <x:row r="39">
      <x:c r="A39" s="106"/>
      <x:c r="B39" s="106"/>
      <x:c r="C39" s="106"/>
      <x:c r="D39" s="114"/>
      <x:c r="E39" s="106"/>
      <x:c r="F39" s="113"/>
      <x:c r="G39" s="106"/>
      <x:c r="H39" s="106"/>
      <x:c r="I39" s="113"/>
      <x:c r="J39" s="113"/>
      <x:c r="K39" s="113"/>
      <x:c r="L39" s="113"/>
      <x:c r="M39" s="113"/>
      <x:c r="N39" s="106"/>
      <x:c r="O39" s="106"/>
      <x:c r="P39" s="121"/>
      <x:c r="Q39" s="86"/>
      <x:c r="R39" s="86"/>
      <x:c r="S39" s="86"/>
      <x:c r="T39" s="86"/>
      <x:c r="U39" s="86"/>
      <x:c r="V39" s="86"/>
      <x:c r="W39" s="86"/>
      <x:c r="X39" s="86"/>
      <x:c r="Y39" s="86"/>
      <x:c r="Z39" s="86"/>
    </x:row>
    <x:row r="40">
      <x:c r="A40" s="106"/>
      <x:c r="B40" s="106"/>
      <x:c r="C40" s="106"/>
      <x:c r="D40" s="114"/>
      <x:c r="E40" s="106"/>
      <x:c r="F40" s="113"/>
      <x:c r="G40" s="106"/>
      <x:c r="H40" s="106"/>
      <x:c r="I40" s="113"/>
      <x:c r="J40" s="113"/>
      <x:c r="K40" s="113"/>
      <x:c r="L40" s="113"/>
      <x:c r="M40" s="113"/>
      <x:c r="N40" s="106"/>
      <x:c r="O40" s="106"/>
      <x:c r="P40" s="121"/>
      <x:c r="Q40" s="86"/>
      <x:c r="R40" s="86"/>
      <x:c r="S40" s="86"/>
      <x:c r="T40" s="86"/>
      <x:c r="U40" s="86"/>
      <x:c r="V40" s="86"/>
      <x:c r="W40" s="86"/>
      <x:c r="X40" s="86"/>
      <x:c r="Y40" s="86"/>
      <x:c r="Z40" s="86"/>
    </x:row>
    <x:row r="41">
      <x:c r="A41" s="106"/>
      <x:c r="B41" s="106"/>
      <x:c r="C41" s="106"/>
      <x:c r="D41" s="114"/>
      <x:c r="E41" s="106"/>
      <x:c r="F41" s="113"/>
      <x:c r="G41" s="106"/>
      <x:c r="H41" s="106"/>
      <x:c r="I41" s="113"/>
      <x:c r="J41" s="113"/>
      <x:c r="K41" s="113"/>
      <x:c r="L41" s="113"/>
      <x:c r="M41" s="113"/>
      <x:c r="N41" s="106"/>
      <x:c r="O41" s="106"/>
      <x:c r="P41" s="121"/>
      <x:c r="Q41" s="86"/>
      <x:c r="R41" s="86"/>
      <x:c r="S41" s="86"/>
      <x:c r="T41" s="86"/>
      <x:c r="U41" s="86"/>
      <x:c r="V41" s="86"/>
      <x:c r="W41" s="86"/>
      <x:c r="X41" s="86"/>
      <x:c r="Y41" s="86"/>
      <x:c r="Z41" s="86"/>
    </x:row>
    <x:row r="42">
      <x:c r="A42" s="106"/>
      <x:c r="B42" s="106"/>
      <x:c r="C42" s="106"/>
      <x:c r="D42" s="114"/>
      <x:c r="E42" s="106"/>
      <x:c r="F42" s="113"/>
      <x:c r="G42" s="106"/>
      <x:c r="H42" s="106"/>
      <x:c r="I42" s="113"/>
      <x:c r="J42" s="113"/>
      <x:c r="K42" s="113"/>
      <x:c r="L42" s="113"/>
      <x:c r="M42" s="113"/>
      <x:c r="N42" s="106"/>
      <x:c r="O42" s="106"/>
      <x:c r="P42" s="121"/>
      <x:c r="Q42" s="86"/>
      <x:c r="R42" s="86"/>
      <x:c r="S42" s="86"/>
      <x:c r="T42" s="86"/>
      <x:c r="U42" s="86"/>
      <x:c r="V42" s="86"/>
      <x:c r="W42" s="86"/>
      <x:c r="X42" s="86"/>
      <x:c r="Y42" s="86"/>
      <x:c r="Z42" s="86"/>
    </x:row>
    <x:row r="43">
      <x:c r="A43" s="106"/>
      <x:c r="B43" s="106"/>
      <x:c r="C43" s="106"/>
      <x:c r="D43" s="114"/>
      <x:c r="E43" s="106"/>
      <x:c r="F43" s="113"/>
      <x:c r="G43" s="106"/>
      <x:c r="H43" s="106"/>
      <x:c r="I43" s="113"/>
      <x:c r="J43" s="113"/>
      <x:c r="K43" s="113"/>
      <x:c r="L43" s="113"/>
      <x:c r="M43" s="113"/>
      <x:c r="N43" s="106"/>
      <x:c r="O43" s="106"/>
      <x:c r="P43" s="121"/>
      <x:c r="Q43" s="86"/>
      <x:c r="R43" s="86"/>
      <x:c r="S43" s="86"/>
      <x:c r="T43" s="86"/>
      <x:c r="U43" s="86"/>
      <x:c r="V43" s="86"/>
      <x:c r="W43" s="86"/>
      <x:c r="X43" s="86"/>
      <x:c r="Y43" s="86"/>
      <x:c r="Z43" s="86"/>
    </x:row>
    <x:row r="44">
      <x:c r="A44" s="106"/>
      <x:c r="B44" s="106"/>
      <x:c r="C44" s="106"/>
      <x:c r="D44" s="114"/>
      <x:c r="E44" s="106"/>
      <x:c r="F44" s="113"/>
      <x:c r="G44" s="106"/>
      <x:c r="H44" s="106"/>
      <x:c r="I44" s="113"/>
      <x:c r="J44" s="113"/>
      <x:c r="K44" s="113"/>
      <x:c r="L44" s="113"/>
      <x:c r="M44" s="113"/>
      <x:c r="N44" s="106"/>
      <x:c r="O44" s="106"/>
      <x:c r="P44" s="121"/>
      <x:c r="Q44" s="86"/>
      <x:c r="R44" s="86"/>
      <x:c r="S44" s="86"/>
      <x:c r="T44" s="86"/>
      <x:c r="U44" s="86"/>
      <x:c r="V44" s="86"/>
      <x:c r="W44" s="86"/>
      <x:c r="X44" s="86"/>
      <x:c r="Y44" s="86"/>
      <x:c r="Z44" s="86"/>
    </x:row>
    <x:row r="45">
      <x:c r="A45" s="106"/>
      <x:c r="B45" s="106"/>
      <x:c r="C45" s="106"/>
      <x:c r="D45" s="114"/>
      <x:c r="E45" s="106"/>
      <x:c r="F45" s="113"/>
      <x:c r="G45" s="106"/>
      <x:c r="H45" s="106"/>
      <x:c r="I45" s="113"/>
      <x:c r="J45" s="113"/>
      <x:c r="K45" s="113"/>
      <x:c r="L45" s="113"/>
      <x:c r="M45" s="113"/>
      <x:c r="N45" s="106"/>
      <x:c r="O45" s="106"/>
      <x:c r="P45" s="121"/>
      <x:c r="Q45" s="86"/>
      <x:c r="R45" s="86"/>
      <x:c r="S45" s="86"/>
      <x:c r="T45" s="86"/>
      <x:c r="U45" s="86"/>
      <x:c r="V45" s="86"/>
      <x:c r="W45" s="86"/>
      <x:c r="X45" s="86"/>
      <x:c r="Y45" s="86"/>
      <x:c r="Z45" s="86"/>
    </x:row>
    <x:row r="46">
      <x:c r="A46" s="106"/>
      <x:c r="B46" s="106"/>
      <x:c r="C46" s="106"/>
      <x:c r="D46" s="114"/>
      <x:c r="E46" s="106"/>
      <x:c r="F46" s="113"/>
      <x:c r="G46" s="106"/>
      <x:c r="H46" s="106"/>
      <x:c r="I46" s="113"/>
      <x:c r="J46" s="113"/>
      <x:c r="K46" s="113"/>
      <x:c r="L46" s="113"/>
      <x:c r="M46" s="113"/>
      <x:c r="N46" s="106"/>
      <x:c r="O46" s="106"/>
      <x:c r="P46" s="121"/>
      <x:c r="Q46" s="86"/>
      <x:c r="R46" s="86"/>
      <x:c r="S46" s="86"/>
      <x:c r="T46" s="86"/>
      <x:c r="U46" s="86"/>
      <x:c r="V46" s="86"/>
      <x:c r="W46" s="86"/>
      <x:c r="X46" s="86"/>
      <x:c r="Y46" s="86"/>
      <x:c r="Z46" s="86"/>
    </x:row>
    <x:row r="47">
      <x:c r="A47" s="106"/>
      <x:c r="B47" s="106"/>
      <x:c r="C47" s="106"/>
      <x:c r="D47" s="114"/>
      <x:c r="E47" s="106"/>
      <x:c r="F47" s="113"/>
      <x:c r="G47" s="106"/>
      <x:c r="H47" s="106"/>
      <x:c r="I47" s="113"/>
      <x:c r="J47" s="113"/>
      <x:c r="K47" s="113"/>
      <x:c r="L47" s="113"/>
      <x:c r="M47" s="113"/>
      <x:c r="N47" s="106"/>
      <x:c r="O47" s="106"/>
      <x:c r="P47" s="121"/>
      <x:c r="Q47" s="86"/>
      <x:c r="R47" s="86"/>
      <x:c r="S47" s="86"/>
      <x:c r="T47" s="86"/>
      <x:c r="U47" s="86"/>
      <x:c r="V47" s="86"/>
      <x:c r="W47" s="86"/>
      <x:c r="X47" s="86"/>
      <x:c r="Y47" s="86"/>
      <x:c r="Z47" s="86"/>
    </x:row>
    <x:row r="48">
      <x:c r="A48" s="106"/>
      <x:c r="B48" s="106"/>
      <x:c r="C48" s="106"/>
      <x:c r="D48" s="114"/>
      <x:c r="E48" s="106"/>
      <x:c r="F48" s="113"/>
      <x:c r="G48" s="106"/>
      <x:c r="H48" s="106"/>
      <x:c r="I48" s="113"/>
      <x:c r="J48" s="113"/>
      <x:c r="K48" s="113"/>
      <x:c r="L48" s="113"/>
      <x:c r="M48" s="113"/>
      <x:c r="N48" s="106"/>
      <x:c r="O48" s="106"/>
      <x:c r="P48" s="121"/>
      <x:c r="Q48" s="86"/>
      <x:c r="R48" s="86"/>
      <x:c r="S48" s="86"/>
      <x:c r="T48" s="86"/>
      <x:c r="U48" s="86"/>
      <x:c r="V48" s="86"/>
      <x:c r="W48" s="86"/>
      <x:c r="X48" s="86"/>
      <x:c r="Y48" s="86"/>
      <x:c r="Z48" s="86"/>
    </x:row>
    <x:row r="49">
      <x:c r="A49" s="106"/>
      <x:c r="B49" s="106"/>
      <x:c r="C49" s="106"/>
      <x:c r="D49" s="114"/>
      <x:c r="E49" s="106"/>
      <x:c r="F49" s="113"/>
      <x:c r="G49" s="106"/>
      <x:c r="H49" s="106"/>
      <x:c r="I49" s="113"/>
      <x:c r="J49" s="113"/>
      <x:c r="K49" s="113"/>
      <x:c r="L49" s="113"/>
      <x:c r="M49" s="113"/>
      <x:c r="N49" s="106"/>
      <x:c r="O49" s="106"/>
      <x:c r="P49" s="121"/>
      <x:c r="Q49" s="86"/>
      <x:c r="R49" s="86"/>
      <x:c r="S49" s="86"/>
      <x:c r="T49" s="86"/>
      <x:c r="U49" s="86"/>
      <x:c r="V49" s="86"/>
      <x:c r="W49" s="86"/>
      <x:c r="X49" s="86"/>
      <x:c r="Y49" s="86"/>
      <x:c r="Z49" s="86"/>
    </x:row>
    <x:row r="50">
      <x:c r="A50" s="106"/>
      <x:c r="B50" s="106"/>
      <x:c r="C50" s="106"/>
      <x:c r="D50" s="114"/>
      <x:c r="E50" s="106"/>
      <x:c r="F50" s="113"/>
      <x:c r="G50" s="106"/>
      <x:c r="H50" s="106"/>
      <x:c r="I50" s="113"/>
      <x:c r="J50" s="113"/>
      <x:c r="K50" s="113"/>
      <x:c r="L50" s="113"/>
      <x:c r="M50" s="113"/>
      <x:c r="N50" s="106"/>
      <x:c r="O50" s="106"/>
      <x:c r="P50" s="121"/>
      <x:c r="Q50" s="86"/>
      <x:c r="R50" s="86"/>
      <x:c r="S50" s="86"/>
      <x:c r="T50" s="86"/>
      <x:c r="U50" s="86"/>
      <x:c r="V50" s="86"/>
      <x:c r="W50" s="86"/>
      <x:c r="X50" s="86"/>
      <x:c r="Y50" s="86"/>
      <x:c r="Z50" s="86"/>
    </x:row>
    <x:row r="51">
      <x:c r="A51" s="106"/>
      <x:c r="B51" s="106"/>
      <x:c r="C51" s="106"/>
      <x:c r="D51" s="114"/>
      <x:c r="E51" s="106"/>
      <x:c r="F51" s="113"/>
      <x:c r="G51" s="106"/>
      <x:c r="H51" s="106"/>
      <x:c r="I51" s="113"/>
      <x:c r="J51" s="113"/>
      <x:c r="K51" s="113"/>
      <x:c r="L51" s="113"/>
      <x:c r="M51" s="113"/>
      <x:c r="N51" s="106"/>
      <x:c r="O51" s="106"/>
      <x:c r="P51" s="121"/>
      <x:c r="Q51" s="86"/>
      <x:c r="R51" s="86"/>
      <x:c r="S51" s="86"/>
      <x:c r="T51" s="86"/>
      <x:c r="U51" s="86"/>
      <x:c r="V51" s="86"/>
      <x:c r="W51" s="86"/>
      <x:c r="X51" s="86"/>
      <x:c r="Y51" s="86"/>
      <x:c r="Z51" s="86"/>
    </x:row>
    <x:row r="52">
      <x:c r="A52" s="106"/>
      <x:c r="B52" s="106"/>
      <x:c r="C52" s="106"/>
      <x:c r="D52" s="114"/>
      <x:c r="E52" s="106"/>
      <x:c r="F52" s="113"/>
      <x:c r="G52" s="106"/>
      <x:c r="H52" s="106"/>
      <x:c r="I52" s="113"/>
      <x:c r="J52" s="113"/>
      <x:c r="K52" s="113"/>
      <x:c r="L52" s="113"/>
      <x:c r="M52" s="113"/>
      <x:c r="N52" s="106"/>
      <x:c r="O52" s="106"/>
      <x:c r="P52" s="121"/>
      <x:c r="Q52" s="86"/>
      <x:c r="R52" s="86"/>
      <x:c r="S52" s="86"/>
      <x:c r="T52" s="86"/>
      <x:c r="U52" s="86"/>
      <x:c r="V52" s="86"/>
      <x:c r="W52" s="86"/>
      <x:c r="X52" s="86"/>
      <x:c r="Y52" s="86"/>
      <x:c r="Z52" s="86"/>
    </x:row>
    <x:row r="53">
      <x:c r="A53" s="106"/>
      <x:c r="B53" s="106"/>
      <x:c r="C53" s="106"/>
      <x:c r="D53" s="114"/>
      <x:c r="E53" s="106"/>
      <x:c r="F53" s="113"/>
      <x:c r="G53" s="106"/>
      <x:c r="H53" s="106"/>
      <x:c r="I53" s="113"/>
      <x:c r="J53" s="113"/>
      <x:c r="K53" s="113"/>
      <x:c r="L53" s="113"/>
      <x:c r="M53" s="113"/>
      <x:c r="N53" s="106"/>
      <x:c r="O53" s="106"/>
      <x:c r="P53" s="121"/>
      <x:c r="Q53" s="86"/>
      <x:c r="R53" s="86"/>
      <x:c r="S53" s="86"/>
      <x:c r="T53" s="86"/>
      <x:c r="U53" s="86"/>
      <x:c r="V53" s="86"/>
      <x:c r="W53" s="86"/>
      <x:c r="X53" s="86"/>
      <x:c r="Y53" s="86"/>
      <x:c r="Z53" s="86"/>
    </x:row>
    <x:row r="54">
      <x:c r="A54" s="106"/>
      <x:c r="B54" s="106"/>
      <x:c r="C54" s="106"/>
      <x:c r="D54" s="114"/>
      <x:c r="E54" s="106"/>
      <x:c r="F54" s="113"/>
      <x:c r="G54" s="106"/>
      <x:c r="H54" s="106"/>
      <x:c r="I54" s="113"/>
      <x:c r="J54" s="113"/>
      <x:c r="K54" s="113"/>
      <x:c r="L54" s="113"/>
      <x:c r="M54" s="113"/>
      <x:c r="N54" s="106"/>
      <x:c r="O54" s="106"/>
      <x:c r="P54" s="121"/>
      <x:c r="Q54" s="86"/>
      <x:c r="R54" s="86"/>
      <x:c r="S54" s="86"/>
      <x:c r="T54" s="86"/>
      <x:c r="U54" s="86"/>
      <x:c r="V54" s="86"/>
      <x:c r="W54" s="86"/>
      <x:c r="X54" s="86"/>
      <x:c r="Y54" s="86"/>
      <x:c r="Z54" s="86"/>
    </x:row>
    <x:row r="55">
      <x:c r="A55" s="106"/>
      <x:c r="B55" s="106"/>
      <x:c r="C55" s="106"/>
      <x:c r="D55" s="114"/>
      <x:c r="E55" s="106"/>
      <x:c r="F55" s="113"/>
      <x:c r="G55" s="106"/>
      <x:c r="H55" s="106"/>
      <x:c r="I55" s="113"/>
      <x:c r="J55" s="113"/>
      <x:c r="K55" s="113"/>
      <x:c r="L55" s="113"/>
      <x:c r="M55" s="113"/>
      <x:c r="N55" s="106"/>
      <x:c r="O55" s="106"/>
      <x:c r="P55" s="121"/>
      <x:c r="Q55" s="86"/>
      <x:c r="R55" s="86"/>
      <x:c r="S55" s="86"/>
      <x:c r="T55" s="86"/>
      <x:c r="U55" s="86"/>
      <x:c r="V55" s="86"/>
      <x:c r="W55" s="86"/>
      <x:c r="X55" s="86"/>
      <x:c r="Y55" s="86"/>
      <x:c r="Z55" s="86"/>
    </x:row>
    <x:row r="56">
      <x:c r="A56" s="106"/>
      <x:c r="B56" s="106"/>
      <x:c r="C56" s="106"/>
      <x:c r="D56" s="114"/>
      <x:c r="E56" s="106"/>
      <x:c r="F56" s="113"/>
      <x:c r="G56" s="106"/>
      <x:c r="H56" s="106"/>
      <x:c r="I56" s="113"/>
      <x:c r="J56" s="113"/>
      <x:c r="K56" s="113"/>
      <x:c r="L56" s="113"/>
      <x:c r="M56" s="113"/>
      <x:c r="N56" s="106"/>
      <x:c r="O56" s="106"/>
      <x:c r="P56" s="121"/>
      <x:c r="Q56" s="86"/>
      <x:c r="R56" s="86"/>
      <x:c r="S56" s="86"/>
      <x:c r="T56" s="86"/>
      <x:c r="U56" s="86"/>
      <x:c r="V56" s="86"/>
      <x:c r="W56" s="86"/>
      <x:c r="X56" s="86"/>
      <x:c r="Y56" s="86"/>
      <x:c r="Z56" s="86"/>
    </x:row>
    <x:row r="57">
      <x:c r="A57" s="106"/>
      <x:c r="B57" s="106"/>
      <x:c r="C57" s="106"/>
      <x:c r="D57" s="114"/>
      <x:c r="E57" s="106"/>
      <x:c r="F57" s="113"/>
      <x:c r="G57" s="106"/>
      <x:c r="H57" s="106"/>
      <x:c r="I57" s="113"/>
      <x:c r="J57" s="113"/>
      <x:c r="K57" s="113"/>
      <x:c r="L57" s="113"/>
      <x:c r="M57" s="113"/>
      <x:c r="N57" s="106"/>
      <x:c r="O57" s="106"/>
      <x:c r="P57" s="121"/>
      <x:c r="Q57" s="86"/>
      <x:c r="R57" s="86"/>
      <x:c r="S57" s="86"/>
      <x:c r="T57" s="86"/>
      <x:c r="U57" s="86"/>
      <x:c r="V57" s="86"/>
      <x:c r="W57" s="86"/>
      <x:c r="X57" s="86"/>
      <x:c r="Y57" s="86"/>
      <x:c r="Z57" s="86"/>
    </x:row>
    <x:row r="58">
      <x:c r="A58" s="106"/>
      <x:c r="B58" s="106"/>
      <x:c r="C58" s="106"/>
      <x:c r="D58" s="114"/>
      <x:c r="E58" s="106"/>
      <x:c r="F58" s="113"/>
      <x:c r="G58" s="106"/>
      <x:c r="H58" s="106"/>
      <x:c r="I58" s="113"/>
      <x:c r="J58" s="113"/>
      <x:c r="K58" s="113"/>
      <x:c r="L58" s="113"/>
      <x:c r="M58" s="113"/>
      <x:c r="N58" s="106"/>
      <x:c r="O58" s="106"/>
      <x:c r="P58" s="121"/>
      <x:c r="Q58" s="86"/>
      <x:c r="R58" s="86"/>
      <x:c r="S58" s="86"/>
      <x:c r="T58" s="86"/>
      <x:c r="U58" s="86"/>
      <x:c r="V58" s="86"/>
      <x:c r="W58" s="86"/>
      <x:c r="X58" s="86"/>
      <x:c r="Y58" s="86"/>
      <x:c r="Z58" s="86"/>
    </x:row>
    <x:row r="59">
      <x:c r="A59" s="106"/>
      <x:c r="B59" s="106"/>
      <x:c r="C59" s="106"/>
      <x:c r="D59" s="114"/>
      <x:c r="E59" s="106"/>
      <x:c r="F59" s="113"/>
      <x:c r="G59" s="106"/>
      <x:c r="H59" s="106"/>
      <x:c r="I59" s="113"/>
      <x:c r="J59" s="113"/>
      <x:c r="K59" s="113"/>
      <x:c r="L59" s="113"/>
      <x:c r="M59" s="113"/>
      <x:c r="N59" s="106"/>
      <x:c r="O59" s="106"/>
      <x:c r="P59" s="121"/>
      <x:c r="Q59" s="86"/>
      <x:c r="R59" s="86"/>
      <x:c r="S59" s="86"/>
      <x:c r="T59" s="86"/>
      <x:c r="U59" s="86"/>
      <x:c r="V59" s="86"/>
      <x:c r="W59" s="86"/>
      <x:c r="X59" s="86"/>
      <x:c r="Y59" s="86"/>
      <x:c r="Z59" s="86"/>
    </x:row>
    <x:row r="60">
      <x:c r="A60" s="106"/>
      <x:c r="B60" s="106"/>
      <x:c r="C60" s="106"/>
      <x:c r="D60" s="114"/>
      <x:c r="E60" s="106"/>
      <x:c r="F60" s="113"/>
      <x:c r="G60" s="106"/>
      <x:c r="H60" s="106"/>
      <x:c r="I60" s="113"/>
      <x:c r="J60" s="113"/>
      <x:c r="K60" s="113"/>
      <x:c r="L60" s="113"/>
      <x:c r="M60" s="113"/>
      <x:c r="N60" s="106"/>
      <x:c r="O60" s="106"/>
      <x:c r="P60" s="121"/>
      <x:c r="Q60" s="86"/>
      <x:c r="R60" s="86"/>
      <x:c r="S60" s="86"/>
      <x:c r="T60" s="86"/>
      <x:c r="U60" s="86"/>
      <x:c r="V60" s="86"/>
      <x:c r="W60" s="86"/>
      <x:c r="X60" s="86"/>
      <x:c r="Y60" s="86"/>
      <x:c r="Z60" s="86"/>
    </x:row>
    <x:row r="61">
      <x:c r="A61" s="106"/>
      <x:c r="B61" s="106"/>
      <x:c r="C61" s="106"/>
      <x:c r="D61" s="114"/>
      <x:c r="E61" s="106"/>
      <x:c r="F61" s="113"/>
      <x:c r="G61" s="106"/>
      <x:c r="H61" s="106"/>
      <x:c r="I61" s="113"/>
      <x:c r="J61" s="113"/>
      <x:c r="K61" s="113"/>
      <x:c r="L61" s="113"/>
      <x:c r="M61" s="113"/>
      <x:c r="N61" s="106"/>
      <x:c r="O61" s="106"/>
      <x:c r="P61" s="121"/>
      <x:c r="Q61" s="86"/>
      <x:c r="R61" s="86"/>
      <x:c r="S61" s="86"/>
      <x:c r="T61" s="86"/>
      <x:c r="U61" s="86"/>
      <x:c r="V61" s="86"/>
      <x:c r="W61" s="86"/>
      <x:c r="X61" s="86"/>
      <x:c r="Y61" s="86"/>
      <x:c r="Z61" s="86"/>
    </x:row>
    <x:row r="62">
      <x:c r="A62" s="106"/>
      <x:c r="B62" s="106"/>
      <x:c r="C62" s="106"/>
      <x:c r="D62" s="114"/>
      <x:c r="E62" s="106"/>
      <x:c r="F62" s="113"/>
      <x:c r="G62" s="106"/>
      <x:c r="H62" s="106"/>
      <x:c r="I62" s="113"/>
      <x:c r="J62" s="113"/>
      <x:c r="K62" s="113"/>
      <x:c r="L62" s="113"/>
      <x:c r="M62" s="113"/>
      <x:c r="N62" s="106"/>
      <x:c r="O62" s="106"/>
      <x:c r="P62" s="121"/>
      <x:c r="Q62" s="86"/>
      <x:c r="R62" s="86"/>
      <x:c r="S62" s="86"/>
      <x:c r="T62" s="86"/>
      <x:c r="U62" s="86"/>
      <x:c r="V62" s="86"/>
      <x:c r="W62" s="86"/>
      <x:c r="X62" s="86"/>
      <x:c r="Y62" s="86"/>
      <x:c r="Z62" s="86"/>
    </x:row>
    <x:row r="63">
      <x:c r="A63" s="106"/>
      <x:c r="B63" s="106"/>
      <x:c r="C63" s="106"/>
      <x:c r="D63" s="114"/>
      <x:c r="E63" s="106"/>
      <x:c r="F63" s="113"/>
      <x:c r="G63" s="106"/>
      <x:c r="H63" s="106"/>
      <x:c r="I63" s="113"/>
      <x:c r="J63" s="113"/>
      <x:c r="K63" s="113"/>
      <x:c r="L63" s="113"/>
      <x:c r="M63" s="113"/>
      <x:c r="N63" s="106"/>
      <x:c r="O63" s="106"/>
      <x:c r="P63" s="121"/>
      <x:c r="Q63" s="86"/>
      <x:c r="R63" s="86"/>
      <x:c r="S63" s="86"/>
      <x:c r="T63" s="86"/>
      <x:c r="U63" s="86"/>
      <x:c r="V63" s="86"/>
      <x:c r="W63" s="86"/>
      <x:c r="X63" s="86"/>
      <x:c r="Y63" s="86"/>
      <x:c r="Z63" s="86"/>
    </x:row>
    <x:row r="64">
      <x:c r="A64" s="106"/>
      <x:c r="B64" s="106"/>
      <x:c r="C64" s="106"/>
      <x:c r="D64" s="114"/>
      <x:c r="E64" s="106"/>
      <x:c r="F64" s="113"/>
      <x:c r="G64" s="106"/>
      <x:c r="H64" s="106"/>
      <x:c r="I64" s="113"/>
      <x:c r="J64" s="113"/>
      <x:c r="K64" s="113"/>
      <x:c r="L64" s="113"/>
      <x:c r="M64" s="113"/>
      <x:c r="N64" s="106"/>
      <x:c r="O64" s="106"/>
      <x:c r="P64" s="121"/>
      <x:c r="Q64" s="86"/>
      <x:c r="R64" s="86"/>
      <x:c r="S64" s="86"/>
      <x:c r="T64" s="86"/>
      <x:c r="U64" s="86"/>
      <x:c r="V64" s="86"/>
      <x:c r="W64" s="86"/>
      <x:c r="X64" s="86"/>
      <x:c r="Y64" s="86"/>
      <x:c r="Z64" s="86"/>
    </x:row>
    <x:row r="65">
      <x:c r="A65" s="106"/>
      <x:c r="B65" s="106"/>
      <x:c r="C65" s="106"/>
      <x:c r="D65" s="114"/>
      <x:c r="E65" s="106"/>
      <x:c r="F65" s="113"/>
      <x:c r="G65" s="106"/>
      <x:c r="H65" s="106"/>
      <x:c r="I65" s="113"/>
      <x:c r="J65" s="113"/>
      <x:c r="K65" s="113"/>
      <x:c r="L65" s="113"/>
      <x:c r="M65" s="113"/>
      <x:c r="N65" s="106"/>
      <x:c r="O65" s="106"/>
      <x:c r="P65" s="121"/>
      <x:c r="Q65" s="86"/>
      <x:c r="R65" s="86"/>
      <x:c r="S65" s="86"/>
      <x:c r="T65" s="86"/>
      <x:c r="U65" s="86"/>
      <x:c r="V65" s="86"/>
      <x:c r="W65" s="86"/>
      <x:c r="X65" s="86"/>
      <x:c r="Y65" s="86"/>
      <x:c r="Z65" s="86"/>
    </x:row>
    <x:row r="66">
      <x:c r="A66" s="106"/>
      <x:c r="B66" s="106"/>
      <x:c r="C66" s="106"/>
      <x:c r="D66" s="114"/>
      <x:c r="E66" s="106"/>
      <x:c r="F66" s="113"/>
      <x:c r="G66" s="106"/>
      <x:c r="H66" s="106"/>
      <x:c r="I66" s="113"/>
      <x:c r="J66" s="113"/>
      <x:c r="K66" s="113"/>
      <x:c r="L66" s="113"/>
      <x:c r="M66" s="113"/>
      <x:c r="N66" s="106"/>
      <x:c r="O66" s="106"/>
      <x:c r="P66" s="121"/>
      <x:c r="Q66" s="86"/>
      <x:c r="R66" s="86"/>
      <x:c r="S66" s="86"/>
      <x:c r="T66" s="86"/>
      <x:c r="U66" s="86"/>
      <x:c r="V66" s="86"/>
      <x:c r="W66" s="86"/>
      <x:c r="X66" s="86"/>
      <x:c r="Y66" s="86"/>
      <x:c r="Z66" s="86"/>
    </x:row>
    <x:row r="67">
      <x:c r="A67" s="106"/>
      <x:c r="B67" s="106"/>
      <x:c r="C67" s="106"/>
      <x:c r="D67" s="114"/>
      <x:c r="E67" s="106"/>
      <x:c r="F67" s="113"/>
      <x:c r="G67" s="106"/>
      <x:c r="H67" s="106"/>
      <x:c r="I67" s="113"/>
      <x:c r="J67" s="113"/>
      <x:c r="K67" s="113"/>
      <x:c r="L67" s="113"/>
      <x:c r="M67" s="113"/>
      <x:c r="N67" s="106"/>
      <x:c r="O67" s="106"/>
      <x:c r="P67" s="121"/>
      <x:c r="Q67" s="86"/>
      <x:c r="R67" s="86"/>
      <x:c r="S67" s="86"/>
      <x:c r="T67" s="86"/>
      <x:c r="U67" s="86"/>
      <x:c r="V67" s="86"/>
      <x:c r="W67" s="86"/>
      <x:c r="X67" s="86"/>
      <x:c r="Y67" s="86"/>
      <x:c r="Z67" s="86"/>
    </x:row>
    <x:row r="68">
      <x:c r="A68" s="106"/>
      <x:c r="B68" s="106"/>
      <x:c r="C68" s="106"/>
      <x:c r="D68" s="114"/>
      <x:c r="E68" s="106"/>
      <x:c r="F68" s="113"/>
      <x:c r="G68" s="106"/>
      <x:c r="H68" s="106"/>
      <x:c r="I68" s="113"/>
      <x:c r="J68" s="113"/>
      <x:c r="K68" s="113"/>
      <x:c r="L68" s="113"/>
      <x:c r="M68" s="113"/>
      <x:c r="N68" s="106"/>
      <x:c r="O68" s="106"/>
      <x:c r="P68" s="121"/>
      <x:c r="Q68" s="86"/>
      <x:c r="R68" s="86"/>
      <x:c r="S68" s="86"/>
      <x:c r="T68" s="86"/>
      <x:c r="U68" s="86"/>
      <x:c r="V68" s="86"/>
      <x:c r="W68" s="86"/>
      <x:c r="X68" s="86"/>
      <x:c r="Y68" s="86"/>
      <x:c r="Z68" s="86"/>
    </x:row>
    <x:row r="69">
      <x:c r="A69" s="106"/>
      <x:c r="B69" s="106"/>
      <x:c r="C69" s="106"/>
      <x:c r="D69" s="114"/>
      <x:c r="E69" s="106"/>
      <x:c r="F69" s="113"/>
      <x:c r="G69" s="106"/>
      <x:c r="H69" s="106"/>
      <x:c r="I69" s="113"/>
      <x:c r="J69" s="113"/>
      <x:c r="K69" s="113"/>
      <x:c r="L69" s="113"/>
      <x:c r="M69" s="113"/>
      <x:c r="N69" s="106"/>
      <x:c r="O69" s="106"/>
      <x:c r="P69" s="121"/>
      <x:c r="Q69" s="86"/>
      <x:c r="R69" s="86"/>
      <x:c r="S69" s="86"/>
      <x:c r="T69" s="86"/>
      <x:c r="U69" s="86"/>
      <x:c r="V69" s="86"/>
      <x:c r="W69" s="86"/>
      <x:c r="X69" s="86"/>
      <x:c r="Y69" s="86"/>
      <x:c r="Z69" s="86"/>
    </x:row>
    <x:row r="70">
      <x:c r="A70" s="106"/>
      <x:c r="B70" s="106"/>
      <x:c r="C70" s="106"/>
      <x:c r="D70" s="114"/>
      <x:c r="E70" s="106"/>
      <x:c r="F70" s="113"/>
      <x:c r="G70" s="106"/>
      <x:c r="H70" s="106"/>
      <x:c r="I70" s="113"/>
      <x:c r="J70" s="113"/>
      <x:c r="K70" s="113"/>
      <x:c r="L70" s="113"/>
      <x:c r="M70" s="113"/>
      <x:c r="N70" s="106"/>
      <x:c r="O70" s="106"/>
      <x:c r="P70" s="121"/>
      <x:c r="Q70" s="86"/>
      <x:c r="R70" s="86"/>
      <x:c r="S70" s="86"/>
      <x:c r="T70" s="86"/>
      <x:c r="U70" s="86"/>
      <x:c r="V70" s="86"/>
      <x:c r="W70" s="86"/>
      <x:c r="X70" s="86"/>
      <x:c r="Y70" s="86"/>
      <x:c r="Z70" s="86"/>
    </x:row>
    <x:row r="71">
      <x:c r="A71" s="106"/>
      <x:c r="B71" s="106"/>
      <x:c r="C71" s="106"/>
      <x:c r="D71" s="114"/>
      <x:c r="E71" s="106"/>
      <x:c r="F71" s="113"/>
      <x:c r="G71" s="106"/>
      <x:c r="H71" s="106"/>
      <x:c r="I71" s="113"/>
      <x:c r="J71" s="113"/>
      <x:c r="K71" s="113"/>
      <x:c r="L71" s="113"/>
      <x:c r="M71" s="113"/>
      <x:c r="N71" s="106"/>
      <x:c r="O71" s="106"/>
      <x:c r="P71" s="121"/>
      <x:c r="Q71" s="86"/>
      <x:c r="R71" s="86"/>
      <x:c r="S71" s="86"/>
      <x:c r="T71" s="86"/>
      <x:c r="U71" s="86"/>
      <x:c r="V71" s="86"/>
      <x:c r="W71" s="86"/>
      <x:c r="X71" s="86"/>
      <x:c r="Y71" s="86"/>
      <x:c r="Z71" s="86"/>
    </x:row>
    <x:row r="72">
      <x:c r="A72" s="106"/>
      <x:c r="B72" s="106"/>
      <x:c r="C72" s="106"/>
      <x:c r="D72" s="114"/>
      <x:c r="E72" s="106"/>
      <x:c r="F72" s="113"/>
      <x:c r="G72" s="106"/>
      <x:c r="H72" s="106"/>
      <x:c r="I72" s="113"/>
      <x:c r="J72" s="113"/>
      <x:c r="K72" s="113"/>
      <x:c r="L72" s="113"/>
      <x:c r="M72" s="113"/>
      <x:c r="N72" s="106"/>
      <x:c r="O72" s="106"/>
      <x:c r="P72" s="121"/>
      <x:c r="Q72" s="86"/>
      <x:c r="R72" s="86"/>
      <x:c r="S72" s="86"/>
      <x:c r="T72" s="86"/>
      <x:c r="U72" s="86"/>
      <x:c r="V72" s="86"/>
      <x:c r="W72" s="86"/>
      <x:c r="X72" s="86"/>
      <x:c r="Y72" s="86"/>
      <x:c r="Z72" s="86"/>
    </x:row>
    <x:row r="73">
      <x:c r="A73" s="106"/>
      <x:c r="B73" s="106"/>
      <x:c r="C73" s="106"/>
      <x:c r="D73" s="114"/>
      <x:c r="E73" s="106"/>
      <x:c r="F73" s="113"/>
      <x:c r="G73" s="106"/>
      <x:c r="H73" s="106"/>
      <x:c r="I73" s="113"/>
      <x:c r="J73" s="113"/>
      <x:c r="K73" s="113"/>
      <x:c r="L73" s="113"/>
      <x:c r="M73" s="113"/>
      <x:c r="N73" s="106"/>
      <x:c r="O73" s="106"/>
      <x:c r="P73" s="121"/>
      <x:c r="Q73" s="86"/>
      <x:c r="R73" s="86"/>
      <x:c r="S73" s="86"/>
      <x:c r="T73" s="86"/>
      <x:c r="U73" s="86"/>
      <x:c r="V73" s="86"/>
      <x:c r="W73" s="86"/>
      <x:c r="X73" s="86"/>
      <x:c r="Y73" s="86"/>
      <x:c r="Z73" s="86"/>
    </x:row>
    <x:row r="74">
      <x:c r="A74" s="106"/>
      <x:c r="B74" s="106"/>
      <x:c r="C74" s="106"/>
      <x:c r="D74" s="114"/>
      <x:c r="E74" s="106"/>
      <x:c r="F74" s="113"/>
      <x:c r="G74" s="106"/>
      <x:c r="H74" s="106"/>
      <x:c r="I74" s="113"/>
      <x:c r="J74" s="113"/>
      <x:c r="K74" s="113"/>
      <x:c r="L74" s="113"/>
      <x:c r="M74" s="113"/>
      <x:c r="N74" s="106"/>
      <x:c r="O74" s="106"/>
      <x:c r="P74" s="121"/>
      <x:c r="Q74" s="86"/>
      <x:c r="R74" s="86"/>
      <x:c r="S74" s="86"/>
      <x:c r="T74" s="86"/>
      <x:c r="U74" s="86"/>
      <x:c r="V74" s="86"/>
      <x:c r="W74" s="86"/>
      <x:c r="X74" s="86"/>
      <x:c r="Y74" s="86"/>
      <x:c r="Z74" s="86"/>
    </x:row>
    <x:row r="75">
      <x:c r="A75" s="106"/>
      <x:c r="B75" s="106"/>
      <x:c r="C75" s="106"/>
      <x:c r="D75" s="114"/>
      <x:c r="E75" s="106"/>
      <x:c r="F75" s="113"/>
      <x:c r="G75" s="106"/>
      <x:c r="H75" s="106"/>
      <x:c r="I75" s="113"/>
      <x:c r="J75" s="113"/>
      <x:c r="K75" s="113"/>
      <x:c r="L75" s="113"/>
      <x:c r="M75" s="113"/>
      <x:c r="N75" s="106"/>
      <x:c r="O75" s="106"/>
      <x:c r="P75" s="121"/>
      <x:c r="Q75" s="86"/>
      <x:c r="R75" s="86"/>
      <x:c r="S75" s="86"/>
      <x:c r="T75" s="86"/>
      <x:c r="U75" s="86"/>
      <x:c r="V75" s="86"/>
      <x:c r="W75" s="86"/>
      <x:c r="X75" s="86"/>
      <x:c r="Y75" s="86"/>
      <x:c r="Z75" s="86"/>
    </x:row>
    <x:row r="76">
      <x:c r="A76" s="106"/>
      <x:c r="B76" s="106"/>
      <x:c r="C76" s="106"/>
      <x:c r="D76" s="114"/>
      <x:c r="E76" s="106"/>
      <x:c r="F76" s="113"/>
      <x:c r="G76" s="106"/>
      <x:c r="H76" s="106"/>
      <x:c r="I76" s="113"/>
      <x:c r="J76" s="113"/>
      <x:c r="K76" s="113"/>
      <x:c r="L76" s="113"/>
      <x:c r="M76" s="113"/>
      <x:c r="N76" s="106"/>
      <x:c r="O76" s="106"/>
      <x:c r="P76" s="121"/>
      <x:c r="Q76" s="86"/>
      <x:c r="R76" s="86"/>
      <x:c r="S76" s="86"/>
      <x:c r="T76" s="86"/>
      <x:c r="U76" s="86"/>
      <x:c r="V76" s="86"/>
      <x:c r="W76" s="86"/>
      <x:c r="X76" s="86"/>
      <x:c r="Y76" s="86"/>
      <x:c r="Z76" s="86"/>
    </x:row>
    <x:row r="77">
      <x:c r="A77" s="106"/>
      <x:c r="B77" s="106"/>
      <x:c r="C77" s="106"/>
      <x:c r="D77" s="114"/>
      <x:c r="E77" s="106"/>
      <x:c r="F77" s="113"/>
      <x:c r="G77" s="106"/>
      <x:c r="H77" s="106"/>
      <x:c r="I77" s="113"/>
      <x:c r="J77" s="113"/>
      <x:c r="K77" s="113"/>
      <x:c r="L77" s="113"/>
      <x:c r="M77" s="113"/>
      <x:c r="N77" s="106"/>
      <x:c r="O77" s="106"/>
      <x:c r="P77" s="121"/>
      <x:c r="Q77" s="86"/>
      <x:c r="R77" s="86"/>
      <x:c r="S77" s="86"/>
      <x:c r="T77" s="86"/>
      <x:c r="U77" s="86"/>
      <x:c r="V77" s="86"/>
      <x:c r="W77" s="86"/>
      <x:c r="X77" s="86"/>
      <x:c r="Y77" s="86"/>
      <x:c r="Z77" s="86"/>
    </x:row>
    <x:row r="78">
      <x:c r="A78" s="106"/>
      <x:c r="B78" s="106"/>
      <x:c r="C78" s="106"/>
      <x:c r="D78" s="114"/>
      <x:c r="E78" s="106"/>
      <x:c r="F78" s="113"/>
      <x:c r="G78" s="106"/>
      <x:c r="H78" s="106"/>
      <x:c r="I78" s="113"/>
      <x:c r="J78" s="113"/>
      <x:c r="K78" s="113"/>
      <x:c r="L78" s="113"/>
      <x:c r="M78" s="113"/>
      <x:c r="N78" s="106"/>
      <x:c r="O78" s="106"/>
      <x:c r="P78" s="121"/>
      <x:c r="Q78" s="86"/>
      <x:c r="R78" s="86"/>
      <x:c r="S78" s="86"/>
      <x:c r="T78" s="86"/>
      <x:c r="U78" s="86"/>
      <x:c r="V78" s="86"/>
      <x:c r="W78" s="86"/>
      <x:c r="X78" s="86"/>
      <x:c r="Y78" s="86"/>
      <x:c r="Z78" s="86"/>
    </x:row>
    <x:row r="79">
      <x:c r="A79" s="106"/>
      <x:c r="B79" s="106"/>
      <x:c r="C79" s="106"/>
      <x:c r="D79" s="114"/>
      <x:c r="E79" s="106"/>
      <x:c r="F79" s="113"/>
      <x:c r="G79" s="106"/>
      <x:c r="H79" s="106"/>
      <x:c r="I79" s="113"/>
      <x:c r="J79" s="113"/>
      <x:c r="K79" s="113"/>
      <x:c r="L79" s="113"/>
      <x:c r="M79" s="113"/>
      <x:c r="N79" s="106"/>
      <x:c r="O79" s="106"/>
      <x:c r="P79" s="121"/>
      <x:c r="Q79" s="86"/>
      <x:c r="R79" s="86"/>
      <x:c r="S79" s="86"/>
      <x:c r="T79" s="86"/>
      <x:c r="U79" s="86"/>
      <x:c r="V79" s="86"/>
      <x:c r="W79" s="86"/>
      <x:c r="X79" s="86"/>
      <x:c r="Y79" s="86"/>
      <x:c r="Z79" s="86"/>
    </x:row>
    <x:row r="80">
      <x:c r="A80" s="106"/>
      <x:c r="B80" s="106"/>
      <x:c r="C80" s="106"/>
      <x:c r="D80" s="114"/>
      <x:c r="E80" s="106"/>
      <x:c r="F80" s="113"/>
      <x:c r="G80" s="106"/>
      <x:c r="H80" s="106"/>
      <x:c r="I80" s="113"/>
      <x:c r="J80" s="113"/>
      <x:c r="K80" s="113"/>
      <x:c r="L80" s="113"/>
      <x:c r="M80" s="113"/>
      <x:c r="N80" s="106"/>
      <x:c r="O80" s="106"/>
      <x:c r="P80" s="121"/>
      <x:c r="Q80" s="86"/>
      <x:c r="R80" s="86"/>
      <x:c r="S80" s="86"/>
      <x:c r="T80" s="86"/>
      <x:c r="U80" s="86"/>
      <x:c r="V80" s="86"/>
      <x:c r="W80" s="86"/>
      <x:c r="X80" s="86"/>
      <x:c r="Y80" s="86"/>
      <x:c r="Z80" s="86"/>
    </x:row>
    <x:row r="81">
      <x:c r="A81" s="106"/>
      <x:c r="B81" s="106"/>
      <x:c r="C81" s="106"/>
      <x:c r="D81" s="114"/>
      <x:c r="E81" s="106"/>
      <x:c r="F81" s="113"/>
      <x:c r="G81" s="106"/>
      <x:c r="H81" s="106"/>
      <x:c r="I81" s="113"/>
      <x:c r="J81" s="113"/>
      <x:c r="K81" s="113"/>
      <x:c r="L81" s="113"/>
      <x:c r="M81" s="113"/>
      <x:c r="N81" s="106"/>
      <x:c r="O81" s="106"/>
      <x:c r="P81" s="121"/>
      <x:c r="Q81" s="86"/>
      <x:c r="R81" s="86"/>
      <x:c r="S81" s="86"/>
      <x:c r="T81" s="86"/>
      <x:c r="U81" s="86"/>
      <x:c r="V81" s="86"/>
      <x:c r="W81" s="86"/>
      <x:c r="X81" s="86"/>
      <x:c r="Y81" s="86"/>
      <x:c r="Z81" s="86"/>
    </x:row>
    <x:row r="82">
      <x:c r="A82" s="106"/>
      <x:c r="B82" s="106"/>
      <x:c r="C82" s="106"/>
      <x:c r="D82" s="114"/>
      <x:c r="E82" s="106"/>
      <x:c r="F82" s="113"/>
      <x:c r="G82" s="106"/>
      <x:c r="H82" s="106"/>
      <x:c r="I82" s="113"/>
      <x:c r="J82" s="113"/>
      <x:c r="K82" s="113"/>
      <x:c r="L82" s="113"/>
      <x:c r="M82" s="113"/>
      <x:c r="N82" s="106"/>
      <x:c r="O82" s="106"/>
      <x:c r="P82" s="121"/>
      <x:c r="Q82" s="86"/>
      <x:c r="R82" s="86"/>
      <x:c r="S82" s="86"/>
      <x:c r="T82" s="86"/>
      <x:c r="U82" s="86"/>
      <x:c r="V82" s="86"/>
      <x:c r="W82" s="86"/>
      <x:c r="X82" s="86"/>
      <x:c r="Y82" s="86"/>
      <x:c r="Z82" s="86"/>
    </x:row>
    <x:row r="83">
      <x:c r="A83" s="106"/>
      <x:c r="B83" s="106"/>
      <x:c r="C83" s="106"/>
      <x:c r="D83" s="114"/>
      <x:c r="E83" s="106"/>
      <x:c r="F83" s="113"/>
      <x:c r="G83" s="106"/>
      <x:c r="H83" s="106"/>
      <x:c r="I83" s="113"/>
      <x:c r="J83" s="113"/>
      <x:c r="K83" s="113"/>
      <x:c r="L83" s="113"/>
      <x:c r="M83" s="113"/>
      <x:c r="N83" s="106"/>
      <x:c r="O83" s="106"/>
      <x:c r="P83" s="121"/>
      <x:c r="Q83" s="86"/>
      <x:c r="R83" s="86"/>
      <x:c r="S83" s="86"/>
      <x:c r="T83" s="86"/>
      <x:c r="U83" s="86"/>
      <x:c r="V83" s="86"/>
      <x:c r="W83" s="86"/>
      <x:c r="X83" s="86"/>
      <x:c r="Y83" s="86"/>
      <x:c r="Z83" s="86"/>
    </x:row>
    <x:row r="84">
      <x:c r="A84" s="106"/>
      <x:c r="B84" s="106"/>
      <x:c r="C84" s="106"/>
      <x:c r="D84" s="114"/>
      <x:c r="E84" s="106"/>
      <x:c r="F84" s="113"/>
      <x:c r="G84" s="106"/>
      <x:c r="H84" s="106"/>
      <x:c r="I84" s="113"/>
      <x:c r="J84" s="113"/>
      <x:c r="K84" s="113"/>
      <x:c r="L84" s="113"/>
      <x:c r="M84" s="113"/>
      <x:c r="N84" s="106"/>
      <x:c r="O84" s="106"/>
      <x:c r="P84" s="121"/>
      <x:c r="Q84" s="86"/>
      <x:c r="R84" s="86"/>
      <x:c r="S84" s="86"/>
      <x:c r="T84" s="86"/>
      <x:c r="U84" s="86"/>
      <x:c r="V84" s="86"/>
      <x:c r="W84" s="86"/>
      <x:c r="X84" s="86"/>
      <x:c r="Y84" s="86"/>
      <x:c r="Z84" s="86"/>
    </x:row>
    <x:row r="85">
      <x:c r="A85" s="106"/>
      <x:c r="B85" s="106"/>
      <x:c r="C85" s="106"/>
      <x:c r="D85" s="114"/>
      <x:c r="E85" s="106"/>
      <x:c r="F85" s="113"/>
      <x:c r="G85" s="106"/>
      <x:c r="H85" s="106"/>
      <x:c r="I85" s="113"/>
      <x:c r="J85" s="113"/>
      <x:c r="K85" s="113"/>
      <x:c r="L85" s="113"/>
      <x:c r="M85" s="113"/>
      <x:c r="N85" s="106"/>
      <x:c r="O85" s="106"/>
      <x:c r="P85" s="121"/>
      <x:c r="Q85" s="86"/>
      <x:c r="R85" s="86"/>
      <x:c r="S85" s="86"/>
      <x:c r="T85" s="86"/>
      <x:c r="U85" s="86"/>
      <x:c r="V85" s="86"/>
      <x:c r="W85" s="86"/>
      <x:c r="X85" s="86"/>
      <x:c r="Y85" s="86"/>
      <x:c r="Z85" s="86"/>
    </x:row>
    <x:row r="86">
      <x:c r="A86" s="106"/>
      <x:c r="B86" s="106"/>
      <x:c r="C86" s="106"/>
      <x:c r="D86" s="114"/>
      <x:c r="E86" s="106"/>
      <x:c r="F86" s="113"/>
      <x:c r="G86" s="106"/>
      <x:c r="H86" s="106"/>
      <x:c r="I86" s="113"/>
      <x:c r="J86" s="113"/>
      <x:c r="K86" s="113"/>
      <x:c r="L86" s="113"/>
      <x:c r="M86" s="113"/>
      <x:c r="N86" s="106"/>
      <x:c r="O86" s="106"/>
      <x:c r="P86" s="121"/>
      <x:c r="Q86" s="86"/>
      <x:c r="R86" s="86"/>
      <x:c r="S86" s="86"/>
      <x:c r="T86" s="86"/>
      <x:c r="U86" s="86"/>
      <x:c r="V86" s="86"/>
      <x:c r="W86" s="86"/>
      <x:c r="X86" s="86"/>
      <x:c r="Y86" s="86"/>
      <x:c r="Z86" s="86"/>
    </x:row>
    <x:row r="87">
      <x:c r="A87" s="106"/>
      <x:c r="B87" s="106"/>
      <x:c r="C87" s="106"/>
      <x:c r="D87" s="114"/>
      <x:c r="E87" s="106"/>
      <x:c r="F87" s="113"/>
      <x:c r="G87" s="106"/>
      <x:c r="H87" s="106"/>
      <x:c r="I87" s="113"/>
      <x:c r="J87" s="113"/>
      <x:c r="K87" s="113"/>
      <x:c r="L87" s="113"/>
      <x:c r="M87" s="113"/>
      <x:c r="N87" s="106"/>
      <x:c r="O87" s="106"/>
      <x:c r="P87" s="121"/>
      <x:c r="Q87" s="86"/>
      <x:c r="R87" s="86"/>
      <x:c r="S87" s="86"/>
      <x:c r="T87" s="86"/>
      <x:c r="U87" s="86"/>
      <x:c r="V87" s="86"/>
      <x:c r="W87" s="86"/>
      <x:c r="X87" s="86"/>
      <x:c r="Y87" s="86"/>
      <x:c r="Z87" s="86"/>
    </x:row>
    <x:row r="88">
      <x:c r="A88" s="106"/>
      <x:c r="B88" s="106"/>
      <x:c r="C88" s="106"/>
      <x:c r="D88" s="114"/>
      <x:c r="E88" s="106"/>
      <x:c r="F88" s="113"/>
      <x:c r="G88" s="106"/>
      <x:c r="H88" s="106"/>
      <x:c r="I88" s="113"/>
      <x:c r="J88" s="113"/>
      <x:c r="K88" s="113"/>
      <x:c r="L88" s="113"/>
      <x:c r="M88" s="113"/>
      <x:c r="N88" s="106"/>
      <x:c r="O88" s="106"/>
      <x:c r="P88" s="121"/>
      <x:c r="Q88" s="86"/>
      <x:c r="R88" s="86"/>
      <x:c r="S88" s="86"/>
      <x:c r="T88" s="86"/>
      <x:c r="U88" s="86"/>
      <x:c r="V88" s="86"/>
      <x:c r="W88" s="86"/>
      <x:c r="X88" s="86"/>
      <x:c r="Y88" s="86"/>
      <x:c r="Z88" s="86"/>
    </x:row>
    <x:row r="89">
      <x:c r="A89" s="106"/>
      <x:c r="B89" s="106"/>
      <x:c r="C89" s="106"/>
      <x:c r="D89" s="114"/>
      <x:c r="E89" s="106"/>
      <x:c r="F89" s="113"/>
      <x:c r="G89" s="106"/>
      <x:c r="H89" s="106"/>
      <x:c r="I89" s="113"/>
      <x:c r="J89" s="113"/>
      <x:c r="K89" s="113"/>
      <x:c r="L89" s="113"/>
      <x:c r="M89" s="113"/>
      <x:c r="N89" s="106"/>
      <x:c r="O89" s="106"/>
      <x:c r="P89" s="121"/>
      <x:c r="Q89" s="86"/>
      <x:c r="R89" s="86"/>
      <x:c r="S89" s="86"/>
      <x:c r="T89" s="86"/>
      <x:c r="U89" s="86"/>
      <x:c r="V89" s="86"/>
      <x:c r="W89" s="86"/>
      <x:c r="X89" s="86"/>
      <x:c r="Y89" s="86"/>
      <x:c r="Z89" s="86"/>
    </x:row>
    <x:row r="90">
      <x:c r="A90" s="106"/>
      <x:c r="B90" s="106"/>
      <x:c r="C90" s="106"/>
      <x:c r="D90" s="114"/>
      <x:c r="E90" s="106"/>
      <x:c r="F90" s="113"/>
      <x:c r="G90" s="106"/>
      <x:c r="H90" s="106"/>
      <x:c r="I90" s="113"/>
      <x:c r="J90" s="113"/>
      <x:c r="K90" s="113"/>
      <x:c r="L90" s="113"/>
      <x:c r="M90" s="113"/>
      <x:c r="N90" s="106"/>
      <x:c r="O90" s="106"/>
      <x:c r="P90" s="121"/>
      <x:c r="Q90" s="86"/>
      <x:c r="R90" s="86"/>
      <x:c r="S90" s="86"/>
      <x:c r="T90" s="86"/>
      <x:c r="U90" s="86"/>
      <x:c r="V90" s="86"/>
      <x:c r="W90" s="86"/>
      <x:c r="X90" s="86"/>
      <x:c r="Y90" s="86"/>
      <x:c r="Z90" s="86"/>
    </x:row>
    <x:row r="91">
      <x:c r="A91" s="106"/>
      <x:c r="B91" s="106"/>
      <x:c r="C91" s="106"/>
      <x:c r="D91" s="114"/>
      <x:c r="E91" s="106"/>
      <x:c r="F91" s="113"/>
      <x:c r="G91" s="106"/>
      <x:c r="H91" s="106"/>
      <x:c r="I91" s="113"/>
      <x:c r="J91" s="113"/>
      <x:c r="K91" s="113"/>
      <x:c r="L91" s="113"/>
      <x:c r="M91" s="113"/>
      <x:c r="N91" s="106"/>
      <x:c r="O91" s="106"/>
      <x:c r="P91" s="121"/>
      <x:c r="Q91" s="86"/>
      <x:c r="R91" s="86"/>
      <x:c r="S91" s="86"/>
      <x:c r="T91" s="86"/>
      <x:c r="U91" s="86"/>
      <x:c r="V91" s="86"/>
      <x:c r="W91" s="86"/>
      <x:c r="X91" s="86"/>
      <x:c r="Y91" s="86"/>
      <x:c r="Z91" s="86"/>
    </x:row>
    <x:row r="92">
      <x:c r="A92" s="106"/>
      <x:c r="B92" s="106"/>
      <x:c r="C92" s="106"/>
      <x:c r="D92" s="114"/>
      <x:c r="E92" s="106"/>
      <x:c r="F92" s="113"/>
      <x:c r="G92" s="106"/>
      <x:c r="H92" s="106"/>
      <x:c r="I92" s="113"/>
      <x:c r="J92" s="113"/>
      <x:c r="K92" s="113"/>
      <x:c r="L92" s="113"/>
      <x:c r="M92" s="113"/>
      <x:c r="N92" s="106"/>
      <x:c r="O92" s="106"/>
      <x:c r="P92" s="121"/>
      <x:c r="Q92" s="86"/>
      <x:c r="R92" s="86"/>
      <x:c r="S92" s="86"/>
      <x:c r="T92" s="86"/>
      <x:c r="U92" s="86"/>
      <x:c r="V92" s="86"/>
      <x:c r="W92" s="86"/>
      <x:c r="X92" s="86"/>
      <x:c r="Y92" s="86"/>
      <x:c r="Z92" s="86"/>
    </x:row>
    <x:row r="93">
      <x:c r="A93" s="106"/>
      <x:c r="B93" s="106"/>
      <x:c r="C93" s="106"/>
      <x:c r="D93" s="114"/>
      <x:c r="E93" s="106"/>
      <x:c r="F93" s="113"/>
      <x:c r="G93" s="106"/>
      <x:c r="H93" s="106"/>
      <x:c r="I93" s="113"/>
      <x:c r="J93" s="113"/>
      <x:c r="K93" s="113"/>
      <x:c r="L93" s="113"/>
      <x:c r="M93" s="113"/>
      <x:c r="N93" s="106"/>
      <x:c r="O93" s="106"/>
      <x:c r="P93" s="121"/>
      <x:c r="Q93" s="86"/>
      <x:c r="R93" s="86"/>
      <x:c r="S93" s="86"/>
      <x:c r="T93" s="86"/>
      <x:c r="U93" s="86"/>
      <x:c r="V93" s="86"/>
      <x:c r="W93" s="86"/>
      <x:c r="X93" s="86"/>
      <x:c r="Y93" s="86"/>
      <x:c r="Z93" s="86"/>
    </x:row>
    <x:row r="94">
      <x:c r="A94" s="106"/>
      <x:c r="B94" s="106"/>
      <x:c r="C94" s="106"/>
      <x:c r="D94" s="114"/>
      <x:c r="E94" s="106"/>
      <x:c r="F94" s="113"/>
      <x:c r="G94" s="106"/>
      <x:c r="H94" s="106"/>
      <x:c r="I94" s="113"/>
      <x:c r="J94" s="113"/>
      <x:c r="K94" s="113"/>
      <x:c r="L94" s="113"/>
      <x:c r="M94" s="113"/>
      <x:c r="N94" s="106"/>
      <x:c r="O94" s="106"/>
      <x:c r="P94" s="121"/>
      <x:c r="Q94" s="86"/>
      <x:c r="R94" s="86"/>
      <x:c r="S94" s="86"/>
      <x:c r="T94" s="86"/>
      <x:c r="U94" s="86"/>
      <x:c r="V94" s="86"/>
      <x:c r="W94" s="86"/>
      <x:c r="X94" s="86"/>
      <x:c r="Y94" s="86"/>
      <x:c r="Z94" s="86"/>
    </x:row>
    <x:row r="95">
      <x:c r="A95" s="106"/>
      <x:c r="B95" s="106"/>
      <x:c r="C95" s="106"/>
      <x:c r="D95" s="114"/>
      <x:c r="E95" s="106"/>
      <x:c r="F95" s="113"/>
      <x:c r="G95" s="106"/>
      <x:c r="H95" s="106"/>
      <x:c r="I95" s="113"/>
      <x:c r="J95" s="113"/>
      <x:c r="K95" s="113"/>
      <x:c r="L95" s="113"/>
      <x:c r="M95" s="113"/>
      <x:c r="N95" s="106"/>
      <x:c r="O95" s="106"/>
      <x:c r="P95" s="121"/>
      <x:c r="Q95" s="86"/>
      <x:c r="R95" s="86"/>
      <x:c r="S95" s="86"/>
      <x:c r="T95" s="86"/>
      <x:c r="U95" s="86"/>
      <x:c r="V95" s="86"/>
      <x:c r="W95" s="86"/>
      <x:c r="X95" s="86"/>
      <x:c r="Y95" s="86"/>
      <x:c r="Z95" s="86"/>
    </x:row>
    <x:row r="96">
      <x:c r="A96" s="106"/>
      <x:c r="B96" s="106"/>
      <x:c r="C96" s="106"/>
      <x:c r="D96" s="114"/>
      <x:c r="E96" s="106"/>
      <x:c r="F96" s="113"/>
      <x:c r="G96" s="106"/>
      <x:c r="H96" s="106"/>
      <x:c r="I96" s="113"/>
      <x:c r="J96" s="113"/>
      <x:c r="K96" s="113"/>
      <x:c r="L96" s="113"/>
      <x:c r="M96" s="113"/>
      <x:c r="N96" s="106"/>
      <x:c r="O96" s="106"/>
      <x:c r="P96" s="121"/>
      <x:c r="Q96" s="86"/>
      <x:c r="R96" s="86"/>
      <x:c r="S96" s="86"/>
      <x:c r="T96" s="86"/>
      <x:c r="U96" s="86"/>
      <x:c r="V96" s="86"/>
      <x:c r="W96" s="86"/>
      <x:c r="X96" s="86"/>
      <x:c r="Y96" s="86"/>
      <x:c r="Z96" s="86"/>
    </x:row>
    <x:row r="97">
      <x:c r="A97" s="106"/>
      <x:c r="B97" s="106"/>
      <x:c r="C97" s="106"/>
      <x:c r="D97" s="114"/>
      <x:c r="E97" s="106"/>
      <x:c r="F97" s="113"/>
      <x:c r="G97" s="106"/>
      <x:c r="H97" s="106"/>
      <x:c r="I97" s="113"/>
      <x:c r="J97" s="113"/>
      <x:c r="K97" s="113"/>
      <x:c r="L97" s="113"/>
      <x:c r="M97" s="113"/>
      <x:c r="N97" s="106"/>
      <x:c r="O97" s="106"/>
      <x:c r="P97" s="121"/>
      <x:c r="Q97" s="86"/>
      <x:c r="R97" s="86"/>
      <x:c r="S97" s="86"/>
      <x:c r="T97" s="86"/>
      <x:c r="U97" s="86"/>
      <x:c r="V97" s="86"/>
      <x:c r="W97" s="86"/>
      <x:c r="X97" s="86"/>
      <x:c r="Y97" s="86"/>
      <x:c r="Z97" s="86"/>
    </x:row>
    <x:row r="98">
      <x:c r="A98" s="106"/>
      <x:c r="B98" s="106"/>
      <x:c r="C98" s="106"/>
      <x:c r="D98" s="114"/>
      <x:c r="E98" s="106"/>
      <x:c r="F98" s="113"/>
      <x:c r="G98" s="106"/>
      <x:c r="H98" s="106"/>
      <x:c r="I98" s="113"/>
      <x:c r="J98" s="113"/>
      <x:c r="K98" s="113"/>
      <x:c r="L98" s="113"/>
      <x:c r="M98" s="113"/>
      <x:c r="N98" s="106"/>
      <x:c r="O98" s="106"/>
      <x:c r="P98" s="121"/>
      <x:c r="Q98" s="86"/>
      <x:c r="R98" s="86"/>
      <x:c r="S98" s="86"/>
      <x:c r="T98" s="86"/>
      <x:c r="U98" s="86"/>
      <x:c r="V98" s="86"/>
      <x:c r="W98" s="86"/>
      <x:c r="X98" s="86"/>
      <x:c r="Y98" s="86"/>
      <x:c r="Z98" s="86"/>
    </x:row>
    <x:row r="99">
      <x:c r="A99" s="106"/>
      <x:c r="B99" s="106"/>
      <x:c r="C99" s="106"/>
      <x:c r="D99" s="114"/>
      <x:c r="E99" s="106"/>
      <x:c r="F99" s="113"/>
      <x:c r="G99" s="106"/>
      <x:c r="H99" s="106"/>
      <x:c r="I99" s="113"/>
      <x:c r="J99" s="113"/>
      <x:c r="K99" s="113"/>
      <x:c r="L99" s="113"/>
      <x:c r="M99" s="113"/>
      <x:c r="N99" s="106"/>
      <x:c r="O99" s="106"/>
      <x:c r="P99" s="121"/>
      <x:c r="Q99" s="86"/>
      <x:c r="R99" s="86"/>
      <x:c r="S99" s="86"/>
      <x:c r="T99" s="86"/>
      <x:c r="U99" s="86"/>
      <x:c r="V99" s="86"/>
      <x:c r="W99" s="86"/>
      <x:c r="X99" s="86"/>
      <x:c r="Y99" s="86"/>
      <x:c r="Z99" s="86"/>
    </x:row>
    <x:row r="100">
      <x:c r="A100" s="106"/>
      <x:c r="B100" s="106"/>
      <x:c r="C100" s="106"/>
      <x:c r="D100" s="114"/>
      <x:c r="E100" s="106"/>
      <x:c r="F100" s="113"/>
      <x:c r="G100" s="106"/>
      <x:c r="H100" s="106"/>
      <x:c r="I100" s="113"/>
      <x:c r="J100" s="113"/>
      <x:c r="K100" s="113"/>
      <x:c r="L100" s="113"/>
      <x:c r="M100" s="113"/>
      <x:c r="N100" s="106"/>
      <x:c r="O100" s="106"/>
      <x:c r="P100" s="121"/>
      <x:c r="Q100" s="86"/>
      <x:c r="R100" s="86"/>
      <x:c r="S100" s="86"/>
      <x:c r="T100" s="86"/>
      <x:c r="U100" s="86"/>
      <x:c r="V100" s="86"/>
      <x:c r="W100" s="86"/>
      <x:c r="X100" s="86"/>
      <x:c r="Y100" s="86"/>
      <x:c r="Z100" s="86"/>
    </x:row>
    <x:row r="101">
      <x:c r="A101" s="106"/>
      <x:c r="B101" s="106"/>
      <x:c r="C101" s="106"/>
      <x:c r="D101" s="114"/>
      <x:c r="E101" s="106"/>
      <x:c r="F101" s="113"/>
      <x:c r="G101" s="106"/>
      <x:c r="H101" s="106"/>
      <x:c r="I101" s="113"/>
      <x:c r="J101" s="113"/>
      <x:c r="K101" s="113"/>
      <x:c r="L101" s="113"/>
      <x:c r="M101" s="113"/>
      <x:c r="N101" s="106"/>
      <x:c r="O101" s="106"/>
      <x:c r="P101" s="121"/>
      <x:c r="Q101" s="86"/>
      <x:c r="R101" s="86"/>
      <x:c r="S101" s="86"/>
      <x:c r="T101" s="86"/>
      <x:c r="U101" s="86"/>
      <x:c r="V101" s="86"/>
      <x:c r="W101" s="86"/>
      <x:c r="X101" s="86"/>
      <x:c r="Y101" s="86"/>
      <x:c r="Z101" s="86"/>
    </x:row>
    <x:row r="102">
      <x:c r="A102" s="106"/>
      <x:c r="B102" s="106"/>
      <x:c r="C102" s="106"/>
      <x:c r="D102" s="114"/>
      <x:c r="E102" s="106"/>
      <x:c r="F102" s="113"/>
      <x:c r="G102" s="106"/>
      <x:c r="H102" s="106"/>
      <x:c r="I102" s="113"/>
      <x:c r="J102" s="113"/>
      <x:c r="K102" s="113"/>
      <x:c r="L102" s="113"/>
      <x:c r="M102" s="113"/>
      <x:c r="N102" s="106"/>
      <x:c r="O102" s="106"/>
      <x:c r="P102" s="121"/>
      <x:c r="Q102" s="86"/>
      <x:c r="R102" s="86"/>
      <x:c r="S102" s="86"/>
      <x:c r="T102" s="86"/>
      <x:c r="U102" s="86"/>
      <x:c r="V102" s="86"/>
      <x:c r="W102" s="86"/>
      <x:c r="X102" s="86"/>
      <x:c r="Y102" s="86"/>
      <x:c r="Z102" s="86"/>
    </x:row>
    <x:row r="103">
      <x:c r="A103" s="106"/>
      <x:c r="B103" s="106"/>
      <x:c r="C103" s="106"/>
      <x:c r="D103" s="114"/>
      <x:c r="E103" s="106"/>
      <x:c r="F103" s="113"/>
      <x:c r="G103" s="106"/>
      <x:c r="H103" s="106"/>
      <x:c r="I103" s="113"/>
      <x:c r="J103" s="113"/>
      <x:c r="K103" s="113"/>
      <x:c r="L103" s="113"/>
      <x:c r="M103" s="113"/>
      <x:c r="N103" s="106"/>
      <x:c r="O103" s="106"/>
      <x:c r="P103" s="121"/>
      <x:c r="Q103" s="86"/>
      <x:c r="R103" s="86"/>
      <x:c r="S103" s="86"/>
      <x:c r="T103" s="86"/>
      <x:c r="U103" s="86"/>
      <x:c r="V103" s="86"/>
      <x:c r="W103" s="86"/>
      <x:c r="X103" s="86"/>
      <x:c r="Y103" s="86"/>
      <x:c r="Z103" s="86"/>
    </x:row>
    <x:row r="104">
      <x:c r="A104" s="106"/>
      <x:c r="B104" s="106"/>
      <x:c r="C104" s="106"/>
      <x:c r="D104" s="114"/>
      <x:c r="E104" s="106"/>
      <x:c r="F104" s="113"/>
      <x:c r="G104" s="106"/>
      <x:c r="H104" s="106"/>
      <x:c r="I104" s="113"/>
      <x:c r="J104" s="113"/>
      <x:c r="K104" s="113"/>
      <x:c r="L104" s="113"/>
      <x:c r="M104" s="113"/>
      <x:c r="N104" s="106"/>
      <x:c r="O104" s="106"/>
      <x:c r="P104" s="121"/>
      <x:c r="Q104" s="86"/>
      <x:c r="R104" s="86"/>
      <x:c r="S104" s="86"/>
      <x:c r="T104" s="86"/>
      <x:c r="U104" s="86"/>
      <x:c r="V104" s="86"/>
      <x:c r="W104" s="86"/>
      <x:c r="X104" s="86"/>
      <x:c r="Y104" s="86"/>
      <x:c r="Z104" s="86"/>
    </x:row>
    <x:row r="105">
      <x:c r="A105" s="106"/>
      <x:c r="B105" s="106"/>
      <x:c r="C105" s="106"/>
      <x:c r="D105" s="114"/>
      <x:c r="E105" s="106"/>
      <x:c r="F105" s="113"/>
      <x:c r="G105" s="106"/>
      <x:c r="H105" s="106"/>
      <x:c r="I105" s="113"/>
      <x:c r="J105" s="113"/>
      <x:c r="K105" s="113"/>
      <x:c r="L105" s="113"/>
      <x:c r="M105" s="113"/>
      <x:c r="N105" s="106"/>
      <x:c r="O105" s="106"/>
      <x:c r="P105" s="121"/>
      <x:c r="Q105" s="86"/>
      <x:c r="R105" s="86"/>
      <x:c r="S105" s="86"/>
      <x:c r="T105" s="86"/>
      <x:c r="U105" s="86"/>
      <x:c r="V105" s="86"/>
      <x:c r="W105" s="86"/>
      <x:c r="X105" s="86"/>
      <x:c r="Y105" s="86"/>
      <x:c r="Z105" s="86"/>
    </x:row>
    <x:row r="106">
      <x:c r="A106" s="106"/>
      <x:c r="B106" s="106"/>
      <x:c r="C106" s="106"/>
      <x:c r="D106" s="114"/>
      <x:c r="E106" s="106"/>
      <x:c r="F106" s="113"/>
      <x:c r="G106" s="106"/>
      <x:c r="H106" s="106"/>
      <x:c r="I106" s="113"/>
      <x:c r="J106" s="113"/>
      <x:c r="K106" s="113"/>
      <x:c r="L106" s="113"/>
      <x:c r="M106" s="113"/>
      <x:c r="N106" s="106"/>
      <x:c r="O106" s="106"/>
      <x:c r="P106" s="121"/>
      <x:c r="Q106" s="86"/>
      <x:c r="R106" s="86"/>
      <x:c r="S106" s="86"/>
      <x:c r="T106" s="86"/>
      <x:c r="U106" s="86"/>
      <x:c r="V106" s="86"/>
      <x:c r="W106" s="86"/>
      <x:c r="X106" s="86"/>
      <x:c r="Y106" s="86"/>
      <x:c r="Z106" s="86"/>
    </x:row>
    <x:row r="107">
      <x:c r="A107" s="106"/>
      <x:c r="B107" s="106"/>
      <x:c r="C107" s="106"/>
      <x:c r="D107" s="114"/>
      <x:c r="E107" s="106"/>
      <x:c r="F107" s="113"/>
      <x:c r="G107" s="106"/>
      <x:c r="H107" s="106"/>
      <x:c r="I107" s="113"/>
      <x:c r="J107" s="113"/>
      <x:c r="K107" s="113"/>
      <x:c r="L107" s="113"/>
      <x:c r="M107" s="113"/>
      <x:c r="N107" s="106"/>
      <x:c r="O107" s="106"/>
      <x:c r="P107" s="121"/>
      <x:c r="Q107" s="86"/>
      <x:c r="R107" s="86"/>
      <x:c r="S107" s="86"/>
      <x:c r="T107" s="86"/>
      <x:c r="U107" s="86"/>
      <x:c r="V107" s="86"/>
      <x:c r="W107" s="86"/>
      <x:c r="X107" s="86"/>
      <x:c r="Y107" s="86"/>
      <x:c r="Z107" s="86"/>
    </x:row>
    <x:row r="108">
      <x:c r="A108" s="106"/>
      <x:c r="B108" s="106"/>
      <x:c r="C108" s="106"/>
      <x:c r="D108" s="114"/>
      <x:c r="E108" s="106"/>
      <x:c r="F108" s="113"/>
      <x:c r="G108" s="106"/>
      <x:c r="H108" s="106"/>
      <x:c r="I108" s="113"/>
      <x:c r="J108" s="113"/>
      <x:c r="K108" s="113"/>
      <x:c r="L108" s="113"/>
      <x:c r="M108" s="113"/>
      <x:c r="N108" s="106"/>
      <x:c r="O108" s="106"/>
      <x:c r="P108" s="121"/>
      <x:c r="Q108" s="86"/>
      <x:c r="R108" s="86"/>
      <x:c r="S108" s="86"/>
      <x:c r="T108" s="86"/>
      <x:c r="U108" s="86"/>
      <x:c r="V108" s="86"/>
      <x:c r="W108" s="86"/>
      <x:c r="X108" s="86"/>
      <x:c r="Y108" s="86"/>
      <x:c r="Z108" s="86"/>
    </x:row>
    <x:row r="109">
      <x:c r="A109" s="106"/>
      <x:c r="B109" s="106"/>
      <x:c r="C109" s="106"/>
      <x:c r="D109" s="114"/>
      <x:c r="E109" s="106"/>
      <x:c r="F109" s="113"/>
      <x:c r="G109" s="106"/>
      <x:c r="H109" s="106"/>
      <x:c r="I109" s="113"/>
      <x:c r="J109" s="113"/>
      <x:c r="K109" s="113"/>
      <x:c r="L109" s="113"/>
      <x:c r="M109" s="113"/>
      <x:c r="N109" s="106"/>
      <x:c r="O109" s="106"/>
      <x:c r="P109" s="121"/>
      <x:c r="Q109" s="86"/>
      <x:c r="R109" s="86"/>
      <x:c r="S109" s="86"/>
      <x:c r="T109" s="86"/>
      <x:c r="U109" s="86"/>
      <x:c r="V109" s="86"/>
      <x:c r="W109" s="86"/>
      <x:c r="X109" s="86"/>
      <x:c r="Y109" s="86"/>
      <x:c r="Z109" s="86"/>
    </x:row>
    <x:row r="110">
      <x:c r="A110" s="106"/>
      <x:c r="B110" s="106"/>
      <x:c r="C110" s="106"/>
      <x:c r="D110" s="114"/>
      <x:c r="E110" s="106"/>
      <x:c r="F110" s="113"/>
      <x:c r="G110" s="106"/>
      <x:c r="H110" s="106"/>
      <x:c r="I110" s="113"/>
      <x:c r="J110" s="113"/>
      <x:c r="K110" s="113"/>
      <x:c r="L110" s="113"/>
      <x:c r="M110" s="113"/>
      <x:c r="N110" s="106"/>
      <x:c r="O110" s="106"/>
      <x:c r="P110" s="121"/>
      <x:c r="Q110" s="86"/>
      <x:c r="R110" s="86"/>
      <x:c r="S110" s="86"/>
      <x:c r="T110" s="86"/>
      <x:c r="U110" s="86"/>
      <x:c r="V110" s="86"/>
      <x:c r="W110" s="86"/>
      <x:c r="X110" s="86"/>
      <x:c r="Y110" s="86"/>
      <x:c r="Z110" s="86"/>
    </x:row>
    <x:row r="111">
      <x:c r="A111" s="106"/>
      <x:c r="B111" s="106"/>
      <x:c r="C111" s="106"/>
      <x:c r="D111" s="114"/>
      <x:c r="E111" s="106"/>
      <x:c r="F111" s="113"/>
      <x:c r="G111" s="106"/>
      <x:c r="H111" s="106"/>
      <x:c r="I111" s="113"/>
      <x:c r="J111" s="113"/>
      <x:c r="K111" s="113"/>
      <x:c r="L111" s="113"/>
      <x:c r="M111" s="113"/>
      <x:c r="N111" s="106"/>
      <x:c r="O111" s="106"/>
      <x:c r="P111" s="121"/>
      <x:c r="Q111" s="86"/>
      <x:c r="R111" s="86"/>
      <x:c r="S111" s="86"/>
      <x:c r="T111" s="86"/>
      <x:c r="U111" s="86"/>
      <x:c r="V111" s="86"/>
      <x:c r="W111" s="86"/>
      <x:c r="X111" s="86"/>
      <x:c r="Y111" s="86"/>
      <x:c r="Z111" s="86"/>
    </x:row>
    <x:row r="112">
      <x:c r="A112" s="106"/>
      <x:c r="B112" s="106"/>
      <x:c r="C112" s="106"/>
      <x:c r="D112" s="114"/>
      <x:c r="E112" s="106"/>
      <x:c r="F112" s="113"/>
      <x:c r="G112" s="106"/>
      <x:c r="H112" s="106"/>
      <x:c r="I112" s="113"/>
      <x:c r="J112" s="113"/>
      <x:c r="K112" s="113"/>
      <x:c r="L112" s="113"/>
      <x:c r="M112" s="113"/>
      <x:c r="N112" s="106"/>
      <x:c r="O112" s="106"/>
      <x:c r="P112" s="121"/>
      <x:c r="Q112" s="86"/>
      <x:c r="R112" s="86"/>
      <x:c r="S112" s="86"/>
      <x:c r="T112" s="86"/>
      <x:c r="U112" s="86"/>
      <x:c r="V112" s="86"/>
      <x:c r="W112" s="86"/>
      <x:c r="X112" s="86"/>
      <x:c r="Y112" s="86"/>
      <x:c r="Z112" s="86"/>
    </x:row>
    <x:row r="113">
      <x:c r="A113" s="106"/>
      <x:c r="B113" s="106"/>
      <x:c r="C113" s="106"/>
      <x:c r="D113" s="114"/>
      <x:c r="E113" s="106"/>
      <x:c r="F113" s="113"/>
      <x:c r="G113" s="106"/>
      <x:c r="H113" s="106"/>
      <x:c r="I113" s="113"/>
      <x:c r="J113" s="113"/>
      <x:c r="K113" s="113"/>
      <x:c r="L113" s="113"/>
      <x:c r="M113" s="113"/>
      <x:c r="N113" s="106"/>
      <x:c r="O113" s="106"/>
      <x:c r="P113" s="121"/>
      <x:c r="Q113" s="86"/>
      <x:c r="R113" s="86"/>
      <x:c r="S113" s="86"/>
      <x:c r="T113" s="86"/>
      <x:c r="U113" s="86"/>
      <x:c r="V113" s="86"/>
      <x:c r="W113" s="86"/>
      <x:c r="X113" s="86"/>
      <x:c r="Y113" s="86"/>
      <x:c r="Z113" s="86"/>
    </x:row>
    <x:row r="114">
      <x:c r="A114" s="106"/>
      <x:c r="B114" s="106"/>
      <x:c r="C114" s="106"/>
      <x:c r="D114" s="114"/>
      <x:c r="E114" s="106"/>
      <x:c r="F114" s="113"/>
      <x:c r="G114" s="106"/>
      <x:c r="H114" s="106"/>
      <x:c r="I114" s="113"/>
      <x:c r="J114" s="113"/>
      <x:c r="K114" s="113"/>
      <x:c r="L114" s="113"/>
      <x:c r="M114" s="113"/>
      <x:c r="N114" s="106"/>
      <x:c r="O114" s="106"/>
      <x:c r="P114" s="121"/>
      <x:c r="Q114" s="86"/>
      <x:c r="R114" s="86"/>
      <x:c r="S114" s="86"/>
      <x:c r="T114" s="86"/>
      <x:c r="U114" s="86"/>
      <x:c r="V114" s="86"/>
      <x:c r="W114" s="86"/>
      <x:c r="X114" s="86"/>
      <x:c r="Y114" s="86"/>
      <x:c r="Z114" s="86"/>
    </x:row>
    <x:row r="115">
      <x:c r="A115" s="106"/>
      <x:c r="B115" s="106"/>
      <x:c r="C115" s="106"/>
      <x:c r="D115" s="114"/>
      <x:c r="E115" s="106"/>
      <x:c r="F115" s="113"/>
      <x:c r="G115" s="106"/>
      <x:c r="H115" s="106"/>
      <x:c r="I115" s="113"/>
      <x:c r="J115" s="113"/>
      <x:c r="K115" s="113"/>
      <x:c r="L115" s="113"/>
      <x:c r="M115" s="113"/>
      <x:c r="N115" s="106"/>
      <x:c r="O115" s="106"/>
      <x:c r="P115" s="121"/>
      <x:c r="Q115" s="86"/>
      <x:c r="R115" s="86"/>
      <x:c r="S115" s="86"/>
      <x:c r="T115" s="86"/>
      <x:c r="U115" s="86"/>
      <x:c r="V115" s="86"/>
      <x:c r="W115" s="86"/>
      <x:c r="X115" s="86"/>
      <x:c r="Y115" s="86"/>
      <x:c r="Z115" s="86"/>
    </x:row>
    <x:row r="116">
      <x:c r="A116" s="106"/>
      <x:c r="B116" s="106"/>
      <x:c r="C116" s="106"/>
      <x:c r="D116" s="114"/>
      <x:c r="E116" s="106"/>
      <x:c r="F116" s="113"/>
      <x:c r="G116" s="106"/>
      <x:c r="H116" s="106"/>
      <x:c r="I116" s="113"/>
      <x:c r="J116" s="113"/>
      <x:c r="K116" s="113"/>
      <x:c r="L116" s="113"/>
      <x:c r="M116" s="113"/>
      <x:c r="N116" s="106"/>
      <x:c r="O116" s="106"/>
      <x:c r="P116" s="121"/>
      <x:c r="Q116" s="86"/>
      <x:c r="R116" s="86"/>
      <x:c r="S116" s="86"/>
      <x:c r="T116" s="86"/>
      <x:c r="U116" s="86"/>
      <x:c r="V116" s="86"/>
      <x:c r="W116" s="86"/>
      <x:c r="X116" s="86"/>
      <x:c r="Y116" s="86"/>
      <x:c r="Z116" s="86"/>
    </x:row>
    <x:row r="117">
      <x:c r="A117" s="106"/>
      <x:c r="B117" s="106"/>
      <x:c r="C117" s="106"/>
      <x:c r="D117" s="114"/>
      <x:c r="E117" s="106"/>
      <x:c r="F117" s="113"/>
      <x:c r="G117" s="106"/>
      <x:c r="H117" s="106"/>
      <x:c r="I117" s="113"/>
      <x:c r="J117" s="113"/>
      <x:c r="K117" s="113"/>
      <x:c r="L117" s="113"/>
      <x:c r="M117" s="113"/>
      <x:c r="N117" s="106"/>
      <x:c r="O117" s="106"/>
      <x:c r="P117" s="121"/>
      <x:c r="Q117" s="86"/>
      <x:c r="R117" s="86"/>
      <x:c r="S117" s="86"/>
      <x:c r="T117" s="86"/>
      <x:c r="U117" s="86"/>
      <x:c r="V117" s="86"/>
      <x:c r="W117" s="86"/>
      <x:c r="X117" s="86"/>
      <x:c r="Y117" s="86"/>
      <x:c r="Z117" s="86"/>
    </x:row>
    <x:row r="118">
      <x:c r="A118" s="106"/>
      <x:c r="B118" s="106"/>
      <x:c r="C118" s="106"/>
      <x:c r="D118" s="114"/>
      <x:c r="E118" s="106"/>
      <x:c r="F118" s="113"/>
      <x:c r="G118" s="106"/>
      <x:c r="H118" s="106"/>
      <x:c r="I118" s="113"/>
      <x:c r="J118" s="113"/>
      <x:c r="K118" s="113"/>
      <x:c r="L118" s="113"/>
      <x:c r="M118" s="113"/>
      <x:c r="N118" s="106"/>
      <x:c r="O118" s="106"/>
      <x:c r="P118" s="121"/>
      <x:c r="Q118" s="86"/>
      <x:c r="R118" s="86"/>
      <x:c r="S118" s="86"/>
      <x:c r="T118" s="86"/>
      <x:c r="U118" s="86"/>
      <x:c r="V118" s="86"/>
      <x:c r="W118" s="86"/>
      <x:c r="X118" s="86"/>
      <x:c r="Y118" s="86"/>
      <x:c r="Z118" s="86"/>
    </x:row>
    <x:row r="119">
      <x:c r="A119" s="106"/>
      <x:c r="B119" s="106"/>
      <x:c r="C119" s="106"/>
      <x:c r="D119" s="114"/>
      <x:c r="E119" s="106"/>
      <x:c r="F119" s="113"/>
      <x:c r="G119" s="106"/>
      <x:c r="H119" s="106"/>
      <x:c r="I119" s="113"/>
      <x:c r="J119" s="113"/>
      <x:c r="K119" s="113"/>
      <x:c r="L119" s="113"/>
      <x:c r="M119" s="113"/>
      <x:c r="N119" s="106"/>
      <x:c r="O119" s="106"/>
      <x:c r="P119" s="121"/>
      <x:c r="Q119" s="86"/>
      <x:c r="R119" s="86"/>
      <x:c r="S119" s="86"/>
      <x:c r="T119" s="86"/>
      <x:c r="U119" s="86"/>
      <x:c r="V119" s="86"/>
      <x:c r="W119" s="86"/>
      <x:c r="X119" s="86"/>
      <x:c r="Y119" s="86"/>
      <x:c r="Z119" s="86"/>
    </x:row>
    <x:row r="120">
      <x:c r="A120" s="106"/>
      <x:c r="B120" s="106"/>
      <x:c r="C120" s="106"/>
      <x:c r="D120" s="114"/>
      <x:c r="E120" s="106"/>
      <x:c r="F120" s="113"/>
      <x:c r="G120" s="106"/>
      <x:c r="H120" s="106"/>
      <x:c r="I120" s="113"/>
      <x:c r="J120" s="113"/>
      <x:c r="K120" s="113"/>
      <x:c r="L120" s="113"/>
      <x:c r="M120" s="113"/>
      <x:c r="N120" s="106"/>
      <x:c r="O120" s="106"/>
      <x:c r="P120" s="121"/>
      <x:c r="Q120" s="86"/>
      <x:c r="R120" s="86"/>
      <x:c r="S120" s="86"/>
      <x:c r="T120" s="86"/>
      <x:c r="U120" s="86"/>
      <x:c r="V120" s="86"/>
      <x:c r="W120" s="86"/>
      <x:c r="X120" s="86"/>
      <x:c r="Y120" s="86"/>
      <x:c r="Z120" s="86"/>
    </x:row>
    <x:row r="121">
      <x:c r="A121" s="106"/>
      <x:c r="B121" s="106"/>
      <x:c r="C121" s="106"/>
      <x:c r="D121" s="114"/>
      <x:c r="E121" s="106"/>
      <x:c r="F121" s="113"/>
      <x:c r="G121" s="106"/>
      <x:c r="H121" s="106"/>
      <x:c r="I121" s="113"/>
      <x:c r="J121" s="113"/>
      <x:c r="K121" s="113"/>
      <x:c r="L121" s="113"/>
      <x:c r="M121" s="113"/>
      <x:c r="N121" s="106"/>
      <x:c r="O121" s="106"/>
      <x:c r="P121" s="121"/>
      <x:c r="Q121" s="86"/>
      <x:c r="R121" s="86"/>
      <x:c r="S121" s="86"/>
      <x:c r="T121" s="86"/>
      <x:c r="U121" s="86"/>
      <x:c r="V121" s="86"/>
      <x:c r="W121" s="86"/>
      <x:c r="X121" s="86"/>
      <x:c r="Y121" s="86"/>
      <x:c r="Z121" s="86"/>
    </x:row>
    <x:row r="122">
      <x:c r="A122" s="106"/>
      <x:c r="B122" s="106"/>
      <x:c r="C122" s="106"/>
      <x:c r="D122" s="114"/>
      <x:c r="E122" s="106"/>
      <x:c r="F122" s="113"/>
      <x:c r="G122" s="106"/>
      <x:c r="H122" s="106"/>
      <x:c r="I122" s="113"/>
      <x:c r="J122" s="113"/>
      <x:c r="K122" s="113"/>
      <x:c r="L122" s="113"/>
      <x:c r="M122" s="113"/>
      <x:c r="N122" s="106"/>
      <x:c r="O122" s="106"/>
      <x:c r="P122" s="121"/>
      <x:c r="Q122" s="86"/>
      <x:c r="R122" s="86"/>
      <x:c r="S122" s="86"/>
      <x:c r="T122" s="86"/>
      <x:c r="U122" s="86"/>
      <x:c r="V122" s="86"/>
      <x:c r="W122" s="86"/>
      <x:c r="X122" s="86"/>
      <x:c r="Y122" s="86"/>
      <x:c r="Z122" s="86"/>
    </x:row>
    <x:row r="123">
      <x:c r="A123" s="106"/>
      <x:c r="B123" s="106"/>
      <x:c r="C123" s="106"/>
      <x:c r="D123" s="114"/>
      <x:c r="E123" s="106"/>
      <x:c r="F123" s="113"/>
      <x:c r="G123" s="106"/>
      <x:c r="H123" s="106"/>
      <x:c r="I123" s="113"/>
      <x:c r="J123" s="113"/>
      <x:c r="K123" s="113"/>
      <x:c r="L123" s="113"/>
      <x:c r="M123" s="113"/>
      <x:c r="N123" s="106"/>
      <x:c r="O123" s="106"/>
      <x:c r="P123" s="121"/>
      <x:c r="Q123" s="86"/>
      <x:c r="R123" s="86"/>
      <x:c r="S123" s="86"/>
      <x:c r="T123" s="86"/>
      <x:c r="U123" s="86"/>
      <x:c r="V123" s="86"/>
      <x:c r="W123" s="86"/>
      <x:c r="X123" s="86"/>
      <x:c r="Y123" s="86"/>
      <x:c r="Z123" s="86"/>
    </x:row>
    <x:row r="124">
      <x:c r="A124" s="106"/>
      <x:c r="B124" s="106"/>
      <x:c r="C124" s="106"/>
      <x:c r="D124" s="114"/>
      <x:c r="E124" s="106"/>
      <x:c r="F124" s="113"/>
      <x:c r="G124" s="106"/>
      <x:c r="H124" s="106"/>
      <x:c r="I124" s="113"/>
      <x:c r="J124" s="113"/>
      <x:c r="K124" s="113"/>
      <x:c r="L124" s="113"/>
      <x:c r="M124" s="113"/>
      <x:c r="N124" s="106"/>
      <x:c r="O124" s="106"/>
      <x:c r="P124" s="121"/>
      <x:c r="Q124" s="86"/>
      <x:c r="R124" s="86"/>
      <x:c r="S124" s="86"/>
      <x:c r="T124" s="86"/>
      <x:c r="U124" s="86"/>
      <x:c r="V124" s="86"/>
      <x:c r="W124" s="86"/>
      <x:c r="X124" s="86"/>
      <x:c r="Y124" s="86"/>
      <x:c r="Z124" s="86"/>
    </x:row>
    <x:row r="125">
      <x:c r="A125" s="106"/>
      <x:c r="B125" s="106"/>
      <x:c r="C125" s="106"/>
      <x:c r="D125" s="114"/>
      <x:c r="E125" s="106"/>
      <x:c r="F125" s="113"/>
      <x:c r="G125" s="106"/>
      <x:c r="H125" s="106"/>
      <x:c r="I125" s="113"/>
      <x:c r="J125" s="113"/>
      <x:c r="K125" s="113"/>
      <x:c r="L125" s="113"/>
      <x:c r="M125" s="113"/>
      <x:c r="N125" s="106"/>
      <x:c r="O125" s="106"/>
      <x:c r="P125" s="121"/>
      <x:c r="Q125" s="86"/>
      <x:c r="R125" s="86"/>
      <x:c r="S125" s="86"/>
      <x:c r="T125" s="86"/>
      <x:c r="U125" s="86"/>
      <x:c r="V125" s="86"/>
      <x:c r="W125" s="86"/>
      <x:c r="X125" s="86"/>
      <x:c r="Y125" s="86"/>
      <x:c r="Z125" s="86"/>
    </x:row>
    <x:row r="126">
      <x:c r="A126" s="106"/>
      <x:c r="B126" s="106"/>
      <x:c r="C126" s="106"/>
      <x:c r="D126" s="114"/>
      <x:c r="E126" s="106"/>
      <x:c r="F126" s="113"/>
      <x:c r="G126" s="106"/>
      <x:c r="H126" s="106"/>
      <x:c r="I126" s="113"/>
      <x:c r="J126" s="113"/>
      <x:c r="K126" s="113"/>
      <x:c r="L126" s="113"/>
      <x:c r="M126" s="113"/>
      <x:c r="N126" s="106"/>
      <x:c r="O126" s="106"/>
      <x:c r="P126" s="121"/>
      <x:c r="Q126" s="86"/>
      <x:c r="R126" s="86"/>
      <x:c r="S126" s="86"/>
      <x:c r="T126" s="86"/>
      <x:c r="U126" s="86"/>
      <x:c r="V126" s="86"/>
      <x:c r="W126" s="86"/>
      <x:c r="X126" s="86"/>
      <x:c r="Y126" s="86"/>
      <x:c r="Z126" s="86"/>
    </x:row>
    <x:row r="127">
      <x:c r="A127" s="106"/>
      <x:c r="B127" s="106"/>
      <x:c r="C127" s="106"/>
      <x:c r="D127" s="114"/>
      <x:c r="E127" s="106"/>
      <x:c r="F127" s="113"/>
      <x:c r="G127" s="106"/>
      <x:c r="H127" s="106"/>
      <x:c r="I127" s="113"/>
      <x:c r="J127" s="113"/>
      <x:c r="K127" s="113"/>
      <x:c r="L127" s="113"/>
      <x:c r="M127" s="113"/>
      <x:c r="N127" s="106"/>
      <x:c r="O127" s="106"/>
      <x:c r="P127" s="121"/>
      <x:c r="Q127" s="86"/>
      <x:c r="R127" s="86"/>
      <x:c r="S127" s="86"/>
      <x:c r="T127" s="86"/>
      <x:c r="U127" s="86"/>
      <x:c r="V127" s="86"/>
      <x:c r="W127" s="86"/>
      <x:c r="X127" s="86"/>
      <x:c r="Y127" s="86"/>
      <x:c r="Z127" s="86"/>
    </x:row>
    <x:row r="128">
      <x:c r="A128" s="106"/>
      <x:c r="B128" s="106"/>
      <x:c r="C128" s="106"/>
      <x:c r="D128" s="114"/>
      <x:c r="E128" s="106"/>
      <x:c r="F128" s="113"/>
      <x:c r="G128" s="106"/>
      <x:c r="H128" s="106"/>
      <x:c r="I128" s="113"/>
      <x:c r="J128" s="113"/>
      <x:c r="K128" s="113"/>
      <x:c r="L128" s="113"/>
      <x:c r="M128" s="113"/>
      <x:c r="N128" s="106"/>
      <x:c r="O128" s="106"/>
      <x:c r="P128" s="121"/>
      <x:c r="Q128" s="86"/>
      <x:c r="R128" s="86"/>
      <x:c r="S128" s="86"/>
      <x:c r="T128" s="86"/>
      <x:c r="U128" s="86"/>
      <x:c r="V128" s="86"/>
      <x:c r="W128" s="86"/>
      <x:c r="X128" s="86"/>
      <x:c r="Y128" s="86"/>
      <x:c r="Z128" s="86"/>
    </x:row>
    <x:row r="129">
      <x:c r="A129" s="106"/>
      <x:c r="B129" s="106"/>
      <x:c r="C129" s="106"/>
      <x:c r="D129" s="114"/>
      <x:c r="E129" s="106"/>
      <x:c r="F129" s="113"/>
      <x:c r="G129" s="106"/>
      <x:c r="H129" s="106"/>
      <x:c r="I129" s="113"/>
      <x:c r="J129" s="113"/>
      <x:c r="K129" s="113"/>
      <x:c r="L129" s="113"/>
      <x:c r="M129" s="113"/>
      <x:c r="N129" s="106"/>
      <x:c r="O129" s="106"/>
      <x:c r="P129" s="121"/>
      <x:c r="Q129" s="86"/>
      <x:c r="R129" s="86"/>
      <x:c r="S129" s="86"/>
      <x:c r="T129" s="86"/>
      <x:c r="U129" s="86"/>
      <x:c r="V129" s="86"/>
      <x:c r="W129" s="86"/>
      <x:c r="X129" s="86"/>
      <x:c r="Y129" s="86"/>
      <x:c r="Z129" s="86"/>
    </x:row>
    <x:row r="130">
      <x:c r="A130" s="106"/>
      <x:c r="B130" s="106"/>
      <x:c r="C130" s="106"/>
      <x:c r="D130" s="114"/>
      <x:c r="E130" s="106"/>
      <x:c r="F130" s="113"/>
      <x:c r="G130" s="106"/>
      <x:c r="H130" s="106"/>
      <x:c r="I130" s="113"/>
      <x:c r="J130" s="113"/>
      <x:c r="K130" s="113"/>
      <x:c r="L130" s="113"/>
      <x:c r="M130" s="113"/>
      <x:c r="N130" s="106"/>
      <x:c r="O130" s="106"/>
      <x:c r="P130" s="121"/>
      <x:c r="Q130" s="86"/>
      <x:c r="R130" s="86"/>
      <x:c r="S130" s="86"/>
      <x:c r="T130" s="86"/>
      <x:c r="U130" s="86"/>
      <x:c r="V130" s="86"/>
      <x:c r="W130" s="86"/>
      <x:c r="X130" s="86"/>
      <x:c r="Y130" s="86"/>
      <x:c r="Z130" s="86"/>
    </x:row>
    <x:row r="131">
      <x:c r="A131" s="106"/>
      <x:c r="B131" s="106"/>
      <x:c r="C131" s="106"/>
      <x:c r="D131" s="114"/>
      <x:c r="E131" s="106"/>
      <x:c r="F131" s="113"/>
      <x:c r="G131" s="106"/>
      <x:c r="H131" s="106"/>
      <x:c r="I131" s="113"/>
      <x:c r="J131" s="113"/>
      <x:c r="K131" s="113"/>
      <x:c r="L131" s="113"/>
      <x:c r="M131" s="113"/>
      <x:c r="N131" s="106"/>
      <x:c r="O131" s="106"/>
      <x:c r="P131" s="121"/>
      <x:c r="Q131" s="86"/>
      <x:c r="R131" s="86"/>
      <x:c r="S131" s="86"/>
      <x:c r="T131" s="86"/>
      <x:c r="U131" s="86"/>
      <x:c r="V131" s="86"/>
      <x:c r="W131" s="86"/>
      <x:c r="X131" s="86"/>
      <x:c r="Y131" s="86"/>
      <x:c r="Z131" s="86"/>
    </x:row>
    <x:row r="132">
      <x:c r="A132" s="106"/>
      <x:c r="B132" s="106"/>
      <x:c r="C132" s="106"/>
      <x:c r="D132" s="114"/>
      <x:c r="E132" s="106"/>
      <x:c r="F132" s="113"/>
      <x:c r="G132" s="106"/>
      <x:c r="H132" s="106"/>
      <x:c r="I132" s="113"/>
      <x:c r="J132" s="113"/>
      <x:c r="K132" s="113"/>
      <x:c r="L132" s="113"/>
      <x:c r="M132" s="113"/>
      <x:c r="N132" s="106"/>
      <x:c r="O132" s="106"/>
      <x:c r="P132" s="121"/>
      <x:c r="Q132" s="86"/>
      <x:c r="R132" s="86"/>
      <x:c r="S132" s="86"/>
      <x:c r="T132" s="86"/>
      <x:c r="U132" s="86"/>
      <x:c r="V132" s="86"/>
      <x:c r="W132" s="86"/>
      <x:c r="X132" s="86"/>
      <x:c r="Y132" s="86"/>
      <x:c r="Z132" s="86"/>
    </x:row>
    <x:row r="133">
      <x:c r="A133" s="106"/>
      <x:c r="B133" s="106"/>
      <x:c r="C133" s="106"/>
      <x:c r="D133" s="114"/>
      <x:c r="E133" s="106"/>
      <x:c r="F133" s="113"/>
      <x:c r="G133" s="106"/>
      <x:c r="H133" s="106"/>
      <x:c r="I133" s="113"/>
      <x:c r="J133" s="113"/>
      <x:c r="K133" s="113"/>
      <x:c r="L133" s="113"/>
      <x:c r="M133" s="113"/>
      <x:c r="N133" s="106"/>
      <x:c r="O133" s="106"/>
      <x:c r="P133" s="121"/>
      <x:c r="Q133" s="86"/>
      <x:c r="R133" s="86"/>
      <x:c r="S133" s="86"/>
      <x:c r="T133" s="86"/>
      <x:c r="U133" s="86"/>
      <x:c r="V133" s="86"/>
      <x:c r="W133" s="86"/>
      <x:c r="X133" s="86"/>
      <x:c r="Y133" s="86"/>
      <x:c r="Z133" s="86"/>
    </x:row>
    <x:row r="134">
      <x:c r="A134" s="106"/>
      <x:c r="B134" s="106"/>
      <x:c r="C134" s="106"/>
      <x:c r="D134" s="114"/>
      <x:c r="E134" s="106"/>
      <x:c r="F134" s="113"/>
      <x:c r="G134" s="106"/>
      <x:c r="H134" s="106"/>
      <x:c r="I134" s="113"/>
      <x:c r="J134" s="113"/>
      <x:c r="K134" s="113"/>
      <x:c r="L134" s="113"/>
      <x:c r="M134" s="113"/>
      <x:c r="N134" s="106"/>
      <x:c r="O134" s="106"/>
      <x:c r="P134" s="121"/>
      <x:c r="Q134" s="86"/>
      <x:c r="R134" s="86"/>
      <x:c r="S134" s="86"/>
      <x:c r="T134" s="86"/>
      <x:c r="U134" s="86"/>
      <x:c r="V134" s="86"/>
      <x:c r="W134" s="86"/>
      <x:c r="X134" s="86"/>
      <x:c r="Y134" s="86"/>
      <x:c r="Z134" s="86"/>
    </x:row>
    <x:row r="135">
      <x:c r="A135" s="106"/>
      <x:c r="B135" s="106"/>
      <x:c r="C135" s="106"/>
      <x:c r="D135" s="114"/>
      <x:c r="E135" s="106"/>
      <x:c r="F135" s="113"/>
      <x:c r="G135" s="106"/>
      <x:c r="H135" s="106"/>
      <x:c r="I135" s="113"/>
      <x:c r="J135" s="113"/>
      <x:c r="K135" s="113"/>
      <x:c r="L135" s="113"/>
      <x:c r="M135" s="113"/>
      <x:c r="N135" s="106"/>
      <x:c r="O135" s="106"/>
      <x:c r="P135" s="121"/>
      <x:c r="Q135" s="86"/>
      <x:c r="R135" s="86"/>
      <x:c r="S135" s="86"/>
      <x:c r="T135" s="86"/>
      <x:c r="U135" s="86"/>
      <x:c r="V135" s="86"/>
      <x:c r="W135" s="86"/>
      <x:c r="X135" s="86"/>
      <x:c r="Y135" s="86"/>
      <x:c r="Z135" s="86"/>
    </x:row>
    <x:row r="136">
      <x:c r="A136" s="106"/>
      <x:c r="B136" s="106"/>
      <x:c r="C136" s="106"/>
      <x:c r="D136" s="114"/>
      <x:c r="E136" s="106"/>
      <x:c r="F136" s="113"/>
      <x:c r="G136" s="106"/>
      <x:c r="H136" s="106"/>
      <x:c r="I136" s="113"/>
      <x:c r="J136" s="113"/>
      <x:c r="K136" s="113"/>
      <x:c r="L136" s="113"/>
      <x:c r="M136" s="113"/>
      <x:c r="N136" s="106"/>
      <x:c r="O136" s="106"/>
      <x:c r="P136" s="121"/>
      <x:c r="Q136" s="86"/>
      <x:c r="R136" s="86"/>
      <x:c r="S136" s="86"/>
      <x:c r="T136" s="86"/>
      <x:c r="U136" s="86"/>
      <x:c r="V136" s="86"/>
      <x:c r="W136" s="86"/>
      <x:c r="X136" s="86"/>
      <x:c r="Y136" s="86"/>
      <x:c r="Z136" s="86"/>
    </x:row>
    <x:row r="137">
      <x:c r="A137" s="106"/>
      <x:c r="B137" s="106"/>
      <x:c r="C137" s="106"/>
      <x:c r="D137" s="114"/>
      <x:c r="E137" s="106"/>
      <x:c r="F137" s="113"/>
      <x:c r="G137" s="106"/>
      <x:c r="H137" s="106"/>
      <x:c r="I137" s="113"/>
      <x:c r="J137" s="113"/>
      <x:c r="K137" s="113"/>
      <x:c r="L137" s="113"/>
      <x:c r="M137" s="113"/>
      <x:c r="N137" s="106"/>
      <x:c r="O137" s="106"/>
      <x:c r="P137" s="121"/>
      <x:c r="Q137" s="86"/>
      <x:c r="R137" s="86"/>
      <x:c r="S137" s="86"/>
      <x:c r="T137" s="86"/>
      <x:c r="U137" s="86"/>
      <x:c r="V137" s="86"/>
      <x:c r="W137" s="86"/>
      <x:c r="X137" s="86"/>
      <x:c r="Y137" s="86"/>
      <x:c r="Z137" s="86"/>
    </x:row>
    <x:row r="138">
      <x:c r="A138" s="106"/>
      <x:c r="B138" s="106"/>
      <x:c r="C138" s="106"/>
      <x:c r="D138" s="114"/>
      <x:c r="E138" s="106"/>
      <x:c r="F138" s="113"/>
      <x:c r="G138" s="106"/>
      <x:c r="H138" s="106"/>
      <x:c r="I138" s="113"/>
      <x:c r="J138" s="113"/>
      <x:c r="K138" s="113"/>
      <x:c r="L138" s="113"/>
      <x:c r="M138" s="113"/>
      <x:c r="N138" s="106"/>
      <x:c r="O138" s="106"/>
      <x:c r="P138" s="121"/>
      <x:c r="Q138" s="86"/>
      <x:c r="R138" s="86"/>
      <x:c r="S138" s="86"/>
      <x:c r="T138" s="86"/>
      <x:c r="U138" s="86"/>
      <x:c r="V138" s="86"/>
      <x:c r="W138" s="86"/>
      <x:c r="X138" s="86"/>
      <x:c r="Y138" s="86"/>
      <x:c r="Z138" s="86"/>
    </x:row>
    <x:row r="139">
      <x:c r="A139" s="106"/>
      <x:c r="B139" s="106"/>
      <x:c r="C139" s="106"/>
      <x:c r="D139" s="114"/>
      <x:c r="E139" s="106"/>
      <x:c r="F139" s="113"/>
      <x:c r="G139" s="106"/>
      <x:c r="H139" s="106"/>
      <x:c r="I139" s="113"/>
      <x:c r="J139" s="113"/>
      <x:c r="K139" s="113"/>
      <x:c r="L139" s="113"/>
      <x:c r="M139" s="113"/>
      <x:c r="N139" s="106"/>
      <x:c r="O139" s="106"/>
      <x:c r="P139" s="121"/>
      <x:c r="Q139" s="86"/>
      <x:c r="R139" s="86"/>
      <x:c r="S139" s="86"/>
      <x:c r="T139" s="86"/>
      <x:c r="U139" s="86"/>
      <x:c r="V139" s="86"/>
      <x:c r="W139" s="86"/>
      <x:c r="X139" s="86"/>
      <x:c r="Y139" s="86"/>
      <x:c r="Z139" s="86"/>
    </x:row>
    <x:row r="140">
      <x:c r="A140" s="106"/>
      <x:c r="B140" s="106"/>
      <x:c r="C140" s="106"/>
      <x:c r="D140" s="114"/>
      <x:c r="E140" s="106"/>
      <x:c r="F140" s="113"/>
      <x:c r="G140" s="106"/>
      <x:c r="H140" s="106"/>
      <x:c r="I140" s="113"/>
      <x:c r="J140" s="113"/>
      <x:c r="K140" s="113"/>
      <x:c r="L140" s="113"/>
      <x:c r="M140" s="113"/>
      <x:c r="N140" s="106"/>
      <x:c r="O140" s="106"/>
      <x:c r="P140" s="121"/>
      <x:c r="Q140" s="86"/>
      <x:c r="R140" s="86"/>
      <x:c r="S140" s="86"/>
      <x:c r="T140" s="86"/>
      <x:c r="U140" s="86"/>
      <x:c r="V140" s="86"/>
      <x:c r="W140" s="86"/>
      <x:c r="X140" s="86"/>
      <x:c r="Y140" s="86"/>
      <x:c r="Z140" s="86"/>
    </x:row>
    <x:row r="141">
      <x:c r="A141" s="106"/>
      <x:c r="B141" s="106"/>
      <x:c r="C141" s="106"/>
      <x:c r="D141" s="114"/>
      <x:c r="E141" s="106"/>
      <x:c r="F141" s="113"/>
      <x:c r="G141" s="106"/>
      <x:c r="H141" s="106"/>
      <x:c r="I141" s="113"/>
      <x:c r="J141" s="113"/>
      <x:c r="K141" s="113"/>
      <x:c r="L141" s="113"/>
      <x:c r="M141" s="113"/>
      <x:c r="N141" s="106"/>
      <x:c r="O141" s="106"/>
      <x:c r="P141" s="121"/>
      <x:c r="Q141" s="86"/>
      <x:c r="R141" s="86"/>
      <x:c r="S141" s="86"/>
      <x:c r="T141" s="86"/>
      <x:c r="U141" s="86"/>
      <x:c r="V141" s="86"/>
      <x:c r="W141" s="86"/>
      <x:c r="X141" s="86"/>
      <x:c r="Y141" s="86"/>
      <x:c r="Z141" s="86"/>
    </x:row>
    <x:row r="142">
      <x:c r="A142" s="106"/>
      <x:c r="B142" s="106"/>
      <x:c r="C142" s="106"/>
      <x:c r="D142" s="114"/>
      <x:c r="E142" s="106"/>
      <x:c r="F142" s="113"/>
      <x:c r="G142" s="106"/>
      <x:c r="H142" s="106"/>
      <x:c r="I142" s="113"/>
      <x:c r="J142" s="113"/>
      <x:c r="K142" s="113"/>
      <x:c r="L142" s="113"/>
      <x:c r="M142" s="113"/>
      <x:c r="N142" s="106"/>
      <x:c r="O142" s="106"/>
      <x:c r="P142" s="121"/>
      <x:c r="Q142" s="86"/>
      <x:c r="R142" s="86"/>
      <x:c r="S142" s="86"/>
      <x:c r="T142" s="86"/>
      <x:c r="U142" s="86"/>
      <x:c r="V142" s="86"/>
      <x:c r="W142" s="86"/>
      <x:c r="X142" s="86"/>
      <x:c r="Y142" s="86"/>
      <x:c r="Z142" s="86"/>
    </x:row>
    <x:row r="143">
      <x:c r="A143" s="106"/>
      <x:c r="B143" s="106"/>
      <x:c r="C143" s="106"/>
      <x:c r="D143" s="114"/>
      <x:c r="E143" s="106"/>
      <x:c r="F143" s="113"/>
      <x:c r="G143" s="106"/>
      <x:c r="H143" s="106"/>
      <x:c r="I143" s="113"/>
      <x:c r="J143" s="113"/>
      <x:c r="K143" s="113"/>
      <x:c r="L143" s="113"/>
      <x:c r="M143" s="113"/>
      <x:c r="N143" s="106"/>
      <x:c r="O143" s="106"/>
      <x:c r="P143" s="121"/>
      <x:c r="Q143" s="86"/>
      <x:c r="R143" s="86"/>
      <x:c r="S143" s="86"/>
      <x:c r="T143" s="86"/>
      <x:c r="U143" s="86"/>
      <x:c r="V143" s="86"/>
      <x:c r="W143" s="86"/>
      <x:c r="X143" s="86"/>
      <x:c r="Y143" s="86"/>
      <x:c r="Z143" s="86"/>
    </x:row>
    <x:row r="144">
      <x:c r="A144" s="106"/>
      <x:c r="B144" s="106"/>
      <x:c r="C144" s="106"/>
      <x:c r="D144" s="114"/>
      <x:c r="E144" s="106"/>
      <x:c r="F144" s="113"/>
      <x:c r="G144" s="106"/>
      <x:c r="H144" s="106"/>
      <x:c r="I144" s="113"/>
      <x:c r="J144" s="113"/>
      <x:c r="K144" s="113"/>
      <x:c r="L144" s="113"/>
      <x:c r="M144" s="113"/>
      <x:c r="N144" s="106"/>
      <x:c r="O144" s="106"/>
      <x:c r="P144" s="121"/>
      <x:c r="Q144" s="86"/>
      <x:c r="R144" s="86"/>
      <x:c r="S144" s="86"/>
      <x:c r="T144" s="86"/>
      <x:c r="U144" s="86"/>
      <x:c r="V144" s="86"/>
      <x:c r="W144" s="86"/>
      <x:c r="X144" s="86"/>
      <x:c r="Y144" s="86"/>
      <x:c r="Z144" s="86"/>
    </x:row>
    <x:row r="145">
      <x:c r="A145" s="106"/>
      <x:c r="B145" s="106"/>
      <x:c r="C145" s="106"/>
      <x:c r="D145" s="114"/>
      <x:c r="E145" s="106"/>
      <x:c r="F145" s="113"/>
      <x:c r="G145" s="106"/>
      <x:c r="H145" s="106"/>
      <x:c r="I145" s="113"/>
      <x:c r="J145" s="113"/>
      <x:c r="K145" s="113"/>
      <x:c r="L145" s="113"/>
      <x:c r="M145" s="113"/>
      <x:c r="N145" s="106"/>
      <x:c r="O145" s="106"/>
      <x:c r="P145" s="121"/>
      <x:c r="Q145" s="86"/>
      <x:c r="R145" s="86"/>
      <x:c r="S145" s="86"/>
      <x:c r="T145" s="86"/>
      <x:c r="U145" s="86"/>
      <x:c r="V145" s="86"/>
      <x:c r="W145" s="86"/>
      <x:c r="X145" s="86"/>
      <x:c r="Y145" s="86"/>
      <x:c r="Z145" s="86"/>
    </x:row>
    <x:row r="146">
      <x:c r="A146" s="106"/>
      <x:c r="B146" s="106"/>
      <x:c r="C146" s="106"/>
      <x:c r="D146" s="114"/>
      <x:c r="E146" s="106"/>
      <x:c r="F146" s="113"/>
      <x:c r="G146" s="106"/>
      <x:c r="H146" s="106"/>
      <x:c r="I146" s="113"/>
      <x:c r="J146" s="113"/>
      <x:c r="K146" s="113"/>
      <x:c r="L146" s="113"/>
      <x:c r="M146" s="113"/>
      <x:c r="N146" s="106"/>
      <x:c r="O146" s="106"/>
      <x:c r="P146" s="121"/>
      <x:c r="Q146" s="86"/>
      <x:c r="R146" s="86"/>
      <x:c r="S146" s="86"/>
      <x:c r="T146" s="86"/>
      <x:c r="U146" s="86"/>
      <x:c r="V146" s="86"/>
      <x:c r="W146" s="86"/>
      <x:c r="X146" s="86"/>
      <x:c r="Y146" s="86"/>
      <x:c r="Z146" s="86"/>
    </x:row>
    <x:row r="147">
      <x:c r="A147" s="106"/>
      <x:c r="B147" s="106"/>
      <x:c r="C147" s="106"/>
      <x:c r="D147" s="114"/>
      <x:c r="E147" s="106"/>
      <x:c r="F147" s="113"/>
      <x:c r="G147" s="106"/>
      <x:c r="H147" s="106"/>
      <x:c r="I147" s="113"/>
      <x:c r="J147" s="113"/>
      <x:c r="K147" s="113"/>
      <x:c r="L147" s="113"/>
      <x:c r="M147" s="113"/>
      <x:c r="N147" s="106"/>
      <x:c r="O147" s="106"/>
      <x:c r="P147" s="121"/>
      <x:c r="Q147" s="86"/>
      <x:c r="R147" s="86"/>
      <x:c r="S147" s="86"/>
      <x:c r="T147" s="86"/>
      <x:c r="U147" s="86"/>
      <x:c r="V147" s="86"/>
      <x:c r="W147" s="86"/>
      <x:c r="X147" s="86"/>
      <x:c r="Y147" s="86"/>
      <x:c r="Z147" s="86"/>
    </x:row>
    <x:row r="148">
      <x:c r="A148" s="106"/>
      <x:c r="B148" s="106"/>
      <x:c r="C148" s="106"/>
      <x:c r="D148" s="114"/>
      <x:c r="E148" s="106"/>
      <x:c r="F148" s="113"/>
      <x:c r="G148" s="106"/>
      <x:c r="H148" s="106"/>
      <x:c r="I148" s="113"/>
      <x:c r="J148" s="113"/>
      <x:c r="K148" s="113"/>
      <x:c r="L148" s="113"/>
      <x:c r="M148" s="113"/>
      <x:c r="N148" s="106"/>
      <x:c r="O148" s="106"/>
      <x:c r="P148" s="121"/>
      <x:c r="Q148" s="86"/>
      <x:c r="R148" s="86"/>
      <x:c r="S148" s="86"/>
      <x:c r="T148" s="86"/>
      <x:c r="U148" s="86"/>
      <x:c r="V148" s="86"/>
      <x:c r="W148" s="86"/>
      <x:c r="X148" s="86"/>
      <x:c r="Y148" s="86"/>
      <x:c r="Z148" s="86"/>
    </x:row>
    <x:row r="149">
      <x:c r="A149" s="106"/>
      <x:c r="B149" s="106"/>
      <x:c r="C149" s="106"/>
      <x:c r="D149" s="114"/>
      <x:c r="E149" s="106"/>
      <x:c r="F149" s="113"/>
      <x:c r="G149" s="106"/>
      <x:c r="H149" s="106"/>
      <x:c r="I149" s="113"/>
      <x:c r="J149" s="113"/>
      <x:c r="K149" s="113"/>
      <x:c r="L149" s="113"/>
      <x:c r="M149" s="113"/>
      <x:c r="N149" s="106"/>
      <x:c r="O149" s="106"/>
      <x:c r="P149" s="121"/>
      <x:c r="Q149" s="86"/>
      <x:c r="R149" s="86"/>
      <x:c r="S149" s="86"/>
      <x:c r="T149" s="86"/>
      <x:c r="U149" s="86"/>
      <x:c r="V149" s="86"/>
      <x:c r="W149" s="86"/>
      <x:c r="X149" s="86"/>
      <x:c r="Y149" s="86"/>
      <x:c r="Z149" s="86"/>
    </x:row>
    <x:row r="150">
      <x:c r="A150" s="106"/>
      <x:c r="B150" s="106"/>
      <x:c r="C150" s="106"/>
      <x:c r="D150" s="114"/>
      <x:c r="E150" s="106"/>
      <x:c r="F150" s="113"/>
      <x:c r="G150" s="106"/>
      <x:c r="H150" s="106"/>
      <x:c r="I150" s="113"/>
      <x:c r="J150" s="113"/>
      <x:c r="K150" s="113"/>
      <x:c r="L150" s="113"/>
      <x:c r="M150" s="113"/>
      <x:c r="N150" s="106"/>
      <x:c r="O150" s="106"/>
      <x:c r="P150" s="121"/>
      <x:c r="Q150" s="86"/>
      <x:c r="R150" s="86"/>
      <x:c r="S150" s="86"/>
      <x:c r="T150" s="86"/>
      <x:c r="U150" s="86"/>
      <x:c r="V150" s="86"/>
      <x:c r="W150" s="86"/>
      <x:c r="X150" s="86"/>
      <x:c r="Y150" s="86"/>
      <x:c r="Z150" s="86"/>
    </x:row>
    <x:row r="151">
      <x:c r="A151" s="106"/>
      <x:c r="B151" s="106"/>
      <x:c r="C151" s="106"/>
      <x:c r="D151" s="114"/>
      <x:c r="E151" s="106"/>
      <x:c r="F151" s="113"/>
      <x:c r="G151" s="106"/>
      <x:c r="H151" s="106"/>
      <x:c r="I151" s="113"/>
      <x:c r="J151" s="113"/>
      <x:c r="K151" s="113"/>
      <x:c r="L151" s="113"/>
      <x:c r="M151" s="113"/>
      <x:c r="N151" s="106"/>
      <x:c r="O151" s="106"/>
      <x:c r="P151" s="121"/>
      <x:c r="Q151" s="86"/>
      <x:c r="R151" s="86"/>
      <x:c r="S151" s="86"/>
      <x:c r="T151" s="86"/>
      <x:c r="U151" s="86"/>
      <x:c r="V151" s="86"/>
      <x:c r="W151" s="86"/>
      <x:c r="X151" s="86"/>
      <x:c r="Y151" s="86"/>
      <x:c r="Z151" s="86"/>
    </x:row>
    <x:row r="152">
      <x:c r="A152" s="106"/>
      <x:c r="B152" s="106"/>
      <x:c r="C152" s="106"/>
      <x:c r="D152" s="114"/>
      <x:c r="E152" s="106"/>
      <x:c r="F152" s="113"/>
      <x:c r="G152" s="106"/>
      <x:c r="H152" s="106"/>
      <x:c r="I152" s="113"/>
      <x:c r="J152" s="113"/>
      <x:c r="K152" s="113"/>
      <x:c r="L152" s="113"/>
      <x:c r="M152" s="113"/>
      <x:c r="N152" s="106"/>
      <x:c r="O152" s="106"/>
      <x:c r="P152" s="121"/>
      <x:c r="Q152" s="86"/>
      <x:c r="R152" s="86"/>
      <x:c r="S152" s="86"/>
      <x:c r="T152" s="86"/>
      <x:c r="U152" s="86"/>
      <x:c r="V152" s="86"/>
      <x:c r="W152" s="86"/>
      <x:c r="X152" s="86"/>
      <x:c r="Y152" s="86"/>
      <x:c r="Z152" s="86"/>
    </x:row>
    <x:row r="153">
      <x:c r="A153" s="106"/>
      <x:c r="B153" s="106"/>
      <x:c r="C153" s="106"/>
      <x:c r="D153" s="114"/>
      <x:c r="E153" s="106"/>
      <x:c r="F153" s="113"/>
      <x:c r="G153" s="106"/>
      <x:c r="H153" s="106"/>
      <x:c r="I153" s="113"/>
      <x:c r="J153" s="113"/>
      <x:c r="K153" s="113"/>
      <x:c r="L153" s="113"/>
      <x:c r="M153" s="113"/>
      <x:c r="N153" s="106"/>
      <x:c r="O153" s="106"/>
      <x:c r="P153" s="121"/>
      <x:c r="Q153" s="86"/>
      <x:c r="R153" s="86"/>
      <x:c r="S153" s="86"/>
      <x:c r="T153" s="86"/>
      <x:c r="U153" s="86"/>
      <x:c r="V153" s="86"/>
      <x:c r="W153" s="86"/>
      <x:c r="X153" s="86"/>
      <x:c r="Y153" s="86"/>
      <x:c r="Z153" s="86"/>
    </x:row>
    <x:row r="154">
      <x:c r="A154" s="106"/>
      <x:c r="B154" s="106"/>
      <x:c r="C154" s="106"/>
      <x:c r="D154" s="114"/>
      <x:c r="E154" s="106"/>
      <x:c r="F154" s="113"/>
      <x:c r="G154" s="106"/>
      <x:c r="H154" s="106"/>
      <x:c r="I154" s="113"/>
      <x:c r="J154" s="113"/>
      <x:c r="K154" s="113"/>
      <x:c r="L154" s="113"/>
      <x:c r="M154" s="113"/>
      <x:c r="N154" s="106"/>
      <x:c r="O154" s="106"/>
      <x:c r="P154" s="121"/>
      <x:c r="Q154" s="86"/>
      <x:c r="R154" s="86"/>
      <x:c r="S154" s="86"/>
      <x:c r="T154" s="86"/>
      <x:c r="U154" s="86"/>
      <x:c r="V154" s="86"/>
      <x:c r="W154" s="86"/>
      <x:c r="X154" s="86"/>
      <x:c r="Y154" s="86"/>
      <x:c r="Z154" s="86"/>
    </x:row>
    <x:row r="155">
      <x:c r="A155" s="106"/>
      <x:c r="B155" s="106"/>
      <x:c r="C155" s="106"/>
      <x:c r="D155" s="114"/>
      <x:c r="E155" s="106"/>
      <x:c r="F155" s="113"/>
      <x:c r="G155" s="106"/>
      <x:c r="H155" s="106"/>
      <x:c r="I155" s="113"/>
      <x:c r="J155" s="113"/>
      <x:c r="K155" s="113"/>
      <x:c r="L155" s="113"/>
      <x:c r="M155" s="113"/>
      <x:c r="N155" s="106"/>
      <x:c r="O155" s="106"/>
      <x:c r="P155" s="121"/>
      <x:c r="Q155" s="86"/>
      <x:c r="R155" s="86"/>
      <x:c r="S155" s="86"/>
      <x:c r="T155" s="86"/>
      <x:c r="U155" s="86"/>
      <x:c r="V155" s="86"/>
      <x:c r="W155" s="86"/>
      <x:c r="X155" s="86"/>
      <x:c r="Y155" s="86"/>
      <x:c r="Z155" s="86"/>
    </x:row>
    <x:row r="156">
      <x:c r="A156" s="106"/>
      <x:c r="B156" s="106"/>
      <x:c r="C156" s="106"/>
      <x:c r="D156" s="114"/>
      <x:c r="E156" s="106"/>
      <x:c r="F156" s="113"/>
      <x:c r="G156" s="106"/>
      <x:c r="H156" s="106"/>
      <x:c r="I156" s="113"/>
      <x:c r="J156" s="113"/>
      <x:c r="K156" s="113"/>
      <x:c r="L156" s="113"/>
      <x:c r="M156" s="113"/>
      <x:c r="N156" s="106"/>
      <x:c r="O156" s="106"/>
      <x:c r="P156" s="121"/>
      <x:c r="Q156" s="86"/>
      <x:c r="R156" s="86"/>
      <x:c r="S156" s="86"/>
      <x:c r="T156" s="86"/>
      <x:c r="U156" s="86"/>
      <x:c r="V156" s="86"/>
      <x:c r="W156" s="86"/>
      <x:c r="X156" s="86"/>
      <x:c r="Y156" s="86"/>
      <x:c r="Z156" s="86"/>
    </x:row>
    <x:row r="157">
      <x:c r="A157" s="106"/>
      <x:c r="B157" s="106"/>
      <x:c r="C157" s="106"/>
      <x:c r="D157" s="114"/>
      <x:c r="E157" s="106"/>
      <x:c r="F157" s="113"/>
      <x:c r="G157" s="106"/>
      <x:c r="H157" s="106"/>
      <x:c r="I157" s="113"/>
      <x:c r="J157" s="113"/>
      <x:c r="K157" s="113"/>
      <x:c r="L157" s="113"/>
      <x:c r="M157" s="113"/>
      <x:c r="N157" s="106"/>
      <x:c r="O157" s="106"/>
      <x:c r="P157" s="121"/>
      <x:c r="Q157" s="86"/>
      <x:c r="R157" s="86"/>
      <x:c r="S157" s="86"/>
      <x:c r="T157" s="86"/>
      <x:c r="U157" s="86"/>
      <x:c r="V157" s="86"/>
      <x:c r="W157" s="86"/>
      <x:c r="X157" s="86"/>
      <x:c r="Y157" s="86"/>
      <x:c r="Z157" s="86"/>
    </x:row>
    <x:row r="158">
      <x:c r="A158" s="106"/>
      <x:c r="B158" s="106"/>
      <x:c r="C158" s="106"/>
      <x:c r="D158" s="114"/>
      <x:c r="E158" s="106"/>
      <x:c r="F158" s="113"/>
      <x:c r="G158" s="106"/>
      <x:c r="H158" s="106"/>
      <x:c r="I158" s="113"/>
      <x:c r="J158" s="113"/>
      <x:c r="K158" s="113"/>
      <x:c r="L158" s="113"/>
      <x:c r="M158" s="113"/>
      <x:c r="N158" s="106"/>
      <x:c r="O158" s="106"/>
      <x:c r="P158" s="121"/>
      <x:c r="Q158" s="86"/>
      <x:c r="R158" s="86"/>
      <x:c r="S158" s="86"/>
      <x:c r="T158" s="86"/>
      <x:c r="U158" s="86"/>
      <x:c r="V158" s="86"/>
      <x:c r="W158" s="86"/>
      <x:c r="X158" s="86"/>
      <x:c r="Y158" s="86"/>
      <x:c r="Z158" s="86"/>
    </x:row>
    <x:row r="159">
      <x:c r="A159" s="106"/>
      <x:c r="B159" s="106"/>
      <x:c r="C159" s="106"/>
      <x:c r="D159" s="114"/>
      <x:c r="E159" s="106"/>
      <x:c r="F159" s="113"/>
      <x:c r="G159" s="106"/>
      <x:c r="H159" s="106"/>
      <x:c r="I159" s="113"/>
      <x:c r="J159" s="113"/>
      <x:c r="K159" s="113"/>
      <x:c r="L159" s="113"/>
      <x:c r="M159" s="113"/>
      <x:c r="N159" s="106"/>
      <x:c r="O159" s="106"/>
      <x:c r="P159" s="121"/>
      <x:c r="Q159" s="86"/>
      <x:c r="R159" s="86"/>
      <x:c r="S159" s="86"/>
      <x:c r="T159" s="86"/>
      <x:c r="U159" s="86"/>
      <x:c r="V159" s="86"/>
      <x:c r="W159" s="86"/>
      <x:c r="X159" s="86"/>
      <x:c r="Y159" s="86"/>
      <x:c r="Z159" s="86"/>
    </x:row>
    <x:row r="160">
      <x:c r="A160" s="106"/>
      <x:c r="B160" s="106"/>
      <x:c r="C160" s="106"/>
      <x:c r="D160" s="114"/>
      <x:c r="E160" s="106"/>
      <x:c r="F160" s="113"/>
      <x:c r="G160" s="106"/>
      <x:c r="H160" s="106"/>
      <x:c r="I160" s="113"/>
      <x:c r="J160" s="113"/>
      <x:c r="K160" s="113"/>
      <x:c r="L160" s="113"/>
      <x:c r="M160" s="113"/>
      <x:c r="N160" s="106"/>
      <x:c r="O160" s="106"/>
      <x:c r="P160" s="121"/>
      <x:c r="Q160" s="86"/>
      <x:c r="R160" s="86"/>
      <x:c r="S160" s="86"/>
      <x:c r="T160" s="86"/>
      <x:c r="U160" s="86"/>
      <x:c r="V160" s="86"/>
      <x:c r="W160" s="86"/>
      <x:c r="X160" s="86"/>
      <x:c r="Y160" s="86"/>
      <x:c r="Z160" s="86"/>
    </x:row>
    <x:row r="161">
      <x:c r="A161" s="106"/>
      <x:c r="B161" s="106"/>
      <x:c r="C161" s="106"/>
      <x:c r="D161" s="114"/>
      <x:c r="E161" s="106"/>
      <x:c r="F161" s="113"/>
      <x:c r="G161" s="106"/>
      <x:c r="H161" s="106"/>
      <x:c r="I161" s="113"/>
      <x:c r="J161" s="113"/>
      <x:c r="K161" s="113"/>
      <x:c r="L161" s="113"/>
      <x:c r="M161" s="113"/>
      <x:c r="N161" s="106"/>
      <x:c r="O161" s="106"/>
      <x:c r="P161" s="121"/>
      <x:c r="Q161" s="86"/>
      <x:c r="R161" s="86"/>
      <x:c r="S161" s="86"/>
      <x:c r="T161" s="86"/>
      <x:c r="U161" s="86"/>
      <x:c r="V161" s="86"/>
      <x:c r="W161" s="86"/>
      <x:c r="X161" s="86"/>
      <x:c r="Y161" s="86"/>
      <x:c r="Z161" s="86"/>
    </x:row>
    <x:row r="162">
      <x:c r="A162" s="106"/>
      <x:c r="B162" s="106"/>
      <x:c r="C162" s="106"/>
      <x:c r="D162" s="114"/>
      <x:c r="E162" s="106"/>
      <x:c r="F162" s="113"/>
      <x:c r="G162" s="106"/>
      <x:c r="H162" s="106"/>
      <x:c r="I162" s="113"/>
      <x:c r="J162" s="113"/>
      <x:c r="K162" s="113"/>
      <x:c r="L162" s="113"/>
      <x:c r="M162" s="113"/>
      <x:c r="N162" s="106"/>
      <x:c r="O162" s="106"/>
      <x:c r="P162" s="121"/>
      <x:c r="Q162" s="86"/>
      <x:c r="R162" s="86"/>
      <x:c r="S162" s="86"/>
      <x:c r="T162" s="86"/>
      <x:c r="U162" s="86"/>
      <x:c r="V162" s="86"/>
      <x:c r="W162" s="86"/>
      <x:c r="X162" s="86"/>
      <x:c r="Y162" s="86"/>
      <x:c r="Z162" s="86"/>
    </x:row>
    <x:row r="163">
      <x:c r="A163" s="106"/>
      <x:c r="B163" s="106"/>
      <x:c r="C163" s="106"/>
      <x:c r="D163" s="114"/>
      <x:c r="E163" s="106"/>
      <x:c r="F163" s="113"/>
      <x:c r="G163" s="106"/>
      <x:c r="H163" s="106"/>
      <x:c r="I163" s="113"/>
      <x:c r="J163" s="113"/>
      <x:c r="K163" s="113"/>
      <x:c r="L163" s="113"/>
      <x:c r="M163" s="113"/>
      <x:c r="N163" s="106"/>
      <x:c r="O163" s="106"/>
      <x:c r="P163" s="121"/>
      <x:c r="Q163" s="86"/>
      <x:c r="R163" s="86"/>
      <x:c r="S163" s="86"/>
      <x:c r="T163" s="86"/>
      <x:c r="U163" s="86"/>
      <x:c r="V163" s="86"/>
      <x:c r="W163" s="86"/>
      <x:c r="X163" s="86"/>
      <x:c r="Y163" s="86"/>
      <x:c r="Z163" s="86"/>
    </x:row>
    <x:row r="164">
      <x:c r="A164" s="106"/>
      <x:c r="B164" s="106"/>
      <x:c r="C164" s="106"/>
      <x:c r="D164" s="114"/>
      <x:c r="E164" s="106"/>
      <x:c r="F164" s="113"/>
      <x:c r="G164" s="106"/>
      <x:c r="H164" s="106"/>
      <x:c r="I164" s="113"/>
      <x:c r="J164" s="113"/>
      <x:c r="K164" s="113"/>
      <x:c r="L164" s="113"/>
      <x:c r="M164" s="113"/>
      <x:c r="N164" s="106"/>
      <x:c r="O164" s="106"/>
      <x:c r="P164" s="121"/>
      <x:c r="Q164" s="86"/>
      <x:c r="R164" s="86"/>
      <x:c r="S164" s="86"/>
      <x:c r="T164" s="86"/>
      <x:c r="U164" s="86"/>
      <x:c r="V164" s="86"/>
      <x:c r="W164" s="86"/>
      <x:c r="X164" s="86"/>
      <x:c r="Y164" s="86"/>
      <x:c r="Z164" s="86"/>
    </x:row>
    <x:row r="165">
      <x:c r="A165" s="106"/>
      <x:c r="B165" s="106"/>
      <x:c r="C165" s="106"/>
      <x:c r="D165" s="114"/>
      <x:c r="E165" s="106"/>
      <x:c r="F165" s="113"/>
      <x:c r="G165" s="106"/>
      <x:c r="H165" s="106"/>
      <x:c r="I165" s="113"/>
      <x:c r="J165" s="113"/>
      <x:c r="K165" s="113"/>
      <x:c r="L165" s="113"/>
      <x:c r="M165" s="113"/>
      <x:c r="N165" s="106"/>
      <x:c r="O165" s="106"/>
      <x:c r="P165" s="121"/>
      <x:c r="Q165" s="86"/>
      <x:c r="R165" s="86"/>
      <x:c r="S165" s="86"/>
      <x:c r="T165" s="86"/>
      <x:c r="U165" s="86"/>
      <x:c r="V165" s="86"/>
      <x:c r="W165" s="86"/>
      <x:c r="X165" s="86"/>
      <x:c r="Y165" s="86"/>
      <x:c r="Z165" s="86"/>
    </x:row>
    <x:row r="166">
      <x:c r="A166" s="106"/>
      <x:c r="B166" s="106"/>
      <x:c r="C166" s="106"/>
      <x:c r="D166" s="114"/>
      <x:c r="E166" s="106"/>
      <x:c r="F166" s="113"/>
      <x:c r="G166" s="106"/>
      <x:c r="H166" s="106"/>
      <x:c r="I166" s="113"/>
      <x:c r="J166" s="113"/>
      <x:c r="K166" s="113"/>
      <x:c r="L166" s="113"/>
      <x:c r="M166" s="113"/>
      <x:c r="N166" s="106"/>
      <x:c r="O166" s="106"/>
      <x:c r="P166" s="121"/>
      <x:c r="Q166" s="86"/>
      <x:c r="R166" s="86"/>
      <x:c r="S166" s="86"/>
      <x:c r="T166" s="86"/>
      <x:c r="U166" s="86"/>
      <x:c r="V166" s="86"/>
      <x:c r="W166" s="86"/>
      <x:c r="X166" s="86"/>
      <x:c r="Y166" s="86"/>
      <x:c r="Z166" s="86"/>
    </x:row>
    <x:row r="167">
      <x:c r="A167" s="106"/>
      <x:c r="B167" s="106"/>
      <x:c r="C167" s="106"/>
      <x:c r="D167" s="114"/>
      <x:c r="E167" s="106"/>
      <x:c r="F167" s="113"/>
      <x:c r="G167" s="106"/>
      <x:c r="H167" s="106"/>
      <x:c r="I167" s="113"/>
      <x:c r="J167" s="113"/>
      <x:c r="K167" s="113"/>
      <x:c r="L167" s="113"/>
      <x:c r="M167" s="113"/>
      <x:c r="N167" s="106"/>
      <x:c r="O167" s="106"/>
      <x:c r="P167" s="121"/>
      <x:c r="Q167" s="86"/>
      <x:c r="R167" s="86"/>
      <x:c r="S167" s="86"/>
      <x:c r="T167" s="86"/>
      <x:c r="U167" s="86"/>
      <x:c r="V167" s="86"/>
      <x:c r="W167" s="86"/>
      <x:c r="X167" s="86"/>
      <x:c r="Y167" s="86"/>
      <x:c r="Z167" s="86"/>
    </x:row>
    <x:row r="168">
      <x:c r="A168" s="106"/>
      <x:c r="B168" s="106"/>
      <x:c r="C168" s="106"/>
      <x:c r="D168" s="114"/>
      <x:c r="E168" s="106"/>
      <x:c r="F168" s="113"/>
      <x:c r="G168" s="106"/>
      <x:c r="H168" s="106"/>
      <x:c r="I168" s="113"/>
      <x:c r="J168" s="113"/>
      <x:c r="K168" s="113"/>
      <x:c r="L168" s="113"/>
      <x:c r="M168" s="113"/>
      <x:c r="N168" s="106"/>
      <x:c r="O168" s="106"/>
      <x:c r="P168" s="121"/>
      <x:c r="Q168" s="86"/>
      <x:c r="R168" s="86"/>
      <x:c r="S168" s="86"/>
      <x:c r="T168" s="86"/>
      <x:c r="U168" s="86"/>
      <x:c r="V168" s="86"/>
      <x:c r="W168" s="86"/>
      <x:c r="X168" s="86"/>
      <x:c r="Y168" s="86"/>
      <x:c r="Z168" s="86"/>
    </x:row>
    <x:row r="169">
      <x:c r="A169" s="106"/>
      <x:c r="B169" s="106"/>
      <x:c r="C169" s="106"/>
      <x:c r="D169" s="114"/>
      <x:c r="E169" s="106"/>
      <x:c r="F169" s="113"/>
      <x:c r="G169" s="106"/>
      <x:c r="H169" s="106"/>
      <x:c r="I169" s="113"/>
      <x:c r="J169" s="113"/>
      <x:c r="K169" s="113"/>
      <x:c r="L169" s="113"/>
      <x:c r="M169" s="113"/>
      <x:c r="N169" s="106"/>
      <x:c r="O169" s="106"/>
      <x:c r="P169" s="121"/>
      <x:c r="Q169" s="86"/>
      <x:c r="R169" s="86"/>
      <x:c r="S169" s="86"/>
      <x:c r="T169" s="86"/>
      <x:c r="U169" s="86"/>
      <x:c r="V169" s="86"/>
      <x:c r="W169" s="86"/>
      <x:c r="X169" s="86"/>
      <x:c r="Y169" s="86"/>
      <x:c r="Z169" s="86"/>
    </x:row>
    <x:row r="170">
      <x:c r="A170" s="106"/>
      <x:c r="B170" s="106"/>
      <x:c r="C170" s="106"/>
      <x:c r="D170" s="114"/>
      <x:c r="E170" s="106"/>
      <x:c r="F170" s="113"/>
      <x:c r="G170" s="106"/>
      <x:c r="H170" s="106"/>
      <x:c r="I170" s="113"/>
      <x:c r="J170" s="113"/>
      <x:c r="K170" s="113"/>
      <x:c r="L170" s="113"/>
      <x:c r="M170" s="113"/>
      <x:c r="N170" s="106"/>
      <x:c r="O170" s="106"/>
      <x:c r="P170" s="121"/>
      <x:c r="Q170" s="86"/>
      <x:c r="R170" s="86"/>
      <x:c r="S170" s="86"/>
      <x:c r="T170" s="86"/>
      <x:c r="U170" s="86"/>
      <x:c r="V170" s="86"/>
      <x:c r="W170" s="86"/>
      <x:c r="X170" s="86"/>
      <x:c r="Y170" s="86"/>
      <x:c r="Z170" s="86"/>
    </x:row>
    <x:row r="171">
      <x:c r="A171" s="106"/>
      <x:c r="B171" s="106"/>
      <x:c r="C171" s="106"/>
      <x:c r="D171" s="114"/>
      <x:c r="E171" s="106"/>
      <x:c r="F171" s="113"/>
      <x:c r="G171" s="106"/>
      <x:c r="H171" s="106"/>
      <x:c r="I171" s="113"/>
      <x:c r="J171" s="113"/>
      <x:c r="K171" s="113"/>
      <x:c r="L171" s="113"/>
      <x:c r="M171" s="113"/>
      <x:c r="N171" s="106"/>
      <x:c r="O171" s="106"/>
      <x:c r="P171" s="121"/>
      <x:c r="Q171" s="86"/>
      <x:c r="R171" s="86"/>
      <x:c r="S171" s="86"/>
      <x:c r="T171" s="86"/>
      <x:c r="U171" s="86"/>
      <x:c r="V171" s="86"/>
      <x:c r="W171" s="86"/>
      <x:c r="X171" s="86"/>
      <x:c r="Y171" s="86"/>
      <x:c r="Z171" s="86"/>
    </x:row>
    <x:row r="172">
      <x:c r="A172" s="106"/>
      <x:c r="B172" s="106"/>
      <x:c r="C172" s="106"/>
      <x:c r="D172" s="114"/>
      <x:c r="E172" s="106"/>
      <x:c r="F172" s="113"/>
      <x:c r="G172" s="106"/>
      <x:c r="H172" s="106"/>
      <x:c r="I172" s="113"/>
      <x:c r="J172" s="113"/>
      <x:c r="K172" s="113"/>
      <x:c r="L172" s="113"/>
      <x:c r="M172" s="113"/>
      <x:c r="N172" s="106"/>
      <x:c r="O172" s="106"/>
      <x:c r="P172" s="121"/>
      <x:c r="Q172" s="86"/>
      <x:c r="R172" s="86"/>
      <x:c r="S172" s="86"/>
      <x:c r="T172" s="86"/>
      <x:c r="U172" s="86"/>
      <x:c r="V172" s="86"/>
      <x:c r="W172" s="86"/>
      <x:c r="X172" s="86"/>
      <x:c r="Y172" s="86"/>
      <x:c r="Z172" s="86"/>
    </x:row>
    <x:row r="173">
      <x:c r="A173" s="106"/>
      <x:c r="B173" s="106"/>
      <x:c r="C173" s="106"/>
      <x:c r="D173" s="114"/>
      <x:c r="E173" s="106"/>
      <x:c r="F173" s="113"/>
      <x:c r="G173" s="106"/>
      <x:c r="H173" s="106"/>
      <x:c r="I173" s="113"/>
      <x:c r="J173" s="113"/>
      <x:c r="K173" s="113"/>
      <x:c r="L173" s="113"/>
      <x:c r="M173" s="113"/>
      <x:c r="N173" s="106"/>
      <x:c r="O173" s="106"/>
      <x:c r="P173" s="121"/>
      <x:c r="Q173" s="86"/>
      <x:c r="R173" s="86"/>
      <x:c r="S173" s="86"/>
      <x:c r="T173" s="86"/>
      <x:c r="U173" s="86"/>
      <x:c r="V173" s="86"/>
      <x:c r="W173" s="86"/>
      <x:c r="X173" s="86"/>
      <x:c r="Y173" s="86"/>
      <x:c r="Z173" s="86"/>
    </x:row>
    <x:row r="174">
      <x:c r="A174" s="106"/>
      <x:c r="B174" s="106"/>
      <x:c r="C174" s="106"/>
      <x:c r="D174" s="114"/>
      <x:c r="E174" s="106"/>
      <x:c r="F174" s="113"/>
      <x:c r="G174" s="106"/>
      <x:c r="H174" s="106"/>
      <x:c r="I174" s="113"/>
      <x:c r="J174" s="113"/>
      <x:c r="K174" s="113"/>
      <x:c r="L174" s="113"/>
      <x:c r="M174" s="113"/>
      <x:c r="N174" s="106"/>
      <x:c r="O174" s="106"/>
      <x:c r="P174" s="121"/>
      <x:c r="Q174" s="86"/>
      <x:c r="R174" s="86"/>
      <x:c r="S174" s="86"/>
      <x:c r="T174" s="86"/>
      <x:c r="U174" s="86"/>
      <x:c r="V174" s="86"/>
      <x:c r="W174" s="86"/>
      <x:c r="X174" s="86"/>
      <x:c r="Y174" s="86"/>
      <x:c r="Z174" s="86"/>
    </x:row>
    <x:row r="175">
      <x:c r="A175" s="106"/>
      <x:c r="B175" s="106"/>
      <x:c r="C175" s="106"/>
      <x:c r="D175" s="114"/>
      <x:c r="E175" s="106"/>
      <x:c r="F175" s="113"/>
      <x:c r="G175" s="106"/>
      <x:c r="H175" s="106"/>
      <x:c r="I175" s="113"/>
      <x:c r="J175" s="113"/>
      <x:c r="K175" s="113"/>
      <x:c r="L175" s="113"/>
      <x:c r="M175" s="113"/>
      <x:c r="N175" s="106"/>
      <x:c r="O175" s="106"/>
      <x:c r="P175" s="121"/>
      <x:c r="Q175" s="86"/>
      <x:c r="R175" s="86"/>
      <x:c r="S175" s="86"/>
      <x:c r="T175" s="86"/>
      <x:c r="U175" s="86"/>
      <x:c r="V175" s="86"/>
      <x:c r="W175" s="86"/>
      <x:c r="X175" s="86"/>
      <x:c r="Y175" s="86"/>
      <x:c r="Z175" s="86"/>
    </x:row>
    <x:row r="176">
      <x:c r="A176" s="106"/>
      <x:c r="B176" s="106"/>
      <x:c r="C176" s="106"/>
      <x:c r="D176" s="114"/>
      <x:c r="E176" s="106"/>
      <x:c r="F176" s="113"/>
      <x:c r="G176" s="106"/>
      <x:c r="H176" s="106"/>
      <x:c r="I176" s="113"/>
      <x:c r="J176" s="113"/>
      <x:c r="K176" s="113"/>
      <x:c r="L176" s="113"/>
      <x:c r="M176" s="113"/>
      <x:c r="N176" s="106"/>
      <x:c r="O176" s="106"/>
      <x:c r="P176" s="121"/>
      <x:c r="Q176" s="86"/>
      <x:c r="R176" s="86"/>
      <x:c r="S176" s="86"/>
      <x:c r="T176" s="86"/>
      <x:c r="U176" s="86"/>
      <x:c r="V176" s="86"/>
      <x:c r="W176" s="86"/>
      <x:c r="X176" s="86"/>
      <x:c r="Y176" s="86"/>
      <x:c r="Z176" s="86"/>
    </x:row>
    <x:row r="177">
      <x:c r="A177" s="106"/>
      <x:c r="B177" s="106"/>
      <x:c r="C177" s="106"/>
      <x:c r="D177" s="114"/>
      <x:c r="E177" s="106"/>
      <x:c r="F177" s="113"/>
      <x:c r="G177" s="106"/>
      <x:c r="H177" s="106"/>
      <x:c r="I177" s="113"/>
      <x:c r="J177" s="113"/>
      <x:c r="K177" s="113"/>
      <x:c r="L177" s="113"/>
      <x:c r="M177" s="113"/>
      <x:c r="N177" s="106"/>
      <x:c r="O177" s="106"/>
      <x:c r="P177" s="121"/>
      <x:c r="Q177" s="86"/>
      <x:c r="R177" s="86"/>
      <x:c r="S177" s="86"/>
      <x:c r="T177" s="86"/>
      <x:c r="U177" s="86"/>
      <x:c r="V177" s="86"/>
      <x:c r="W177" s="86"/>
      <x:c r="X177" s="86"/>
      <x:c r="Y177" s="86"/>
      <x:c r="Z177" s="86"/>
    </x:row>
    <x:row r="178">
      <x:c r="A178" s="106"/>
      <x:c r="B178" s="106"/>
      <x:c r="C178" s="106"/>
      <x:c r="D178" s="114"/>
      <x:c r="E178" s="106"/>
      <x:c r="F178" s="113"/>
      <x:c r="G178" s="106"/>
      <x:c r="H178" s="106"/>
      <x:c r="I178" s="113"/>
      <x:c r="J178" s="113"/>
      <x:c r="K178" s="113"/>
      <x:c r="L178" s="113"/>
      <x:c r="M178" s="113"/>
      <x:c r="N178" s="106"/>
      <x:c r="O178" s="106"/>
      <x:c r="P178" s="121"/>
      <x:c r="Q178" s="86"/>
      <x:c r="R178" s="86"/>
      <x:c r="S178" s="86"/>
      <x:c r="T178" s="86"/>
      <x:c r="U178" s="86"/>
      <x:c r="V178" s="86"/>
      <x:c r="W178" s="86"/>
      <x:c r="X178" s="86"/>
      <x:c r="Y178" s="86"/>
      <x:c r="Z178" s="86"/>
    </x:row>
    <x:row r="179">
      <x:c r="A179" s="106"/>
      <x:c r="B179" s="106"/>
      <x:c r="C179" s="106"/>
      <x:c r="D179" s="114"/>
      <x:c r="E179" s="106"/>
      <x:c r="F179" s="113"/>
      <x:c r="G179" s="106"/>
      <x:c r="H179" s="106"/>
      <x:c r="I179" s="113"/>
      <x:c r="J179" s="113"/>
      <x:c r="K179" s="113"/>
      <x:c r="L179" s="113"/>
      <x:c r="M179" s="113"/>
      <x:c r="N179" s="106"/>
      <x:c r="O179" s="106"/>
      <x:c r="P179" s="121"/>
      <x:c r="Q179" s="86"/>
      <x:c r="R179" s="86"/>
      <x:c r="S179" s="86"/>
      <x:c r="T179" s="86"/>
      <x:c r="U179" s="86"/>
      <x:c r="V179" s="86"/>
      <x:c r="W179" s="86"/>
      <x:c r="X179" s="86"/>
      <x:c r="Y179" s="86"/>
      <x:c r="Z179" s="86"/>
    </x:row>
    <x:row r="180">
      <x:c r="A180" s="106"/>
      <x:c r="B180" s="106"/>
      <x:c r="C180" s="106"/>
      <x:c r="D180" s="114"/>
      <x:c r="E180" s="106"/>
      <x:c r="F180" s="113"/>
      <x:c r="G180" s="106"/>
      <x:c r="H180" s="106"/>
      <x:c r="I180" s="113"/>
      <x:c r="J180" s="113"/>
      <x:c r="K180" s="113"/>
      <x:c r="L180" s="113"/>
      <x:c r="M180" s="113"/>
      <x:c r="N180" s="106"/>
      <x:c r="O180" s="106"/>
      <x:c r="P180" s="121"/>
      <x:c r="Q180" s="86"/>
      <x:c r="R180" s="86"/>
      <x:c r="S180" s="86"/>
      <x:c r="T180" s="86"/>
      <x:c r="U180" s="86"/>
      <x:c r="V180" s="86"/>
      <x:c r="W180" s="86"/>
      <x:c r="X180" s="86"/>
      <x:c r="Y180" s="86"/>
      <x:c r="Z180" s="86"/>
    </x:row>
    <x:row r="181">
      <x:c r="A181" s="106"/>
      <x:c r="B181" s="106"/>
      <x:c r="C181" s="106"/>
      <x:c r="D181" s="114"/>
      <x:c r="E181" s="106"/>
      <x:c r="F181" s="113"/>
      <x:c r="G181" s="106"/>
      <x:c r="H181" s="106"/>
      <x:c r="I181" s="113"/>
      <x:c r="J181" s="113"/>
      <x:c r="K181" s="113"/>
      <x:c r="L181" s="113"/>
      <x:c r="M181" s="113"/>
      <x:c r="N181" s="106"/>
      <x:c r="O181" s="106"/>
      <x:c r="P181" s="121"/>
      <x:c r="Q181" s="86"/>
      <x:c r="R181" s="86"/>
      <x:c r="S181" s="86"/>
      <x:c r="T181" s="86"/>
      <x:c r="U181" s="86"/>
      <x:c r="V181" s="86"/>
      <x:c r="W181" s="86"/>
      <x:c r="X181" s="86"/>
      <x:c r="Y181" s="86"/>
      <x:c r="Z181" s="86"/>
    </x:row>
    <x:row r="182">
      <x:c r="A182" s="106"/>
      <x:c r="B182" s="106"/>
      <x:c r="C182" s="106"/>
      <x:c r="D182" s="114"/>
      <x:c r="E182" s="106"/>
      <x:c r="F182" s="113"/>
      <x:c r="G182" s="106"/>
      <x:c r="H182" s="106"/>
      <x:c r="I182" s="113"/>
      <x:c r="J182" s="113"/>
      <x:c r="K182" s="113"/>
      <x:c r="L182" s="113"/>
      <x:c r="M182" s="113"/>
      <x:c r="N182" s="106"/>
      <x:c r="O182" s="106"/>
      <x:c r="P182" s="121"/>
      <x:c r="Q182" s="86"/>
      <x:c r="R182" s="86"/>
      <x:c r="S182" s="86"/>
      <x:c r="T182" s="86"/>
      <x:c r="U182" s="86"/>
      <x:c r="V182" s="86"/>
      <x:c r="W182" s="86"/>
      <x:c r="X182" s="86"/>
      <x:c r="Y182" s="86"/>
      <x:c r="Z182" s="86"/>
    </x:row>
    <x:row r="183">
      <x:c r="A183" s="106"/>
      <x:c r="B183" s="106"/>
      <x:c r="C183" s="106"/>
      <x:c r="D183" s="114"/>
      <x:c r="E183" s="106"/>
      <x:c r="F183" s="113"/>
      <x:c r="G183" s="106"/>
      <x:c r="H183" s="106"/>
      <x:c r="I183" s="113"/>
      <x:c r="J183" s="113"/>
      <x:c r="K183" s="113"/>
      <x:c r="L183" s="113"/>
      <x:c r="M183" s="113"/>
      <x:c r="N183" s="106"/>
      <x:c r="O183" s="106"/>
      <x:c r="P183" s="121"/>
      <x:c r="Q183" s="86"/>
      <x:c r="R183" s="86"/>
      <x:c r="S183" s="86"/>
      <x:c r="T183" s="86"/>
      <x:c r="U183" s="86"/>
      <x:c r="V183" s="86"/>
      <x:c r="W183" s="86"/>
      <x:c r="X183" s="86"/>
      <x:c r="Y183" s="86"/>
      <x:c r="Z183" s="86"/>
    </x:row>
    <x:row r="184">
      <x:c r="A184" s="106"/>
      <x:c r="B184" s="106"/>
      <x:c r="C184" s="106"/>
      <x:c r="D184" s="114"/>
      <x:c r="E184" s="106"/>
      <x:c r="F184" s="113"/>
      <x:c r="G184" s="106"/>
      <x:c r="H184" s="106"/>
      <x:c r="I184" s="113"/>
      <x:c r="J184" s="113"/>
      <x:c r="K184" s="113"/>
      <x:c r="L184" s="113"/>
      <x:c r="M184" s="113"/>
      <x:c r="N184" s="106"/>
      <x:c r="O184" s="106"/>
      <x:c r="P184" s="121"/>
      <x:c r="Q184" s="86"/>
      <x:c r="R184" s="86"/>
      <x:c r="S184" s="86"/>
      <x:c r="T184" s="86"/>
      <x:c r="U184" s="86"/>
      <x:c r="V184" s="86"/>
      <x:c r="W184" s="86"/>
      <x:c r="X184" s="86"/>
      <x:c r="Y184" s="86"/>
      <x:c r="Z184" s="86"/>
    </x:row>
    <x:row r="185">
      <x:c r="A185" s="106"/>
      <x:c r="B185" s="106"/>
      <x:c r="C185" s="106"/>
      <x:c r="D185" s="114"/>
      <x:c r="E185" s="106"/>
      <x:c r="F185" s="113"/>
      <x:c r="G185" s="106"/>
      <x:c r="H185" s="106"/>
      <x:c r="I185" s="113"/>
      <x:c r="J185" s="113"/>
      <x:c r="K185" s="113"/>
      <x:c r="L185" s="113"/>
      <x:c r="M185" s="113"/>
      <x:c r="N185" s="106"/>
      <x:c r="O185" s="106"/>
      <x:c r="P185" s="121"/>
      <x:c r="Q185" s="86"/>
      <x:c r="R185" s="86"/>
      <x:c r="S185" s="86"/>
      <x:c r="T185" s="86"/>
      <x:c r="U185" s="86"/>
      <x:c r="V185" s="86"/>
      <x:c r="W185" s="86"/>
      <x:c r="X185" s="86"/>
      <x:c r="Y185" s="86"/>
      <x:c r="Z185" s="86"/>
    </x:row>
    <x:row r="186">
      <x:c r="A186" s="106"/>
      <x:c r="B186" s="106"/>
      <x:c r="C186" s="106"/>
      <x:c r="D186" s="114"/>
      <x:c r="E186" s="106"/>
      <x:c r="F186" s="113"/>
      <x:c r="G186" s="106"/>
      <x:c r="H186" s="106"/>
      <x:c r="I186" s="113"/>
      <x:c r="J186" s="113"/>
      <x:c r="K186" s="113"/>
      <x:c r="L186" s="113"/>
      <x:c r="M186" s="113"/>
      <x:c r="N186" s="106"/>
      <x:c r="O186" s="106"/>
      <x:c r="P186" s="121"/>
      <x:c r="Q186" s="86"/>
      <x:c r="R186" s="86"/>
      <x:c r="S186" s="86"/>
      <x:c r="T186" s="86"/>
      <x:c r="U186" s="86"/>
      <x:c r="V186" s="86"/>
      <x:c r="W186" s="86"/>
      <x:c r="X186" s="86"/>
      <x:c r="Y186" s="86"/>
      <x:c r="Z186" s="86"/>
    </x:row>
    <x:row r="187">
      <x:c r="A187" s="106"/>
      <x:c r="B187" s="106"/>
      <x:c r="C187" s="106"/>
      <x:c r="D187" s="114"/>
      <x:c r="E187" s="106"/>
      <x:c r="F187" s="113"/>
      <x:c r="G187" s="106"/>
      <x:c r="H187" s="106"/>
      <x:c r="I187" s="113"/>
      <x:c r="J187" s="113"/>
      <x:c r="K187" s="113"/>
      <x:c r="L187" s="113"/>
      <x:c r="M187" s="113"/>
      <x:c r="N187" s="106"/>
      <x:c r="O187" s="106"/>
      <x:c r="P187" s="121"/>
      <x:c r="Q187" s="86"/>
      <x:c r="R187" s="86"/>
      <x:c r="S187" s="86"/>
      <x:c r="T187" s="86"/>
      <x:c r="U187" s="86"/>
      <x:c r="V187" s="86"/>
      <x:c r="W187" s="86"/>
      <x:c r="X187" s="86"/>
      <x:c r="Y187" s="86"/>
      <x:c r="Z187" s="86"/>
    </x:row>
    <x:row r="188">
      <x:c r="A188" s="106"/>
      <x:c r="B188" s="106"/>
      <x:c r="C188" s="106"/>
      <x:c r="D188" s="114"/>
      <x:c r="E188" s="106"/>
      <x:c r="F188" s="113"/>
      <x:c r="G188" s="106"/>
      <x:c r="H188" s="106"/>
      <x:c r="I188" s="113"/>
      <x:c r="J188" s="113"/>
      <x:c r="K188" s="113"/>
      <x:c r="L188" s="113"/>
      <x:c r="M188" s="113"/>
      <x:c r="N188" s="106"/>
      <x:c r="O188" s="106"/>
      <x:c r="P188" s="121"/>
      <x:c r="Q188" s="86"/>
      <x:c r="R188" s="86"/>
      <x:c r="S188" s="86"/>
      <x:c r="T188" s="86"/>
      <x:c r="U188" s="86"/>
      <x:c r="V188" s="86"/>
      <x:c r="W188" s="86"/>
      <x:c r="X188" s="86"/>
      <x:c r="Y188" s="86"/>
      <x:c r="Z188" s="86"/>
    </x:row>
    <x:row r="189">
      <x:c r="A189" s="106"/>
      <x:c r="B189" s="106"/>
      <x:c r="C189" s="106"/>
      <x:c r="D189" s="114"/>
      <x:c r="E189" s="106"/>
      <x:c r="F189" s="113"/>
      <x:c r="G189" s="106"/>
      <x:c r="H189" s="106"/>
      <x:c r="I189" s="113"/>
      <x:c r="J189" s="113"/>
      <x:c r="K189" s="113"/>
      <x:c r="L189" s="113"/>
      <x:c r="M189" s="113"/>
      <x:c r="N189" s="106"/>
      <x:c r="O189" s="106"/>
      <x:c r="P189" s="121"/>
      <x:c r="Q189" s="86"/>
      <x:c r="R189" s="86"/>
      <x:c r="S189" s="86"/>
      <x:c r="T189" s="86"/>
      <x:c r="U189" s="86"/>
      <x:c r="V189" s="86"/>
      <x:c r="W189" s="86"/>
      <x:c r="X189" s="86"/>
      <x:c r="Y189" s="86"/>
      <x:c r="Z189" s="86"/>
    </x:row>
    <x:row r="190">
      <x:c r="A190" s="106"/>
      <x:c r="B190" s="106"/>
      <x:c r="C190" s="106"/>
      <x:c r="D190" s="114"/>
      <x:c r="E190" s="106"/>
      <x:c r="F190" s="113"/>
      <x:c r="G190" s="106"/>
      <x:c r="H190" s="106"/>
      <x:c r="I190" s="113"/>
      <x:c r="J190" s="113"/>
      <x:c r="K190" s="113"/>
      <x:c r="L190" s="113"/>
      <x:c r="M190" s="113"/>
      <x:c r="N190" s="106"/>
      <x:c r="O190" s="106"/>
      <x:c r="P190" s="121"/>
      <x:c r="Q190" s="86"/>
      <x:c r="R190" s="86"/>
      <x:c r="S190" s="86"/>
      <x:c r="T190" s="86"/>
      <x:c r="U190" s="86"/>
      <x:c r="V190" s="86"/>
      <x:c r="W190" s="86"/>
      <x:c r="X190" s="86"/>
      <x:c r="Y190" s="86"/>
      <x:c r="Z190" s="86"/>
    </x:row>
    <x:row r="191">
      <x:c r="A191" s="106"/>
      <x:c r="B191" s="106"/>
      <x:c r="C191" s="106"/>
      <x:c r="D191" s="114"/>
      <x:c r="E191" s="106"/>
      <x:c r="F191" s="113"/>
      <x:c r="G191" s="106"/>
      <x:c r="H191" s="106"/>
      <x:c r="I191" s="113"/>
      <x:c r="J191" s="113"/>
      <x:c r="K191" s="113"/>
      <x:c r="L191" s="113"/>
      <x:c r="M191" s="113"/>
      <x:c r="N191" s="106"/>
      <x:c r="O191" s="106"/>
      <x:c r="P191" s="121"/>
      <x:c r="Q191" s="86"/>
      <x:c r="R191" s="86"/>
      <x:c r="S191" s="86"/>
      <x:c r="T191" s="86"/>
      <x:c r="U191" s="86"/>
      <x:c r="V191" s="86"/>
      <x:c r="W191" s="86"/>
      <x:c r="X191" s="86"/>
      <x:c r="Y191" s="86"/>
      <x:c r="Z191" s="86"/>
    </x:row>
    <x:row r="192">
      <x:c r="A192" s="106"/>
      <x:c r="B192" s="106"/>
      <x:c r="C192" s="106"/>
      <x:c r="D192" s="114"/>
      <x:c r="E192" s="106"/>
      <x:c r="F192" s="113"/>
      <x:c r="G192" s="106"/>
      <x:c r="H192" s="106"/>
      <x:c r="I192" s="113"/>
      <x:c r="J192" s="113"/>
      <x:c r="K192" s="113"/>
      <x:c r="L192" s="113"/>
      <x:c r="M192" s="113"/>
      <x:c r="N192" s="106"/>
      <x:c r="O192" s="106"/>
      <x:c r="P192" s="121"/>
      <x:c r="Q192" s="86"/>
      <x:c r="R192" s="86"/>
      <x:c r="S192" s="86"/>
      <x:c r="T192" s="86"/>
      <x:c r="U192" s="86"/>
      <x:c r="V192" s="86"/>
      <x:c r="W192" s="86"/>
      <x:c r="X192" s="86"/>
      <x:c r="Y192" s="86"/>
      <x:c r="Z192" s="86"/>
    </x:row>
    <x:row r="193">
      <x:c r="A193" s="106"/>
      <x:c r="B193" s="106"/>
      <x:c r="C193" s="106"/>
      <x:c r="D193" s="114"/>
      <x:c r="E193" s="106"/>
      <x:c r="F193" s="113"/>
      <x:c r="G193" s="106"/>
      <x:c r="H193" s="106"/>
      <x:c r="I193" s="113"/>
      <x:c r="J193" s="113"/>
      <x:c r="K193" s="113"/>
      <x:c r="L193" s="113"/>
      <x:c r="M193" s="113"/>
      <x:c r="N193" s="106"/>
      <x:c r="O193" s="106"/>
      <x:c r="P193" s="121"/>
      <x:c r="Q193" s="86"/>
      <x:c r="R193" s="86"/>
      <x:c r="S193" s="86"/>
      <x:c r="T193" s="86"/>
      <x:c r="U193" s="86"/>
      <x:c r="V193" s="86"/>
      <x:c r="W193" s="86"/>
      <x:c r="X193" s="86"/>
      <x:c r="Y193" s="86"/>
      <x:c r="Z193" s="86"/>
    </x:row>
    <x:row r="194">
      <x:c r="A194" s="106"/>
      <x:c r="B194" s="106"/>
      <x:c r="C194" s="106"/>
      <x:c r="D194" s="114"/>
      <x:c r="E194" s="106"/>
      <x:c r="F194" s="113"/>
      <x:c r="G194" s="106"/>
      <x:c r="H194" s="106"/>
      <x:c r="I194" s="113"/>
      <x:c r="J194" s="113"/>
      <x:c r="K194" s="113"/>
      <x:c r="L194" s="113"/>
      <x:c r="M194" s="113"/>
      <x:c r="N194" s="106"/>
      <x:c r="O194" s="106"/>
      <x:c r="P194" s="121"/>
      <x:c r="Q194" s="86"/>
      <x:c r="R194" s="86"/>
      <x:c r="S194" s="86"/>
      <x:c r="T194" s="86"/>
      <x:c r="U194" s="86"/>
      <x:c r="V194" s="86"/>
      <x:c r="W194" s="86"/>
      <x:c r="X194" s="86"/>
      <x:c r="Y194" s="86"/>
      <x:c r="Z194" s="86"/>
    </x:row>
    <x:row r="195">
      <x:c r="A195" s="106"/>
      <x:c r="B195" s="106"/>
      <x:c r="C195" s="106"/>
      <x:c r="D195" s="114"/>
      <x:c r="E195" s="106"/>
      <x:c r="F195" s="113"/>
      <x:c r="G195" s="106"/>
      <x:c r="H195" s="106"/>
      <x:c r="I195" s="113"/>
      <x:c r="J195" s="113"/>
      <x:c r="K195" s="113"/>
      <x:c r="L195" s="113"/>
      <x:c r="M195" s="113"/>
      <x:c r="N195" s="106"/>
      <x:c r="O195" s="106"/>
      <x:c r="P195" s="121"/>
      <x:c r="Q195" s="86"/>
      <x:c r="R195" s="86"/>
      <x:c r="S195" s="86"/>
      <x:c r="T195" s="86"/>
      <x:c r="U195" s="86"/>
      <x:c r="V195" s="86"/>
      <x:c r="W195" s="86"/>
      <x:c r="X195" s="86"/>
      <x:c r="Y195" s="86"/>
      <x:c r="Z195" s="86"/>
    </x:row>
    <x:row r="196">
      <x:c r="A196" s="106"/>
      <x:c r="B196" s="106"/>
      <x:c r="C196" s="106"/>
      <x:c r="D196" s="114"/>
      <x:c r="E196" s="106"/>
      <x:c r="F196" s="113"/>
      <x:c r="G196" s="106"/>
      <x:c r="H196" s="106"/>
      <x:c r="I196" s="113"/>
      <x:c r="J196" s="113"/>
      <x:c r="K196" s="113"/>
      <x:c r="L196" s="113"/>
      <x:c r="M196" s="113"/>
      <x:c r="N196" s="106"/>
      <x:c r="O196" s="106"/>
      <x:c r="P196" s="121"/>
      <x:c r="Q196" s="86"/>
      <x:c r="R196" s="86"/>
      <x:c r="S196" s="86"/>
      <x:c r="T196" s="86"/>
      <x:c r="U196" s="86"/>
      <x:c r="V196" s="86"/>
      <x:c r="W196" s="86"/>
      <x:c r="X196" s="86"/>
      <x:c r="Y196" s="86"/>
      <x:c r="Z196" s="86"/>
    </x:row>
    <x:row r="197">
      <x:c r="A197" s="106"/>
      <x:c r="B197" s="106"/>
      <x:c r="C197" s="106"/>
      <x:c r="D197" s="114"/>
      <x:c r="E197" s="106"/>
      <x:c r="F197" s="113"/>
      <x:c r="G197" s="106"/>
      <x:c r="H197" s="106"/>
      <x:c r="I197" s="113"/>
      <x:c r="J197" s="113"/>
      <x:c r="K197" s="113"/>
      <x:c r="L197" s="113"/>
      <x:c r="M197" s="113"/>
      <x:c r="N197" s="106"/>
      <x:c r="O197" s="106"/>
      <x:c r="P197" s="121"/>
      <x:c r="Q197" s="86"/>
      <x:c r="R197" s="86"/>
      <x:c r="S197" s="86"/>
      <x:c r="T197" s="86"/>
      <x:c r="U197" s="86"/>
      <x:c r="V197" s="86"/>
      <x:c r="W197" s="86"/>
      <x:c r="X197" s="86"/>
      <x:c r="Y197" s="86"/>
      <x:c r="Z197" s="86"/>
    </x:row>
    <x:row r="198">
      <x:c r="A198" s="106"/>
      <x:c r="B198" s="106"/>
      <x:c r="C198" s="106"/>
      <x:c r="D198" s="114"/>
      <x:c r="E198" s="106"/>
      <x:c r="F198" s="113"/>
      <x:c r="G198" s="106"/>
      <x:c r="H198" s="106"/>
      <x:c r="I198" s="113"/>
      <x:c r="J198" s="113"/>
      <x:c r="K198" s="113"/>
      <x:c r="L198" s="113"/>
      <x:c r="M198" s="113"/>
      <x:c r="N198" s="106"/>
      <x:c r="O198" s="106"/>
      <x:c r="P198" s="121"/>
      <x:c r="Q198" s="86"/>
      <x:c r="R198" s="86"/>
      <x:c r="S198" s="86"/>
      <x:c r="T198" s="86"/>
      <x:c r="U198" s="86"/>
      <x:c r="V198" s="86"/>
      <x:c r="W198" s="86"/>
      <x:c r="X198" s="86"/>
      <x:c r="Y198" s="86"/>
      <x:c r="Z198" s="86"/>
    </x:row>
    <x:row r="199">
      <x:c r="A199" s="106"/>
      <x:c r="B199" s="106"/>
      <x:c r="C199" s="106"/>
      <x:c r="D199" s="114"/>
      <x:c r="E199" s="106"/>
      <x:c r="F199" s="113"/>
      <x:c r="G199" s="106"/>
      <x:c r="H199" s="106"/>
      <x:c r="I199" s="113"/>
      <x:c r="J199" s="113"/>
      <x:c r="K199" s="113"/>
      <x:c r="L199" s="113"/>
      <x:c r="M199" s="113"/>
      <x:c r="N199" s="106"/>
      <x:c r="O199" s="106"/>
      <x:c r="P199" s="121"/>
      <x:c r="Q199" s="86"/>
      <x:c r="R199" s="86"/>
      <x:c r="S199" s="86"/>
      <x:c r="T199" s="86"/>
      <x:c r="U199" s="86"/>
      <x:c r="V199" s="86"/>
      <x:c r="W199" s="86"/>
      <x:c r="X199" s="86"/>
      <x:c r="Y199" s="86"/>
      <x:c r="Z199" s="86"/>
    </x:row>
    <x:row r="200">
      <x:c r="A200" s="106"/>
      <x:c r="B200" s="106"/>
      <x:c r="C200" s="106"/>
      <x:c r="D200" s="114"/>
      <x:c r="E200" s="106"/>
      <x:c r="F200" s="113"/>
      <x:c r="G200" s="106"/>
      <x:c r="H200" s="106"/>
      <x:c r="I200" s="113"/>
      <x:c r="J200" s="113"/>
      <x:c r="K200" s="113"/>
      <x:c r="L200" s="113"/>
      <x:c r="M200" s="113"/>
      <x:c r="N200" s="106"/>
      <x:c r="O200" s="106"/>
      <x:c r="P200" s="121"/>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P1"/>
  </x:mergeCells>
  <x:dataValidations count="1">
    <x:dataValidation type="list" sqref="O4:O200">
      <x:formula1>"完整,部分缺失,待Agent快照,冲突"</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11" hidden="0" customWidth="1"/>
    <x:col min="3" max="3" width="11" hidden="0" customWidth="1"/>
    <x:col min="4" max="4" width="11" hidden="0" customWidth="1"/>
    <x:col min="5" max="5" width="12" hidden="0" customWidth="1"/>
    <x:col min="6" max="6" width="12" hidden="0" customWidth="1"/>
    <x:col min="7" max="7" width="15" hidden="0" customWidth="1"/>
    <x:col min="8" max="8" width="15" hidden="0" customWidth="1"/>
    <x:col min="9" max="9" width="15" hidden="0" customWidth="1"/>
    <x:col min="10" max="10" width="15" hidden="0" customWidth="1"/>
    <x:col min="11" max="11" width="28" hidden="0" customWidth="1"/>
    <x:col min="12" max="12" width="28" hidden="0" customWidth="1"/>
    <x:col min="13" max="13" width="24" hidden="0" customWidth="1"/>
    <x:col min="14" max="14" width="24" hidden="0" customWidth="1"/>
    <x:col min="15" max="15" width="28" hidden="0" customWidth="1"/>
    <x:col min="16" max="16" width="12" hidden="0" customWidth="1"/>
    <x:col min="17" max="17" width="12" hidden="0" customWidth="1"/>
  </x:cols>
  <x:sheetData>
    <x:row r="1">
      <x:c r="A1" s="5" t="str">
        <x:v>月度复盘（策略、执行、数据质量三条线同时复盘）</x:v>
      </x:c>
      <x:c r="B1" s="5"/>
      <x:c r="C1" s="5"/>
      <x:c r="D1" s="5"/>
      <x:c r="E1" s="5"/>
      <x:c r="F1" s="5"/>
      <x:c r="G1" s="5"/>
      <x:c r="H1" s="5"/>
      <x:c r="I1" s="5"/>
      <x:c r="J1" s="5"/>
      <x:c r="K1" s="5"/>
      <x:c r="L1" s="5"/>
      <x:c r="M1" s="5"/>
      <x:c r="N1" s="5"/>
      <x:c r="O1" s="5"/>
      <x:c r="P1" s="5"/>
      <x:c r="Q1" s="5"/>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月份</x:v>
      </x:c>
      <x:c r="B3" s="13" t="str">
        <x:v>组合收益</x:v>
      </x:c>
      <x:c r="C3" s="13" t="str">
        <x:v>基准收益</x:v>
      </x:c>
      <x:c r="D3" s="13" t="str">
        <x:v>超额收益</x:v>
      </x:c>
      <x:c r="E3" s="13" t="str">
        <x:v>月末现金比例</x:v>
      </x:c>
      <x:c r="F3" s="13" t="str">
        <x:v>月末持仓比例</x:v>
      </x:c>
      <x:c r="G3" s="13" t="str">
        <x:v>新增观察</x:v>
      </x:c>
      <x:c r="H3" s="13" t="str">
        <x:v>移出观察</x:v>
      </x:c>
      <x:c r="I3" s="13" t="str">
        <x:v>新增建仓</x:v>
      </x:c>
      <x:c r="J3" s="13" t="str">
        <x:v>减仓/退出</x:v>
      </x:c>
      <x:c r="K3" s="13" t="str">
        <x:v>本月最大正确</x:v>
      </x:c>
      <x:c r="L3" s="13" t="str">
        <x:v>本月最大错误</x:v>
      </x:c>
      <x:c r="M3" s="13" t="str">
        <x:v>数据异常</x:v>
      </x:c>
      <x:c r="N3" s="13" t="str">
        <x:v>策略变化</x:v>
      </x:c>
      <x:c r="O3" s="13" t="str">
        <x:v>下月重点</x:v>
      </x:c>
      <x:c r="P3" s="13" t="str">
        <x:v>复盘完成</x:v>
      </x:c>
      <x:c r="Q3" s="13" t="str">
        <x:v>复盘日期</x:v>
      </x:c>
      <x:c r="R3" s="86"/>
      <x:c r="S3" s="86"/>
      <x:c r="T3" s="86"/>
      <x:c r="U3" s="86"/>
      <x:c r="V3" s="86"/>
      <x:c r="W3" s="86"/>
      <x:c r="X3" s="86"/>
      <x:c r="Y3" s="86"/>
      <x:c r="Z3" s="86"/>
    </x:row>
    <x:row r="4">
      <x:c r="A4" s="86" t="str">
        <x:v>2026-09</x:v>
      </x:c>
      <x:c r="B4" s="113"/>
      <x:c r="C4" s="113"/>
      <x:c r="D4" s="119" t="str">
        <x:f>IF(OR(B4="",C4=""),"",B4-C4)</x:f>
      </x:c>
      <x:c r="E4" s="113"/>
      <x:c r="F4" s="113"/>
      <x:c r="G4" s="106" t="str"/>
      <x:c r="H4" s="106" t="str"/>
      <x:c r="I4" s="106" t="str"/>
      <x:c r="J4" s="106" t="str"/>
      <x:c r="K4" s="106" t="str"/>
      <x:c r="L4" s="106" t="str"/>
      <x:c r="M4" s="106" t="str"/>
      <x:c r="N4" s="106" t="str"/>
      <x:c r="O4" s="106" t="str"/>
      <x:c r="P4" s="86" t="str">
        <x:v>待完成</x:v>
      </x:c>
      <x:c r="Q4" s="126"/>
      <x:c r="R4" s="86"/>
      <x:c r="S4" s="86"/>
      <x:c r="T4" s="86"/>
      <x:c r="U4" s="86"/>
      <x:c r="V4" s="86"/>
      <x:c r="W4" s="86"/>
      <x:c r="X4" s="86"/>
      <x:c r="Y4" s="86"/>
      <x:c r="Z4" s="86"/>
    </x:row>
    <x:row r="5">
      <x:c r="A5" s="86"/>
      <x:c r="B5" s="113"/>
      <x:c r="C5" s="113"/>
      <x:c r="D5" s="119" t="str">
        <x:f>IF(OR(B5="",C5=""),"",B5-C5)</x:f>
      </x:c>
      <x:c r="E5" s="113"/>
      <x:c r="F5" s="113"/>
      <x:c r="G5" s="106"/>
      <x:c r="H5" s="106"/>
      <x:c r="I5" s="106"/>
      <x:c r="J5" s="106"/>
      <x:c r="K5" s="106"/>
      <x:c r="L5" s="106"/>
      <x:c r="M5" s="106"/>
      <x:c r="N5" s="106"/>
      <x:c r="O5" s="106"/>
      <x:c r="P5" s="86"/>
      <x:c r="Q5" s="126"/>
      <x:c r="R5" s="86"/>
      <x:c r="S5" s="86"/>
      <x:c r="T5" s="86"/>
      <x:c r="U5" s="86"/>
      <x:c r="V5" s="86"/>
      <x:c r="W5" s="86"/>
      <x:c r="X5" s="86"/>
      <x:c r="Y5" s="86"/>
      <x:c r="Z5" s="86"/>
    </x:row>
    <x:row r="6">
      <x:c r="A6" s="86"/>
      <x:c r="B6" s="113"/>
      <x:c r="C6" s="113"/>
      <x:c r="D6" s="119" t="str">
        <x:f>IF(OR(B6="",C6=""),"",B6-C6)</x:f>
      </x:c>
      <x:c r="E6" s="113"/>
      <x:c r="F6" s="113"/>
      <x:c r="G6" s="106"/>
      <x:c r="H6" s="106"/>
      <x:c r="I6" s="106"/>
      <x:c r="J6" s="106"/>
      <x:c r="K6" s="106"/>
      <x:c r="L6" s="106"/>
      <x:c r="M6" s="106"/>
      <x:c r="N6" s="106"/>
      <x:c r="O6" s="106"/>
      <x:c r="P6" s="86"/>
      <x:c r="Q6" s="126"/>
      <x:c r="R6" s="86"/>
      <x:c r="S6" s="86"/>
      <x:c r="T6" s="86"/>
      <x:c r="U6" s="86"/>
      <x:c r="V6" s="86"/>
      <x:c r="W6" s="86"/>
      <x:c r="X6" s="86"/>
      <x:c r="Y6" s="86"/>
      <x:c r="Z6" s="86"/>
    </x:row>
    <x:row r="7">
      <x:c r="A7" s="86"/>
      <x:c r="B7" s="113"/>
      <x:c r="C7" s="113"/>
      <x:c r="D7" s="119" t="str">
        <x:f>IF(OR(B7="",C7=""),"",B7-C7)</x:f>
      </x:c>
      <x:c r="E7" s="113"/>
      <x:c r="F7" s="113"/>
      <x:c r="G7" s="106"/>
      <x:c r="H7" s="106"/>
      <x:c r="I7" s="106"/>
      <x:c r="J7" s="106"/>
      <x:c r="K7" s="106"/>
      <x:c r="L7" s="106"/>
      <x:c r="M7" s="106"/>
      <x:c r="N7" s="106"/>
      <x:c r="O7" s="106"/>
      <x:c r="P7" s="86"/>
      <x:c r="Q7" s="126"/>
      <x:c r="R7" s="86"/>
      <x:c r="S7" s="86"/>
      <x:c r="T7" s="86"/>
      <x:c r="U7" s="86"/>
      <x:c r="V7" s="86"/>
      <x:c r="W7" s="86"/>
      <x:c r="X7" s="86"/>
      <x:c r="Y7" s="86"/>
      <x:c r="Z7" s="86"/>
    </x:row>
    <x:row r="8">
      <x:c r="A8" s="86"/>
      <x:c r="B8" s="113"/>
      <x:c r="C8" s="113"/>
      <x:c r="D8" s="119" t="str">
        <x:f>IF(OR(B8="",C8=""),"",B8-C8)</x:f>
      </x:c>
      <x:c r="E8" s="113"/>
      <x:c r="F8" s="113"/>
      <x:c r="G8" s="106"/>
      <x:c r="H8" s="106"/>
      <x:c r="I8" s="106"/>
      <x:c r="J8" s="106"/>
      <x:c r="K8" s="106"/>
      <x:c r="L8" s="106"/>
      <x:c r="M8" s="106"/>
      <x:c r="N8" s="106"/>
      <x:c r="O8" s="106"/>
      <x:c r="P8" s="86"/>
      <x:c r="Q8" s="126"/>
      <x:c r="R8" s="86"/>
      <x:c r="S8" s="86"/>
      <x:c r="T8" s="86"/>
      <x:c r="U8" s="86"/>
      <x:c r="V8" s="86"/>
      <x:c r="W8" s="86"/>
      <x:c r="X8" s="86"/>
      <x:c r="Y8" s="86"/>
      <x:c r="Z8" s="86"/>
    </x:row>
    <x:row r="9">
      <x:c r="A9" s="86"/>
      <x:c r="B9" s="113"/>
      <x:c r="C9" s="113"/>
      <x:c r="D9" s="119" t="str">
        <x:f>IF(OR(B9="",C9=""),"",B9-C9)</x:f>
      </x:c>
      <x:c r="E9" s="113"/>
      <x:c r="F9" s="113"/>
      <x:c r="G9" s="106"/>
      <x:c r="H9" s="106"/>
      <x:c r="I9" s="106"/>
      <x:c r="J9" s="106"/>
      <x:c r="K9" s="106"/>
      <x:c r="L9" s="106"/>
      <x:c r="M9" s="106"/>
      <x:c r="N9" s="106"/>
      <x:c r="O9" s="106"/>
      <x:c r="P9" s="86"/>
      <x:c r="Q9" s="126"/>
      <x:c r="R9" s="86"/>
      <x:c r="S9" s="86"/>
      <x:c r="T9" s="86"/>
      <x:c r="U9" s="86"/>
      <x:c r="V9" s="86"/>
      <x:c r="W9" s="86"/>
      <x:c r="X9" s="86"/>
      <x:c r="Y9" s="86"/>
      <x:c r="Z9" s="86"/>
    </x:row>
    <x:row r="10">
      <x:c r="A10" s="86"/>
      <x:c r="B10" s="113"/>
      <x:c r="C10" s="113"/>
      <x:c r="D10" s="119" t="str">
        <x:f>IF(OR(B10="",C10=""),"",B10-C10)</x:f>
      </x:c>
      <x:c r="E10" s="113"/>
      <x:c r="F10" s="113"/>
      <x:c r="G10" s="106"/>
      <x:c r="H10" s="106"/>
      <x:c r="I10" s="106"/>
      <x:c r="J10" s="106"/>
      <x:c r="K10" s="106"/>
      <x:c r="L10" s="106"/>
      <x:c r="M10" s="106"/>
      <x:c r="N10" s="106"/>
      <x:c r="O10" s="106"/>
      <x:c r="P10" s="86"/>
      <x:c r="Q10" s="126"/>
      <x:c r="R10" s="86"/>
      <x:c r="S10" s="86"/>
      <x:c r="T10" s="86"/>
      <x:c r="U10" s="86"/>
      <x:c r="V10" s="86"/>
      <x:c r="W10" s="86"/>
      <x:c r="X10" s="86"/>
      <x:c r="Y10" s="86"/>
      <x:c r="Z10" s="86"/>
    </x:row>
    <x:row r="11">
      <x:c r="A11" s="86"/>
      <x:c r="B11" s="113"/>
      <x:c r="C11" s="113"/>
      <x:c r="D11" s="119" t="str">
        <x:f>IF(OR(B11="",C11=""),"",B11-C11)</x:f>
      </x:c>
      <x:c r="E11" s="113"/>
      <x:c r="F11" s="113"/>
      <x:c r="G11" s="106"/>
      <x:c r="H11" s="106"/>
      <x:c r="I11" s="106"/>
      <x:c r="J11" s="106"/>
      <x:c r="K11" s="106"/>
      <x:c r="L11" s="106"/>
      <x:c r="M11" s="106"/>
      <x:c r="N11" s="106"/>
      <x:c r="O11" s="106"/>
      <x:c r="P11" s="86"/>
      <x:c r="Q11" s="126"/>
      <x:c r="R11" s="86"/>
      <x:c r="S11" s="86"/>
      <x:c r="T11" s="86"/>
      <x:c r="U11" s="86"/>
      <x:c r="V11" s="86"/>
      <x:c r="W11" s="86"/>
      <x:c r="X11" s="86"/>
      <x:c r="Y11" s="86"/>
      <x:c r="Z11" s="86"/>
    </x:row>
    <x:row r="12">
      <x:c r="A12" s="86"/>
      <x:c r="B12" s="113"/>
      <x:c r="C12" s="113"/>
      <x:c r="D12" s="119" t="str">
        <x:f>IF(OR(B12="",C12=""),"",B12-C12)</x:f>
      </x:c>
      <x:c r="E12" s="113"/>
      <x:c r="F12" s="113"/>
      <x:c r="G12" s="106"/>
      <x:c r="H12" s="106"/>
      <x:c r="I12" s="106"/>
      <x:c r="J12" s="106"/>
      <x:c r="K12" s="106"/>
      <x:c r="L12" s="106"/>
      <x:c r="M12" s="106"/>
      <x:c r="N12" s="106"/>
      <x:c r="O12" s="106"/>
      <x:c r="P12" s="86"/>
      <x:c r="Q12" s="126"/>
      <x:c r="R12" s="86"/>
      <x:c r="S12" s="86"/>
      <x:c r="T12" s="86"/>
      <x:c r="U12" s="86"/>
      <x:c r="V12" s="86"/>
      <x:c r="W12" s="86"/>
      <x:c r="X12" s="86"/>
      <x:c r="Y12" s="86"/>
      <x:c r="Z12" s="86"/>
    </x:row>
    <x:row r="13">
      <x:c r="A13" s="86"/>
      <x:c r="B13" s="113"/>
      <x:c r="C13" s="113"/>
      <x:c r="D13" s="119" t="str">
        <x:f>IF(OR(B13="",C13=""),"",B13-C13)</x:f>
      </x:c>
      <x:c r="E13" s="113"/>
      <x:c r="F13" s="113"/>
      <x:c r="G13" s="106"/>
      <x:c r="H13" s="106"/>
      <x:c r="I13" s="106"/>
      <x:c r="J13" s="106"/>
      <x:c r="K13" s="106"/>
      <x:c r="L13" s="106"/>
      <x:c r="M13" s="106"/>
      <x:c r="N13" s="106"/>
      <x:c r="O13" s="106"/>
      <x:c r="P13" s="86"/>
      <x:c r="Q13" s="126"/>
      <x:c r="R13" s="86"/>
      <x:c r="S13" s="86"/>
      <x:c r="T13" s="86"/>
      <x:c r="U13" s="86"/>
      <x:c r="V13" s="86"/>
      <x:c r="W13" s="86"/>
      <x:c r="X13" s="86"/>
      <x:c r="Y13" s="86"/>
      <x:c r="Z13" s="86"/>
    </x:row>
    <x:row r="14">
      <x:c r="A14" s="86"/>
      <x:c r="B14" s="113"/>
      <x:c r="C14" s="113"/>
      <x:c r="D14" s="119" t="str">
        <x:f>IF(OR(B14="",C14=""),"",B14-C14)</x:f>
      </x:c>
      <x:c r="E14" s="113"/>
      <x:c r="F14" s="113"/>
      <x:c r="G14" s="106"/>
      <x:c r="H14" s="106"/>
      <x:c r="I14" s="106"/>
      <x:c r="J14" s="106"/>
      <x:c r="K14" s="106"/>
      <x:c r="L14" s="106"/>
      <x:c r="M14" s="106"/>
      <x:c r="N14" s="106"/>
      <x:c r="O14" s="106"/>
      <x:c r="P14" s="86"/>
      <x:c r="Q14" s="126"/>
      <x:c r="R14" s="86"/>
      <x:c r="S14" s="86"/>
      <x:c r="T14" s="86"/>
      <x:c r="U14" s="86"/>
      <x:c r="V14" s="86"/>
      <x:c r="W14" s="86"/>
      <x:c r="X14" s="86"/>
      <x:c r="Y14" s="86"/>
      <x:c r="Z14" s="86"/>
    </x:row>
    <x:row r="15">
      <x:c r="A15" s="86"/>
      <x:c r="B15" s="113"/>
      <x:c r="C15" s="113"/>
      <x:c r="D15" s="119" t="str">
        <x:f>IF(OR(B15="",C15=""),"",B15-C15)</x:f>
      </x:c>
      <x:c r="E15" s="113"/>
      <x:c r="F15" s="113"/>
      <x:c r="G15" s="106"/>
      <x:c r="H15" s="106"/>
      <x:c r="I15" s="106"/>
      <x:c r="J15" s="106"/>
      <x:c r="K15" s="106"/>
      <x:c r="L15" s="106"/>
      <x:c r="M15" s="106"/>
      <x:c r="N15" s="106"/>
      <x:c r="O15" s="106"/>
      <x:c r="P15" s="86"/>
      <x:c r="Q15" s="126"/>
      <x:c r="R15" s="86"/>
      <x:c r="S15" s="86"/>
      <x:c r="T15" s="86"/>
      <x:c r="U15" s="86"/>
      <x:c r="V15" s="86"/>
      <x:c r="W15" s="86"/>
      <x:c r="X15" s="86"/>
      <x:c r="Y15" s="86"/>
      <x:c r="Z15" s="86"/>
    </x:row>
    <x:row r="16">
      <x:c r="A16" s="86"/>
      <x:c r="B16" s="113"/>
      <x:c r="C16" s="113"/>
      <x:c r="D16" s="119" t="str">
        <x:f>IF(OR(B16="",C16=""),"",B16-C16)</x:f>
      </x:c>
      <x:c r="E16" s="113"/>
      <x:c r="F16" s="113"/>
      <x:c r="G16" s="106"/>
      <x:c r="H16" s="106"/>
      <x:c r="I16" s="106"/>
      <x:c r="J16" s="106"/>
      <x:c r="K16" s="106"/>
      <x:c r="L16" s="106"/>
      <x:c r="M16" s="106"/>
      <x:c r="N16" s="106"/>
      <x:c r="O16" s="106"/>
      <x:c r="P16" s="86"/>
      <x:c r="Q16" s="126"/>
      <x:c r="R16" s="86"/>
      <x:c r="S16" s="86"/>
      <x:c r="T16" s="86"/>
      <x:c r="U16" s="86"/>
      <x:c r="V16" s="86"/>
      <x:c r="W16" s="86"/>
      <x:c r="X16" s="86"/>
      <x:c r="Y16" s="86"/>
      <x:c r="Z16" s="86"/>
    </x:row>
    <x:row r="17">
      <x:c r="A17" s="86"/>
      <x:c r="B17" s="113"/>
      <x:c r="C17" s="113"/>
      <x:c r="D17" s="119" t="str">
        <x:f>IF(OR(B17="",C17=""),"",B17-C17)</x:f>
      </x:c>
      <x:c r="E17" s="113"/>
      <x:c r="F17" s="113"/>
      <x:c r="G17" s="106"/>
      <x:c r="H17" s="106"/>
      <x:c r="I17" s="106"/>
      <x:c r="J17" s="106"/>
      <x:c r="K17" s="106"/>
      <x:c r="L17" s="106"/>
      <x:c r="M17" s="106"/>
      <x:c r="N17" s="106"/>
      <x:c r="O17" s="106"/>
      <x:c r="P17" s="86"/>
      <x:c r="Q17" s="126"/>
      <x:c r="R17" s="86"/>
      <x:c r="S17" s="86"/>
      <x:c r="T17" s="86"/>
      <x:c r="U17" s="86"/>
      <x:c r="V17" s="86"/>
      <x:c r="W17" s="86"/>
      <x:c r="X17" s="86"/>
      <x:c r="Y17" s="86"/>
      <x:c r="Z17" s="86"/>
    </x:row>
    <x:row r="18">
      <x:c r="A18" s="86"/>
      <x:c r="B18" s="113"/>
      <x:c r="C18" s="113"/>
      <x:c r="D18" s="119" t="str">
        <x:f>IF(OR(B18="",C18=""),"",B18-C18)</x:f>
      </x:c>
      <x:c r="E18" s="113"/>
      <x:c r="F18" s="113"/>
      <x:c r="G18" s="106"/>
      <x:c r="H18" s="106"/>
      <x:c r="I18" s="106"/>
      <x:c r="J18" s="106"/>
      <x:c r="K18" s="106"/>
      <x:c r="L18" s="106"/>
      <x:c r="M18" s="106"/>
      <x:c r="N18" s="106"/>
      <x:c r="O18" s="106"/>
      <x:c r="P18" s="86"/>
      <x:c r="Q18" s="126"/>
      <x:c r="R18" s="86"/>
      <x:c r="S18" s="86"/>
      <x:c r="T18" s="86"/>
      <x:c r="U18" s="86"/>
      <x:c r="V18" s="86"/>
      <x:c r="W18" s="86"/>
      <x:c r="X18" s="86"/>
      <x:c r="Y18" s="86"/>
      <x:c r="Z18" s="86"/>
    </x:row>
    <x:row r="19">
      <x:c r="A19" s="86"/>
      <x:c r="B19" s="113"/>
      <x:c r="C19" s="113"/>
      <x:c r="D19" s="119" t="str">
        <x:f>IF(OR(B19="",C19=""),"",B19-C19)</x:f>
      </x:c>
      <x:c r="E19" s="113"/>
      <x:c r="F19" s="113"/>
      <x:c r="G19" s="106"/>
      <x:c r="H19" s="106"/>
      <x:c r="I19" s="106"/>
      <x:c r="J19" s="106"/>
      <x:c r="K19" s="106"/>
      <x:c r="L19" s="106"/>
      <x:c r="M19" s="106"/>
      <x:c r="N19" s="106"/>
      <x:c r="O19" s="106"/>
      <x:c r="P19" s="86"/>
      <x:c r="Q19" s="126"/>
      <x:c r="R19" s="86"/>
      <x:c r="S19" s="86"/>
      <x:c r="T19" s="86"/>
      <x:c r="U19" s="86"/>
      <x:c r="V19" s="86"/>
      <x:c r="W19" s="86"/>
      <x:c r="X19" s="86"/>
      <x:c r="Y19" s="86"/>
      <x:c r="Z19" s="86"/>
    </x:row>
    <x:row r="20">
      <x:c r="A20" s="86"/>
      <x:c r="B20" s="113"/>
      <x:c r="C20" s="113"/>
      <x:c r="D20" s="119" t="str">
        <x:f>IF(OR(B20="",C20=""),"",B20-C20)</x:f>
      </x:c>
      <x:c r="E20" s="113"/>
      <x:c r="F20" s="113"/>
      <x:c r="G20" s="106"/>
      <x:c r="H20" s="106"/>
      <x:c r="I20" s="106"/>
      <x:c r="J20" s="106"/>
      <x:c r="K20" s="106"/>
      <x:c r="L20" s="106"/>
      <x:c r="M20" s="106"/>
      <x:c r="N20" s="106"/>
      <x:c r="O20" s="106"/>
      <x:c r="P20" s="86"/>
      <x:c r="Q20" s="126"/>
      <x:c r="R20" s="86"/>
      <x:c r="S20" s="86"/>
      <x:c r="T20" s="86"/>
      <x:c r="U20" s="86"/>
      <x:c r="V20" s="86"/>
      <x:c r="W20" s="86"/>
      <x:c r="X20" s="86"/>
      <x:c r="Y20" s="86"/>
      <x:c r="Z20" s="86"/>
    </x:row>
    <x:row r="21">
      <x:c r="A21" s="86"/>
      <x:c r="B21" s="113"/>
      <x:c r="C21" s="113"/>
      <x:c r="D21" s="119" t="str">
        <x:f>IF(OR(B21="",C21=""),"",B21-C21)</x:f>
      </x:c>
      <x:c r="E21" s="113"/>
      <x:c r="F21" s="113"/>
      <x:c r="G21" s="106"/>
      <x:c r="H21" s="106"/>
      <x:c r="I21" s="106"/>
      <x:c r="J21" s="106"/>
      <x:c r="K21" s="106"/>
      <x:c r="L21" s="106"/>
      <x:c r="M21" s="106"/>
      <x:c r="N21" s="106"/>
      <x:c r="O21" s="106"/>
      <x:c r="P21" s="86"/>
      <x:c r="Q21" s="126"/>
      <x:c r="R21" s="86"/>
      <x:c r="S21" s="86"/>
      <x:c r="T21" s="86"/>
      <x:c r="U21" s="86"/>
      <x:c r="V21" s="86"/>
      <x:c r="W21" s="86"/>
      <x:c r="X21" s="86"/>
      <x:c r="Y21" s="86"/>
      <x:c r="Z21" s="86"/>
    </x:row>
    <x:row r="22">
      <x:c r="A22" s="86"/>
      <x:c r="B22" s="113"/>
      <x:c r="C22" s="113"/>
      <x:c r="D22" s="119" t="str">
        <x:f>IF(OR(B22="",C22=""),"",B22-C22)</x:f>
      </x:c>
      <x:c r="E22" s="113"/>
      <x:c r="F22" s="113"/>
      <x:c r="G22" s="106"/>
      <x:c r="H22" s="106"/>
      <x:c r="I22" s="106"/>
      <x:c r="J22" s="106"/>
      <x:c r="K22" s="106"/>
      <x:c r="L22" s="106"/>
      <x:c r="M22" s="106"/>
      <x:c r="N22" s="106"/>
      <x:c r="O22" s="106"/>
      <x:c r="P22" s="86"/>
      <x:c r="Q22" s="126"/>
      <x:c r="R22" s="86"/>
      <x:c r="S22" s="86"/>
      <x:c r="T22" s="86"/>
      <x:c r="U22" s="86"/>
      <x:c r="V22" s="86"/>
      <x:c r="W22" s="86"/>
      <x:c r="X22" s="86"/>
      <x:c r="Y22" s="86"/>
      <x:c r="Z22" s="86"/>
    </x:row>
    <x:row r="23">
      <x:c r="A23" s="86"/>
      <x:c r="B23" s="113"/>
      <x:c r="C23" s="113"/>
      <x:c r="D23" s="119" t="str">
        <x:f>IF(OR(B23="",C23=""),"",B23-C23)</x:f>
      </x:c>
      <x:c r="E23" s="113"/>
      <x:c r="F23" s="113"/>
      <x:c r="G23" s="106"/>
      <x:c r="H23" s="106"/>
      <x:c r="I23" s="106"/>
      <x:c r="J23" s="106"/>
      <x:c r="K23" s="106"/>
      <x:c r="L23" s="106"/>
      <x:c r="M23" s="106"/>
      <x:c r="N23" s="106"/>
      <x:c r="O23" s="106"/>
      <x:c r="P23" s="86"/>
      <x:c r="Q23" s="126"/>
      <x:c r="R23" s="86"/>
      <x:c r="S23" s="86"/>
      <x:c r="T23" s="86"/>
      <x:c r="U23" s="86"/>
      <x:c r="V23" s="86"/>
      <x:c r="W23" s="86"/>
      <x:c r="X23" s="86"/>
      <x:c r="Y23" s="86"/>
      <x:c r="Z23" s="86"/>
    </x:row>
    <x:row r="24">
      <x:c r="A24" s="86"/>
      <x:c r="B24" s="113"/>
      <x:c r="C24" s="113"/>
      <x:c r="D24" s="119" t="str">
        <x:f>IF(OR(B24="",C24=""),"",B24-C24)</x:f>
      </x:c>
      <x:c r="E24" s="113"/>
      <x:c r="F24" s="113"/>
      <x:c r="G24" s="106"/>
      <x:c r="H24" s="106"/>
      <x:c r="I24" s="106"/>
      <x:c r="J24" s="106"/>
      <x:c r="K24" s="106"/>
      <x:c r="L24" s="106"/>
      <x:c r="M24" s="106"/>
      <x:c r="N24" s="106"/>
      <x:c r="O24" s="106"/>
      <x:c r="P24" s="86"/>
      <x:c r="Q24" s="126"/>
      <x:c r="R24" s="86"/>
      <x:c r="S24" s="86"/>
      <x:c r="T24" s="86"/>
      <x:c r="U24" s="86"/>
      <x:c r="V24" s="86"/>
      <x:c r="W24" s="86"/>
      <x:c r="X24" s="86"/>
      <x:c r="Y24" s="86"/>
      <x:c r="Z24" s="86"/>
    </x:row>
    <x:row r="25">
      <x:c r="A25" s="86"/>
      <x:c r="B25" s="113"/>
      <x:c r="C25" s="113"/>
      <x:c r="D25" s="119" t="str">
        <x:f>IF(OR(B25="",C25=""),"",B25-C25)</x:f>
      </x:c>
      <x:c r="E25" s="113"/>
      <x:c r="F25" s="113"/>
      <x:c r="G25" s="106"/>
      <x:c r="H25" s="106"/>
      <x:c r="I25" s="106"/>
      <x:c r="J25" s="106"/>
      <x:c r="K25" s="106"/>
      <x:c r="L25" s="106"/>
      <x:c r="M25" s="106"/>
      <x:c r="N25" s="106"/>
      <x:c r="O25" s="106"/>
      <x:c r="P25" s="86"/>
      <x:c r="Q25" s="126"/>
      <x:c r="R25" s="86"/>
      <x:c r="S25" s="86"/>
      <x:c r="T25" s="86"/>
      <x:c r="U25" s="86"/>
      <x:c r="V25" s="86"/>
      <x:c r="W25" s="86"/>
      <x:c r="X25" s="86"/>
      <x:c r="Y25" s="86"/>
      <x:c r="Z25" s="86"/>
    </x:row>
    <x:row r="26">
      <x:c r="A26" s="86"/>
      <x:c r="B26" s="113"/>
      <x:c r="C26" s="113"/>
      <x:c r="D26" s="119" t="str">
        <x:f>IF(OR(B26="",C26=""),"",B26-C26)</x:f>
      </x:c>
      <x:c r="E26" s="113"/>
      <x:c r="F26" s="113"/>
      <x:c r="G26" s="106"/>
      <x:c r="H26" s="106"/>
      <x:c r="I26" s="106"/>
      <x:c r="J26" s="106"/>
      <x:c r="K26" s="106"/>
      <x:c r="L26" s="106"/>
      <x:c r="M26" s="106"/>
      <x:c r="N26" s="106"/>
      <x:c r="O26" s="106"/>
      <x:c r="P26" s="86"/>
      <x:c r="Q26" s="126"/>
      <x:c r="R26" s="86"/>
      <x:c r="S26" s="86"/>
      <x:c r="T26" s="86"/>
      <x:c r="U26" s="86"/>
      <x:c r="V26" s="86"/>
      <x:c r="W26" s="86"/>
      <x:c r="X26" s="86"/>
      <x:c r="Y26" s="86"/>
      <x:c r="Z26" s="86"/>
    </x:row>
    <x:row r="27">
      <x:c r="A27" s="86"/>
      <x:c r="B27" s="113"/>
      <x:c r="C27" s="113"/>
      <x:c r="D27" s="119" t="str">
        <x:f>IF(OR(B27="",C27=""),"",B27-C27)</x:f>
      </x:c>
      <x:c r="E27" s="113"/>
      <x:c r="F27" s="113"/>
      <x:c r="G27" s="106"/>
      <x:c r="H27" s="106"/>
      <x:c r="I27" s="106"/>
      <x:c r="J27" s="106"/>
      <x:c r="K27" s="106"/>
      <x:c r="L27" s="106"/>
      <x:c r="M27" s="106"/>
      <x:c r="N27" s="106"/>
      <x:c r="O27" s="106"/>
      <x:c r="P27" s="86"/>
      <x:c r="Q27" s="126"/>
      <x:c r="R27" s="86"/>
      <x:c r="S27" s="86"/>
      <x:c r="T27" s="86"/>
      <x:c r="U27" s="86"/>
      <x:c r="V27" s="86"/>
      <x:c r="W27" s="86"/>
      <x:c r="X27" s="86"/>
      <x:c r="Y27" s="86"/>
      <x:c r="Z27" s="86"/>
    </x:row>
    <x:row r="28">
      <x:c r="A28" s="86"/>
      <x:c r="B28" s="113"/>
      <x:c r="C28" s="113"/>
      <x:c r="D28" s="119" t="str">
        <x:f>IF(OR(B28="",C28=""),"",B28-C28)</x:f>
      </x:c>
      <x:c r="E28" s="113"/>
      <x:c r="F28" s="113"/>
      <x:c r="G28" s="106"/>
      <x:c r="H28" s="106"/>
      <x:c r="I28" s="106"/>
      <x:c r="J28" s="106"/>
      <x:c r="K28" s="106"/>
      <x:c r="L28" s="106"/>
      <x:c r="M28" s="106"/>
      <x:c r="N28" s="106"/>
      <x:c r="O28" s="106"/>
      <x:c r="P28" s="86"/>
      <x:c r="Q28" s="126"/>
      <x:c r="R28" s="86"/>
      <x:c r="S28" s="86"/>
      <x:c r="T28" s="86"/>
      <x:c r="U28" s="86"/>
      <x:c r="V28" s="86"/>
      <x:c r="W28" s="86"/>
      <x:c r="X28" s="86"/>
      <x:c r="Y28" s="86"/>
      <x:c r="Z28" s="86"/>
    </x:row>
    <x:row r="29">
      <x:c r="A29" s="86"/>
      <x:c r="B29" s="113"/>
      <x:c r="C29" s="113"/>
      <x:c r="D29" s="119" t="str">
        <x:f>IF(OR(B29="",C29=""),"",B29-C29)</x:f>
      </x:c>
      <x:c r="E29" s="113"/>
      <x:c r="F29" s="113"/>
      <x:c r="G29" s="106"/>
      <x:c r="H29" s="106"/>
      <x:c r="I29" s="106"/>
      <x:c r="J29" s="106"/>
      <x:c r="K29" s="106"/>
      <x:c r="L29" s="106"/>
      <x:c r="M29" s="106"/>
      <x:c r="N29" s="106"/>
      <x:c r="O29" s="106"/>
      <x:c r="P29" s="86"/>
      <x:c r="Q29" s="126"/>
      <x:c r="R29" s="86"/>
      <x:c r="S29" s="86"/>
      <x:c r="T29" s="86"/>
      <x:c r="U29" s="86"/>
      <x:c r="V29" s="86"/>
      <x:c r="W29" s="86"/>
      <x:c r="X29" s="86"/>
      <x:c r="Y29" s="86"/>
      <x:c r="Z29" s="86"/>
    </x:row>
    <x:row r="30">
      <x:c r="A30" s="86"/>
      <x:c r="B30" s="113"/>
      <x:c r="C30" s="113"/>
      <x:c r="D30" s="119" t="str">
        <x:f>IF(OR(B30="",C30=""),"",B30-C30)</x:f>
      </x:c>
      <x:c r="E30" s="113"/>
      <x:c r="F30" s="113"/>
      <x:c r="G30" s="106"/>
      <x:c r="H30" s="106"/>
      <x:c r="I30" s="106"/>
      <x:c r="J30" s="106"/>
      <x:c r="K30" s="106"/>
      <x:c r="L30" s="106"/>
      <x:c r="M30" s="106"/>
      <x:c r="N30" s="106"/>
      <x:c r="O30" s="106"/>
      <x:c r="P30" s="86"/>
      <x:c r="Q30" s="126"/>
      <x:c r="R30" s="86"/>
      <x:c r="S30" s="86"/>
      <x:c r="T30" s="86"/>
      <x:c r="U30" s="86"/>
      <x:c r="V30" s="86"/>
      <x:c r="W30" s="86"/>
      <x:c r="X30" s="86"/>
      <x:c r="Y30" s="86"/>
      <x:c r="Z30" s="86"/>
    </x:row>
    <x:row r="31">
      <x:c r="A31" s="86"/>
      <x:c r="B31" s="113"/>
      <x:c r="C31" s="113"/>
      <x:c r="D31" s="119" t="str">
        <x:f>IF(OR(B31="",C31=""),"",B31-C31)</x:f>
      </x:c>
      <x:c r="E31" s="113"/>
      <x:c r="F31" s="113"/>
      <x:c r="G31" s="106"/>
      <x:c r="H31" s="106"/>
      <x:c r="I31" s="106"/>
      <x:c r="J31" s="106"/>
      <x:c r="K31" s="106"/>
      <x:c r="L31" s="106"/>
      <x:c r="M31" s="106"/>
      <x:c r="N31" s="106"/>
      <x:c r="O31" s="106"/>
      <x:c r="P31" s="86"/>
      <x:c r="Q31" s="126"/>
      <x:c r="R31" s="86"/>
      <x:c r="S31" s="86"/>
      <x:c r="T31" s="86"/>
      <x:c r="U31" s="86"/>
      <x:c r="V31" s="86"/>
      <x:c r="W31" s="86"/>
      <x:c r="X31" s="86"/>
      <x:c r="Y31" s="86"/>
      <x:c r="Z31" s="86"/>
    </x:row>
    <x:row r="32">
      <x:c r="A32" s="86"/>
      <x:c r="B32" s="113"/>
      <x:c r="C32" s="113"/>
      <x:c r="D32" s="119" t="str">
        <x:f>IF(OR(B32="",C32=""),"",B32-C32)</x:f>
      </x:c>
      <x:c r="E32" s="113"/>
      <x:c r="F32" s="113"/>
      <x:c r="G32" s="106"/>
      <x:c r="H32" s="106"/>
      <x:c r="I32" s="106"/>
      <x:c r="J32" s="106"/>
      <x:c r="K32" s="106"/>
      <x:c r="L32" s="106"/>
      <x:c r="M32" s="106"/>
      <x:c r="N32" s="106"/>
      <x:c r="O32" s="106"/>
      <x:c r="P32" s="86"/>
      <x:c r="Q32" s="126"/>
      <x:c r="R32" s="86"/>
      <x:c r="S32" s="86"/>
      <x:c r="T32" s="86"/>
      <x:c r="U32" s="86"/>
      <x:c r="V32" s="86"/>
      <x:c r="W32" s="86"/>
      <x:c r="X32" s="86"/>
      <x:c r="Y32" s="86"/>
      <x:c r="Z32" s="86"/>
    </x:row>
    <x:row r="33">
      <x:c r="A33" s="86"/>
      <x:c r="B33" s="113"/>
      <x:c r="C33" s="113"/>
      <x:c r="D33" s="119" t="str">
        <x:f>IF(OR(B33="",C33=""),"",B33-C33)</x:f>
      </x:c>
      <x:c r="E33" s="113"/>
      <x:c r="F33" s="113"/>
      <x:c r="G33" s="106"/>
      <x:c r="H33" s="106"/>
      <x:c r="I33" s="106"/>
      <x:c r="J33" s="106"/>
      <x:c r="K33" s="106"/>
      <x:c r="L33" s="106"/>
      <x:c r="M33" s="106"/>
      <x:c r="N33" s="106"/>
      <x:c r="O33" s="106"/>
      <x:c r="P33" s="86"/>
      <x:c r="Q33" s="126"/>
      <x:c r="R33" s="86"/>
      <x:c r="S33" s="86"/>
      <x:c r="T33" s="86"/>
      <x:c r="U33" s="86"/>
      <x:c r="V33" s="86"/>
      <x:c r="W33" s="86"/>
      <x:c r="X33" s="86"/>
      <x:c r="Y33" s="86"/>
      <x:c r="Z33" s="86"/>
    </x:row>
    <x:row r="34">
      <x:c r="A34" s="86"/>
      <x:c r="B34" s="113"/>
      <x:c r="C34" s="113"/>
      <x:c r="D34" s="119" t="str">
        <x:f>IF(OR(B34="",C34=""),"",B34-C34)</x:f>
      </x:c>
      <x:c r="E34" s="113"/>
      <x:c r="F34" s="113"/>
      <x:c r="G34" s="106"/>
      <x:c r="H34" s="106"/>
      <x:c r="I34" s="106"/>
      <x:c r="J34" s="106"/>
      <x:c r="K34" s="106"/>
      <x:c r="L34" s="106"/>
      <x:c r="M34" s="106"/>
      <x:c r="N34" s="106"/>
      <x:c r="O34" s="106"/>
      <x:c r="P34" s="86"/>
      <x:c r="Q34" s="126"/>
      <x:c r="R34" s="86"/>
      <x:c r="S34" s="86"/>
      <x:c r="T34" s="86"/>
      <x:c r="U34" s="86"/>
      <x:c r="V34" s="86"/>
      <x:c r="W34" s="86"/>
      <x:c r="X34" s="86"/>
      <x:c r="Y34" s="86"/>
      <x:c r="Z34" s="86"/>
    </x:row>
    <x:row r="35">
      <x:c r="A35" s="86"/>
      <x:c r="B35" s="113"/>
      <x:c r="C35" s="113"/>
      <x:c r="D35" s="119" t="str">
        <x:f>IF(OR(B35="",C35=""),"",B35-C35)</x:f>
      </x:c>
      <x:c r="E35" s="113"/>
      <x:c r="F35" s="113"/>
      <x:c r="G35" s="106"/>
      <x:c r="H35" s="106"/>
      <x:c r="I35" s="106"/>
      <x:c r="J35" s="106"/>
      <x:c r="K35" s="106"/>
      <x:c r="L35" s="106"/>
      <x:c r="M35" s="106"/>
      <x:c r="N35" s="106"/>
      <x:c r="O35" s="106"/>
      <x:c r="P35" s="86"/>
      <x:c r="Q35" s="126"/>
      <x:c r="R35" s="86"/>
      <x:c r="S35" s="86"/>
      <x:c r="T35" s="86"/>
      <x:c r="U35" s="86"/>
      <x:c r="V35" s="86"/>
      <x:c r="W35" s="86"/>
      <x:c r="X35" s="86"/>
      <x:c r="Y35" s="86"/>
      <x:c r="Z35" s="86"/>
    </x:row>
    <x:row r="36">
      <x:c r="A36" s="86"/>
      <x:c r="B36" s="113"/>
      <x:c r="C36" s="113"/>
      <x:c r="D36" s="119" t="str">
        <x:f>IF(OR(B36="",C36=""),"",B36-C36)</x:f>
      </x:c>
      <x:c r="E36" s="113"/>
      <x:c r="F36" s="113"/>
      <x:c r="G36" s="106"/>
      <x:c r="H36" s="106"/>
      <x:c r="I36" s="106"/>
      <x:c r="J36" s="106"/>
      <x:c r="K36" s="106"/>
      <x:c r="L36" s="106"/>
      <x:c r="M36" s="106"/>
      <x:c r="N36" s="106"/>
      <x:c r="O36" s="106"/>
      <x:c r="P36" s="86"/>
      <x:c r="Q36" s="126"/>
      <x:c r="R36" s="86"/>
      <x:c r="S36" s="86"/>
      <x:c r="T36" s="86"/>
      <x:c r="U36" s="86"/>
      <x:c r="V36" s="86"/>
      <x:c r="W36" s="86"/>
      <x:c r="X36" s="86"/>
      <x:c r="Y36" s="86"/>
      <x:c r="Z36" s="86"/>
    </x:row>
    <x:row r="37">
      <x:c r="A37" s="86"/>
      <x:c r="B37" s="113"/>
      <x:c r="C37" s="113"/>
      <x:c r="D37" s="119" t="str">
        <x:f>IF(OR(B37="",C37=""),"",B37-C37)</x:f>
      </x:c>
      <x:c r="E37" s="113"/>
      <x:c r="F37" s="113"/>
      <x:c r="G37" s="106"/>
      <x:c r="H37" s="106"/>
      <x:c r="I37" s="106"/>
      <x:c r="J37" s="106"/>
      <x:c r="K37" s="106"/>
      <x:c r="L37" s="106"/>
      <x:c r="M37" s="106"/>
      <x:c r="N37" s="106"/>
      <x:c r="O37" s="106"/>
      <x:c r="P37" s="86"/>
      <x:c r="Q37" s="126"/>
      <x:c r="R37" s="86"/>
      <x:c r="S37" s="86"/>
      <x:c r="T37" s="86"/>
      <x:c r="U37" s="86"/>
      <x:c r="V37" s="86"/>
      <x:c r="W37" s="86"/>
      <x:c r="X37" s="86"/>
      <x:c r="Y37" s="86"/>
      <x:c r="Z37" s="86"/>
    </x:row>
    <x:row r="38">
      <x:c r="A38" s="86"/>
      <x:c r="B38" s="113"/>
      <x:c r="C38" s="113"/>
      <x:c r="D38" s="119" t="str">
        <x:f>IF(OR(B38="",C38=""),"",B38-C38)</x:f>
      </x:c>
      <x:c r="E38" s="113"/>
      <x:c r="F38" s="113"/>
      <x:c r="G38" s="106"/>
      <x:c r="H38" s="106"/>
      <x:c r="I38" s="106"/>
      <x:c r="J38" s="106"/>
      <x:c r="K38" s="106"/>
      <x:c r="L38" s="106"/>
      <x:c r="M38" s="106"/>
      <x:c r="N38" s="106"/>
      <x:c r="O38" s="106"/>
      <x:c r="P38" s="86"/>
      <x:c r="Q38" s="126"/>
      <x:c r="R38" s="86"/>
      <x:c r="S38" s="86"/>
      <x:c r="T38" s="86"/>
      <x:c r="U38" s="86"/>
      <x:c r="V38" s="86"/>
      <x:c r="W38" s="86"/>
      <x:c r="X38" s="86"/>
      <x:c r="Y38" s="86"/>
      <x:c r="Z38" s="86"/>
    </x:row>
    <x:row r="39">
      <x:c r="A39" s="86"/>
      <x:c r="B39" s="113"/>
      <x:c r="C39" s="113"/>
      <x:c r="D39" s="119" t="str">
        <x:f>IF(OR(B39="",C39=""),"",B39-C39)</x:f>
      </x:c>
      <x:c r="E39" s="113"/>
      <x:c r="F39" s="113"/>
      <x:c r="G39" s="106"/>
      <x:c r="H39" s="106"/>
      <x:c r="I39" s="106"/>
      <x:c r="J39" s="106"/>
      <x:c r="K39" s="106"/>
      <x:c r="L39" s="106"/>
      <x:c r="M39" s="106"/>
      <x:c r="N39" s="106"/>
      <x:c r="O39" s="106"/>
      <x:c r="P39" s="86"/>
      <x:c r="Q39" s="126"/>
      <x:c r="R39" s="86"/>
      <x:c r="S39" s="86"/>
      <x:c r="T39" s="86"/>
      <x:c r="U39" s="86"/>
      <x:c r="V39" s="86"/>
      <x:c r="W39" s="86"/>
      <x:c r="X39" s="86"/>
      <x:c r="Y39" s="86"/>
      <x:c r="Z39" s="86"/>
    </x:row>
    <x:row r="40">
      <x:c r="A40" s="86"/>
      <x:c r="B40" s="113"/>
      <x:c r="C40" s="113"/>
      <x:c r="D40" s="119" t="str">
        <x:f>IF(OR(B40="",C40=""),"",B40-C40)</x:f>
      </x:c>
      <x:c r="E40" s="113"/>
      <x:c r="F40" s="113"/>
      <x:c r="G40" s="106"/>
      <x:c r="H40" s="106"/>
      <x:c r="I40" s="106"/>
      <x:c r="J40" s="106"/>
      <x:c r="K40" s="106"/>
      <x:c r="L40" s="106"/>
      <x:c r="M40" s="106"/>
      <x:c r="N40" s="106"/>
      <x:c r="O40" s="106"/>
      <x:c r="P40" s="86"/>
      <x:c r="Q40" s="126"/>
      <x:c r="R40" s="86"/>
      <x:c r="S40" s="86"/>
      <x:c r="T40" s="86"/>
      <x:c r="U40" s="86"/>
      <x:c r="V40" s="86"/>
      <x:c r="W40" s="86"/>
      <x:c r="X40" s="86"/>
      <x:c r="Y40" s="86"/>
      <x:c r="Z40" s="86"/>
    </x:row>
    <x:row r="41">
      <x:c r="A41" s="86"/>
      <x:c r="B41" s="113"/>
      <x:c r="C41" s="113"/>
      <x:c r="D41" s="119" t="str">
        <x:f>IF(OR(B41="",C41=""),"",B41-C41)</x:f>
      </x:c>
      <x:c r="E41" s="113"/>
      <x:c r="F41" s="113"/>
      <x:c r="G41" s="106"/>
      <x:c r="H41" s="106"/>
      <x:c r="I41" s="106"/>
      <x:c r="J41" s="106"/>
      <x:c r="K41" s="106"/>
      <x:c r="L41" s="106"/>
      <x:c r="M41" s="106"/>
      <x:c r="N41" s="106"/>
      <x:c r="O41" s="106"/>
      <x:c r="P41" s="86"/>
      <x:c r="Q41" s="126"/>
      <x:c r="R41" s="86"/>
      <x:c r="S41" s="86"/>
      <x:c r="T41" s="86"/>
      <x:c r="U41" s="86"/>
      <x:c r="V41" s="86"/>
      <x:c r="W41" s="86"/>
      <x:c r="X41" s="86"/>
      <x:c r="Y41" s="86"/>
      <x:c r="Z41" s="86"/>
    </x:row>
    <x:row r="42">
      <x:c r="A42" s="86"/>
      <x:c r="B42" s="113"/>
      <x:c r="C42" s="113"/>
      <x:c r="D42" s="119" t="str">
        <x:f>IF(OR(B42="",C42=""),"",B42-C42)</x:f>
      </x:c>
      <x:c r="E42" s="113"/>
      <x:c r="F42" s="113"/>
      <x:c r="G42" s="106"/>
      <x:c r="H42" s="106"/>
      <x:c r="I42" s="106"/>
      <x:c r="J42" s="106"/>
      <x:c r="K42" s="106"/>
      <x:c r="L42" s="106"/>
      <x:c r="M42" s="106"/>
      <x:c r="N42" s="106"/>
      <x:c r="O42" s="106"/>
      <x:c r="P42" s="86"/>
      <x:c r="Q42" s="126"/>
      <x:c r="R42" s="86"/>
      <x:c r="S42" s="86"/>
      <x:c r="T42" s="86"/>
      <x:c r="U42" s="86"/>
      <x:c r="V42" s="86"/>
      <x:c r="W42" s="86"/>
      <x:c r="X42" s="86"/>
      <x:c r="Y42" s="86"/>
      <x:c r="Z42" s="86"/>
    </x:row>
    <x:row r="43">
      <x:c r="A43" s="86"/>
      <x:c r="B43" s="113"/>
      <x:c r="C43" s="113"/>
      <x:c r="D43" s="119" t="str">
        <x:f>IF(OR(B43="",C43=""),"",B43-C43)</x:f>
      </x:c>
      <x:c r="E43" s="113"/>
      <x:c r="F43" s="113"/>
      <x:c r="G43" s="106"/>
      <x:c r="H43" s="106"/>
      <x:c r="I43" s="106"/>
      <x:c r="J43" s="106"/>
      <x:c r="K43" s="106"/>
      <x:c r="L43" s="106"/>
      <x:c r="M43" s="106"/>
      <x:c r="N43" s="106"/>
      <x:c r="O43" s="106"/>
      <x:c r="P43" s="86"/>
      <x:c r="Q43" s="126"/>
      <x:c r="R43" s="86"/>
      <x:c r="S43" s="86"/>
      <x:c r="T43" s="86"/>
      <x:c r="U43" s="86"/>
      <x:c r="V43" s="86"/>
      <x:c r="W43" s="86"/>
      <x:c r="X43" s="86"/>
      <x:c r="Y43" s="86"/>
      <x:c r="Z43" s="86"/>
    </x:row>
    <x:row r="44">
      <x:c r="A44" s="86"/>
      <x:c r="B44" s="113"/>
      <x:c r="C44" s="113"/>
      <x:c r="D44" s="119" t="str">
        <x:f>IF(OR(B44="",C44=""),"",B44-C44)</x:f>
      </x:c>
      <x:c r="E44" s="113"/>
      <x:c r="F44" s="113"/>
      <x:c r="G44" s="106"/>
      <x:c r="H44" s="106"/>
      <x:c r="I44" s="106"/>
      <x:c r="J44" s="106"/>
      <x:c r="K44" s="106"/>
      <x:c r="L44" s="106"/>
      <x:c r="M44" s="106"/>
      <x:c r="N44" s="106"/>
      <x:c r="O44" s="106"/>
      <x:c r="P44" s="86"/>
      <x:c r="Q44" s="126"/>
      <x:c r="R44" s="86"/>
      <x:c r="S44" s="86"/>
      <x:c r="T44" s="86"/>
      <x:c r="U44" s="86"/>
      <x:c r="V44" s="86"/>
      <x:c r="W44" s="86"/>
      <x:c r="X44" s="86"/>
      <x:c r="Y44" s="86"/>
      <x:c r="Z44" s="86"/>
    </x:row>
    <x:row r="45">
      <x:c r="A45" s="86"/>
      <x:c r="B45" s="113"/>
      <x:c r="C45" s="113"/>
      <x:c r="D45" s="119" t="str">
        <x:f>IF(OR(B45="",C45=""),"",B45-C45)</x:f>
      </x:c>
      <x:c r="E45" s="113"/>
      <x:c r="F45" s="113"/>
      <x:c r="G45" s="106"/>
      <x:c r="H45" s="106"/>
      <x:c r="I45" s="106"/>
      <x:c r="J45" s="106"/>
      <x:c r="K45" s="106"/>
      <x:c r="L45" s="106"/>
      <x:c r="M45" s="106"/>
      <x:c r="N45" s="106"/>
      <x:c r="O45" s="106"/>
      <x:c r="P45" s="86"/>
      <x:c r="Q45" s="126"/>
      <x:c r="R45" s="86"/>
      <x:c r="S45" s="86"/>
      <x:c r="T45" s="86"/>
      <x:c r="U45" s="86"/>
      <x:c r="V45" s="86"/>
      <x:c r="W45" s="86"/>
      <x:c r="X45" s="86"/>
      <x:c r="Y45" s="86"/>
      <x:c r="Z45" s="86"/>
    </x:row>
    <x:row r="46">
      <x:c r="A46" s="86"/>
      <x:c r="B46" s="113"/>
      <x:c r="C46" s="113"/>
      <x:c r="D46" s="119" t="str">
        <x:f>IF(OR(B46="",C46=""),"",B46-C46)</x:f>
      </x:c>
      <x:c r="E46" s="113"/>
      <x:c r="F46" s="113"/>
      <x:c r="G46" s="106"/>
      <x:c r="H46" s="106"/>
      <x:c r="I46" s="106"/>
      <x:c r="J46" s="106"/>
      <x:c r="K46" s="106"/>
      <x:c r="L46" s="106"/>
      <x:c r="M46" s="106"/>
      <x:c r="N46" s="106"/>
      <x:c r="O46" s="106"/>
      <x:c r="P46" s="86"/>
      <x:c r="Q46" s="126"/>
      <x:c r="R46" s="86"/>
      <x:c r="S46" s="86"/>
      <x:c r="T46" s="86"/>
      <x:c r="U46" s="86"/>
      <x:c r="V46" s="86"/>
      <x:c r="W46" s="86"/>
      <x:c r="X46" s="86"/>
      <x:c r="Y46" s="86"/>
      <x:c r="Z46" s="86"/>
    </x:row>
    <x:row r="47">
      <x:c r="A47" s="86"/>
      <x:c r="B47" s="113"/>
      <x:c r="C47" s="113"/>
      <x:c r="D47" s="119" t="str">
        <x:f>IF(OR(B47="",C47=""),"",B47-C47)</x:f>
      </x:c>
      <x:c r="E47" s="113"/>
      <x:c r="F47" s="113"/>
      <x:c r="G47" s="106"/>
      <x:c r="H47" s="106"/>
      <x:c r="I47" s="106"/>
      <x:c r="J47" s="106"/>
      <x:c r="K47" s="106"/>
      <x:c r="L47" s="106"/>
      <x:c r="M47" s="106"/>
      <x:c r="N47" s="106"/>
      <x:c r="O47" s="106"/>
      <x:c r="P47" s="86"/>
      <x:c r="Q47" s="126"/>
      <x:c r="R47" s="86"/>
      <x:c r="S47" s="86"/>
      <x:c r="T47" s="86"/>
      <x:c r="U47" s="86"/>
      <x:c r="V47" s="86"/>
      <x:c r="W47" s="86"/>
      <x:c r="X47" s="86"/>
      <x:c r="Y47" s="86"/>
      <x:c r="Z47" s="86"/>
    </x:row>
    <x:row r="48">
      <x:c r="A48" s="86"/>
      <x:c r="B48" s="113"/>
      <x:c r="C48" s="113"/>
      <x:c r="D48" s="119" t="str">
        <x:f>IF(OR(B48="",C48=""),"",B48-C48)</x:f>
      </x:c>
      <x:c r="E48" s="113"/>
      <x:c r="F48" s="113"/>
      <x:c r="G48" s="106"/>
      <x:c r="H48" s="106"/>
      <x:c r="I48" s="106"/>
      <x:c r="J48" s="106"/>
      <x:c r="K48" s="106"/>
      <x:c r="L48" s="106"/>
      <x:c r="M48" s="106"/>
      <x:c r="N48" s="106"/>
      <x:c r="O48" s="106"/>
      <x:c r="P48" s="86"/>
      <x:c r="Q48" s="126"/>
      <x:c r="R48" s="86"/>
      <x:c r="S48" s="86"/>
      <x:c r="T48" s="86"/>
      <x:c r="U48" s="86"/>
      <x:c r="V48" s="86"/>
      <x:c r="W48" s="86"/>
      <x:c r="X48" s="86"/>
      <x:c r="Y48" s="86"/>
      <x:c r="Z48" s="86"/>
    </x:row>
    <x:row r="49">
      <x:c r="A49" s="86"/>
      <x:c r="B49" s="113"/>
      <x:c r="C49" s="113"/>
      <x:c r="D49" s="119" t="str">
        <x:f>IF(OR(B49="",C49=""),"",B49-C49)</x:f>
      </x:c>
      <x:c r="E49" s="113"/>
      <x:c r="F49" s="113"/>
      <x:c r="G49" s="106"/>
      <x:c r="H49" s="106"/>
      <x:c r="I49" s="106"/>
      <x:c r="J49" s="106"/>
      <x:c r="K49" s="106"/>
      <x:c r="L49" s="106"/>
      <x:c r="M49" s="106"/>
      <x:c r="N49" s="106"/>
      <x:c r="O49" s="106"/>
      <x:c r="P49" s="86"/>
      <x:c r="Q49" s="126"/>
      <x:c r="R49" s="86"/>
      <x:c r="S49" s="86"/>
      <x:c r="T49" s="86"/>
      <x:c r="U49" s="86"/>
      <x:c r="V49" s="86"/>
      <x:c r="W49" s="86"/>
      <x:c r="X49" s="86"/>
      <x:c r="Y49" s="86"/>
      <x:c r="Z49" s="86"/>
    </x:row>
    <x:row r="50">
      <x:c r="A50" s="86"/>
      <x:c r="B50" s="113"/>
      <x:c r="C50" s="113"/>
      <x:c r="D50" s="119" t="str">
        <x:f>IF(OR(B50="",C50=""),"",B50-C50)</x:f>
      </x:c>
      <x:c r="E50" s="113"/>
      <x:c r="F50" s="113"/>
      <x:c r="G50" s="106"/>
      <x:c r="H50" s="106"/>
      <x:c r="I50" s="106"/>
      <x:c r="J50" s="106"/>
      <x:c r="K50" s="106"/>
      <x:c r="L50" s="106"/>
      <x:c r="M50" s="106"/>
      <x:c r="N50" s="106"/>
      <x:c r="O50" s="106"/>
      <x:c r="P50" s="86"/>
      <x:c r="Q50" s="126"/>
      <x:c r="R50" s="86"/>
      <x:c r="S50" s="86"/>
      <x:c r="T50" s="86"/>
      <x:c r="U50" s="86"/>
      <x:c r="V50" s="86"/>
      <x:c r="W50" s="86"/>
      <x:c r="X50" s="86"/>
      <x:c r="Y50" s="86"/>
      <x:c r="Z50" s="86"/>
    </x:row>
    <x:row r="51">
      <x:c r="A51" s="86"/>
      <x:c r="B51" s="113"/>
      <x:c r="C51" s="113"/>
      <x:c r="D51" s="119" t="str">
        <x:f>IF(OR(B51="",C51=""),"",B51-C51)</x:f>
      </x:c>
      <x:c r="E51" s="113"/>
      <x:c r="F51" s="113"/>
      <x:c r="G51" s="106"/>
      <x:c r="H51" s="106"/>
      <x:c r="I51" s="106"/>
      <x:c r="J51" s="106"/>
      <x:c r="K51" s="106"/>
      <x:c r="L51" s="106"/>
      <x:c r="M51" s="106"/>
      <x:c r="N51" s="106"/>
      <x:c r="O51" s="106"/>
      <x:c r="P51" s="86"/>
      <x:c r="Q51" s="126"/>
      <x:c r="R51" s="86"/>
      <x:c r="S51" s="86"/>
      <x:c r="T51" s="86"/>
      <x:c r="U51" s="86"/>
      <x:c r="V51" s="86"/>
      <x:c r="W51" s="86"/>
      <x:c r="X51" s="86"/>
      <x:c r="Y51" s="86"/>
      <x:c r="Z51" s="86"/>
    </x:row>
    <x:row r="52">
      <x:c r="A52" s="86"/>
      <x:c r="B52" s="113"/>
      <x:c r="C52" s="113"/>
      <x:c r="D52" s="119" t="str">
        <x:f>IF(OR(B52="",C52=""),"",B52-C52)</x:f>
      </x:c>
      <x:c r="E52" s="113"/>
      <x:c r="F52" s="113"/>
      <x:c r="G52" s="106"/>
      <x:c r="H52" s="106"/>
      <x:c r="I52" s="106"/>
      <x:c r="J52" s="106"/>
      <x:c r="K52" s="106"/>
      <x:c r="L52" s="106"/>
      <x:c r="M52" s="106"/>
      <x:c r="N52" s="106"/>
      <x:c r="O52" s="106"/>
      <x:c r="P52" s="86"/>
      <x:c r="Q52" s="126"/>
      <x:c r="R52" s="86"/>
      <x:c r="S52" s="86"/>
      <x:c r="T52" s="86"/>
      <x:c r="U52" s="86"/>
      <x:c r="V52" s="86"/>
      <x:c r="W52" s="86"/>
      <x:c r="X52" s="86"/>
      <x:c r="Y52" s="86"/>
      <x:c r="Z52" s="86"/>
    </x:row>
    <x:row r="53">
      <x:c r="A53" s="86"/>
      <x:c r="B53" s="113"/>
      <x:c r="C53" s="113"/>
      <x:c r="D53" s="119" t="str">
        <x:f>IF(OR(B53="",C53=""),"",B53-C53)</x:f>
      </x:c>
      <x:c r="E53" s="113"/>
      <x:c r="F53" s="113"/>
      <x:c r="G53" s="106"/>
      <x:c r="H53" s="106"/>
      <x:c r="I53" s="106"/>
      <x:c r="J53" s="106"/>
      <x:c r="K53" s="106"/>
      <x:c r="L53" s="106"/>
      <x:c r="M53" s="106"/>
      <x:c r="N53" s="106"/>
      <x:c r="O53" s="106"/>
      <x:c r="P53" s="86"/>
      <x:c r="Q53" s="126"/>
      <x:c r="R53" s="86"/>
      <x:c r="S53" s="86"/>
      <x:c r="T53" s="86"/>
      <x:c r="U53" s="86"/>
      <x:c r="V53" s="86"/>
      <x:c r="W53" s="86"/>
      <x:c r="X53" s="86"/>
      <x:c r="Y53" s="86"/>
      <x:c r="Z53" s="86"/>
    </x:row>
    <x:row r="54">
      <x:c r="A54" s="86"/>
      <x:c r="B54" s="113"/>
      <x:c r="C54" s="113"/>
      <x:c r="D54" s="119" t="str">
        <x:f>IF(OR(B54="",C54=""),"",B54-C54)</x:f>
      </x:c>
      <x:c r="E54" s="113"/>
      <x:c r="F54" s="113"/>
      <x:c r="G54" s="106"/>
      <x:c r="H54" s="106"/>
      <x:c r="I54" s="106"/>
      <x:c r="J54" s="106"/>
      <x:c r="K54" s="106"/>
      <x:c r="L54" s="106"/>
      <x:c r="M54" s="106"/>
      <x:c r="N54" s="106"/>
      <x:c r="O54" s="106"/>
      <x:c r="P54" s="86"/>
      <x:c r="Q54" s="126"/>
      <x:c r="R54" s="86"/>
      <x:c r="S54" s="86"/>
      <x:c r="T54" s="86"/>
      <x:c r="U54" s="86"/>
      <x:c r="V54" s="86"/>
      <x:c r="W54" s="86"/>
      <x:c r="X54" s="86"/>
      <x:c r="Y54" s="86"/>
      <x:c r="Z54" s="86"/>
    </x:row>
    <x:row r="55">
      <x:c r="A55" s="86"/>
      <x:c r="B55" s="113"/>
      <x:c r="C55" s="113"/>
      <x:c r="D55" s="119" t="str">
        <x:f>IF(OR(B55="",C55=""),"",B55-C55)</x:f>
      </x:c>
      <x:c r="E55" s="113"/>
      <x:c r="F55" s="113"/>
      <x:c r="G55" s="106"/>
      <x:c r="H55" s="106"/>
      <x:c r="I55" s="106"/>
      <x:c r="J55" s="106"/>
      <x:c r="K55" s="106"/>
      <x:c r="L55" s="106"/>
      <x:c r="M55" s="106"/>
      <x:c r="N55" s="106"/>
      <x:c r="O55" s="106"/>
      <x:c r="P55" s="86"/>
      <x:c r="Q55" s="126"/>
      <x:c r="R55" s="86"/>
      <x:c r="S55" s="86"/>
      <x:c r="T55" s="86"/>
      <x:c r="U55" s="86"/>
      <x:c r="V55" s="86"/>
      <x:c r="W55" s="86"/>
      <x:c r="X55" s="86"/>
      <x:c r="Y55" s="86"/>
      <x:c r="Z55" s="86"/>
    </x:row>
    <x:row r="56">
      <x:c r="A56" s="86"/>
      <x:c r="B56" s="113"/>
      <x:c r="C56" s="113"/>
      <x:c r="D56" s="119" t="str">
        <x:f>IF(OR(B56="",C56=""),"",B56-C56)</x:f>
      </x:c>
      <x:c r="E56" s="113"/>
      <x:c r="F56" s="113"/>
      <x:c r="G56" s="106"/>
      <x:c r="H56" s="106"/>
      <x:c r="I56" s="106"/>
      <x:c r="J56" s="106"/>
      <x:c r="K56" s="106"/>
      <x:c r="L56" s="106"/>
      <x:c r="M56" s="106"/>
      <x:c r="N56" s="106"/>
      <x:c r="O56" s="106"/>
      <x:c r="P56" s="86"/>
      <x:c r="Q56" s="126"/>
      <x:c r="R56" s="86"/>
      <x:c r="S56" s="86"/>
      <x:c r="T56" s="86"/>
      <x:c r="U56" s="86"/>
      <x:c r="V56" s="86"/>
      <x:c r="W56" s="86"/>
      <x:c r="X56" s="86"/>
      <x:c r="Y56" s="86"/>
      <x:c r="Z56" s="86"/>
    </x:row>
    <x:row r="57">
      <x:c r="A57" s="86"/>
      <x:c r="B57" s="113"/>
      <x:c r="C57" s="113"/>
      <x:c r="D57" s="119" t="str">
        <x:f>IF(OR(B57="",C57=""),"",B57-C57)</x:f>
      </x:c>
      <x:c r="E57" s="113"/>
      <x:c r="F57" s="113"/>
      <x:c r="G57" s="106"/>
      <x:c r="H57" s="106"/>
      <x:c r="I57" s="106"/>
      <x:c r="J57" s="106"/>
      <x:c r="K57" s="106"/>
      <x:c r="L57" s="106"/>
      <x:c r="M57" s="106"/>
      <x:c r="N57" s="106"/>
      <x:c r="O57" s="106"/>
      <x:c r="P57" s="86"/>
      <x:c r="Q57" s="126"/>
      <x:c r="R57" s="86"/>
      <x:c r="S57" s="86"/>
      <x:c r="T57" s="86"/>
      <x:c r="U57" s="86"/>
      <x:c r="V57" s="86"/>
      <x:c r="W57" s="86"/>
      <x:c r="X57" s="86"/>
      <x:c r="Y57" s="86"/>
      <x:c r="Z57" s="86"/>
    </x:row>
    <x:row r="58">
      <x:c r="A58" s="86"/>
      <x:c r="B58" s="113"/>
      <x:c r="C58" s="113"/>
      <x:c r="D58" s="119" t="str">
        <x:f>IF(OR(B58="",C58=""),"",B58-C58)</x:f>
      </x:c>
      <x:c r="E58" s="113"/>
      <x:c r="F58" s="113"/>
      <x:c r="G58" s="106"/>
      <x:c r="H58" s="106"/>
      <x:c r="I58" s="106"/>
      <x:c r="J58" s="106"/>
      <x:c r="K58" s="106"/>
      <x:c r="L58" s="106"/>
      <x:c r="M58" s="106"/>
      <x:c r="N58" s="106"/>
      <x:c r="O58" s="106"/>
      <x:c r="P58" s="86"/>
      <x:c r="Q58" s="126"/>
      <x:c r="R58" s="86"/>
      <x:c r="S58" s="86"/>
      <x:c r="T58" s="86"/>
      <x:c r="U58" s="86"/>
      <x:c r="V58" s="86"/>
      <x:c r="W58" s="86"/>
      <x:c r="X58" s="86"/>
      <x:c r="Y58" s="86"/>
      <x:c r="Z58" s="86"/>
    </x:row>
    <x:row r="59">
      <x:c r="A59" s="86"/>
      <x:c r="B59" s="113"/>
      <x:c r="C59" s="113"/>
      <x:c r="D59" s="119" t="str">
        <x:f>IF(OR(B59="",C59=""),"",B59-C59)</x:f>
      </x:c>
      <x:c r="E59" s="113"/>
      <x:c r="F59" s="113"/>
      <x:c r="G59" s="106"/>
      <x:c r="H59" s="106"/>
      <x:c r="I59" s="106"/>
      <x:c r="J59" s="106"/>
      <x:c r="K59" s="106"/>
      <x:c r="L59" s="106"/>
      <x:c r="M59" s="106"/>
      <x:c r="N59" s="106"/>
      <x:c r="O59" s="106"/>
      <x:c r="P59" s="86"/>
      <x:c r="Q59" s="126"/>
      <x:c r="R59" s="86"/>
      <x:c r="S59" s="86"/>
      <x:c r="T59" s="86"/>
      <x:c r="U59" s="86"/>
      <x:c r="V59" s="86"/>
      <x:c r="W59" s="86"/>
      <x:c r="X59" s="86"/>
      <x:c r="Y59" s="86"/>
      <x:c r="Z59" s="86"/>
    </x:row>
    <x:row r="60">
      <x:c r="A60" s="86"/>
      <x:c r="B60" s="113"/>
      <x:c r="C60" s="113"/>
      <x:c r="D60" s="119" t="str">
        <x:f>IF(OR(B60="",C60=""),"",B60-C60)</x:f>
      </x:c>
      <x:c r="E60" s="113"/>
      <x:c r="F60" s="113"/>
      <x:c r="G60" s="106"/>
      <x:c r="H60" s="106"/>
      <x:c r="I60" s="106"/>
      <x:c r="J60" s="106"/>
      <x:c r="K60" s="106"/>
      <x:c r="L60" s="106"/>
      <x:c r="M60" s="106"/>
      <x:c r="N60" s="106"/>
      <x:c r="O60" s="106"/>
      <x:c r="P60" s="86"/>
      <x:c r="Q60" s="126"/>
      <x:c r="R60" s="86"/>
      <x:c r="S60" s="86"/>
      <x:c r="T60" s="86"/>
      <x:c r="U60" s="86"/>
      <x:c r="V60" s="86"/>
      <x:c r="W60" s="86"/>
      <x:c r="X60" s="86"/>
      <x:c r="Y60" s="86"/>
      <x:c r="Z60" s="86"/>
    </x:row>
    <x:row r="61">
      <x:c r="A61" s="86"/>
      <x:c r="B61" s="113"/>
      <x:c r="C61" s="113"/>
      <x:c r="D61" s="119" t="str">
        <x:f>IF(OR(B61="",C61=""),"",B61-C61)</x:f>
      </x:c>
      <x:c r="E61" s="113"/>
      <x:c r="F61" s="113"/>
      <x:c r="G61" s="106"/>
      <x:c r="H61" s="106"/>
      <x:c r="I61" s="106"/>
      <x:c r="J61" s="106"/>
      <x:c r="K61" s="106"/>
      <x:c r="L61" s="106"/>
      <x:c r="M61" s="106"/>
      <x:c r="N61" s="106"/>
      <x:c r="O61" s="106"/>
      <x:c r="P61" s="86"/>
      <x:c r="Q61" s="126"/>
      <x:c r="R61" s="86"/>
      <x:c r="S61" s="86"/>
      <x:c r="T61" s="86"/>
      <x:c r="U61" s="86"/>
      <x:c r="V61" s="86"/>
      <x:c r="W61" s="86"/>
      <x:c r="X61" s="86"/>
      <x:c r="Y61" s="86"/>
      <x:c r="Z61" s="86"/>
    </x:row>
    <x:row r="62">
      <x:c r="A62" s="86"/>
      <x:c r="B62" s="113"/>
      <x:c r="C62" s="113"/>
      <x:c r="D62" s="119" t="str">
        <x:f>IF(OR(B62="",C62=""),"",B62-C62)</x:f>
      </x:c>
      <x:c r="E62" s="113"/>
      <x:c r="F62" s="113"/>
      <x:c r="G62" s="106"/>
      <x:c r="H62" s="106"/>
      <x:c r="I62" s="106"/>
      <x:c r="J62" s="106"/>
      <x:c r="K62" s="106"/>
      <x:c r="L62" s="106"/>
      <x:c r="M62" s="106"/>
      <x:c r="N62" s="106"/>
      <x:c r="O62" s="106"/>
      <x:c r="P62" s="86"/>
      <x:c r="Q62" s="126"/>
      <x:c r="R62" s="86"/>
      <x:c r="S62" s="86"/>
      <x:c r="T62" s="86"/>
      <x:c r="U62" s="86"/>
      <x:c r="V62" s="86"/>
      <x:c r="W62" s="86"/>
      <x:c r="X62" s="86"/>
      <x:c r="Y62" s="86"/>
      <x:c r="Z62" s="86"/>
    </x:row>
    <x:row r="63">
      <x:c r="A63" s="86"/>
      <x:c r="B63" s="113"/>
      <x:c r="C63" s="113"/>
      <x:c r="D63" s="119" t="str">
        <x:f>IF(OR(B63="",C63=""),"",B63-C63)</x:f>
      </x:c>
      <x:c r="E63" s="113"/>
      <x:c r="F63" s="113"/>
      <x:c r="G63" s="106"/>
      <x:c r="H63" s="106"/>
      <x:c r="I63" s="106"/>
      <x:c r="J63" s="106"/>
      <x:c r="K63" s="106"/>
      <x:c r="L63" s="106"/>
      <x:c r="M63" s="106"/>
      <x:c r="N63" s="106"/>
      <x:c r="O63" s="106"/>
      <x:c r="P63" s="86"/>
      <x:c r="Q63" s="126"/>
      <x:c r="R63" s="86"/>
      <x:c r="S63" s="86"/>
      <x:c r="T63" s="86"/>
      <x:c r="U63" s="86"/>
      <x:c r="V63" s="86"/>
      <x:c r="W63" s="86"/>
      <x:c r="X63" s="86"/>
      <x:c r="Y63" s="86"/>
      <x:c r="Z63" s="86"/>
    </x:row>
    <x:row r="64">
      <x:c r="A64" s="86"/>
      <x:c r="B64" s="113"/>
      <x:c r="C64" s="113"/>
      <x:c r="D64" s="119" t="str">
        <x:f>IF(OR(B64="",C64=""),"",B64-C64)</x:f>
      </x:c>
      <x:c r="E64" s="113"/>
      <x:c r="F64" s="113"/>
      <x:c r="G64" s="106"/>
      <x:c r="H64" s="106"/>
      <x:c r="I64" s="106"/>
      <x:c r="J64" s="106"/>
      <x:c r="K64" s="106"/>
      <x:c r="L64" s="106"/>
      <x:c r="M64" s="106"/>
      <x:c r="N64" s="106"/>
      <x:c r="O64" s="106"/>
      <x:c r="P64" s="86"/>
      <x:c r="Q64" s="126"/>
      <x:c r="R64" s="86"/>
      <x:c r="S64" s="86"/>
      <x:c r="T64" s="86"/>
      <x:c r="U64" s="86"/>
      <x:c r="V64" s="86"/>
      <x:c r="W64" s="86"/>
      <x:c r="X64" s="86"/>
      <x:c r="Y64" s="86"/>
      <x:c r="Z64" s="86"/>
    </x:row>
    <x:row r="65">
      <x:c r="A65" s="86"/>
      <x:c r="B65" s="113"/>
      <x:c r="C65" s="113"/>
      <x:c r="D65" s="119" t="str">
        <x:f>IF(OR(B65="",C65=""),"",B65-C65)</x:f>
      </x:c>
      <x:c r="E65" s="113"/>
      <x:c r="F65" s="113"/>
      <x:c r="G65" s="106"/>
      <x:c r="H65" s="106"/>
      <x:c r="I65" s="106"/>
      <x:c r="J65" s="106"/>
      <x:c r="K65" s="106"/>
      <x:c r="L65" s="106"/>
      <x:c r="M65" s="106"/>
      <x:c r="N65" s="106"/>
      <x:c r="O65" s="106"/>
      <x:c r="P65" s="86"/>
      <x:c r="Q65" s="126"/>
      <x:c r="R65" s="86"/>
      <x:c r="S65" s="86"/>
      <x:c r="T65" s="86"/>
      <x:c r="U65" s="86"/>
      <x:c r="V65" s="86"/>
      <x:c r="W65" s="86"/>
      <x:c r="X65" s="86"/>
      <x:c r="Y65" s="86"/>
      <x:c r="Z65" s="86"/>
    </x:row>
    <x:row r="66">
      <x:c r="A66" s="86"/>
      <x:c r="B66" s="113"/>
      <x:c r="C66" s="113"/>
      <x:c r="D66" s="119" t="str">
        <x:f>IF(OR(B66="",C66=""),"",B66-C66)</x:f>
      </x:c>
      <x:c r="E66" s="113"/>
      <x:c r="F66" s="113"/>
      <x:c r="G66" s="106"/>
      <x:c r="H66" s="106"/>
      <x:c r="I66" s="106"/>
      <x:c r="J66" s="106"/>
      <x:c r="K66" s="106"/>
      <x:c r="L66" s="106"/>
      <x:c r="M66" s="106"/>
      <x:c r="N66" s="106"/>
      <x:c r="O66" s="106"/>
      <x:c r="P66" s="86"/>
      <x:c r="Q66" s="126"/>
      <x:c r="R66" s="86"/>
      <x:c r="S66" s="86"/>
      <x:c r="T66" s="86"/>
      <x:c r="U66" s="86"/>
      <x:c r="V66" s="86"/>
      <x:c r="W66" s="86"/>
      <x:c r="X66" s="86"/>
      <x:c r="Y66" s="86"/>
      <x:c r="Z66" s="86"/>
    </x:row>
    <x:row r="67">
      <x:c r="A67" s="86"/>
      <x:c r="B67" s="113"/>
      <x:c r="C67" s="113"/>
      <x:c r="D67" s="119" t="str">
        <x:f>IF(OR(B67="",C67=""),"",B67-C67)</x:f>
      </x:c>
      <x:c r="E67" s="113"/>
      <x:c r="F67" s="113"/>
      <x:c r="G67" s="106"/>
      <x:c r="H67" s="106"/>
      <x:c r="I67" s="106"/>
      <x:c r="J67" s="106"/>
      <x:c r="K67" s="106"/>
      <x:c r="L67" s="106"/>
      <x:c r="M67" s="106"/>
      <x:c r="N67" s="106"/>
      <x:c r="O67" s="106"/>
      <x:c r="P67" s="86"/>
      <x:c r="Q67" s="126"/>
      <x:c r="R67" s="86"/>
      <x:c r="S67" s="86"/>
      <x:c r="T67" s="86"/>
      <x:c r="U67" s="86"/>
      <x:c r="V67" s="86"/>
      <x:c r="W67" s="86"/>
      <x:c r="X67" s="86"/>
      <x:c r="Y67" s="86"/>
      <x:c r="Z67" s="86"/>
    </x:row>
    <x:row r="68">
      <x:c r="A68" s="86"/>
      <x:c r="B68" s="113"/>
      <x:c r="C68" s="113"/>
      <x:c r="D68" s="119" t="str">
        <x:f>IF(OR(B68="",C68=""),"",B68-C68)</x:f>
      </x:c>
      <x:c r="E68" s="113"/>
      <x:c r="F68" s="113"/>
      <x:c r="G68" s="106"/>
      <x:c r="H68" s="106"/>
      <x:c r="I68" s="106"/>
      <x:c r="J68" s="106"/>
      <x:c r="K68" s="106"/>
      <x:c r="L68" s="106"/>
      <x:c r="M68" s="106"/>
      <x:c r="N68" s="106"/>
      <x:c r="O68" s="106"/>
      <x:c r="P68" s="86"/>
      <x:c r="Q68" s="126"/>
      <x:c r="R68" s="86"/>
      <x:c r="S68" s="86"/>
      <x:c r="T68" s="86"/>
      <x:c r="U68" s="86"/>
      <x:c r="V68" s="86"/>
      <x:c r="W68" s="86"/>
      <x:c r="X68" s="86"/>
      <x:c r="Y68" s="86"/>
      <x:c r="Z68" s="86"/>
    </x:row>
    <x:row r="69">
      <x:c r="A69" s="86"/>
      <x:c r="B69" s="113"/>
      <x:c r="C69" s="113"/>
      <x:c r="D69" s="119" t="str">
        <x:f>IF(OR(B69="",C69=""),"",B69-C69)</x:f>
      </x:c>
      <x:c r="E69" s="113"/>
      <x:c r="F69" s="113"/>
      <x:c r="G69" s="106"/>
      <x:c r="H69" s="106"/>
      <x:c r="I69" s="106"/>
      <x:c r="J69" s="106"/>
      <x:c r="K69" s="106"/>
      <x:c r="L69" s="106"/>
      <x:c r="M69" s="106"/>
      <x:c r="N69" s="106"/>
      <x:c r="O69" s="106"/>
      <x:c r="P69" s="86"/>
      <x:c r="Q69" s="126"/>
      <x:c r="R69" s="86"/>
      <x:c r="S69" s="86"/>
      <x:c r="T69" s="86"/>
      <x:c r="U69" s="86"/>
      <x:c r="V69" s="86"/>
      <x:c r="W69" s="86"/>
      <x:c r="X69" s="86"/>
      <x:c r="Y69" s="86"/>
      <x:c r="Z69" s="86"/>
    </x:row>
    <x:row r="70">
      <x:c r="A70" s="86"/>
      <x:c r="B70" s="113"/>
      <x:c r="C70" s="113"/>
      <x:c r="D70" s="119" t="str">
        <x:f>IF(OR(B70="",C70=""),"",B70-C70)</x:f>
      </x:c>
      <x:c r="E70" s="113"/>
      <x:c r="F70" s="113"/>
      <x:c r="G70" s="106"/>
      <x:c r="H70" s="106"/>
      <x:c r="I70" s="106"/>
      <x:c r="J70" s="106"/>
      <x:c r="K70" s="106"/>
      <x:c r="L70" s="106"/>
      <x:c r="M70" s="106"/>
      <x:c r="N70" s="106"/>
      <x:c r="O70" s="106"/>
      <x:c r="P70" s="86"/>
      <x:c r="Q70" s="126"/>
      <x:c r="R70" s="86"/>
      <x:c r="S70" s="86"/>
      <x:c r="T70" s="86"/>
      <x:c r="U70" s="86"/>
      <x:c r="V70" s="86"/>
      <x:c r="W70" s="86"/>
      <x:c r="X70" s="86"/>
      <x:c r="Y70" s="86"/>
      <x:c r="Z70" s="86"/>
    </x:row>
    <x:row r="71">
      <x:c r="A71" s="86"/>
      <x:c r="B71" s="113"/>
      <x:c r="C71" s="113"/>
      <x:c r="D71" s="119" t="str">
        <x:f>IF(OR(B71="",C71=""),"",B71-C71)</x:f>
      </x:c>
      <x:c r="E71" s="113"/>
      <x:c r="F71" s="113"/>
      <x:c r="G71" s="106"/>
      <x:c r="H71" s="106"/>
      <x:c r="I71" s="106"/>
      <x:c r="J71" s="106"/>
      <x:c r="K71" s="106"/>
      <x:c r="L71" s="106"/>
      <x:c r="M71" s="106"/>
      <x:c r="N71" s="106"/>
      <x:c r="O71" s="106"/>
      <x:c r="P71" s="86"/>
      <x:c r="Q71" s="126"/>
      <x:c r="R71" s="86"/>
      <x:c r="S71" s="86"/>
      <x:c r="T71" s="86"/>
      <x:c r="U71" s="86"/>
      <x:c r="V71" s="86"/>
      <x:c r="W71" s="86"/>
      <x:c r="X71" s="86"/>
      <x:c r="Y71" s="86"/>
      <x:c r="Z71" s="86"/>
    </x:row>
    <x:row r="72">
      <x:c r="A72" s="86"/>
      <x:c r="B72" s="113"/>
      <x:c r="C72" s="113"/>
      <x:c r="D72" s="119" t="str">
        <x:f>IF(OR(B72="",C72=""),"",B72-C72)</x:f>
      </x:c>
      <x:c r="E72" s="113"/>
      <x:c r="F72" s="113"/>
      <x:c r="G72" s="106"/>
      <x:c r="H72" s="106"/>
      <x:c r="I72" s="106"/>
      <x:c r="J72" s="106"/>
      <x:c r="K72" s="106"/>
      <x:c r="L72" s="106"/>
      <x:c r="M72" s="106"/>
      <x:c r="N72" s="106"/>
      <x:c r="O72" s="106"/>
      <x:c r="P72" s="86"/>
      <x:c r="Q72" s="126"/>
      <x:c r="R72" s="86"/>
      <x:c r="S72" s="86"/>
      <x:c r="T72" s="86"/>
      <x:c r="U72" s="86"/>
      <x:c r="V72" s="86"/>
      <x:c r="W72" s="86"/>
      <x:c r="X72" s="86"/>
      <x:c r="Y72" s="86"/>
      <x:c r="Z72" s="86"/>
    </x:row>
    <x:row r="73">
      <x:c r="A73" s="86"/>
      <x:c r="B73" s="113"/>
      <x:c r="C73" s="113"/>
      <x:c r="D73" s="119" t="str">
        <x:f>IF(OR(B73="",C73=""),"",B73-C73)</x:f>
      </x:c>
      <x:c r="E73" s="113"/>
      <x:c r="F73" s="113"/>
      <x:c r="G73" s="106"/>
      <x:c r="H73" s="106"/>
      <x:c r="I73" s="106"/>
      <x:c r="J73" s="106"/>
      <x:c r="K73" s="106"/>
      <x:c r="L73" s="106"/>
      <x:c r="M73" s="106"/>
      <x:c r="N73" s="106"/>
      <x:c r="O73" s="106"/>
      <x:c r="P73" s="86"/>
      <x:c r="Q73" s="126"/>
      <x:c r="R73" s="86"/>
      <x:c r="S73" s="86"/>
      <x:c r="T73" s="86"/>
      <x:c r="U73" s="86"/>
      <x:c r="V73" s="86"/>
      <x:c r="W73" s="86"/>
      <x:c r="X73" s="86"/>
      <x:c r="Y73" s="86"/>
      <x:c r="Z73" s="86"/>
    </x:row>
    <x:row r="74">
      <x:c r="A74" s="86"/>
      <x:c r="B74" s="113"/>
      <x:c r="C74" s="113"/>
      <x:c r="D74" s="119" t="str">
        <x:f>IF(OR(B74="",C74=""),"",B74-C74)</x:f>
      </x:c>
      <x:c r="E74" s="113"/>
      <x:c r="F74" s="113"/>
      <x:c r="G74" s="106"/>
      <x:c r="H74" s="106"/>
      <x:c r="I74" s="106"/>
      <x:c r="J74" s="106"/>
      <x:c r="K74" s="106"/>
      <x:c r="L74" s="106"/>
      <x:c r="M74" s="106"/>
      <x:c r="N74" s="106"/>
      <x:c r="O74" s="106"/>
      <x:c r="P74" s="86"/>
      <x:c r="Q74" s="126"/>
      <x:c r="R74" s="86"/>
      <x:c r="S74" s="86"/>
      <x:c r="T74" s="86"/>
      <x:c r="U74" s="86"/>
      <x:c r="V74" s="86"/>
      <x:c r="W74" s="86"/>
      <x:c r="X74" s="86"/>
      <x:c r="Y74" s="86"/>
      <x:c r="Z74" s="86"/>
    </x:row>
    <x:row r="75">
      <x:c r="A75" s="86"/>
      <x:c r="B75" s="113"/>
      <x:c r="C75" s="113"/>
      <x:c r="D75" s="119" t="str">
        <x:f>IF(OR(B75="",C75=""),"",B75-C75)</x:f>
      </x:c>
      <x:c r="E75" s="113"/>
      <x:c r="F75" s="113"/>
      <x:c r="G75" s="106"/>
      <x:c r="H75" s="106"/>
      <x:c r="I75" s="106"/>
      <x:c r="J75" s="106"/>
      <x:c r="K75" s="106"/>
      <x:c r="L75" s="106"/>
      <x:c r="M75" s="106"/>
      <x:c r="N75" s="106"/>
      <x:c r="O75" s="106"/>
      <x:c r="P75" s="86"/>
      <x:c r="Q75" s="126"/>
      <x:c r="R75" s="86"/>
      <x:c r="S75" s="86"/>
      <x:c r="T75" s="86"/>
      <x:c r="U75" s="86"/>
      <x:c r="V75" s="86"/>
      <x:c r="W75" s="86"/>
      <x:c r="X75" s="86"/>
      <x:c r="Y75" s="86"/>
      <x:c r="Z75" s="86"/>
    </x:row>
    <x:row r="76">
      <x:c r="A76" s="86"/>
      <x:c r="B76" s="113"/>
      <x:c r="C76" s="113"/>
      <x:c r="D76" s="119" t="str">
        <x:f>IF(OR(B76="",C76=""),"",B76-C76)</x:f>
      </x:c>
      <x:c r="E76" s="113"/>
      <x:c r="F76" s="113"/>
      <x:c r="G76" s="106"/>
      <x:c r="H76" s="106"/>
      <x:c r="I76" s="106"/>
      <x:c r="J76" s="106"/>
      <x:c r="K76" s="106"/>
      <x:c r="L76" s="106"/>
      <x:c r="M76" s="106"/>
      <x:c r="N76" s="106"/>
      <x:c r="O76" s="106"/>
      <x:c r="P76" s="86"/>
      <x:c r="Q76" s="126"/>
      <x:c r="R76" s="86"/>
      <x:c r="S76" s="86"/>
      <x:c r="T76" s="86"/>
      <x:c r="U76" s="86"/>
      <x:c r="V76" s="86"/>
      <x:c r="W76" s="86"/>
      <x:c r="X76" s="86"/>
      <x:c r="Y76" s="86"/>
      <x:c r="Z76" s="86"/>
    </x:row>
    <x:row r="77">
      <x:c r="A77" s="86"/>
      <x:c r="B77" s="113"/>
      <x:c r="C77" s="113"/>
      <x:c r="D77" s="119" t="str">
        <x:f>IF(OR(B77="",C77=""),"",B77-C77)</x:f>
      </x:c>
      <x:c r="E77" s="113"/>
      <x:c r="F77" s="113"/>
      <x:c r="G77" s="106"/>
      <x:c r="H77" s="106"/>
      <x:c r="I77" s="106"/>
      <x:c r="J77" s="106"/>
      <x:c r="K77" s="106"/>
      <x:c r="L77" s="106"/>
      <x:c r="M77" s="106"/>
      <x:c r="N77" s="106"/>
      <x:c r="O77" s="106"/>
      <x:c r="P77" s="86"/>
      <x:c r="Q77" s="126"/>
      <x:c r="R77" s="86"/>
      <x:c r="S77" s="86"/>
      <x:c r="T77" s="86"/>
      <x:c r="U77" s="86"/>
      <x:c r="V77" s="86"/>
      <x:c r="W77" s="86"/>
      <x:c r="X77" s="86"/>
      <x:c r="Y77" s="86"/>
      <x:c r="Z77" s="86"/>
    </x:row>
    <x:row r="78">
      <x:c r="A78" s="86"/>
      <x:c r="B78" s="113"/>
      <x:c r="C78" s="113"/>
      <x:c r="D78" s="119" t="str">
        <x:f>IF(OR(B78="",C78=""),"",B78-C78)</x:f>
      </x:c>
      <x:c r="E78" s="113"/>
      <x:c r="F78" s="113"/>
      <x:c r="G78" s="106"/>
      <x:c r="H78" s="106"/>
      <x:c r="I78" s="106"/>
      <x:c r="J78" s="106"/>
      <x:c r="K78" s="106"/>
      <x:c r="L78" s="106"/>
      <x:c r="M78" s="106"/>
      <x:c r="N78" s="106"/>
      <x:c r="O78" s="106"/>
      <x:c r="P78" s="86"/>
      <x:c r="Q78" s="126"/>
      <x:c r="R78" s="86"/>
      <x:c r="S78" s="86"/>
      <x:c r="T78" s="86"/>
      <x:c r="U78" s="86"/>
      <x:c r="V78" s="86"/>
      <x:c r="W78" s="86"/>
      <x:c r="X78" s="86"/>
      <x:c r="Y78" s="86"/>
      <x:c r="Z78" s="86"/>
    </x:row>
    <x:row r="79">
      <x:c r="A79" s="86"/>
      <x:c r="B79" s="113"/>
      <x:c r="C79" s="113"/>
      <x:c r="D79" s="119" t="str">
        <x:f>IF(OR(B79="",C79=""),"",B79-C79)</x:f>
      </x:c>
      <x:c r="E79" s="113"/>
      <x:c r="F79" s="113"/>
      <x:c r="G79" s="106"/>
      <x:c r="H79" s="106"/>
      <x:c r="I79" s="106"/>
      <x:c r="J79" s="106"/>
      <x:c r="K79" s="106"/>
      <x:c r="L79" s="106"/>
      <x:c r="M79" s="106"/>
      <x:c r="N79" s="106"/>
      <x:c r="O79" s="106"/>
      <x:c r="P79" s="86"/>
      <x:c r="Q79" s="126"/>
      <x:c r="R79" s="86"/>
      <x:c r="S79" s="86"/>
      <x:c r="T79" s="86"/>
      <x:c r="U79" s="86"/>
      <x:c r="V79" s="86"/>
      <x:c r="W79" s="86"/>
      <x:c r="X79" s="86"/>
      <x:c r="Y79" s="86"/>
      <x:c r="Z79" s="86"/>
    </x:row>
    <x:row r="80">
      <x:c r="A80" s="86"/>
      <x:c r="B80" s="113"/>
      <x:c r="C80" s="113"/>
      <x:c r="D80" s="119" t="str">
        <x:f>IF(OR(B80="",C80=""),"",B80-C80)</x:f>
      </x:c>
      <x:c r="E80" s="113"/>
      <x:c r="F80" s="113"/>
      <x:c r="G80" s="106"/>
      <x:c r="H80" s="106"/>
      <x:c r="I80" s="106"/>
      <x:c r="J80" s="106"/>
      <x:c r="K80" s="106"/>
      <x:c r="L80" s="106"/>
      <x:c r="M80" s="106"/>
      <x:c r="N80" s="106"/>
      <x:c r="O80" s="106"/>
      <x:c r="P80" s="86"/>
      <x:c r="Q80" s="126"/>
      <x:c r="R80" s="86"/>
      <x:c r="S80" s="86"/>
      <x:c r="T80" s="86"/>
      <x:c r="U80" s="86"/>
      <x:c r="V80" s="86"/>
      <x:c r="W80" s="86"/>
      <x:c r="X80" s="86"/>
      <x:c r="Y80" s="86"/>
      <x:c r="Z80" s="86"/>
    </x:row>
    <x:row r="81">
      <x:c r="A81" s="86"/>
      <x:c r="B81" s="113"/>
      <x:c r="C81" s="113"/>
      <x:c r="D81" s="119" t="str">
        <x:f>IF(OR(B81="",C81=""),"",B81-C81)</x:f>
      </x:c>
      <x:c r="E81" s="113"/>
      <x:c r="F81" s="113"/>
      <x:c r="G81" s="106"/>
      <x:c r="H81" s="106"/>
      <x:c r="I81" s="106"/>
      <x:c r="J81" s="106"/>
      <x:c r="K81" s="106"/>
      <x:c r="L81" s="106"/>
      <x:c r="M81" s="106"/>
      <x:c r="N81" s="106"/>
      <x:c r="O81" s="106"/>
      <x:c r="P81" s="86"/>
      <x:c r="Q81" s="126"/>
      <x:c r="R81" s="86"/>
      <x:c r="S81" s="86"/>
      <x:c r="T81" s="86"/>
      <x:c r="U81" s="86"/>
      <x:c r="V81" s="86"/>
      <x:c r="W81" s="86"/>
      <x:c r="X81" s="86"/>
      <x:c r="Y81" s="86"/>
      <x:c r="Z81" s="86"/>
    </x:row>
    <x:row r="82">
      <x:c r="A82" s="86"/>
      <x:c r="B82" s="113"/>
      <x:c r="C82" s="113"/>
      <x:c r="D82" s="119" t="str">
        <x:f>IF(OR(B82="",C82=""),"",B82-C82)</x:f>
      </x:c>
      <x:c r="E82" s="113"/>
      <x:c r="F82" s="113"/>
      <x:c r="G82" s="106"/>
      <x:c r="H82" s="106"/>
      <x:c r="I82" s="106"/>
      <x:c r="J82" s="106"/>
      <x:c r="K82" s="106"/>
      <x:c r="L82" s="106"/>
      <x:c r="M82" s="106"/>
      <x:c r="N82" s="106"/>
      <x:c r="O82" s="106"/>
      <x:c r="P82" s="86"/>
      <x:c r="Q82" s="126"/>
      <x:c r="R82" s="86"/>
      <x:c r="S82" s="86"/>
      <x:c r="T82" s="86"/>
      <x:c r="U82" s="86"/>
      <x:c r="V82" s="86"/>
      <x:c r="W82" s="86"/>
      <x:c r="X82" s="86"/>
      <x:c r="Y82" s="86"/>
      <x:c r="Z82" s="86"/>
    </x:row>
    <x:row r="83">
      <x:c r="A83" s="86"/>
      <x:c r="B83" s="113"/>
      <x:c r="C83" s="113"/>
      <x:c r="D83" s="119" t="str">
        <x:f>IF(OR(B83="",C83=""),"",B83-C83)</x:f>
      </x:c>
      <x:c r="E83" s="113"/>
      <x:c r="F83" s="113"/>
      <x:c r="G83" s="106"/>
      <x:c r="H83" s="106"/>
      <x:c r="I83" s="106"/>
      <x:c r="J83" s="106"/>
      <x:c r="K83" s="106"/>
      <x:c r="L83" s="106"/>
      <x:c r="M83" s="106"/>
      <x:c r="N83" s="106"/>
      <x:c r="O83" s="106"/>
      <x:c r="P83" s="86"/>
      <x:c r="Q83" s="126"/>
      <x:c r="R83" s="86"/>
      <x:c r="S83" s="86"/>
      <x:c r="T83" s="86"/>
      <x:c r="U83" s="86"/>
      <x:c r="V83" s="86"/>
      <x:c r="W83" s="86"/>
      <x:c r="X83" s="86"/>
      <x:c r="Y83" s="86"/>
      <x:c r="Z83" s="86"/>
    </x:row>
    <x:row r="84">
      <x:c r="A84" s="86"/>
      <x:c r="B84" s="113"/>
      <x:c r="C84" s="113"/>
      <x:c r="D84" s="119" t="str">
        <x:f>IF(OR(B84="",C84=""),"",B84-C84)</x:f>
      </x:c>
      <x:c r="E84" s="113"/>
      <x:c r="F84" s="113"/>
      <x:c r="G84" s="106"/>
      <x:c r="H84" s="106"/>
      <x:c r="I84" s="106"/>
      <x:c r="J84" s="106"/>
      <x:c r="K84" s="106"/>
      <x:c r="L84" s="106"/>
      <x:c r="M84" s="106"/>
      <x:c r="N84" s="106"/>
      <x:c r="O84" s="106"/>
      <x:c r="P84" s="86"/>
      <x:c r="Q84" s="126"/>
      <x:c r="R84" s="86"/>
      <x:c r="S84" s="86"/>
      <x:c r="T84" s="86"/>
      <x:c r="U84" s="86"/>
      <x:c r="V84" s="86"/>
      <x:c r="W84" s="86"/>
      <x:c r="X84" s="86"/>
      <x:c r="Y84" s="86"/>
      <x:c r="Z84" s="86"/>
    </x:row>
    <x:row r="85">
      <x:c r="A85" s="86"/>
      <x:c r="B85" s="113"/>
      <x:c r="C85" s="113"/>
      <x:c r="D85" s="119" t="str">
        <x:f>IF(OR(B85="",C85=""),"",B85-C85)</x:f>
      </x:c>
      <x:c r="E85" s="113"/>
      <x:c r="F85" s="113"/>
      <x:c r="G85" s="106"/>
      <x:c r="H85" s="106"/>
      <x:c r="I85" s="106"/>
      <x:c r="J85" s="106"/>
      <x:c r="K85" s="106"/>
      <x:c r="L85" s="106"/>
      <x:c r="M85" s="106"/>
      <x:c r="N85" s="106"/>
      <x:c r="O85" s="106"/>
      <x:c r="P85" s="86"/>
      <x:c r="Q85" s="126"/>
      <x:c r="R85" s="86"/>
      <x:c r="S85" s="86"/>
      <x:c r="T85" s="86"/>
      <x:c r="U85" s="86"/>
      <x:c r="V85" s="86"/>
      <x:c r="W85" s="86"/>
      <x:c r="X85" s="86"/>
      <x:c r="Y85" s="86"/>
      <x:c r="Z85" s="86"/>
    </x:row>
    <x:row r="86">
      <x:c r="A86" s="86"/>
      <x:c r="B86" s="113"/>
      <x:c r="C86" s="113"/>
      <x:c r="D86" s="119" t="str">
        <x:f>IF(OR(B86="",C86=""),"",B86-C86)</x:f>
      </x:c>
      <x:c r="E86" s="113"/>
      <x:c r="F86" s="113"/>
      <x:c r="G86" s="106"/>
      <x:c r="H86" s="106"/>
      <x:c r="I86" s="106"/>
      <x:c r="J86" s="106"/>
      <x:c r="K86" s="106"/>
      <x:c r="L86" s="106"/>
      <x:c r="M86" s="106"/>
      <x:c r="N86" s="106"/>
      <x:c r="O86" s="106"/>
      <x:c r="P86" s="86"/>
      <x:c r="Q86" s="126"/>
      <x:c r="R86" s="86"/>
      <x:c r="S86" s="86"/>
      <x:c r="T86" s="86"/>
      <x:c r="U86" s="86"/>
      <x:c r="V86" s="86"/>
      <x:c r="W86" s="86"/>
      <x:c r="X86" s="86"/>
      <x:c r="Y86" s="86"/>
      <x:c r="Z86" s="86"/>
    </x:row>
    <x:row r="87">
      <x:c r="A87" s="86"/>
      <x:c r="B87" s="113"/>
      <x:c r="C87" s="113"/>
      <x:c r="D87" s="119" t="str">
        <x:f>IF(OR(B87="",C87=""),"",B87-C87)</x:f>
      </x:c>
      <x:c r="E87" s="113"/>
      <x:c r="F87" s="113"/>
      <x:c r="G87" s="106"/>
      <x:c r="H87" s="106"/>
      <x:c r="I87" s="106"/>
      <x:c r="J87" s="106"/>
      <x:c r="K87" s="106"/>
      <x:c r="L87" s="106"/>
      <x:c r="M87" s="106"/>
      <x:c r="N87" s="106"/>
      <x:c r="O87" s="106"/>
      <x:c r="P87" s="86"/>
      <x:c r="Q87" s="126"/>
      <x:c r="R87" s="86"/>
      <x:c r="S87" s="86"/>
      <x:c r="T87" s="86"/>
      <x:c r="U87" s="86"/>
      <x:c r="V87" s="86"/>
      <x:c r="W87" s="86"/>
      <x:c r="X87" s="86"/>
      <x:c r="Y87" s="86"/>
      <x:c r="Z87" s="86"/>
    </x:row>
    <x:row r="88">
      <x:c r="A88" s="86"/>
      <x:c r="B88" s="113"/>
      <x:c r="C88" s="113"/>
      <x:c r="D88" s="119" t="str">
        <x:f>IF(OR(B88="",C88=""),"",B88-C88)</x:f>
      </x:c>
      <x:c r="E88" s="113"/>
      <x:c r="F88" s="113"/>
      <x:c r="G88" s="106"/>
      <x:c r="H88" s="106"/>
      <x:c r="I88" s="106"/>
      <x:c r="J88" s="106"/>
      <x:c r="K88" s="106"/>
      <x:c r="L88" s="106"/>
      <x:c r="M88" s="106"/>
      <x:c r="N88" s="106"/>
      <x:c r="O88" s="106"/>
      <x:c r="P88" s="86"/>
      <x:c r="Q88" s="126"/>
      <x:c r="R88" s="86"/>
      <x:c r="S88" s="86"/>
      <x:c r="T88" s="86"/>
      <x:c r="U88" s="86"/>
      <x:c r="V88" s="86"/>
      <x:c r="W88" s="86"/>
      <x:c r="X88" s="86"/>
      <x:c r="Y88" s="86"/>
      <x:c r="Z88" s="86"/>
    </x:row>
    <x:row r="89">
      <x:c r="A89" s="86"/>
      <x:c r="B89" s="113"/>
      <x:c r="C89" s="113"/>
      <x:c r="D89" s="119" t="str">
        <x:f>IF(OR(B89="",C89=""),"",B89-C89)</x:f>
      </x:c>
      <x:c r="E89" s="113"/>
      <x:c r="F89" s="113"/>
      <x:c r="G89" s="106"/>
      <x:c r="H89" s="106"/>
      <x:c r="I89" s="106"/>
      <x:c r="J89" s="106"/>
      <x:c r="K89" s="106"/>
      <x:c r="L89" s="106"/>
      <x:c r="M89" s="106"/>
      <x:c r="N89" s="106"/>
      <x:c r="O89" s="106"/>
      <x:c r="P89" s="86"/>
      <x:c r="Q89" s="126"/>
      <x:c r="R89" s="86"/>
      <x:c r="S89" s="86"/>
      <x:c r="T89" s="86"/>
      <x:c r="U89" s="86"/>
      <x:c r="V89" s="86"/>
      <x:c r="W89" s="86"/>
      <x:c r="X89" s="86"/>
      <x:c r="Y89" s="86"/>
      <x:c r="Z89" s="86"/>
    </x:row>
    <x:row r="90">
      <x:c r="A90" s="86"/>
      <x:c r="B90" s="113"/>
      <x:c r="C90" s="113"/>
      <x:c r="D90" s="119" t="str">
        <x:f>IF(OR(B90="",C90=""),"",B90-C90)</x:f>
      </x:c>
      <x:c r="E90" s="113"/>
      <x:c r="F90" s="113"/>
      <x:c r="G90" s="106"/>
      <x:c r="H90" s="106"/>
      <x:c r="I90" s="106"/>
      <x:c r="J90" s="106"/>
      <x:c r="K90" s="106"/>
      <x:c r="L90" s="106"/>
      <x:c r="M90" s="106"/>
      <x:c r="N90" s="106"/>
      <x:c r="O90" s="106"/>
      <x:c r="P90" s="86"/>
      <x:c r="Q90" s="126"/>
      <x:c r="R90" s="86"/>
      <x:c r="S90" s="86"/>
      <x:c r="T90" s="86"/>
      <x:c r="U90" s="86"/>
      <x:c r="V90" s="86"/>
      <x:c r="W90" s="86"/>
      <x:c r="X90" s="86"/>
      <x:c r="Y90" s="86"/>
      <x:c r="Z90" s="86"/>
    </x:row>
    <x:row r="91">
      <x:c r="A91" s="86"/>
      <x:c r="B91" s="113"/>
      <x:c r="C91" s="113"/>
      <x:c r="D91" s="119" t="str">
        <x:f>IF(OR(B91="",C91=""),"",B91-C91)</x:f>
      </x:c>
      <x:c r="E91" s="113"/>
      <x:c r="F91" s="113"/>
      <x:c r="G91" s="106"/>
      <x:c r="H91" s="106"/>
      <x:c r="I91" s="106"/>
      <x:c r="J91" s="106"/>
      <x:c r="K91" s="106"/>
      <x:c r="L91" s="106"/>
      <x:c r="M91" s="106"/>
      <x:c r="N91" s="106"/>
      <x:c r="O91" s="106"/>
      <x:c r="P91" s="86"/>
      <x:c r="Q91" s="126"/>
      <x:c r="R91" s="86"/>
      <x:c r="S91" s="86"/>
      <x:c r="T91" s="86"/>
      <x:c r="U91" s="86"/>
      <x:c r="V91" s="86"/>
      <x:c r="W91" s="86"/>
      <x:c r="X91" s="86"/>
      <x:c r="Y91" s="86"/>
      <x:c r="Z91" s="86"/>
    </x:row>
    <x:row r="92">
      <x:c r="A92" s="86"/>
      <x:c r="B92" s="113"/>
      <x:c r="C92" s="113"/>
      <x:c r="D92" s="119" t="str">
        <x:f>IF(OR(B92="",C92=""),"",B92-C92)</x:f>
      </x:c>
      <x:c r="E92" s="113"/>
      <x:c r="F92" s="113"/>
      <x:c r="G92" s="106"/>
      <x:c r="H92" s="106"/>
      <x:c r="I92" s="106"/>
      <x:c r="J92" s="106"/>
      <x:c r="K92" s="106"/>
      <x:c r="L92" s="106"/>
      <x:c r="M92" s="106"/>
      <x:c r="N92" s="106"/>
      <x:c r="O92" s="106"/>
      <x:c r="P92" s="86"/>
      <x:c r="Q92" s="126"/>
      <x:c r="R92" s="86"/>
      <x:c r="S92" s="86"/>
      <x:c r="T92" s="86"/>
      <x:c r="U92" s="86"/>
      <x:c r="V92" s="86"/>
      <x:c r="W92" s="86"/>
      <x:c r="X92" s="86"/>
      <x:c r="Y92" s="86"/>
      <x:c r="Z92" s="86"/>
    </x:row>
    <x:row r="93">
      <x:c r="A93" s="86"/>
      <x:c r="B93" s="113"/>
      <x:c r="C93" s="113"/>
      <x:c r="D93" s="119" t="str">
        <x:f>IF(OR(B93="",C93=""),"",B93-C93)</x:f>
      </x:c>
      <x:c r="E93" s="113"/>
      <x:c r="F93" s="113"/>
      <x:c r="G93" s="106"/>
      <x:c r="H93" s="106"/>
      <x:c r="I93" s="106"/>
      <x:c r="J93" s="106"/>
      <x:c r="K93" s="106"/>
      <x:c r="L93" s="106"/>
      <x:c r="M93" s="106"/>
      <x:c r="N93" s="106"/>
      <x:c r="O93" s="106"/>
      <x:c r="P93" s="86"/>
      <x:c r="Q93" s="126"/>
      <x:c r="R93" s="86"/>
      <x:c r="S93" s="86"/>
      <x:c r="T93" s="86"/>
      <x:c r="U93" s="86"/>
      <x:c r="V93" s="86"/>
      <x:c r="W93" s="86"/>
      <x:c r="X93" s="86"/>
      <x:c r="Y93" s="86"/>
      <x:c r="Z93" s="86"/>
    </x:row>
    <x:row r="94">
      <x:c r="A94" s="86"/>
      <x:c r="B94" s="113"/>
      <x:c r="C94" s="113"/>
      <x:c r="D94" s="119" t="str">
        <x:f>IF(OR(B94="",C94=""),"",B94-C94)</x:f>
      </x:c>
      <x:c r="E94" s="113"/>
      <x:c r="F94" s="113"/>
      <x:c r="G94" s="106"/>
      <x:c r="H94" s="106"/>
      <x:c r="I94" s="106"/>
      <x:c r="J94" s="106"/>
      <x:c r="K94" s="106"/>
      <x:c r="L94" s="106"/>
      <x:c r="M94" s="106"/>
      <x:c r="N94" s="106"/>
      <x:c r="O94" s="106"/>
      <x:c r="P94" s="86"/>
      <x:c r="Q94" s="126"/>
      <x:c r="R94" s="86"/>
      <x:c r="S94" s="86"/>
      <x:c r="T94" s="86"/>
      <x:c r="U94" s="86"/>
      <x:c r="V94" s="86"/>
      <x:c r="W94" s="86"/>
      <x:c r="X94" s="86"/>
      <x:c r="Y94" s="86"/>
      <x:c r="Z94" s="86"/>
    </x:row>
    <x:row r="95">
      <x:c r="A95" s="86"/>
      <x:c r="B95" s="113"/>
      <x:c r="C95" s="113"/>
      <x:c r="D95" s="119" t="str">
        <x:f>IF(OR(B95="",C95=""),"",B95-C95)</x:f>
      </x:c>
      <x:c r="E95" s="113"/>
      <x:c r="F95" s="113"/>
      <x:c r="G95" s="106"/>
      <x:c r="H95" s="106"/>
      <x:c r="I95" s="106"/>
      <x:c r="J95" s="106"/>
      <x:c r="K95" s="106"/>
      <x:c r="L95" s="106"/>
      <x:c r="M95" s="106"/>
      <x:c r="N95" s="106"/>
      <x:c r="O95" s="106"/>
      <x:c r="P95" s="86"/>
      <x:c r="Q95" s="126"/>
      <x:c r="R95" s="86"/>
      <x:c r="S95" s="86"/>
      <x:c r="T95" s="86"/>
      <x:c r="U95" s="86"/>
      <x:c r="V95" s="86"/>
      <x:c r="W95" s="86"/>
      <x:c r="X95" s="86"/>
      <x:c r="Y95" s="86"/>
      <x:c r="Z95" s="86"/>
    </x:row>
    <x:row r="96">
      <x:c r="A96" s="86"/>
      <x:c r="B96" s="113"/>
      <x:c r="C96" s="113"/>
      <x:c r="D96" s="119" t="str">
        <x:f>IF(OR(B96="",C96=""),"",B96-C96)</x:f>
      </x:c>
      <x:c r="E96" s="113"/>
      <x:c r="F96" s="113"/>
      <x:c r="G96" s="106"/>
      <x:c r="H96" s="106"/>
      <x:c r="I96" s="106"/>
      <x:c r="J96" s="106"/>
      <x:c r="K96" s="106"/>
      <x:c r="L96" s="106"/>
      <x:c r="M96" s="106"/>
      <x:c r="N96" s="106"/>
      <x:c r="O96" s="106"/>
      <x:c r="P96" s="86"/>
      <x:c r="Q96" s="126"/>
      <x:c r="R96" s="86"/>
      <x:c r="S96" s="86"/>
      <x:c r="T96" s="86"/>
      <x:c r="U96" s="86"/>
      <x:c r="V96" s="86"/>
      <x:c r="W96" s="86"/>
      <x:c r="X96" s="86"/>
      <x:c r="Y96" s="86"/>
      <x:c r="Z96" s="86"/>
    </x:row>
    <x:row r="97">
      <x:c r="A97" s="86"/>
      <x:c r="B97" s="113"/>
      <x:c r="C97" s="113"/>
      <x:c r="D97" s="119" t="str">
        <x:f>IF(OR(B97="",C97=""),"",B97-C97)</x:f>
      </x:c>
      <x:c r="E97" s="113"/>
      <x:c r="F97" s="113"/>
      <x:c r="G97" s="106"/>
      <x:c r="H97" s="106"/>
      <x:c r="I97" s="106"/>
      <x:c r="J97" s="106"/>
      <x:c r="K97" s="106"/>
      <x:c r="L97" s="106"/>
      <x:c r="M97" s="106"/>
      <x:c r="N97" s="106"/>
      <x:c r="O97" s="106"/>
      <x:c r="P97" s="86"/>
      <x:c r="Q97" s="126"/>
      <x:c r="R97" s="86"/>
      <x:c r="S97" s="86"/>
      <x:c r="T97" s="86"/>
      <x:c r="U97" s="86"/>
      <x:c r="V97" s="86"/>
      <x:c r="W97" s="86"/>
      <x:c r="X97" s="86"/>
      <x:c r="Y97" s="86"/>
      <x:c r="Z97" s="86"/>
    </x:row>
    <x:row r="98">
      <x:c r="A98" s="86"/>
      <x:c r="B98" s="113"/>
      <x:c r="C98" s="113"/>
      <x:c r="D98" s="119" t="str">
        <x:f>IF(OR(B98="",C98=""),"",B98-C98)</x:f>
      </x:c>
      <x:c r="E98" s="113"/>
      <x:c r="F98" s="113"/>
      <x:c r="G98" s="106"/>
      <x:c r="H98" s="106"/>
      <x:c r="I98" s="106"/>
      <x:c r="J98" s="106"/>
      <x:c r="K98" s="106"/>
      <x:c r="L98" s="106"/>
      <x:c r="M98" s="106"/>
      <x:c r="N98" s="106"/>
      <x:c r="O98" s="106"/>
      <x:c r="P98" s="86"/>
      <x:c r="Q98" s="126"/>
      <x:c r="R98" s="86"/>
      <x:c r="S98" s="86"/>
      <x:c r="T98" s="86"/>
      <x:c r="U98" s="86"/>
      <x:c r="V98" s="86"/>
      <x:c r="W98" s="86"/>
      <x:c r="X98" s="86"/>
      <x:c r="Y98" s="86"/>
      <x:c r="Z98" s="86"/>
    </x:row>
    <x:row r="99">
      <x:c r="A99" s="86"/>
      <x:c r="B99" s="113"/>
      <x:c r="C99" s="113"/>
      <x:c r="D99" s="119" t="str">
        <x:f>IF(OR(B99="",C99=""),"",B99-C99)</x:f>
      </x:c>
      <x:c r="E99" s="113"/>
      <x:c r="F99" s="113"/>
      <x:c r="G99" s="106"/>
      <x:c r="H99" s="106"/>
      <x:c r="I99" s="106"/>
      <x:c r="J99" s="106"/>
      <x:c r="K99" s="106"/>
      <x:c r="L99" s="106"/>
      <x:c r="M99" s="106"/>
      <x:c r="N99" s="106"/>
      <x:c r="O99" s="106"/>
      <x:c r="P99" s="86"/>
      <x:c r="Q99" s="126"/>
      <x:c r="R99" s="86"/>
      <x:c r="S99" s="86"/>
      <x:c r="T99" s="86"/>
      <x:c r="U99" s="86"/>
      <x:c r="V99" s="86"/>
      <x:c r="W99" s="86"/>
      <x:c r="X99" s="86"/>
      <x:c r="Y99" s="86"/>
      <x:c r="Z99" s="86"/>
    </x:row>
    <x:row r="100">
      <x:c r="A100" s="86"/>
      <x:c r="B100" s="113"/>
      <x:c r="C100" s="113"/>
      <x:c r="D100" s="119" t="str">
        <x:f>IF(OR(B100="",C100=""),"",B100-C100)</x:f>
      </x:c>
      <x:c r="E100" s="113"/>
      <x:c r="F100" s="113"/>
      <x:c r="G100" s="106"/>
      <x:c r="H100" s="106"/>
      <x:c r="I100" s="106"/>
      <x:c r="J100" s="106"/>
      <x:c r="K100" s="106"/>
      <x:c r="L100" s="106"/>
      <x:c r="M100" s="106"/>
      <x:c r="N100" s="106"/>
      <x:c r="O100" s="106"/>
      <x:c r="P100" s="86"/>
      <x:c r="Q100" s="12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Q1"/>
  </x:mergeCells>
  <x:dataValidations count="1">
    <x:dataValidation type="list" sqref="P4:P100">
      <x:formula1>"待完成,已完成"</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12" hidden="0" customWidth="1"/>
    <x:col min="3" max="3" width="11" hidden="0" customWidth="1"/>
    <x:col min="4" max="4" width="14" hidden="0" customWidth="1"/>
    <x:col min="5" max="5" width="10" hidden="0" customWidth="1"/>
    <x:col min="6" max="6" width="10" hidden="0" customWidth="1"/>
    <x:col min="7" max="7" width="12" hidden="0" customWidth="1"/>
    <x:col min="8" max="8" width="14" hidden="0" customWidth="1"/>
    <x:col min="9" max="9" width="11" hidden="0" customWidth="1"/>
    <x:col min="10" max="10" width="12" hidden="0" customWidth="1"/>
    <x:col min="11" max="11" width="15" hidden="0" customWidth="1"/>
    <x:col min="12" max="12" width="30" hidden="0" customWidth="1"/>
    <x:col min="13" max="13" width="14" hidden="0" customWidth="1"/>
    <x:col min="14" max="14" width="24" hidden="0" customWidth="1"/>
    <x:col min="15" max="15" width="30" hidden="0" customWidth="1"/>
    <x:col min="16" max="16" width="14" hidden="0" customWidth="1"/>
    <x:col min="17" max="17" width="11" hidden="0" customWidth="1"/>
    <x:col min="18" max="18" width="30" hidden="0" customWidth="1"/>
  </x:cols>
  <x:sheetData>
    <x:row r="1">
      <x:c r="A1" s="5" t="str">
        <x:v>交易记录 / 事前理由 / 事后复盘</x:v>
      </x:c>
      <x:c r="B1" s="5"/>
      <x:c r="C1" s="5"/>
      <x:c r="D1" s="5"/>
      <x:c r="E1" s="5"/>
      <x:c r="F1" s="5"/>
      <x:c r="G1" s="5"/>
      <x:c r="H1" s="5"/>
      <x:c r="I1" s="5"/>
      <x:c r="J1" s="5"/>
      <x:c r="K1" s="5"/>
      <x:c r="L1" s="5"/>
      <x:c r="M1" s="5"/>
      <x:c r="N1" s="5"/>
      <x:c r="O1" s="5"/>
      <x:c r="P1" s="5"/>
      <x:c r="Q1" s="5"/>
      <x:c r="R1" s="5"/>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交易ID</x:v>
      </x:c>
      <x:c r="B3" s="13" t="str">
        <x:v>日期</x:v>
      </x:c>
      <x:c r="C3" s="13" t="str">
        <x:v>股票代码</x:v>
      </x:c>
      <x:c r="D3" s="13" t="str">
        <x:v>公司名称</x:v>
      </x:c>
      <x:c r="E3" s="13" t="str">
        <x:v>方向</x:v>
      </x:c>
      <x:c r="F3" s="13" t="str">
        <x:v>数量</x:v>
      </x:c>
      <x:c r="G3" s="13" t="str">
        <x:v>价格(元)</x:v>
      </x:c>
      <x:c r="H3" s="13" t="str">
        <x:v>金额(元)</x:v>
      </x:c>
      <x:c r="I3" s="13" t="str">
        <x:v>当时质量分</x:v>
      </x:c>
      <x:c r="J3" s="13" t="str">
        <x:v>当时安全边际</x:v>
      </x:c>
      <x:c r="K3" s="13" t="str">
        <x:v>当时信号</x:v>
      </x:c>
      <x:c r="L3" s="13" t="str">
        <x:v>交易理由</x:v>
      </x:c>
      <x:c r="M3" s="13" t="str">
        <x:v>预计持有周期</x:v>
      </x:c>
      <x:c r="N3" s="13" t="str">
        <x:v>触发条件</x:v>
      </x:c>
      <x:c r="O3" s="13" t="str">
        <x:v>实际卖出/调整原因</x:v>
      </x:c>
      <x:c r="P3" s="13" t="str">
        <x:v>盈亏金额</x:v>
      </x:c>
      <x:c r="Q3" s="13" t="str">
        <x:v>盈亏率</x:v>
      </x:c>
      <x:c r="R3" s="13" t="str">
        <x:v>复盘结论</x:v>
      </x:c>
      <x:c r="S3" s="86"/>
      <x:c r="T3" s="86"/>
      <x:c r="U3" s="86"/>
      <x:c r="V3" s="86"/>
      <x:c r="W3" s="86"/>
      <x:c r="X3" s="86"/>
      <x:c r="Y3" s="86"/>
      <x:c r="Z3" s="86"/>
    </x:row>
    <x:row r="4">
      <x:c r="A4" s="106"/>
      <x:c r="B4" s="126"/>
      <x:c r="C4" s="106"/>
      <x:c r="D4" s="106"/>
      <x:c r="E4" s="106"/>
      <x:c r="F4" s="106"/>
      <x:c r="G4" s="114"/>
      <x:c r="H4" s="128" t="str">
        <x:f>IF(OR(F4="",G4=""),"",F4*G4)</x:f>
      </x:c>
      <x:c r="I4" s="106"/>
      <x:c r="J4" s="113"/>
      <x:c r="K4" s="106"/>
      <x:c r="L4" s="106"/>
      <x:c r="M4" s="106"/>
      <x:c r="N4" s="106"/>
      <x:c r="O4" s="106"/>
      <x:c r="P4" s="114"/>
      <x:c r="Q4" s="113"/>
      <x:c r="R4" s="106"/>
      <x:c r="S4" s="86"/>
      <x:c r="T4" s="86"/>
      <x:c r="U4" s="86"/>
      <x:c r="V4" s="86"/>
      <x:c r="W4" s="86"/>
      <x:c r="X4" s="86"/>
      <x:c r="Y4" s="86"/>
      <x:c r="Z4" s="86"/>
    </x:row>
    <x:row r="5">
      <x:c r="A5" s="106"/>
      <x:c r="B5" s="126"/>
      <x:c r="C5" s="106"/>
      <x:c r="D5" s="106"/>
      <x:c r="E5" s="106"/>
      <x:c r="F5" s="106"/>
      <x:c r="G5" s="114"/>
      <x:c r="H5" s="128" t="str">
        <x:f>IF(OR(F5="",G5=""),"",F5*G5)</x:f>
      </x:c>
      <x:c r="I5" s="106"/>
      <x:c r="J5" s="113"/>
      <x:c r="K5" s="106"/>
      <x:c r="L5" s="106"/>
      <x:c r="M5" s="106"/>
      <x:c r="N5" s="106"/>
      <x:c r="O5" s="106"/>
      <x:c r="P5" s="114"/>
      <x:c r="Q5" s="113"/>
      <x:c r="R5" s="106"/>
      <x:c r="S5" s="86"/>
      <x:c r="T5" s="86"/>
      <x:c r="U5" s="86"/>
      <x:c r="V5" s="86"/>
      <x:c r="W5" s="86"/>
      <x:c r="X5" s="86"/>
      <x:c r="Y5" s="86"/>
      <x:c r="Z5" s="86"/>
    </x:row>
    <x:row r="6">
      <x:c r="A6" s="106"/>
      <x:c r="B6" s="126"/>
      <x:c r="C6" s="106"/>
      <x:c r="D6" s="106"/>
      <x:c r="E6" s="106"/>
      <x:c r="F6" s="106"/>
      <x:c r="G6" s="114"/>
      <x:c r="H6" s="128" t="str">
        <x:f>IF(OR(F6="",G6=""),"",F6*G6)</x:f>
      </x:c>
      <x:c r="I6" s="106"/>
      <x:c r="J6" s="113"/>
      <x:c r="K6" s="106"/>
      <x:c r="L6" s="106"/>
      <x:c r="M6" s="106"/>
      <x:c r="N6" s="106"/>
      <x:c r="O6" s="106"/>
      <x:c r="P6" s="114"/>
      <x:c r="Q6" s="113"/>
      <x:c r="R6" s="106"/>
      <x:c r="S6" s="86"/>
      <x:c r="T6" s="86"/>
      <x:c r="U6" s="86"/>
      <x:c r="V6" s="86"/>
      <x:c r="W6" s="86"/>
      <x:c r="X6" s="86"/>
      <x:c r="Y6" s="86"/>
      <x:c r="Z6" s="86"/>
    </x:row>
    <x:row r="7">
      <x:c r="A7" s="106"/>
      <x:c r="B7" s="126"/>
      <x:c r="C7" s="106"/>
      <x:c r="D7" s="106"/>
      <x:c r="E7" s="106"/>
      <x:c r="F7" s="106"/>
      <x:c r="G7" s="114"/>
      <x:c r="H7" s="128" t="str">
        <x:f>IF(OR(F7="",G7=""),"",F7*G7)</x:f>
      </x:c>
      <x:c r="I7" s="106"/>
      <x:c r="J7" s="113"/>
      <x:c r="K7" s="106"/>
      <x:c r="L7" s="106"/>
      <x:c r="M7" s="106"/>
      <x:c r="N7" s="106"/>
      <x:c r="O7" s="106"/>
      <x:c r="P7" s="114"/>
      <x:c r="Q7" s="113"/>
      <x:c r="R7" s="106"/>
      <x:c r="S7" s="86"/>
      <x:c r="T7" s="86"/>
      <x:c r="U7" s="86"/>
      <x:c r="V7" s="86"/>
      <x:c r="W7" s="86"/>
      <x:c r="X7" s="86"/>
      <x:c r="Y7" s="86"/>
      <x:c r="Z7" s="86"/>
    </x:row>
    <x:row r="8">
      <x:c r="A8" s="106"/>
      <x:c r="B8" s="126"/>
      <x:c r="C8" s="106"/>
      <x:c r="D8" s="106"/>
      <x:c r="E8" s="106"/>
      <x:c r="F8" s="106"/>
      <x:c r="G8" s="114"/>
      <x:c r="H8" s="128" t="str">
        <x:f>IF(OR(F8="",G8=""),"",F8*G8)</x:f>
      </x:c>
      <x:c r="I8" s="106"/>
      <x:c r="J8" s="113"/>
      <x:c r="K8" s="106"/>
      <x:c r="L8" s="106"/>
      <x:c r="M8" s="106"/>
      <x:c r="N8" s="106"/>
      <x:c r="O8" s="106"/>
      <x:c r="P8" s="114"/>
      <x:c r="Q8" s="113"/>
      <x:c r="R8" s="106"/>
      <x:c r="S8" s="86"/>
      <x:c r="T8" s="86"/>
      <x:c r="U8" s="86"/>
      <x:c r="V8" s="86"/>
      <x:c r="W8" s="86"/>
      <x:c r="X8" s="86"/>
      <x:c r="Y8" s="86"/>
      <x:c r="Z8" s="86"/>
    </x:row>
    <x:row r="9">
      <x:c r="A9" s="106"/>
      <x:c r="B9" s="126"/>
      <x:c r="C9" s="106"/>
      <x:c r="D9" s="106"/>
      <x:c r="E9" s="106"/>
      <x:c r="F9" s="106"/>
      <x:c r="G9" s="114"/>
      <x:c r="H9" s="128" t="str">
        <x:f>IF(OR(F9="",G9=""),"",F9*G9)</x:f>
      </x:c>
      <x:c r="I9" s="106"/>
      <x:c r="J9" s="113"/>
      <x:c r="K9" s="106"/>
      <x:c r="L9" s="106"/>
      <x:c r="M9" s="106"/>
      <x:c r="N9" s="106"/>
      <x:c r="O9" s="106"/>
      <x:c r="P9" s="114"/>
      <x:c r="Q9" s="113"/>
      <x:c r="R9" s="106"/>
      <x:c r="S9" s="86"/>
      <x:c r="T9" s="86"/>
      <x:c r="U9" s="86"/>
      <x:c r="V9" s="86"/>
      <x:c r="W9" s="86"/>
      <x:c r="X9" s="86"/>
      <x:c r="Y9" s="86"/>
      <x:c r="Z9" s="86"/>
    </x:row>
    <x:row r="10">
      <x:c r="A10" s="106"/>
      <x:c r="B10" s="126"/>
      <x:c r="C10" s="106"/>
      <x:c r="D10" s="106"/>
      <x:c r="E10" s="106"/>
      <x:c r="F10" s="106"/>
      <x:c r="G10" s="114"/>
      <x:c r="H10" s="128" t="str">
        <x:f>IF(OR(F10="",G10=""),"",F10*G10)</x:f>
      </x:c>
      <x:c r="I10" s="106"/>
      <x:c r="J10" s="113"/>
      <x:c r="K10" s="106"/>
      <x:c r="L10" s="106"/>
      <x:c r="M10" s="106"/>
      <x:c r="N10" s="106"/>
      <x:c r="O10" s="106"/>
      <x:c r="P10" s="114"/>
      <x:c r="Q10" s="113"/>
      <x:c r="R10" s="106"/>
      <x:c r="S10" s="86"/>
      <x:c r="T10" s="86"/>
      <x:c r="U10" s="86"/>
      <x:c r="V10" s="86"/>
      <x:c r="W10" s="86"/>
      <x:c r="X10" s="86"/>
      <x:c r="Y10" s="86"/>
      <x:c r="Z10" s="86"/>
    </x:row>
    <x:row r="11">
      <x:c r="A11" s="106"/>
      <x:c r="B11" s="126"/>
      <x:c r="C11" s="106"/>
      <x:c r="D11" s="106"/>
      <x:c r="E11" s="106"/>
      <x:c r="F11" s="106"/>
      <x:c r="G11" s="114"/>
      <x:c r="H11" s="128" t="str">
        <x:f>IF(OR(F11="",G11=""),"",F11*G11)</x:f>
      </x:c>
      <x:c r="I11" s="106"/>
      <x:c r="J11" s="113"/>
      <x:c r="K11" s="106"/>
      <x:c r="L11" s="106"/>
      <x:c r="M11" s="106"/>
      <x:c r="N11" s="106"/>
      <x:c r="O11" s="106"/>
      <x:c r="P11" s="114"/>
      <x:c r="Q11" s="113"/>
      <x:c r="R11" s="106"/>
      <x:c r="S11" s="86"/>
      <x:c r="T11" s="86"/>
      <x:c r="U11" s="86"/>
      <x:c r="V11" s="86"/>
      <x:c r="W11" s="86"/>
      <x:c r="X11" s="86"/>
      <x:c r="Y11" s="86"/>
      <x:c r="Z11" s="86"/>
    </x:row>
    <x:row r="12">
      <x:c r="A12" s="106"/>
      <x:c r="B12" s="126"/>
      <x:c r="C12" s="106"/>
      <x:c r="D12" s="106"/>
      <x:c r="E12" s="106"/>
      <x:c r="F12" s="106"/>
      <x:c r="G12" s="114"/>
      <x:c r="H12" s="128" t="str">
        <x:f>IF(OR(F12="",G12=""),"",F12*G12)</x:f>
      </x:c>
      <x:c r="I12" s="106"/>
      <x:c r="J12" s="113"/>
      <x:c r="K12" s="106"/>
      <x:c r="L12" s="106"/>
      <x:c r="M12" s="106"/>
      <x:c r="N12" s="106"/>
      <x:c r="O12" s="106"/>
      <x:c r="P12" s="114"/>
      <x:c r="Q12" s="113"/>
      <x:c r="R12" s="106"/>
      <x:c r="S12" s="86"/>
      <x:c r="T12" s="86"/>
      <x:c r="U12" s="86"/>
      <x:c r="V12" s="86"/>
      <x:c r="W12" s="86"/>
      <x:c r="X12" s="86"/>
      <x:c r="Y12" s="86"/>
      <x:c r="Z12" s="86"/>
    </x:row>
    <x:row r="13">
      <x:c r="A13" s="106"/>
      <x:c r="B13" s="126"/>
      <x:c r="C13" s="106"/>
      <x:c r="D13" s="106"/>
      <x:c r="E13" s="106"/>
      <x:c r="F13" s="106"/>
      <x:c r="G13" s="114"/>
      <x:c r="H13" s="128" t="str">
        <x:f>IF(OR(F13="",G13=""),"",F13*G13)</x:f>
      </x:c>
      <x:c r="I13" s="106"/>
      <x:c r="J13" s="113"/>
      <x:c r="K13" s="106"/>
      <x:c r="L13" s="106"/>
      <x:c r="M13" s="106"/>
      <x:c r="N13" s="106"/>
      <x:c r="O13" s="106"/>
      <x:c r="P13" s="114"/>
      <x:c r="Q13" s="113"/>
      <x:c r="R13" s="106"/>
      <x:c r="S13" s="86"/>
      <x:c r="T13" s="86"/>
      <x:c r="U13" s="86"/>
      <x:c r="V13" s="86"/>
      <x:c r="W13" s="86"/>
      <x:c r="X13" s="86"/>
      <x:c r="Y13" s="86"/>
      <x:c r="Z13" s="86"/>
    </x:row>
    <x:row r="14">
      <x:c r="A14" s="106"/>
      <x:c r="B14" s="126"/>
      <x:c r="C14" s="106"/>
      <x:c r="D14" s="106"/>
      <x:c r="E14" s="106"/>
      <x:c r="F14" s="106"/>
      <x:c r="G14" s="114"/>
      <x:c r="H14" s="128" t="str">
        <x:f>IF(OR(F14="",G14=""),"",F14*G14)</x:f>
      </x:c>
      <x:c r="I14" s="106"/>
      <x:c r="J14" s="113"/>
      <x:c r="K14" s="106"/>
      <x:c r="L14" s="106"/>
      <x:c r="M14" s="106"/>
      <x:c r="N14" s="106"/>
      <x:c r="O14" s="106"/>
      <x:c r="P14" s="114"/>
      <x:c r="Q14" s="113"/>
      <x:c r="R14" s="106"/>
      <x:c r="S14" s="86"/>
      <x:c r="T14" s="86"/>
      <x:c r="U14" s="86"/>
      <x:c r="V14" s="86"/>
      <x:c r="W14" s="86"/>
      <x:c r="X14" s="86"/>
      <x:c r="Y14" s="86"/>
      <x:c r="Z14" s="86"/>
    </x:row>
    <x:row r="15">
      <x:c r="A15" s="106"/>
      <x:c r="B15" s="126"/>
      <x:c r="C15" s="106"/>
      <x:c r="D15" s="106"/>
      <x:c r="E15" s="106"/>
      <x:c r="F15" s="106"/>
      <x:c r="G15" s="114"/>
      <x:c r="H15" s="128" t="str">
        <x:f>IF(OR(F15="",G15=""),"",F15*G15)</x:f>
      </x:c>
      <x:c r="I15" s="106"/>
      <x:c r="J15" s="113"/>
      <x:c r="K15" s="106"/>
      <x:c r="L15" s="106"/>
      <x:c r="M15" s="106"/>
      <x:c r="N15" s="106"/>
      <x:c r="O15" s="106"/>
      <x:c r="P15" s="114"/>
      <x:c r="Q15" s="113"/>
      <x:c r="R15" s="106"/>
      <x:c r="S15" s="86"/>
      <x:c r="T15" s="86"/>
      <x:c r="U15" s="86"/>
      <x:c r="V15" s="86"/>
      <x:c r="W15" s="86"/>
      <x:c r="X15" s="86"/>
      <x:c r="Y15" s="86"/>
      <x:c r="Z15" s="86"/>
    </x:row>
    <x:row r="16">
      <x:c r="A16" s="106"/>
      <x:c r="B16" s="126"/>
      <x:c r="C16" s="106"/>
      <x:c r="D16" s="106"/>
      <x:c r="E16" s="106"/>
      <x:c r="F16" s="106"/>
      <x:c r="G16" s="114"/>
      <x:c r="H16" s="128" t="str">
        <x:f>IF(OR(F16="",G16=""),"",F16*G16)</x:f>
      </x:c>
      <x:c r="I16" s="106"/>
      <x:c r="J16" s="113"/>
      <x:c r="K16" s="106"/>
      <x:c r="L16" s="106"/>
      <x:c r="M16" s="106"/>
      <x:c r="N16" s="106"/>
      <x:c r="O16" s="106"/>
      <x:c r="P16" s="114"/>
      <x:c r="Q16" s="113"/>
      <x:c r="R16" s="106"/>
      <x:c r="S16" s="86"/>
      <x:c r="T16" s="86"/>
      <x:c r="U16" s="86"/>
      <x:c r="V16" s="86"/>
      <x:c r="W16" s="86"/>
      <x:c r="X16" s="86"/>
      <x:c r="Y16" s="86"/>
      <x:c r="Z16" s="86"/>
    </x:row>
    <x:row r="17">
      <x:c r="A17" s="106"/>
      <x:c r="B17" s="126"/>
      <x:c r="C17" s="106"/>
      <x:c r="D17" s="106"/>
      <x:c r="E17" s="106"/>
      <x:c r="F17" s="106"/>
      <x:c r="G17" s="114"/>
      <x:c r="H17" s="128" t="str">
        <x:f>IF(OR(F17="",G17=""),"",F17*G17)</x:f>
      </x:c>
      <x:c r="I17" s="106"/>
      <x:c r="J17" s="113"/>
      <x:c r="K17" s="106"/>
      <x:c r="L17" s="106"/>
      <x:c r="M17" s="106"/>
      <x:c r="N17" s="106"/>
      <x:c r="O17" s="106"/>
      <x:c r="P17" s="114"/>
      <x:c r="Q17" s="113"/>
      <x:c r="R17" s="106"/>
      <x:c r="S17" s="86"/>
      <x:c r="T17" s="86"/>
      <x:c r="U17" s="86"/>
      <x:c r="V17" s="86"/>
      <x:c r="W17" s="86"/>
      <x:c r="X17" s="86"/>
      <x:c r="Y17" s="86"/>
      <x:c r="Z17" s="86"/>
    </x:row>
    <x:row r="18">
      <x:c r="A18" s="106"/>
      <x:c r="B18" s="126"/>
      <x:c r="C18" s="106"/>
      <x:c r="D18" s="106"/>
      <x:c r="E18" s="106"/>
      <x:c r="F18" s="106"/>
      <x:c r="G18" s="114"/>
      <x:c r="H18" s="128" t="str">
        <x:f>IF(OR(F18="",G18=""),"",F18*G18)</x:f>
      </x:c>
      <x:c r="I18" s="106"/>
      <x:c r="J18" s="113"/>
      <x:c r="K18" s="106"/>
      <x:c r="L18" s="106"/>
      <x:c r="M18" s="106"/>
      <x:c r="N18" s="106"/>
      <x:c r="O18" s="106"/>
      <x:c r="P18" s="114"/>
      <x:c r="Q18" s="113"/>
      <x:c r="R18" s="106"/>
      <x:c r="S18" s="86"/>
      <x:c r="T18" s="86"/>
      <x:c r="U18" s="86"/>
      <x:c r="V18" s="86"/>
      <x:c r="W18" s="86"/>
      <x:c r="X18" s="86"/>
      <x:c r="Y18" s="86"/>
      <x:c r="Z18" s="86"/>
    </x:row>
    <x:row r="19">
      <x:c r="A19" s="106"/>
      <x:c r="B19" s="126"/>
      <x:c r="C19" s="106"/>
      <x:c r="D19" s="106"/>
      <x:c r="E19" s="106"/>
      <x:c r="F19" s="106"/>
      <x:c r="G19" s="114"/>
      <x:c r="H19" s="128" t="str">
        <x:f>IF(OR(F19="",G19=""),"",F19*G19)</x:f>
      </x:c>
      <x:c r="I19" s="106"/>
      <x:c r="J19" s="113"/>
      <x:c r="K19" s="106"/>
      <x:c r="L19" s="106"/>
      <x:c r="M19" s="106"/>
      <x:c r="N19" s="106"/>
      <x:c r="O19" s="106"/>
      <x:c r="P19" s="114"/>
      <x:c r="Q19" s="113"/>
      <x:c r="R19" s="106"/>
      <x:c r="S19" s="86"/>
      <x:c r="T19" s="86"/>
      <x:c r="U19" s="86"/>
      <x:c r="V19" s="86"/>
      <x:c r="W19" s="86"/>
      <x:c r="X19" s="86"/>
      <x:c r="Y19" s="86"/>
      <x:c r="Z19" s="86"/>
    </x:row>
    <x:row r="20">
      <x:c r="A20" s="106"/>
      <x:c r="B20" s="126"/>
      <x:c r="C20" s="106"/>
      <x:c r="D20" s="106"/>
      <x:c r="E20" s="106"/>
      <x:c r="F20" s="106"/>
      <x:c r="G20" s="114"/>
      <x:c r="H20" s="128" t="str">
        <x:f>IF(OR(F20="",G20=""),"",F20*G20)</x:f>
      </x:c>
      <x:c r="I20" s="106"/>
      <x:c r="J20" s="113"/>
      <x:c r="K20" s="106"/>
      <x:c r="L20" s="106"/>
      <x:c r="M20" s="106"/>
      <x:c r="N20" s="106"/>
      <x:c r="O20" s="106"/>
      <x:c r="P20" s="114"/>
      <x:c r="Q20" s="113"/>
      <x:c r="R20" s="106"/>
      <x:c r="S20" s="86"/>
      <x:c r="T20" s="86"/>
      <x:c r="U20" s="86"/>
      <x:c r="V20" s="86"/>
      <x:c r="W20" s="86"/>
      <x:c r="X20" s="86"/>
      <x:c r="Y20" s="86"/>
      <x:c r="Z20" s="86"/>
    </x:row>
    <x:row r="21">
      <x:c r="A21" s="106"/>
      <x:c r="B21" s="126"/>
      <x:c r="C21" s="106"/>
      <x:c r="D21" s="106"/>
      <x:c r="E21" s="106"/>
      <x:c r="F21" s="106"/>
      <x:c r="G21" s="114"/>
      <x:c r="H21" s="128" t="str">
        <x:f>IF(OR(F21="",G21=""),"",F21*G21)</x:f>
      </x:c>
      <x:c r="I21" s="106"/>
      <x:c r="J21" s="113"/>
      <x:c r="K21" s="106"/>
      <x:c r="L21" s="106"/>
      <x:c r="M21" s="106"/>
      <x:c r="N21" s="106"/>
      <x:c r="O21" s="106"/>
      <x:c r="P21" s="114"/>
      <x:c r="Q21" s="113"/>
      <x:c r="R21" s="106"/>
      <x:c r="S21" s="86"/>
      <x:c r="T21" s="86"/>
      <x:c r="U21" s="86"/>
      <x:c r="V21" s="86"/>
      <x:c r="W21" s="86"/>
      <x:c r="X21" s="86"/>
      <x:c r="Y21" s="86"/>
      <x:c r="Z21" s="86"/>
    </x:row>
    <x:row r="22">
      <x:c r="A22" s="106"/>
      <x:c r="B22" s="126"/>
      <x:c r="C22" s="106"/>
      <x:c r="D22" s="106"/>
      <x:c r="E22" s="106"/>
      <x:c r="F22" s="106"/>
      <x:c r="G22" s="114"/>
      <x:c r="H22" s="128" t="str">
        <x:f>IF(OR(F22="",G22=""),"",F22*G22)</x:f>
      </x:c>
      <x:c r="I22" s="106"/>
      <x:c r="J22" s="113"/>
      <x:c r="K22" s="106"/>
      <x:c r="L22" s="106"/>
      <x:c r="M22" s="106"/>
      <x:c r="N22" s="106"/>
      <x:c r="O22" s="106"/>
      <x:c r="P22" s="114"/>
      <x:c r="Q22" s="113"/>
      <x:c r="R22" s="106"/>
      <x:c r="S22" s="86"/>
      <x:c r="T22" s="86"/>
      <x:c r="U22" s="86"/>
      <x:c r="V22" s="86"/>
      <x:c r="W22" s="86"/>
      <x:c r="X22" s="86"/>
      <x:c r="Y22" s="86"/>
      <x:c r="Z22" s="86"/>
    </x:row>
    <x:row r="23">
      <x:c r="A23" s="106"/>
      <x:c r="B23" s="126"/>
      <x:c r="C23" s="106"/>
      <x:c r="D23" s="106"/>
      <x:c r="E23" s="106"/>
      <x:c r="F23" s="106"/>
      <x:c r="G23" s="114"/>
      <x:c r="H23" s="128" t="str">
        <x:f>IF(OR(F23="",G23=""),"",F23*G23)</x:f>
      </x:c>
      <x:c r="I23" s="106"/>
      <x:c r="J23" s="113"/>
      <x:c r="K23" s="106"/>
      <x:c r="L23" s="106"/>
      <x:c r="M23" s="106"/>
      <x:c r="N23" s="106"/>
      <x:c r="O23" s="106"/>
      <x:c r="P23" s="114"/>
      <x:c r="Q23" s="113"/>
      <x:c r="R23" s="106"/>
      <x:c r="S23" s="86"/>
      <x:c r="T23" s="86"/>
      <x:c r="U23" s="86"/>
      <x:c r="V23" s="86"/>
      <x:c r="W23" s="86"/>
      <x:c r="X23" s="86"/>
      <x:c r="Y23" s="86"/>
      <x:c r="Z23" s="86"/>
    </x:row>
    <x:row r="24">
      <x:c r="A24" s="106"/>
      <x:c r="B24" s="126"/>
      <x:c r="C24" s="106"/>
      <x:c r="D24" s="106"/>
      <x:c r="E24" s="106"/>
      <x:c r="F24" s="106"/>
      <x:c r="G24" s="114"/>
      <x:c r="H24" s="128" t="str">
        <x:f>IF(OR(F24="",G24=""),"",F24*G24)</x:f>
      </x:c>
      <x:c r="I24" s="106"/>
      <x:c r="J24" s="113"/>
      <x:c r="K24" s="106"/>
      <x:c r="L24" s="106"/>
      <x:c r="M24" s="106"/>
      <x:c r="N24" s="106"/>
      <x:c r="O24" s="106"/>
      <x:c r="P24" s="114"/>
      <x:c r="Q24" s="113"/>
      <x:c r="R24" s="106"/>
      <x:c r="S24" s="86"/>
      <x:c r="T24" s="86"/>
      <x:c r="U24" s="86"/>
      <x:c r="V24" s="86"/>
      <x:c r="W24" s="86"/>
      <x:c r="X24" s="86"/>
      <x:c r="Y24" s="86"/>
      <x:c r="Z24" s="86"/>
    </x:row>
    <x:row r="25">
      <x:c r="A25" s="106"/>
      <x:c r="B25" s="126"/>
      <x:c r="C25" s="106"/>
      <x:c r="D25" s="106"/>
      <x:c r="E25" s="106"/>
      <x:c r="F25" s="106"/>
      <x:c r="G25" s="114"/>
      <x:c r="H25" s="128" t="str">
        <x:f>IF(OR(F25="",G25=""),"",F25*G25)</x:f>
      </x:c>
      <x:c r="I25" s="106"/>
      <x:c r="J25" s="113"/>
      <x:c r="K25" s="106"/>
      <x:c r="L25" s="106"/>
      <x:c r="M25" s="106"/>
      <x:c r="N25" s="106"/>
      <x:c r="O25" s="106"/>
      <x:c r="P25" s="114"/>
      <x:c r="Q25" s="113"/>
      <x:c r="R25" s="106"/>
      <x:c r="S25" s="86"/>
      <x:c r="T25" s="86"/>
      <x:c r="U25" s="86"/>
      <x:c r="V25" s="86"/>
      <x:c r="W25" s="86"/>
      <x:c r="X25" s="86"/>
      <x:c r="Y25" s="86"/>
      <x:c r="Z25" s="86"/>
    </x:row>
    <x:row r="26">
      <x:c r="A26" s="106"/>
      <x:c r="B26" s="126"/>
      <x:c r="C26" s="106"/>
      <x:c r="D26" s="106"/>
      <x:c r="E26" s="106"/>
      <x:c r="F26" s="106"/>
      <x:c r="G26" s="114"/>
      <x:c r="H26" s="128" t="str">
        <x:f>IF(OR(F26="",G26=""),"",F26*G26)</x:f>
      </x:c>
      <x:c r="I26" s="106"/>
      <x:c r="J26" s="113"/>
      <x:c r="K26" s="106"/>
      <x:c r="L26" s="106"/>
      <x:c r="M26" s="106"/>
      <x:c r="N26" s="106"/>
      <x:c r="O26" s="106"/>
      <x:c r="P26" s="114"/>
      <x:c r="Q26" s="113"/>
      <x:c r="R26" s="106"/>
      <x:c r="S26" s="86"/>
      <x:c r="T26" s="86"/>
      <x:c r="U26" s="86"/>
      <x:c r="V26" s="86"/>
      <x:c r="W26" s="86"/>
      <x:c r="X26" s="86"/>
      <x:c r="Y26" s="86"/>
      <x:c r="Z26" s="86"/>
    </x:row>
    <x:row r="27">
      <x:c r="A27" s="106"/>
      <x:c r="B27" s="126"/>
      <x:c r="C27" s="106"/>
      <x:c r="D27" s="106"/>
      <x:c r="E27" s="106"/>
      <x:c r="F27" s="106"/>
      <x:c r="G27" s="114"/>
      <x:c r="H27" s="128" t="str">
        <x:f>IF(OR(F27="",G27=""),"",F27*G27)</x:f>
      </x:c>
      <x:c r="I27" s="106"/>
      <x:c r="J27" s="113"/>
      <x:c r="K27" s="106"/>
      <x:c r="L27" s="106"/>
      <x:c r="M27" s="106"/>
      <x:c r="N27" s="106"/>
      <x:c r="O27" s="106"/>
      <x:c r="P27" s="114"/>
      <x:c r="Q27" s="113"/>
      <x:c r="R27" s="106"/>
      <x:c r="S27" s="86"/>
      <x:c r="T27" s="86"/>
      <x:c r="U27" s="86"/>
      <x:c r="V27" s="86"/>
      <x:c r="W27" s="86"/>
      <x:c r="X27" s="86"/>
      <x:c r="Y27" s="86"/>
      <x:c r="Z27" s="86"/>
    </x:row>
    <x:row r="28">
      <x:c r="A28" s="106"/>
      <x:c r="B28" s="126"/>
      <x:c r="C28" s="106"/>
      <x:c r="D28" s="106"/>
      <x:c r="E28" s="106"/>
      <x:c r="F28" s="106"/>
      <x:c r="G28" s="114"/>
      <x:c r="H28" s="128" t="str">
        <x:f>IF(OR(F28="",G28=""),"",F28*G28)</x:f>
      </x:c>
      <x:c r="I28" s="106"/>
      <x:c r="J28" s="113"/>
      <x:c r="K28" s="106"/>
      <x:c r="L28" s="106"/>
      <x:c r="M28" s="106"/>
      <x:c r="N28" s="106"/>
      <x:c r="O28" s="106"/>
      <x:c r="P28" s="114"/>
      <x:c r="Q28" s="113"/>
      <x:c r="R28" s="106"/>
      <x:c r="S28" s="86"/>
      <x:c r="T28" s="86"/>
      <x:c r="U28" s="86"/>
      <x:c r="V28" s="86"/>
      <x:c r="W28" s="86"/>
      <x:c r="X28" s="86"/>
      <x:c r="Y28" s="86"/>
      <x:c r="Z28" s="86"/>
    </x:row>
    <x:row r="29">
      <x:c r="A29" s="106"/>
      <x:c r="B29" s="126"/>
      <x:c r="C29" s="106"/>
      <x:c r="D29" s="106"/>
      <x:c r="E29" s="106"/>
      <x:c r="F29" s="106"/>
      <x:c r="G29" s="114"/>
      <x:c r="H29" s="128" t="str">
        <x:f>IF(OR(F29="",G29=""),"",F29*G29)</x:f>
      </x:c>
      <x:c r="I29" s="106"/>
      <x:c r="J29" s="113"/>
      <x:c r="K29" s="106"/>
      <x:c r="L29" s="106"/>
      <x:c r="M29" s="106"/>
      <x:c r="N29" s="106"/>
      <x:c r="O29" s="106"/>
      <x:c r="P29" s="114"/>
      <x:c r="Q29" s="113"/>
      <x:c r="R29" s="106"/>
      <x:c r="S29" s="86"/>
      <x:c r="T29" s="86"/>
      <x:c r="U29" s="86"/>
      <x:c r="V29" s="86"/>
      <x:c r="W29" s="86"/>
      <x:c r="X29" s="86"/>
      <x:c r="Y29" s="86"/>
      <x:c r="Z29" s="86"/>
    </x:row>
    <x:row r="30">
      <x:c r="A30" s="106"/>
      <x:c r="B30" s="126"/>
      <x:c r="C30" s="106"/>
      <x:c r="D30" s="106"/>
      <x:c r="E30" s="106"/>
      <x:c r="F30" s="106"/>
      <x:c r="G30" s="114"/>
      <x:c r="H30" s="128" t="str">
        <x:f>IF(OR(F30="",G30=""),"",F30*G30)</x:f>
      </x:c>
      <x:c r="I30" s="106"/>
      <x:c r="J30" s="113"/>
      <x:c r="K30" s="106"/>
      <x:c r="L30" s="106"/>
      <x:c r="M30" s="106"/>
      <x:c r="N30" s="106"/>
      <x:c r="O30" s="106"/>
      <x:c r="P30" s="114"/>
      <x:c r="Q30" s="113"/>
      <x:c r="R30" s="106"/>
      <x:c r="S30" s="86"/>
      <x:c r="T30" s="86"/>
      <x:c r="U30" s="86"/>
      <x:c r="V30" s="86"/>
      <x:c r="W30" s="86"/>
      <x:c r="X30" s="86"/>
      <x:c r="Y30" s="86"/>
      <x:c r="Z30" s="86"/>
    </x:row>
    <x:row r="31">
      <x:c r="A31" s="106"/>
      <x:c r="B31" s="126"/>
      <x:c r="C31" s="106"/>
      <x:c r="D31" s="106"/>
      <x:c r="E31" s="106"/>
      <x:c r="F31" s="106"/>
      <x:c r="G31" s="114"/>
      <x:c r="H31" s="128" t="str">
        <x:f>IF(OR(F31="",G31=""),"",F31*G31)</x:f>
      </x:c>
      <x:c r="I31" s="106"/>
      <x:c r="J31" s="113"/>
      <x:c r="K31" s="106"/>
      <x:c r="L31" s="106"/>
      <x:c r="M31" s="106"/>
      <x:c r="N31" s="106"/>
      <x:c r="O31" s="106"/>
      <x:c r="P31" s="114"/>
      <x:c r="Q31" s="113"/>
      <x:c r="R31" s="106"/>
      <x:c r="S31" s="86"/>
      <x:c r="T31" s="86"/>
      <x:c r="U31" s="86"/>
      <x:c r="V31" s="86"/>
      <x:c r="W31" s="86"/>
      <x:c r="X31" s="86"/>
      <x:c r="Y31" s="86"/>
      <x:c r="Z31" s="86"/>
    </x:row>
    <x:row r="32">
      <x:c r="A32" s="106"/>
      <x:c r="B32" s="126"/>
      <x:c r="C32" s="106"/>
      <x:c r="D32" s="106"/>
      <x:c r="E32" s="106"/>
      <x:c r="F32" s="106"/>
      <x:c r="G32" s="114"/>
      <x:c r="H32" s="128" t="str">
        <x:f>IF(OR(F32="",G32=""),"",F32*G32)</x:f>
      </x:c>
      <x:c r="I32" s="106"/>
      <x:c r="J32" s="113"/>
      <x:c r="K32" s="106"/>
      <x:c r="L32" s="106"/>
      <x:c r="M32" s="106"/>
      <x:c r="N32" s="106"/>
      <x:c r="O32" s="106"/>
      <x:c r="P32" s="114"/>
      <x:c r="Q32" s="113"/>
      <x:c r="R32" s="106"/>
      <x:c r="S32" s="86"/>
      <x:c r="T32" s="86"/>
      <x:c r="U32" s="86"/>
      <x:c r="V32" s="86"/>
      <x:c r="W32" s="86"/>
      <x:c r="X32" s="86"/>
      <x:c r="Y32" s="86"/>
      <x:c r="Z32" s="86"/>
    </x:row>
    <x:row r="33">
      <x:c r="A33" s="106"/>
      <x:c r="B33" s="126"/>
      <x:c r="C33" s="106"/>
      <x:c r="D33" s="106"/>
      <x:c r="E33" s="106"/>
      <x:c r="F33" s="106"/>
      <x:c r="G33" s="114"/>
      <x:c r="H33" s="128" t="str">
        <x:f>IF(OR(F33="",G33=""),"",F33*G33)</x:f>
      </x:c>
      <x:c r="I33" s="106"/>
      <x:c r="J33" s="113"/>
      <x:c r="K33" s="106"/>
      <x:c r="L33" s="106"/>
      <x:c r="M33" s="106"/>
      <x:c r="N33" s="106"/>
      <x:c r="O33" s="106"/>
      <x:c r="P33" s="114"/>
      <x:c r="Q33" s="113"/>
      <x:c r="R33" s="106"/>
      <x:c r="S33" s="86"/>
      <x:c r="T33" s="86"/>
      <x:c r="U33" s="86"/>
      <x:c r="V33" s="86"/>
      <x:c r="W33" s="86"/>
      <x:c r="X33" s="86"/>
      <x:c r="Y33" s="86"/>
      <x:c r="Z33" s="86"/>
    </x:row>
    <x:row r="34">
      <x:c r="A34" s="106"/>
      <x:c r="B34" s="126"/>
      <x:c r="C34" s="106"/>
      <x:c r="D34" s="106"/>
      <x:c r="E34" s="106"/>
      <x:c r="F34" s="106"/>
      <x:c r="G34" s="114"/>
      <x:c r="H34" s="128" t="str">
        <x:f>IF(OR(F34="",G34=""),"",F34*G34)</x:f>
      </x:c>
      <x:c r="I34" s="106"/>
      <x:c r="J34" s="113"/>
      <x:c r="K34" s="106"/>
      <x:c r="L34" s="106"/>
      <x:c r="M34" s="106"/>
      <x:c r="N34" s="106"/>
      <x:c r="O34" s="106"/>
      <x:c r="P34" s="114"/>
      <x:c r="Q34" s="113"/>
      <x:c r="R34" s="106"/>
      <x:c r="S34" s="86"/>
      <x:c r="T34" s="86"/>
      <x:c r="U34" s="86"/>
      <x:c r="V34" s="86"/>
      <x:c r="W34" s="86"/>
      <x:c r="X34" s="86"/>
      <x:c r="Y34" s="86"/>
      <x:c r="Z34" s="86"/>
    </x:row>
    <x:row r="35">
      <x:c r="A35" s="106"/>
      <x:c r="B35" s="126"/>
      <x:c r="C35" s="106"/>
      <x:c r="D35" s="106"/>
      <x:c r="E35" s="106"/>
      <x:c r="F35" s="106"/>
      <x:c r="G35" s="114"/>
      <x:c r="H35" s="128" t="str">
        <x:f>IF(OR(F35="",G35=""),"",F35*G35)</x:f>
      </x:c>
      <x:c r="I35" s="106"/>
      <x:c r="J35" s="113"/>
      <x:c r="K35" s="106"/>
      <x:c r="L35" s="106"/>
      <x:c r="M35" s="106"/>
      <x:c r="N35" s="106"/>
      <x:c r="O35" s="106"/>
      <x:c r="P35" s="114"/>
      <x:c r="Q35" s="113"/>
      <x:c r="R35" s="106"/>
      <x:c r="S35" s="86"/>
      <x:c r="T35" s="86"/>
      <x:c r="U35" s="86"/>
      <x:c r="V35" s="86"/>
      <x:c r="W35" s="86"/>
      <x:c r="X35" s="86"/>
      <x:c r="Y35" s="86"/>
      <x:c r="Z35" s="86"/>
    </x:row>
    <x:row r="36">
      <x:c r="A36" s="106"/>
      <x:c r="B36" s="126"/>
      <x:c r="C36" s="106"/>
      <x:c r="D36" s="106"/>
      <x:c r="E36" s="106"/>
      <x:c r="F36" s="106"/>
      <x:c r="G36" s="114"/>
      <x:c r="H36" s="128" t="str">
        <x:f>IF(OR(F36="",G36=""),"",F36*G36)</x:f>
      </x:c>
      <x:c r="I36" s="106"/>
      <x:c r="J36" s="113"/>
      <x:c r="K36" s="106"/>
      <x:c r="L36" s="106"/>
      <x:c r="M36" s="106"/>
      <x:c r="N36" s="106"/>
      <x:c r="O36" s="106"/>
      <x:c r="P36" s="114"/>
      <x:c r="Q36" s="113"/>
      <x:c r="R36" s="106"/>
      <x:c r="S36" s="86"/>
      <x:c r="T36" s="86"/>
      <x:c r="U36" s="86"/>
      <x:c r="V36" s="86"/>
      <x:c r="W36" s="86"/>
      <x:c r="X36" s="86"/>
      <x:c r="Y36" s="86"/>
      <x:c r="Z36" s="86"/>
    </x:row>
    <x:row r="37">
      <x:c r="A37" s="106"/>
      <x:c r="B37" s="126"/>
      <x:c r="C37" s="106"/>
      <x:c r="D37" s="106"/>
      <x:c r="E37" s="106"/>
      <x:c r="F37" s="106"/>
      <x:c r="G37" s="114"/>
      <x:c r="H37" s="128" t="str">
        <x:f>IF(OR(F37="",G37=""),"",F37*G37)</x:f>
      </x:c>
      <x:c r="I37" s="106"/>
      <x:c r="J37" s="113"/>
      <x:c r="K37" s="106"/>
      <x:c r="L37" s="106"/>
      <x:c r="M37" s="106"/>
      <x:c r="N37" s="106"/>
      <x:c r="O37" s="106"/>
      <x:c r="P37" s="114"/>
      <x:c r="Q37" s="113"/>
      <x:c r="R37" s="106"/>
      <x:c r="S37" s="86"/>
      <x:c r="T37" s="86"/>
      <x:c r="U37" s="86"/>
      <x:c r="V37" s="86"/>
      <x:c r="W37" s="86"/>
      <x:c r="X37" s="86"/>
      <x:c r="Y37" s="86"/>
      <x:c r="Z37" s="86"/>
    </x:row>
    <x:row r="38">
      <x:c r="A38" s="106"/>
      <x:c r="B38" s="126"/>
      <x:c r="C38" s="106"/>
      <x:c r="D38" s="106"/>
      <x:c r="E38" s="106"/>
      <x:c r="F38" s="106"/>
      <x:c r="G38" s="114"/>
      <x:c r="H38" s="128" t="str">
        <x:f>IF(OR(F38="",G38=""),"",F38*G38)</x:f>
      </x:c>
      <x:c r="I38" s="106"/>
      <x:c r="J38" s="113"/>
      <x:c r="K38" s="106"/>
      <x:c r="L38" s="106"/>
      <x:c r="M38" s="106"/>
      <x:c r="N38" s="106"/>
      <x:c r="O38" s="106"/>
      <x:c r="P38" s="114"/>
      <x:c r="Q38" s="113"/>
      <x:c r="R38" s="106"/>
      <x:c r="S38" s="86"/>
      <x:c r="T38" s="86"/>
      <x:c r="U38" s="86"/>
      <x:c r="V38" s="86"/>
      <x:c r="W38" s="86"/>
      <x:c r="X38" s="86"/>
      <x:c r="Y38" s="86"/>
      <x:c r="Z38" s="86"/>
    </x:row>
    <x:row r="39">
      <x:c r="A39" s="106"/>
      <x:c r="B39" s="126"/>
      <x:c r="C39" s="106"/>
      <x:c r="D39" s="106"/>
      <x:c r="E39" s="106"/>
      <x:c r="F39" s="106"/>
      <x:c r="G39" s="114"/>
      <x:c r="H39" s="128" t="str">
        <x:f>IF(OR(F39="",G39=""),"",F39*G39)</x:f>
      </x:c>
      <x:c r="I39" s="106"/>
      <x:c r="J39" s="113"/>
      <x:c r="K39" s="106"/>
      <x:c r="L39" s="106"/>
      <x:c r="M39" s="106"/>
      <x:c r="N39" s="106"/>
      <x:c r="O39" s="106"/>
      <x:c r="P39" s="114"/>
      <x:c r="Q39" s="113"/>
      <x:c r="R39" s="106"/>
      <x:c r="S39" s="86"/>
      <x:c r="T39" s="86"/>
      <x:c r="U39" s="86"/>
      <x:c r="V39" s="86"/>
      <x:c r="W39" s="86"/>
      <x:c r="X39" s="86"/>
      <x:c r="Y39" s="86"/>
      <x:c r="Z39" s="86"/>
    </x:row>
    <x:row r="40">
      <x:c r="A40" s="106"/>
      <x:c r="B40" s="126"/>
      <x:c r="C40" s="106"/>
      <x:c r="D40" s="106"/>
      <x:c r="E40" s="106"/>
      <x:c r="F40" s="106"/>
      <x:c r="G40" s="114"/>
      <x:c r="H40" s="128" t="str">
        <x:f>IF(OR(F40="",G40=""),"",F40*G40)</x:f>
      </x:c>
      <x:c r="I40" s="106"/>
      <x:c r="J40" s="113"/>
      <x:c r="K40" s="106"/>
      <x:c r="L40" s="106"/>
      <x:c r="M40" s="106"/>
      <x:c r="N40" s="106"/>
      <x:c r="O40" s="106"/>
      <x:c r="P40" s="114"/>
      <x:c r="Q40" s="113"/>
      <x:c r="R40" s="106"/>
      <x:c r="S40" s="86"/>
      <x:c r="T40" s="86"/>
      <x:c r="U40" s="86"/>
      <x:c r="V40" s="86"/>
      <x:c r="W40" s="86"/>
      <x:c r="X40" s="86"/>
      <x:c r="Y40" s="86"/>
      <x:c r="Z40" s="86"/>
    </x:row>
    <x:row r="41">
      <x:c r="A41" s="106"/>
      <x:c r="B41" s="126"/>
      <x:c r="C41" s="106"/>
      <x:c r="D41" s="106"/>
      <x:c r="E41" s="106"/>
      <x:c r="F41" s="106"/>
      <x:c r="G41" s="114"/>
      <x:c r="H41" s="128" t="str">
        <x:f>IF(OR(F41="",G41=""),"",F41*G41)</x:f>
      </x:c>
      <x:c r="I41" s="106"/>
      <x:c r="J41" s="113"/>
      <x:c r="K41" s="106"/>
      <x:c r="L41" s="106"/>
      <x:c r="M41" s="106"/>
      <x:c r="N41" s="106"/>
      <x:c r="O41" s="106"/>
      <x:c r="P41" s="114"/>
      <x:c r="Q41" s="113"/>
      <x:c r="R41" s="106"/>
      <x:c r="S41" s="86"/>
      <x:c r="T41" s="86"/>
      <x:c r="U41" s="86"/>
      <x:c r="V41" s="86"/>
      <x:c r="W41" s="86"/>
      <x:c r="X41" s="86"/>
      <x:c r="Y41" s="86"/>
      <x:c r="Z41" s="86"/>
    </x:row>
    <x:row r="42">
      <x:c r="A42" s="106"/>
      <x:c r="B42" s="126"/>
      <x:c r="C42" s="106"/>
      <x:c r="D42" s="106"/>
      <x:c r="E42" s="106"/>
      <x:c r="F42" s="106"/>
      <x:c r="G42" s="114"/>
      <x:c r="H42" s="128" t="str">
        <x:f>IF(OR(F42="",G42=""),"",F42*G42)</x:f>
      </x:c>
      <x:c r="I42" s="106"/>
      <x:c r="J42" s="113"/>
      <x:c r="K42" s="106"/>
      <x:c r="L42" s="106"/>
      <x:c r="M42" s="106"/>
      <x:c r="N42" s="106"/>
      <x:c r="O42" s="106"/>
      <x:c r="P42" s="114"/>
      <x:c r="Q42" s="113"/>
      <x:c r="R42" s="106"/>
      <x:c r="S42" s="86"/>
      <x:c r="T42" s="86"/>
      <x:c r="U42" s="86"/>
      <x:c r="V42" s="86"/>
      <x:c r="W42" s="86"/>
      <x:c r="X42" s="86"/>
      <x:c r="Y42" s="86"/>
      <x:c r="Z42" s="86"/>
    </x:row>
    <x:row r="43">
      <x:c r="A43" s="106"/>
      <x:c r="B43" s="126"/>
      <x:c r="C43" s="106"/>
      <x:c r="D43" s="106"/>
      <x:c r="E43" s="106"/>
      <x:c r="F43" s="106"/>
      <x:c r="G43" s="114"/>
      <x:c r="H43" s="128" t="str">
        <x:f>IF(OR(F43="",G43=""),"",F43*G43)</x:f>
      </x:c>
      <x:c r="I43" s="106"/>
      <x:c r="J43" s="113"/>
      <x:c r="K43" s="106"/>
      <x:c r="L43" s="106"/>
      <x:c r="M43" s="106"/>
      <x:c r="N43" s="106"/>
      <x:c r="O43" s="106"/>
      <x:c r="P43" s="114"/>
      <x:c r="Q43" s="113"/>
      <x:c r="R43" s="106"/>
      <x:c r="S43" s="86"/>
      <x:c r="T43" s="86"/>
      <x:c r="U43" s="86"/>
      <x:c r="V43" s="86"/>
      <x:c r="W43" s="86"/>
      <x:c r="X43" s="86"/>
      <x:c r="Y43" s="86"/>
      <x:c r="Z43" s="86"/>
    </x:row>
    <x:row r="44">
      <x:c r="A44" s="106"/>
      <x:c r="B44" s="126"/>
      <x:c r="C44" s="106"/>
      <x:c r="D44" s="106"/>
      <x:c r="E44" s="106"/>
      <x:c r="F44" s="106"/>
      <x:c r="G44" s="114"/>
      <x:c r="H44" s="128" t="str">
        <x:f>IF(OR(F44="",G44=""),"",F44*G44)</x:f>
      </x:c>
      <x:c r="I44" s="106"/>
      <x:c r="J44" s="113"/>
      <x:c r="K44" s="106"/>
      <x:c r="L44" s="106"/>
      <x:c r="M44" s="106"/>
      <x:c r="N44" s="106"/>
      <x:c r="O44" s="106"/>
      <x:c r="P44" s="114"/>
      <x:c r="Q44" s="113"/>
      <x:c r="R44" s="106"/>
      <x:c r="S44" s="86"/>
      <x:c r="T44" s="86"/>
      <x:c r="U44" s="86"/>
      <x:c r="V44" s="86"/>
      <x:c r="W44" s="86"/>
      <x:c r="X44" s="86"/>
      <x:c r="Y44" s="86"/>
      <x:c r="Z44" s="86"/>
    </x:row>
    <x:row r="45">
      <x:c r="A45" s="106"/>
      <x:c r="B45" s="126"/>
      <x:c r="C45" s="106"/>
      <x:c r="D45" s="106"/>
      <x:c r="E45" s="106"/>
      <x:c r="F45" s="106"/>
      <x:c r="G45" s="114"/>
      <x:c r="H45" s="128" t="str">
        <x:f>IF(OR(F45="",G45=""),"",F45*G45)</x:f>
      </x:c>
      <x:c r="I45" s="106"/>
      <x:c r="J45" s="113"/>
      <x:c r="K45" s="106"/>
      <x:c r="L45" s="106"/>
      <x:c r="M45" s="106"/>
      <x:c r="N45" s="106"/>
      <x:c r="O45" s="106"/>
      <x:c r="P45" s="114"/>
      <x:c r="Q45" s="113"/>
      <x:c r="R45" s="106"/>
      <x:c r="S45" s="86"/>
      <x:c r="T45" s="86"/>
      <x:c r="U45" s="86"/>
      <x:c r="V45" s="86"/>
      <x:c r="W45" s="86"/>
      <x:c r="X45" s="86"/>
      <x:c r="Y45" s="86"/>
      <x:c r="Z45" s="86"/>
    </x:row>
    <x:row r="46">
      <x:c r="A46" s="106"/>
      <x:c r="B46" s="126"/>
      <x:c r="C46" s="106"/>
      <x:c r="D46" s="106"/>
      <x:c r="E46" s="106"/>
      <x:c r="F46" s="106"/>
      <x:c r="G46" s="114"/>
      <x:c r="H46" s="128" t="str">
        <x:f>IF(OR(F46="",G46=""),"",F46*G46)</x:f>
      </x:c>
      <x:c r="I46" s="106"/>
      <x:c r="J46" s="113"/>
      <x:c r="K46" s="106"/>
      <x:c r="L46" s="106"/>
      <x:c r="M46" s="106"/>
      <x:c r="N46" s="106"/>
      <x:c r="O46" s="106"/>
      <x:c r="P46" s="114"/>
      <x:c r="Q46" s="113"/>
      <x:c r="R46" s="106"/>
      <x:c r="S46" s="86"/>
      <x:c r="T46" s="86"/>
      <x:c r="U46" s="86"/>
      <x:c r="V46" s="86"/>
      <x:c r="W46" s="86"/>
      <x:c r="X46" s="86"/>
      <x:c r="Y46" s="86"/>
      <x:c r="Z46" s="86"/>
    </x:row>
    <x:row r="47">
      <x:c r="A47" s="106"/>
      <x:c r="B47" s="126"/>
      <x:c r="C47" s="106"/>
      <x:c r="D47" s="106"/>
      <x:c r="E47" s="106"/>
      <x:c r="F47" s="106"/>
      <x:c r="G47" s="114"/>
      <x:c r="H47" s="128" t="str">
        <x:f>IF(OR(F47="",G47=""),"",F47*G47)</x:f>
      </x:c>
      <x:c r="I47" s="106"/>
      <x:c r="J47" s="113"/>
      <x:c r="K47" s="106"/>
      <x:c r="L47" s="106"/>
      <x:c r="M47" s="106"/>
      <x:c r="N47" s="106"/>
      <x:c r="O47" s="106"/>
      <x:c r="P47" s="114"/>
      <x:c r="Q47" s="113"/>
      <x:c r="R47" s="106"/>
      <x:c r="S47" s="86"/>
      <x:c r="T47" s="86"/>
      <x:c r="U47" s="86"/>
      <x:c r="V47" s="86"/>
      <x:c r="W47" s="86"/>
      <x:c r="X47" s="86"/>
      <x:c r="Y47" s="86"/>
      <x:c r="Z47" s="86"/>
    </x:row>
    <x:row r="48">
      <x:c r="A48" s="106"/>
      <x:c r="B48" s="126"/>
      <x:c r="C48" s="106"/>
      <x:c r="D48" s="106"/>
      <x:c r="E48" s="106"/>
      <x:c r="F48" s="106"/>
      <x:c r="G48" s="114"/>
      <x:c r="H48" s="128" t="str">
        <x:f>IF(OR(F48="",G48=""),"",F48*G48)</x:f>
      </x:c>
      <x:c r="I48" s="106"/>
      <x:c r="J48" s="113"/>
      <x:c r="K48" s="106"/>
      <x:c r="L48" s="106"/>
      <x:c r="M48" s="106"/>
      <x:c r="N48" s="106"/>
      <x:c r="O48" s="106"/>
      <x:c r="P48" s="114"/>
      <x:c r="Q48" s="113"/>
      <x:c r="R48" s="106"/>
      <x:c r="S48" s="86"/>
      <x:c r="T48" s="86"/>
      <x:c r="U48" s="86"/>
      <x:c r="V48" s="86"/>
      <x:c r="W48" s="86"/>
      <x:c r="X48" s="86"/>
      <x:c r="Y48" s="86"/>
      <x:c r="Z48" s="86"/>
    </x:row>
    <x:row r="49">
      <x:c r="A49" s="106"/>
      <x:c r="B49" s="126"/>
      <x:c r="C49" s="106"/>
      <x:c r="D49" s="106"/>
      <x:c r="E49" s="106"/>
      <x:c r="F49" s="106"/>
      <x:c r="G49" s="114"/>
      <x:c r="H49" s="128" t="str">
        <x:f>IF(OR(F49="",G49=""),"",F49*G49)</x:f>
      </x:c>
      <x:c r="I49" s="106"/>
      <x:c r="J49" s="113"/>
      <x:c r="K49" s="106"/>
      <x:c r="L49" s="106"/>
      <x:c r="M49" s="106"/>
      <x:c r="N49" s="106"/>
      <x:c r="O49" s="106"/>
      <x:c r="P49" s="114"/>
      <x:c r="Q49" s="113"/>
      <x:c r="R49" s="106"/>
      <x:c r="S49" s="86"/>
      <x:c r="T49" s="86"/>
      <x:c r="U49" s="86"/>
      <x:c r="V49" s="86"/>
      <x:c r="W49" s="86"/>
      <x:c r="X49" s="86"/>
      <x:c r="Y49" s="86"/>
      <x:c r="Z49" s="86"/>
    </x:row>
    <x:row r="50">
      <x:c r="A50" s="106"/>
      <x:c r="B50" s="126"/>
      <x:c r="C50" s="106"/>
      <x:c r="D50" s="106"/>
      <x:c r="E50" s="106"/>
      <x:c r="F50" s="106"/>
      <x:c r="G50" s="114"/>
      <x:c r="H50" s="128" t="str">
        <x:f>IF(OR(F50="",G50=""),"",F50*G50)</x:f>
      </x:c>
      <x:c r="I50" s="106"/>
      <x:c r="J50" s="113"/>
      <x:c r="K50" s="106"/>
      <x:c r="L50" s="106"/>
      <x:c r="M50" s="106"/>
      <x:c r="N50" s="106"/>
      <x:c r="O50" s="106"/>
      <x:c r="P50" s="114"/>
      <x:c r="Q50" s="113"/>
      <x:c r="R50" s="106"/>
      <x:c r="S50" s="86"/>
      <x:c r="T50" s="86"/>
      <x:c r="U50" s="86"/>
      <x:c r="V50" s="86"/>
      <x:c r="W50" s="86"/>
      <x:c r="X50" s="86"/>
      <x:c r="Y50" s="86"/>
      <x:c r="Z50" s="86"/>
    </x:row>
    <x:row r="51">
      <x:c r="A51" s="106"/>
      <x:c r="B51" s="126"/>
      <x:c r="C51" s="106"/>
      <x:c r="D51" s="106"/>
      <x:c r="E51" s="106"/>
      <x:c r="F51" s="106"/>
      <x:c r="G51" s="114"/>
      <x:c r="H51" s="128" t="str">
        <x:f>IF(OR(F51="",G51=""),"",F51*G51)</x:f>
      </x:c>
      <x:c r="I51" s="106"/>
      <x:c r="J51" s="113"/>
      <x:c r="K51" s="106"/>
      <x:c r="L51" s="106"/>
      <x:c r="M51" s="106"/>
      <x:c r="N51" s="106"/>
      <x:c r="O51" s="106"/>
      <x:c r="P51" s="114"/>
      <x:c r="Q51" s="113"/>
      <x:c r="R51" s="106"/>
      <x:c r="S51" s="86"/>
      <x:c r="T51" s="86"/>
      <x:c r="U51" s="86"/>
      <x:c r="V51" s="86"/>
      <x:c r="W51" s="86"/>
      <x:c r="X51" s="86"/>
      <x:c r="Y51" s="86"/>
      <x:c r="Z51" s="86"/>
    </x:row>
    <x:row r="52">
      <x:c r="A52" s="106"/>
      <x:c r="B52" s="126"/>
      <x:c r="C52" s="106"/>
      <x:c r="D52" s="106"/>
      <x:c r="E52" s="106"/>
      <x:c r="F52" s="106"/>
      <x:c r="G52" s="114"/>
      <x:c r="H52" s="128" t="str">
        <x:f>IF(OR(F52="",G52=""),"",F52*G52)</x:f>
      </x:c>
      <x:c r="I52" s="106"/>
      <x:c r="J52" s="113"/>
      <x:c r="K52" s="106"/>
      <x:c r="L52" s="106"/>
      <x:c r="M52" s="106"/>
      <x:c r="N52" s="106"/>
      <x:c r="O52" s="106"/>
      <x:c r="P52" s="114"/>
      <x:c r="Q52" s="113"/>
      <x:c r="R52" s="106"/>
      <x:c r="S52" s="86"/>
      <x:c r="T52" s="86"/>
      <x:c r="U52" s="86"/>
      <x:c r="V52" s="86"/>
      <x:c r="W52" s="86"/>
      <x:c r="X52" s="86"/>
      <x:c r="Y52" s="86"/>
      <x:c r="Z52" s="86"/>
    </x:row>
    <x:row r="53">
      <x:c r="A53" s="106"/>
      <x:c r="B53" s="126"/>
      <x:c r="C53" s="106"/>
      <x:c r="D53" s="106"/>
      <x:c r="E53" s="106"/>
      <x:c r="F53" s="106"/>
      <x:c r="G53" s="114"/>
      <x:c r="H53" s="128" t="str">
        <x:f>IF(OR(F53="",G53=""),"",F53*G53)</x:f>
      </x:c>
      <x:c r="I53" s="106"/>
      <x:c r="J53" s="113"/>
      <x:c r="K53" s="106"/>
      <x:c r="L53" s="106"/>
      <x:c r="M53" s="106"/>
      <x:c r="N53" s="106"/>
      <x:c r="O53" s="106"/>
      <x:c r="P53" s="114"/>
      <x:c r="Q53" s="113"/>
      <x:c r="R53" s="106"/>
      <x:c r="S53" s="86"/>
      <x:c r="T53" s="86"/>
      <x:c r="U53" s="86"/>
      <x:c r="V53" s="86"/>
      <x:c r="W53" s="86"/>
      <x:c r="X53" s="86"/>
      <x:c r="Y53" s="86"/>
      <x:c r="Z53" s="86"/>
    </x:row>
    <x:row r="54">
      <x:c r="A54" s="106"/>
      <x:c r="B54" s="126"/>
      <x:c r="C54" s="106"/>
      <x:c r="D54" s="106"/>
      <x:c r="E54" s="106"/>
      <x:c r="F54" s="106"/>
      <x:c r="G54" s="114"/>
      <x:c r="H54" s="128" t="str">
        <x:f>IF(OR(F54="",G54=""),"",F54*G54)</x:f>
      </x:c>
      <x:c r="I54" s="106"/>
      <x:c r="J54" s="113"/>
      <x:c r="K54" s="106"/>
      <x:c r="L54" s="106"/>
      <x:c r="M54" s="106"/>
      <x:c r="N54" s="106"/>
      <x:c r="O54" s="106"/>
      <x:c r="P54" s="114"/>
      <x:c r="Q54" s="113"/>
      <x:c r="R54" s="106"/>
      <x:c r="S54" s="86"/>
      <x:c r="T54" s="86"/>
      <x:c r="U54" s="86"/>
      <x:c r="V54" s="86"/>
      <x:c r="W54" s="86"/>
      <x:c r="X54" s="86"/>
      <x:c r="Y54" s="86"/>
      <x:c r="Z54" s="86"/>
    </x:row>
    <x:row r="55">
      <x:c r="A55" s="106"/>
      <x:c r="B55" s="126"/>
      <x:c r="C55" s="106"/>
      <x:c r="D55" s="106"/>
      <x:c r="E55" s="106"/>
      <x:c r="F55" s="106"/>
      <x:c r="G55" s="114"/>
      <x:c r="H55" s="128" t="str">
        <x:f>IF(OR(F55="",G55=""),"",F55*G55)</x:f>
      </x:c>
      <x:c r="I55" s="106"/>
      <x:c r="J55" s="113"/>
      <x:c r="K55" s="106"/>
      <x:c r="L55" s="106"/>
      <x:c r="M55" s="106"/>
      <x:c r="N55" s="106"/>
      <x:c r="O55" s="106"/>
      <x:c r="P55" s="114"/>
      <x:c r="Q55" s="113"/>
      <x:c r="R55" s="106"/>
      <x:c r="S55" s="86"/>
      <x:c r="T55" s="86"/>
      <x:c r="U55" s="86"/>
      <x:c r="V55" s="86"/>
      <x:c r="W55" s="86"/>
      <x:c r="X55" s="86"/>
      <x:c r="Y55" s="86"/>
      <x:c r="Z55" s="86"/>
    </x:row>
    <x:row r="56">
      <x:c r="A56" s="106"/>
      <x:c r="B56" s="126"/>
      <x:c r="C56" s="106"/>
      <x:c r="D56" s="106"/>
      <x:c r="E56" s="106"/>
      <x:c r="F56" s="106"/>
      <x:c r="G56" s="114"/>
      <x:c r="H56" s="128" t="str">
        <x:f>IF(OR(F56="",G56=""),"",F56*G56)</x:f>
      </x:c>
      <x:c r="I56" s="106"/>
      <x:c r="J56" s="113"/>
      <x:c r="K56" s="106"/>
      <x:c r="L56" s="106"/>
      <x:c r="M56" s="106"/>
      <x:c r="N56" s="106"/>
      <x:c r="O56" s="106"/>
      <x:c r="P56" s="114"/>
      <x:c r="Q56" s="113"/>
      <x:c r="R56" s="106"/>
      <x:c r="S56" s="86"/>
      <x:c r="T56" s="86"/>
      <x:c r="U56" s="86"/>
      <x:c r="V56" s="86"/>
      <x:c r="W56" s="86"/>
      <x:c r="X56" s="86"/>
      <x:c r="Y56" s="86"/>
      <x:c r="Z56" s="86"/>
    </x:row>
    <x:row r="57">
      <x:c r="A57" s="106"/>
      <x:c r="B57" s="126"/>
      <x:c r="C57" s="106"/>
      <x:c r="D57" s="106"/>
      <x:c r="E57" s="106"/>
      <x:c r="F57" s="106"/>
      <x:c r="G57" s="114"/>
      <x:c r="H57" s="128" t="str">
        <x:f>IF(OR(F57="",G57=""),"",F57*G57)</x:f>
      </x:c>
      <x:c r="I57" s="106"/>
      <x:c r="J57" s="113"/>
      <x:c r="K57" s="106"/>
      <x:c r="L57" s="106"/>
      <x:c r="M57" s="106"/>
      <x:c r="N57" s="106"/>
      <x:c r="O57" s="106"/>
      <x:c r="P57" s="114"/>
      <x:c r="Q57" s="113"/>
      <x:c r="R57" s="106"/>
      <x:c r="S57" s="86"/>
      <x:c r="T57" s="86"/>
      <x:c r="U57" s="86"/>
      <x:c r="V57" s="86"/>
      <x:c r="W57" s="86"/>
      <x:c r="X57" s="86"/>
      <x:c r="Y57" s="86"/>
      <x:c r="Z57" s="86"/>
    </x:row>
    <x:row r="58">
      <x:c r="A58" s="106"/>
      <x:c r="B58" s="126"/>
      <x:c r="C58" s="106"/>
      <x:c r="D58" s="106"/>
      <x:c r="E58" s="106"/>
      <x:c r="F58" s="106"/>
      <x:c r="G58" s="114"/>
      <x:c r="H58" s="128" t="str">
        <x:f>IF(OR(F58="",G58=""),"",F58*G58)</x:f>
      </x:c>
      <x:c r="I58" s="106"/>
      <x:c r="J58" s="113"/>
      <x:c r="K58" s="106"/>
      <x:c r="L58" s="106"/>
      <x:c r="M58" s="106"/>
      <x:c r="N58" s="106"/>
      <x:c r="O58" s="106"/>
      <x:c r="P58" s="114"/>
      <x:c r="Q58" s="113"/>
      <x:c r="R58" s="106"/>
      <x:c r="S58" s="86"/>
      <x:c r="T58" s="86"/>
      <x:c r="U58" s="86"/>
      <x:c r="V58" s="86"/>
      <x:c r="W58" s="86"/>
      <x:c r="X58" s="86"/>
      <x:c r="Y58" s="86"/>
      <x:c r="Z58" s="86"/>
    </x:row>
    <x:row r="59">
      <x:c r="A59" s="106"/>
      <x:c r="B59" s="126"/>
      <x:c r="C59" s="106"/>
      <x:c r="D59" s="106"/>
      <x:c r="E59" s="106"/>
      <x:c r="F59" s="106"/>
      <x:c r="G59" s="114"/>
      <x:c r="H59" s="128" t="str">
        <x:f>IF(OR(F59="",G59=""),"",F59*G59)</x:f>
      </x:c>
      <x:c r="I59" s="106"/>
      <x:c r="J59" s="113"/>
      <x:c r="K59" s="106"/>
      <x:c r="L59" s="106"/>
      <x:c r="M59" s="106"/>
      <x:c r="N59" s="106"/>
      <x:c r="O59" s="106"/>
      <x:c r="P59" s="114"/>
      <x:c r="Q59" s="113"/>
      <x:c r="R59" s="106"/>
      <x:c r="S59" s="86"/>
      <x:c r="T59" s="86"/>
      <x:c r="U59" s="86"/>
      <x:c r="V59" s="86"/>
      <x:c r="W59" s="86"/>
      <x:c r="X59" s="86"/>
      <x:c r="Y59" s="86"/>
      <x:c r="Z59" s="86"/>
    </x:row>
    <x:row r="60">
      <x:c r="A60" s="106"/>
      <x:c r="B60" s="126"/>
      <x:c r="C60" s="106"/>
      <x:c r="D60" s="106"/>
      <x:c r="E60" s="106"/>
      <x:c r="F60" s="106"/>
      <x:c r="G60" s="114"/>
      <x:c r="H60" s="128" t="str">
        <x:f>IF(OR(F60="",G60=""),"",F60*G60)</x:f>
      </x:c>
      <x:c r="I60" s="106"/>
      <x:c r="J60" s="113"/>
      <x:c r="K60" s="106"/>
      <x:c r="L60" s="106"/>
      <x:c r="M60" s="106"/>
      <x:c r="N60" s="106"/>
      <x:c r="O60" s="106"/>
      <x:c r="P60" s="114"/>
      <x:c r="Q60" s="113"/>
      <x:c r="R60" s="106"/>
      <x:c r="S60" s="86"/>
      <x:c r="T60" s="86"/>
      <x:c r="U60" s="86"/>
      <x:c r="V60" s="86"/>
      <x:c r="W60" s="86"/>
      <x:c r="X60" s="86"/>
      <x:c r="Y60" s="86"/>
      <x:c r="Z60" s="86"/>
    </x:row>
    <x:row r="61">
      <x:c r="A61" s="106"/>
      <x:c r="B61" s="126"/>
      <x:c r="C61" s="106"/>
      <x:c r="D61" s="106"/>
      <x:c r="E61" s="106"/>
      <x:c r="F61" s="106"/>
      <x:c r="G61" s="114"/>
      <x:c r="H61" s="128" t="str">
        <x:f>IF(OR(F61="",G61=""),"",F61*G61)</x:f>
      </x:c>
      <x:c r="I61" s="106"/>
      <x:c r="J61" s="113"/>
      <x:c r="K61" s="106"/>
      <x:c r="L61" s="106"/>
      <x:c r="M61" s="106"/>
      <x:c r="N61" s="106"/>
      <x:c r="O61" s="106"/>
      <x:c r="P61" s="114"/>
      <x:c r="Q61" s="113"/>
      <x:c r="R61" s="106"/>
      <x:c r="S61" s="86"/>
      <x:c r="T61" s="86"/>
      <x:c r="U61" s="86"/>
      <x:c r="V61" s="86"/>
      <x:c r="W61" s="86"/>
      <x:c r="X61" s="86"/>
      <x:c r="Y61" s="86"/>
      <x:c r="Z61" s="86"/>
    </x:row>
    <x:row r="62">
      <x:c r="A62" s="106"/>
      <x:c r="B62" s="126"/>
      <x:c r="C62" s="106"/>
      <x:c r="D62" s="106"/>
      <x:c r="E62" s="106"/>
      <x:c r="F62" s="106"/>
      <x:c r="G62" s="114"/>
      <x:c r="H62" s="128" t="str">
        <x:f>IF(OR(F62="",G62=""),"",F62*G62)</x:f>
      </x:c>
      <x:c r="I62" s="106"/>
      <x:c r="J62" s="113"/>
      <x:c r="K62" s="106"/>
      <x:c r="L62" s="106"/>
      <x:c r="M62" s="106"/>
      <x:c r="N62" s="106"/>
      <x:c r="O62" s="106"/>
      <x:c r="P62" s="114"/>
      <x:c r="Q62" s="113"/>
      <x:c r="R62" s="106"/>
      <x:c r="S62" s="86"/>
      <x:c r="T62" s="86"/>
      <x:c r="U62" s="86"/>
      <x:c r="V62" s="86"/>
      <x:c r="W62" s="86"/>
      <x:c r="X62" s="86"/>
      <x:c r="Y62" s="86"/>
      <x:c r="Z62" s="86"/>
    </x:row>
    <x:row r="63">
      <x:c r="A63" s="106"/>
      <x:c r="B63" s="126"/>
      <x:c r="C63" s="106"/>
      <x:c r="D63" s="106"/>
      <x:c r="E63" s="106"/>
      <x:c r="F63" s="106"/>
      <x:c r="G63" s="114"/>
      <x:c r="H63" s="128" t="str">
        <x:f>IF(OR(F63="",G63=""),"",F63*G63)</x:f>
      </x:c>
      <x:c r="I63" s="106"/>
      <x:c r="J63" s="113"/>
      <x:c r="K63" s="106"/>
      <x:c r="L63" s="106"/>
      <x:c r="M63" s="106"/>
      <x:c r="N63" s="106"/>
      <x:c r="O63" s="106"/>
      <x:c r="P63" s="114"/>
      <x:c r="Q63" s="113"/>
      <x:c r="R63" s="106"/>
      <x:c r="S63" s="86"/>
      <x:c r="T63" s="86"/>
      <x:c r="U63" s="86"/>
      <x:c r="V63" s="86"/>
      <x:c r="W63" s="86"/>
      <x:c r="X63" s="86"/>
      <x:c r="Y63" s="86"/>
      <x:c r="Z63" s="86"/>
    </x:row>
    <x:row r="64">
      <x:c r="A64" s="106"/>
      <x:c r="B64" s="126"/>
      <x:c r="C64" s="106"/>
      <x:c r="D64" s="106"/>
      <x:c r="E64" s="106"/>
      <x:c r="F64" s="106"/>
      <x:c r="G64" s="114"/>
      <x:c r="H64" s="128" t="str">
        <x:f>IF(OR(F64="",G64=""),"",F64*G64)</x:f>
      </x:c>
      <x:c r="I64" s="106"/>
      <x:c r="J64" s="113"/>
      <x:c r="K64" s="106"/>
      <x:c r="L64" s="106"/>
      <x:c r="M64" s="106"/>
      <x:c r="N64" s="106"/>
      <x:c r="O64" s="106"/>
      <x:c r="P64" s="114"/>
      <x:c r="Q64" s="113"/>
      <x:c r="R64" s="106"/>
      <x:c r="S64" s="86"/>
      <x:c r="T64" s="86"/>
      <x:c r="U64" s="86"/>
      <x:c r="V64" s="86"/>
      <x:c r="W64" s="86"/>
      <x:c r="X64" s="86"/>
      <x:c r="Y64" s="86"/>
      <x:c r="Z64" s="86"/>
    </x:row>
    <x:row r="65">
      <x:c r="A65" s="106"/>
      <x:c r="B65" s="126"/>
      <x:c r="C65" s="106"/>
      <x:c r="D65" s="106"/>
      <x:c r="E65" s="106"/>
      <x:c r="F65" s="106"/>
      <x:c r="G65" s="114"/>
      <x:c r="H65" s="128" t="str">
        <x:f>IF(OR(F65="",G65=""),"",F65*G65)</x:f>
      </x:c>
      <x:c r="I65" s="106"/>
      <x:c r="J65" s="113"/>
      <x:c r="K65" s="106"/>
      <x:c r="L65" s="106"/>
      <x:c r="M65" s="106"/>
      <x:c r="N65" s="106"/>
      <x:c r="O65" s="106"/>
      <x:c r="P65" s="114"/>
      <x:c r="Q65" s="113"/>
      <x:c r="R65" s="106"/>
      <x:c r="S65" s="86"/>
      <x:c r="T65" s="86"/>
      <x:c r="U65" s="86"/>
      <x:c r="V65" s="86"/>
      <x:c r="W65" s="86"/>
      <x:c r="X65" s="86"/>
      <x:c r="Y65" s="86"/>
      <x:c r="Z65" s="86"/>
    </x:row>
    <x:row r="66">
      <x:c r="A66" s="106"/>
      <x:c r="B66" s="126"/>
      <x:c r="C66" s="106"/>
      <x:c r="D66" s="106"/>
      <x:c r="E66" s="106"/>
      <x:c r="F66" s="106"/>
      <x:c r="G66" s="114"/>
      <x:c r="H66" s="128" t="str">
        <x:f>IF(OR(F66="",G66=""),"",F66*G66)</x:f>
      </x:c>
      <x:c r="I66" s="106"/>
      <x:c r="J66" s="113"/>
      <x:c r="K66" s="106"/>
      <x:c r="L66" s="106"/>
      <x:c r="M66" s="106"/>
      <x:c r="N66" s="106"/>
      <x:c r="O66" s="106"/>
      <x:c r="P66" s="114"/>
      <x:c r="Q66" s="113"/>
      <x:c r="R66" s="106"/>
      <x:c r="S66" s="86"/>
      <x:c r="T66" s="86"/>
      <x:c r="U66" s="86"/>
      <x:c r="V66" s="86"/>
      <x:c r="W66" s="86"/>
      <x:c r="X66" s="86"/>
      <x:c r="Y66" s="86"/>
      <x:c r="Z66" s="86"/>
    </x:row>
    <x:row r="67">
      <x:c r="A67" s="106"/>
      <x:c r="B67" s="126"/>
      <x:c r="C67" s="106"/>
      <x:c r="D67" s="106"/>
      <x:c r="E67" s="106"/>
      <x:c r="F67" s="106"/>
      <x:c r="G67" s="114"/>
      <x:c r="H67" s="128" t="str">
        <x:f>IF(OR(F67="",G67=""),"",F67*G67)</x:f>
      </x:c>
      <x:c r="I67" s="106"/>
      <x:c r="J67" s="113"/>
      <x:c r="K67" s="106"/>
      <x:c r="L67" s="106"/>
      <x:c r="M67" s="106"/>
      <x:c r="N67" s="106"/>
      <x:c r="O67" s="106"/>
      <x:c r="P67" s="114"/>
      <x:c r="Q67" s="113"/>
      <x:c r="R67" s="106"/>
      <x:c r="S67" s="86"/>
      <x:c r="T67" s="86"/>
      <x:c r="U67" s="86"/>
      <x:c r="V67" s="86"/>
      <x:c r="W67" s="86"/>
      <x:c r="X67" s="86"/>
      <x:c r="Y67" s="86"/>
      <x:c r="Z67" s="86"/>
    </x:row>
    <x:row r="68">
      <x:c r="A68" s="106"/>
      <x:c r="B68" s="126"/>
      <x:c r="C68" s="106"/>
      <x:c r="D68" s="106"/>
      <x:c r="E68" s="106"/>
      <x:c r="F68" s="106"/>
      <x:c r="G68" s="114"/>
      <x:c r="H68" s="128" t="str">
        <x:f>IF(OR(F68="",G68=""),"",F68*G68)</x:f>
      </x:c>
      <x:c r="I68" s="106"/>
      <x:c r="J68" s="113"/>
      <x:c r="K68" s="106"/>
      <x:c r="L68" s="106"/>
      <x:c r="M68" s="106"/>
      <x:c r="N68" s="106"/>
      <x:c r="O68" s="106"/>
      <x:c r="P68" s="114"/>
      <x:c r="Q68" s="113"/>
      <x:c r="R68" s="106"/>
      <x:c r="S68" s="86"/>
      <x:c r="T68" s="86"/>
      <x:c r="U68" s="86"/>
      <x:c r="V68" s="86"/>
      <x:c r="W68" s="86"/>
      <x:c r="X68" s="86"/>
      <x:c r="Y68" s="86"/>
      <x:c r="Z68" s="86"/>
    </x:row>
    <x:row r="69">
      <x:c r="A69" s="106"/>
      <x:c r="B69" s="126"/>
      <x:c r="C69" s="106"/>
      <x:c r="D69" s="106"/>
      <x:c r="E69" s="106"/>
      <x:c r="F69" s="106"/>
      <x:c r="G69" s="114"/>
      <x:c r="H69" s="128" t="str">
        <x:f>IF(OR(F69="",G69=""),"",F69*G69)</x:f>
      </x:c>
      <x:c r="I69" s="106"/>
      <x:c r="J69" s="113"/>
      <x:c r="K69" s="106"/>
      <x:c r="L69" s="106"/>
      <x:c r="M69" s="106"/>
      <x:c r="N69" s="106"/>
      <x:c r="O69" s="106"/>
      <x:c r="P69" s="114"/>
      <x:c r="Q69" s="113"/>
      <x:c r="R69" s="106"/>
      <x:c r="S69" s="86"/>
      <x:c r="T69" s="86"/>
      <x:c r="U69" s="86"/>
      <x:c r="V69" s="86"/>
      <x:c r="W69" s="86"/>
      <x:c r="X69" s="86"/>
      <x:c r="Y69" s="86"/>
      <x:c r="Z69" s="86"/>
    </x:row>
    <x:row r="70">
      <x:c r="A70" s="106"/>
      <x:c r="B70" s="126"/>
      <x:c r="C70" s="106"/>
      <x:c r="D70" s="106"/>
      <x:c r="E70" s="106"/>
      <x:c r="F70" s="106"/>
      <x:c r="G70" s="114"/>
      <x:c r="H70" s="128" t="str">
        <x:f>IF(OR(F70="",G70=""),"",F70*G70)</x:f>
      </x:c>
      <x:c r="I70" s="106"/>
      <x:c r="J70" s="113"/>
      <x:c r="K70" s="106"/>
      <x:c r="L70" s="106"/>
      <x:c r="M70" s="106"/>
      <x:c r="N70" s="106"/>
      <x:c r="O70" s="106"/>
      <x:c r="P70" s="114"/>
      <x:c r="Q70" s="113"/>
      <x:c r="R70" s="106"/>
      <x:c r="S70" s="86"/>
      <x:c r="T70" s="86"/>
      <x:c r="U70" s="86"/>
      <x:c r="V70" s="86"/>
      <x:c r="W70" s="86"/>
      <x:c r="X70" s="86"/>
      <x:c r="Y70" s="86"/>
      <x:c r="Z70" s="86"/>
    </x:row>
    <x:row r="71">
      <x:c r="A71" s="106"/>
      <x:c r="B71" s="126"/>
      <x:c r="C71" s="106"/>
      <x:c r="D71" s="106"/>
      <x:c r="E71" s="106"/>
      <x:c r="F71" s="106"/>
      <x:c r="G71" s="114"/>
      <x:c r="H71" s="128" t="str">
        <x:f>IF(OR(F71="",G71=""),"",F71*G71)</x:f>
      </x:c>
      <x:c r="I71" s="106"/>
      <x:c r="J71" s="113"/>
      <x:c r="K71" s="106"/>
      <x:c r="L71" s="106"/>
      <x:c r="M71" s="106"/>
      <x:c r="N71" s="106"/>
      <x:c r="O71" s="106"/>
      <x:c r="P71" s="114"/>
      <x:c r="Q71" s="113"/>
      <x:c r="R71" s="106"/>
      <x:c r="S71" s="86"/>
      <x:c r="T71" s="86"/>
      <x:c r="U71" s="86"/>
      <x:c r="V71" s="86"/>
      <x:c r="W71" s="86"/>
      <x:c r="X71" s="86"/>
      <x:c r="Y71" s="86"/>
      <x:c r="Z71" s="86"/>
    </x:row>
    <x:row r="72">
      <x:c r="A72" s="106"/>
      <x:c r="B72" s="126"/>
      <x:c r="C72" s="106"/>
      <x:c r="D72" s="106"/>
      <x:c r="E72" s="106"/>
      <x:c r="F72" s="106"/>
      <x:c r="G72" s="114"/>
      <x:c r="H72" s="128" t="str">
        <x:f>IF(OR(F72="",G72=""),"",F72*G72)</x:f>
      </x:c>
      <x:c r="I72" s="106"/>
      <x:c r="J72" s="113"/>
      <x:c r="K72" s="106"/>
      <x:c r="L72" s="106"/>
      <x:c r="M72" s="106"/>
      <x:c r="N72" s="106"/>
      <x:c r="O72" s="106"/>
      <x:c r="P72" s="114"/>
      <x:c r="Q72" s="113"/>
      <x:c r="R72" s="106"/>
      <x:c r="S72" s="86"/>
      <x:c r="T72" s="86"/>
      <x:c r="U72" s="86"/>
      <x:c r="V72" s="86"/>
      <x:c r="W72" s="86"/>
      <x:c r="X72" s="86"/>
      <x:c r="Y72" s="86"/>
      <x:c r="Z72" s="86"/>
    </x:row>
    <x:row r="73">
      <x:c r="A73" s="106"/>
      <x:c r="B73" s="126"/>
      <x:c r="C73" s="106"/>
      <x:c r="D73" s="106"/>
      <x:c r="E73" s="106"/>
      <x:c r="F73" s="106"/>
      <x:c r="G73" s="114"/>
      <x:c r="H73" s="128" t="str">
        <x:f>IF(OR(F73="",G73=""),"",F73*G73)</x:f>
      </x:c>
      <x:c r="I73" s="106"/>
      <x:c r="J73" s="113"/>
      <x:c r="K73" s="106"/>
      <x:c r="L73" s="106"/>
      <x:c r="M73" s="106"/>
      <x:c r="N73" s="106"/>
      <x:c r="O73" s="106"/>
      <x:c r="P73" s="114"/>
      <x:c r="Q73" s="113"/>
      <x:c r="R73" s="106"/>
      <x:c r="S73" s="86"/>
      <x:c r="T73" s="86"/>
      <x:c r="U73" s="86"/>
      <x:c r="V73" s="86"/>
      <x:c r="W73" s="86"/>
      <x:c r="X73" s="86"/>
      <x:c r="Y73" s="86"/>
      <x:c r="Z73" s="86"/>
    </x:row>
    <x:row r="74">
      <x:c r="A74" s="106"/>
      <x:c r="B74" s="126"/>
      <x:c r="C74" s="106"/>
      <x:c r="D74" s="106"/>
      <x:c r="E74" s="106"/>
      <x:c r="F74" s="106"/>
      <x:c r="G74" s="114"/>
      <x:c r="H74" s="128" t="str">
        <x:f>IF(OR(F74="",G74=""),"",F74*G74)</x:f>
      </x:c>
      <x:c r="I74" s="106"/>
      <x:c r="J74" s="113"/>
      <x:c r="K74" s="106"/>
      <x:c r="L74" s="106"/>
      <x:c r="M74" s="106"/>
      <x:c r="N74" s="106"/>
      <x:c r="O74" s="106"/>
      <x:c r="P74" s="114"/>
      <x:c r="Q74" s="113"/>
      <x:c r="R74" s="106"/>
      <x:c r="S74" s="86"/>
      <x:c r="T74" s="86"/>
      <x:c r="U74" s="86"/>
      <x:c r="V74" s="86"/>
      <x:c r="W74" s="86"/>
      <x:c r="X74" s="86"/>
      <x:c r="Y74" s="86"/>
      <x:c r="Z74" s="86"/>
    </x:row>
    <x:row r="75">
      <x:c r="A75" s="106"/>
      <x:c r="B75" s="126"/>
      <x:c r="C75" s="106"/>
      <x:c r="D75" s="106"/>
      <x:c r="E75" s="106"/>
      <x:c r="F75" s="106"/>
      <x:c r="G75" s="114"/>
      <x:c r="H75" s="128" t="str">
        <x:f>IF(OR(F75="",G75=""),"",F75*G75)</x:f>
      </x:c>
      <x:c r="I75" s="106"/>
      <x:c r="J75" s="113"/>
      <x:c r="K75" s="106"/>
      <x:c r="L75" s="106"/>
      <x:c r="M75" s="106"/>
      <x:c r="N75" s="106"/>
      <x:c r="O75" s="106"/>
      <x:c r="P75" s="114"/>
      <x:c r="Q75" s="113"/>
      <x:c r="R75" s="106"/>
      <x:c r="S75" s="86"/>
      <x:c r="T75" s="86"/>
      <x:c r="U75" s="86"/>
      <x:c r="V75" s="86"/>
      <x:c r="W75" s="86"/>
      <x:c r="X75" s="86"/>
      <x:c r="Y75" s="86"/>
      <x:c r="Z75" s="86"/>
    </x:row>
    <x:row r="76">
      <x:c r="A76" s="106"/>
      <x:c r="B76" s="126"/>
      <x:c r="C76" s="106"/>
      <x:c r="D76" s="106"/>
      <x:c r="E76" s="106"/>
      <x:c r="F76" s="106"/>
      <x:c r="G76" s="114"/>
      <x:c r="H76" s="128" t="str">
        <x:f>IF(OR(F76="",G76=""),"",F76*G76)</x:f>
      </x:c>
      <x:c r="I76" s="106"/>
      <x:c r="J76" s="113"/>
      <x:c r="K76" s="106"/>
      <x:c r="L76" s="106"/>
      <x:c r="M76" s="106"/>
      <x:c r="N76" s="106"/>
      <x:c r="O76" s="106"/>
      <x:c r="P76" s="114"/>
      <x:c r="Q76" s="113"/>
      <x:c r="R76" s="106"/>
      <x:c r="S76" s="86"/>
      <x:c r="T76" s="86"/>
      <x:c r="U76" s="86"/>
      <x:c r="V76" s="86"/>
      <x:c r="W76" s="86"/>
      <x:c r="X76" s="86"/>
      <x:c r="Y76" s="86"/>
      <x:c r="Z76" s="86"/>
    </x:row>
    <x:row r="77">
      <x:c r="A77" s="106"/>
      <x:c r="B77" s="126"/>
      <x:c r="C77" s="106"/>
      <x:c r="D77" s="106"/>
      <x:c r="E77" s="106"/>
      <x:c r="F77" s="106"/>
      <x:c r="G77" s="114"/>
      <x:c r="H77" s="128" t="str">
        <x:f>IF(OR(F77="",G77=""),"",F77*G77)</x:f>
      </x:c>
      <x:c r="I77" s="106"/>
      <x:c r="J77" s="113"/>
      <x:c r="K77" s="106"/>
      <x:c r="L77" s="106"/>
      <x:c r="M77" s="106"/>
      <x:c r="N77" s="106"/>
      <x:c r="O77" s="106"/>
      <x:c r="P77" s="114"/>
      <x:c r="Q77" s="113"/>
      <x:c r="R77" s="106"/>
      <x:c r="S77" s="86"/>
      <x:c r="T77" s="86"/>
      <x:c r="U77" s="86"/>
      <x:c r="V77" s="86"/>
      <x:c r="W77" s="86"/>
      <x:c r="X77" s="86"/>
      <x:c r="Y77" s="86"/>
      <x:c r="Z77" s="86"/>
    </x:row>
    <x:row r="78">
      <x:c r="A78" s="106"/>
      <x:c r="B78" s="126"/>
      <x:c r="C78" s="106"/>
      <x:c r="D78" s="106"/>
      <x:c r="E78" s="106"/>
      <x:c r="F78" s="106"/>
      <x:c r="G78" s="114"/>
      <x:c r="H78" s="128" t="str">
        <x:f>IF(OR(F78="",G78=""),"",F78*G78)</x:f>
      </x:c>
      <x:c r="I78" s="106"/>
      <x:c r="J78" s="113"/>
      <x:c r="K78" s="106"/>
      <x:c r="L78" s="106"/>
      <x:c r="M78" s="106"/>
      <x:c r="N78" s="106"/>
      <x:c r="O78" s="106"/>
      <x:c r="P78" s="114"/>
      <x:c r="Q78" s="113"/>
      <x:c r="R78" s="106"/>
      <x:c r="S78" s="86"/>
      <x:c r="T78" s="86"/>
      <x:c r="U78" s="86"/>
      <x:c r="V78" s="86"/>
      <x:c r="W78" s="86"/>
      <x:c r="X78" s="86"/>
      <x:c r="Y78" s="86"/>
      <x:c r="Z78" s="86"/>
    </x:row>
    <x:row r="79">
      <x:c r="A79" s="106"/>
      <x:c r="B79" s="126"/>
      <x:c r="C79" s="106"/>
      <x:c r="D79" s="106"/>
      <x:c r="E79" s="106"/>
      <x:c r="F79" s="106"/>
      <x:c r="G79" s="114"/>
      <x:c r="H79" s="128" t="str">
        <x:f>IF(OR(F79="",G79=""),"",F79*G79)</x:f>
      </x:c>
      <x:c r="I79" s="106"/>
      <x:c r="J79" s="113"/>
      <x:c r="K79" s="106"/>
      <x:c r="L79" s="106"/>
      <x:c r="M79" s="106"/>
      <x:c r="N79" s="106"/>
      <x:c r="O79" s="106"/>
      <x:c r="P79" s="114"/>
      <x:c r="Q79" s="113"/>
      <x:c r="R79" s="106"/>
      <x:c r="S79" s="86"/>
      <x:c r="T79" s="86"/>
      <x:c r="U79" s="86"/>
      <x:c r="V79" s="86"/>
      <x:c r="W79" s="86"/>
      <x:c r="X79" s="86"/>
      <x:c r="Y79" s="86"/>
      <x:c r="Z79" s="86"/>
    </x:row>
    <x:row r="80">
      <x:c r="A80" s="106"/>
      <x:c r="B80" s="126"/>
      <x:c r="C80" s="106"/>
      <x:c r="D80" s="106"/>
      <x:c r="E80" s="106"/>
      <x:c r="F80" s="106"/>
      <x:c r="G80" s="114"/>
      <x:c r="H80" s="128" t="str">
        <x:f>IF(OR(F80="",G80=""),"",F80*G80)</x:f>
      </x:c>
      <x:c r="I80" s="106"/>
      <x:c r="J80" s="113"/>
      <x:c r="K80" s="106"/>
      <x:c r="L80" s="106"/>
      <x:c r="M80" s="106"/>
      <x:c r="N80" s="106"/>
      <x:c r="O80" s="106"/>
      <x:c r="P80" s="114"/>
      <x:c r="Q80" s="113"/>
      <x:c r="R80" s="106"/>
      <x:c r="S80" s="86"/>
      <x:c r="T80" s="86"/>
      <x:c r="U80" s="86"/>
      <x:c r="V80" s="86"/>
      <x:c r="W80" s="86"/>
      <x:c r="X80" s="86"/>
      <x:c r="Y80" s="86"/>
      <x:c r="Z80" s="86"/>
    </x:row>
    <x:row r="81">
      <x:c r="A81" s="106"/>
      <x:c r="B81" s="126"/>
      <x:c r="C81" s="106"/>
      <x:c r="D81" s="106"/>
      <x:c r="E81" s="106"/>
      <x:c r="F81" s="106"/>
      <x:c r="G81" s="114"/>
      <x:c r="H81" s="128" t="str">
        <x:f>IF(OR(F81="",G81=""),"",F81*G81)</x:f>
      </x:c>
      <x:c r="I81" s="106"/>
      <x:c r="J81" s="113"/>
      <x:c r="K81" s="106"/>
      <x:c r="L81" s="106"/>
      <x:c r="M81" s="106"/>
      <x:c r="N81" s="106"/>
      <x:c r="O81" s="106"/>
      <x:c r="P81" s="114"/>
      <x:c r="Q81" s="113"/>
      <x:c r="R81" s="106"/>
      <x:c r="S81" s="86"/>
      <x:c r="T81" s="86"/>
      <x:c r="U81" s="86"/>
      <x:c r="V81" s="86"/>
      <x:c r="W81" s="86"/>
      <x:c r="X81" s="86"/>
      <x:c r="Y81" s="86"/>
      <x:c r="Z81" s="86"/>
    </x:row>
    <x:row r="82">
      <x:c r="A82" s="106"/>
      <x:c r="B82" s="126"/>
      <x:c r="C82" s="106"/>
      <x:c r="D82" s="106"/>
      <x:c r="E82" s="106"/>
      <x:c r="F82" s="106"/>
      <x:c r="G82" s="114"/>
      <x:c r="H82" s="128" t="str">
        <x:f>IF(OR(F82="",G82=""),"",F82*G82)</x:f>
      </x:c>
      <x:c r="I82" s="106"/>
      <x:c r="J82" s="113"/>
      <x:c r="K82" s="106"/>
      <x:c r="L82" s="106"/>
      <x:c r="M82" s="106"/>
      <x:c r="N82" s="106"/>
      <x:c r="O82" s="106"/>
      <x:c r="P82" s="114"/>
      <x:c r="Q82" s="113"/>
      <x:c r="R82" s="106"/>
      <x:c r="S82" s="86"/>
      <x:c r="T82" s="86"/>
      <x:c r="U82" s="86"/>
      <x:c r="V82" s="86"/>
      <x:c r="W82" s="86"/>
      <x:c r="X82" s="86"/>
      <x:c r="Y82" s="86"/>
      <x:c r="Z82" s="86"/>
    </x:row>
    <x:row r="83">
      <x:c r="A83" s="106"/>
      <x:c r="B83" s="126"/>
      <x:c r="C83" s="106"/>
      <x:c r="D83" s="106"/>
      <x:c r="E83" s="106"/>
      <x:c r="F83" s="106"/>
      <x:c r="G83" s="114"/>
      <x:c r="H83" s="128" t="str">
        <x:f>IF(OR(F83="",G83=""),"",F83*G83)</x:f>
      </x:c>
      <x:c r="I83" s="106"/>
      <x:c r="J83" s="113"/>
      <x:c r="K83" s="106"/>
      <x:c r="L83" s="106"/>
      <x:c r="M83" s="106"/>
      <x:c r="N83" s="106"/>
      <x:c r="O83" s="106"/>
      <x:c r="P83" s="114"/>
      <x:c r="Q83" s="113"/>
      <x:c r="R83" s="106"/>
      <x:c r="S83" s="86"/>
      <x:c r="T83" s="86"/>
      <x:c r="U83" s="86"/>
      <x:c r="V83" s="86"/>
      <x:c r="W83" s="86"/>
      <x:c r="X83" s="86"/>
      <x:c r="Y83" s="86"/>
      <x:c r="Z83" s="86"/>
    </x:row>
    <x:row r="84">
      <x:c r="A84" s="106"/>
      <x:c r="B84" s="126"/>
      <x:c r="C84" s="106"/>
      <x:c r="D84" s="106"/>
      <x:c r="E84" s="106"/>
      <x:c r="F84" s="106"/>
      <x:c r="G84" s="114"/>
      <x:c r="H84" s="128" t="str">
        <x:f>IF(OR(F84="",G84=""),"",F84*G84)</x:f>
      </x:c>
      <x:c r="I84" s="106"/>
      <x:c r="J84" s="113"/>
      <x:c r="K84" s="106"/>
      <x:c r="L84" s="106"/>
      <x:c r="M84" s="106"/>
      <x:c r="N84" s="106"/>
      <x:c r="O84" s="106"/>
      <x:c r="P84" s="114"/>
      <x:c r="Q84" s="113"/>
      <x:c r="R84" s="106"/>
      <x:c r="S84" s="86"/>
      <x:c r="T84" s="86"/>
      <x:c r="U84" s="86"/>
      <x:c r="V84" s="86"/>
      <x:c r="W84" s="86"/>
      <x:c r="X84" s="86"/>
      <x:c r="Y84" s="86"/>
      <x:c r="Z84" s="86"/>
    </x:row>
    <x:row r="85">
      <x:c r="A85" s="106"/>
      <x:c r="B85" s="126"/>
      <x:c r="C85" s="106"/>
      <x:c r="D85" s="106"/>
      <x:c r="E85" s="106"/>
      <x:c r="F85" s="106"/>
      <x:c r="G85" s="114"/>
      <x:c r="H85" s="128" t="str">
        <x:f>IF(OR(F85="",G85=""),"",F85*G85)</x:f>
      </x:c>
      <x:c r="I85" s="106"/>
      <x:c r="J85" s="113"/>
      <x:c r="K85" s="106"/>
      <x:c r="L85" s="106"/>
      <x:c r="M85" s="106"/>
      <x:c r="N85" s="106"/>
      <x:c r="O85" s="106"/>
      <x:c r="P85" s="114"/>
      <x:c r="Q85" s="113"/>
      <x:c r="R85" s="106"/>
      <x:c r="S85" s="86"/>
      <x:c r="T85" s="86"/>
      <x:c r="U85" s="86"/>
      <x:c r="V85" s="86"/>
      <x:c r="W85" s="86"/>
      <x:c r="X85" s="86"/>
      <x:c r="Y85" s="86"/>
      <x:c r="Z85" s="86"/>
    </x:row>
    <x:row r="86">
      <x:c r="A86" s="106"/>
      <x:c r="B86" s="126"/>
      <x:c r="C86" s="106"/>
      <x:c r="D86" s="106"/>
      <x:c r="E86" s="106"/>
      <x:c r="F86" s="106"/>
      <x:c r="G86" s="114"/>
      <x:c r="H86" s="128" t="str">
        <x:f>IF(OR(F86="",G86=""),"",F86*G86)</x:f>
      </x:c>
      <x:c r="I86" s="106"/>
      <x:c r="J86" s="113"/>
      <x:c r="K86" s="106"/>
      <x:c r="L86" s="106"/>
      <x:c r="M86" s="106"/>
      <x:c r="N86" s="106"/>
      <x:c r="O86" s="106"/>
      <x:c r="P86" s="114"/>
      <x:c r="Q86" s="113"/>
      <x:c r="R86" s="106"/>
      <x:c r="S86" s="86"/>
      <x:c r="T86" s="86"/>
      <x:c r="U86" s="86"/>
      <x:c r="V86" s="86"/>
      <x:c r="W86" s="86"/>
      <x:c r="X86" s="86"/>
      <x:c r="Y86" s="86"/>
      <x:c r="Z86" s="86"/>
    </x:row>
    <x:row r="87">
      <x:c r="A87" s="106"/>
      <x:c r="B87" s="126"/>
      <x:c r="C87" s="106"/>
      <x:c r="D87" s="106"/>
      <x:c r="E87" s="106"/>
      <x:c r="F87" s="106"/>
      <x:c r="G87" s="114"/>
      <x:c r="H87" s="128" t="str">
        <x:f>IF(OR(F87="",G87=""),"",F87*G87)</x:f>
      </x:c>
      <x:c r="I87" s="106"/>
      <x:c r="J87" s="113"/>
      <x:c r="K87" s="106"/>
      <x:c r="L87" s="106"/>
      <x:c r="M87" s="106"/>
      <x:c r="N87" s="106"/>
      <x:c r="O87" s="106"/>
      <x:c r="P87" s="114"/>
      <x:c r="Q87" s="113"/>
      <x:c r="R87" s="106"/>
      <x:c r="S87" s="86"/>
      <x:c r="T87" s="86"/>
      <x:c r="U87" s="86"/>
      <x:c r="V87" s="86"/>
      <x:c r="W87" s="86"/>
      <x:c r="X87" s="86"/>
      <x:c r="Y87" s="86"/>
      <x:c r="Z87" s="86"/>
    </x:row>
    <x:row r="88">
      <x:c r="A88" s="106"/>
      <x:c r="B88" s="126"/>
      <x:c r="C88" s="106"/>
      <x:c r="D88" s="106"/>
      <x:c r="E88" s="106"/>
      <x:c r="F88" s="106"/>
      <x:c r="G88" s="114"/>
      <x:c r="H88" s="128" t="str">
        <x:f>IF(OR(F88="",G88=""),"",F88*G88)</x:f>
      </x:c>
      <x:c r="I88" s="106"/>
      <x:c r="J88" s="113"/>
      <x:c r="K88" s="106"/>
      <x:c r="L88" s="106"/>
      <x:c r="M88" s="106"/>
      <x:c r="N88" s="106"/>
      <x:c r="O88" s="106"/>
      <x:c r="P88" s="114"/>
      <x:c r="Q88" s="113"/>
      <x:c r="R88" s="106"/>
      <x:c r="S88" s="86"/>
      <x:c r="T88" s="86"/>
      <x:c r="U88" s="86"/>
      <x:c r="V88" s="86"/>
      <x:c r="W88" s="86"/>
      <x:c r="X88" s="86"/>
      <x:c r="Y88" s="86"/>
      <x:c r="Z88" s="86"/>
    </x:row>
    <x:row r="89">
      <x:c r="A89" s="106"/>
      <x:c r="B89" s="126"/>
      <x:c r="C89" s="106"/>
      <x:c r="D89" s="106"/>
      <x:c r="E89" s="106"/>
      <x:c r="F89" s="106"/>
      <x:c r="G89" s="114"/>
      <x:c r="H89" s="128" t="str">
        <x:f>IF(OR(F89="",G89=""),"",F89*G89)</x:f>
      </x:c>
      <x:c r="I89" s="106"/>
      <x:c r="J89" s="113"/>
      <x:c r="K89" s="106"/>
      <x:c r="L89" s="106"/>
      <x:c r="M89" s="106"/>
      <x:c r="N89" s="106"/>
      <x:c r="O89" s="106"/>
      <x:c r="P89" s="114"/>
      <x:c r="Q89" s="113"/>
      <x:c r="R89" s="106"/>
      <x:c r="S89" s="86"/>
      <x:c r="T89" s="86"/>
      <x:c r="U89" s="86"/>
      <x:c r="V89" s="86"/>
      <x:c r="W89" s="86"/>
      <x:c r="X89" s="86"/>
      <x:c r="Y89" s="86"/>
      <x:c r="Z89" s="86"/>
    </x:row>
    <x:row r="90">
      <x:c r="A90" s="106"/>
      <x:c r="B90" s="126"/>
      <x:c r="C90" s="106"/>
      <x:c r="D90" s="106"/>
      <x:c r="E90" s="106"/>
      <x:c r="F90" s="106"/>
      <x:c r="G90" s="114"/>
      <x:c r="H90" s="128" t="str">
        <x:f>IF(OR(F90="",G90=""),"",F90*G90)</x:f>
      </x:c>
      <x:c r="I90" s="106"/>
      <x:c r="J90" s="113"/>
      <x:c r="K90" s="106"/>
      <x:c r="L90" s="106"/>
      <x:c r="M90" s="106"/>
      <x:c r="N90" s="106"/>
      <x:c r="O90" s="106"/>
      <x:c r="P90" s="114"/>
      <x:c r="Q90" s="113"/>
      <x:c r="R90" s="106"/>
      <x:c r="S90" s="86"/>
      <x:c r="T90" s="86"/>
      <x:c r="U90" s="86"/>
      <x:c r="V90" s="86"/>
      <x:c r="W90" s="86"/>
      <x:c r="X90" s="86"/>
      <x:c r="Y90" s="86"/>
      <x:c r="Z90" s="86"/>
    </x:row>
    <x:row r="91">
      <x:c r="A91" s="106"/>
      <x:c r="B91" s="126"/>
      <x:c r="C91" s="106"/>
      <x:c r="D91" s="106"/>
      <x:c r="E91" s="106"/>
      <x:c r="F91" s="106"/>
      <x:c r="G91" s="114"/>
      <x:c r="H91" s="128" t="str">
        <x:f>IF(OR(F91="",G91=""),"",F91*G91)</x:f>
      </x:c>
      <x:c r="I91" s="106"/>
      <x:c r="J91" s="113"/>
      <x:c r="K91" s="106"/>
      <x:c r="L91" s="106"/>
      <x:c r="M91" s="106"/>
      <x:c r="N91" s="106"/>
      <x:c r="O91" s="106"/>
      <x:c r="P91" s="114"/>
      <x:c r="Q91" s="113"/>
      <x:c r="R91" s="106"/>
      <x:c r="S91" s="86"/>
      <x:c r="T91" s="86"/>
      <x:c r="U91" s="86"/>
      <x:c r="V91" s="86"/>
      <x:c r="W91" s="86"/>
      <x:c r="X91" s="86"/>
      <x:c r="Y91" s="86"/>
      <x:c r="Z91" s="86"/>
    </x:row>
    <x:row r="92">
      <x:c r="A92" s="106"/>
      <x:c r="B92" s="126"/>
      <x:c r="C92" s="106"/>
      <x:c r="D92" s="106"/>
      <x:c r="E92" s="106"/>
      <x:c r="F92" s="106"/>
      <x:c r="G92" s="114"/>
      <x:c r="H92" s="128" t="str">
        <x:f>IF(OR(F92="",G92=""),"",F92*G92)</x:f>
      </x:c>
      <x:c r="I92" s="106"/>
      <x:c r="J92" s="113"/>
      <x:c r="K92" s="106"/>
      <x:c r="L92" s="106"/>
      <x:c r="M92" s="106"/>
      <x:c r="N92" s="106"/>
      <x:c r="O92" s="106"/>
      <x:c r="P92" s="114"/>
      <x:c r="Q92" s="113"/>
      <x:c r="R92" s="106"/>
      <x:c r="S92" s="86"/>
      <x:c r="T92" s="86"/>
      <x:c r="U92" s="86"/>
      <x:c r="V92" s="86"/>
      <x:c r="W92" s="86"/>
      <x:c r="X92" s="86"/>
      <x:c r="Y92" s="86"/>
      <x:c r="Z92" s="86"/>
    </x:row>
    <x:row r="93">
      <x:c r="A93" s="106"/>
      <x:c r="B93" s="126"/>
      <x:c r="C93" s="106"/>
      <x:c r="D93" s="106"/>
      <x:c r="E93" s="106"/>
      <x:c r="F93" s="106"/>
      <x:c r="G93" s="114"/>
      <x:c r="H93" s="128" t="str">
        <x:f>IF(OR(F93="",G93=""),"",F93*G93)</x:f>
      </x:c>
      <x:c r="I93" s="106"/>
      <x:c r="J93" s="113"/>
      <x:c r="K93" s="106"/>
      <x:c r="L93" s="106"/>
      <x:c r="M93" s="106"/>
      <x:c r="N93" s="106"/>
      <x:c r="O93" s="106"/>
      <x:c r="P93" s="114"/>
      <x:c r="Q93" s="113"/>
      <x:c r="R93" s="106"/>
      <x:c r="S93" s="86"/>
      <x:c r="T93" s="86"/>
      <x:c r="U93" s="86"/>
      <x:c r="V93" s="86"/>
      <x:c r="W93" s="86"/>
      <x:c r="X93" s="86"/>
      <x:c r="Y93" s="86"/>
      <x:c r="Z93" s="86"/>
    </x:row>
    <x:row r="94">
      <x:c r="A94" s="106"/>
      <x:c r="B94" s="126"/>
      <x:c r="C94" s="106"/>
      <x:c r="D94" s="106"/>
      <x:c r="E94" s="106"/>
      <x:c r="F94" s="106"/>
      <x:c r="G94" s="114"/>
      <x:c r="H94" s="128" t="str">
        <x:f>IF(OR(F94="",G94=""),"",F94*G94)</x:f>
      </x:c>
      <x:c r="I94" s="106"/>
      <x:c r="J94" s="113"/>
      <x:c r="K94" s="106"/>
      <x:c r="L94" s="106"/>
      <x:c r="M94" s="106"/>
      <x:c r="N94" s="106"/>
      <x:c r="O94" s="106"/>
      <x:c r="P94" s="114"/>
      <x:c r="Q94" s="113"/>
      <x:c r="R94" s="106"/>
      <x:c r="S94" s="86"/>
      <x:c r="T94" s="86"/>
      <x:c r="U94" s="86"/>
      <x:c r="V94" s="86"/>
      <x:c r="W94" s="86"/>
      <x:c r="X94" s="86"/>
      <x:c r="Y94" s="86"/>
      <x:c r="Z94" s="86"/>
    </x:row>
    <x:row r="95">
      <x:c r="A95" s="106"/>
      <x:c r="B95" s="126"/>
      <x:c r="C95" s="106"/>
      <x:c r="D95" s="106"/>
      <x:c r="E95" s="106"/>
      <x:c r="F95" s="106"/>
      <x:c r="G95" s="114"/>
      <x:c r="H95" s="128" t="str">
        <x:f>IF(OR(F95="",G95=""),"",F95*G95)</x:f>
      </x:c>
      <x:c r="I95" s="106"/>
      <x:c r="J95" s="113"/>
      <x:c r="K95" s="106"/>
      <x:c r="L95" s="106"/>
      <x:c r="M95" s="106"/>
      <x:c r="N95" s="106"/>
      <x:c r="O95" s="106"/>
      <x:c r="P95" s="114"/>
      <x:c r="Q95" s="113"/>
      <x:c r="R95" s="106"/>
      <x:c r="S95" s="86"/>
      <x:c r="T95" s="86"/>
      <x:c r="U95" s="86"/>
      <x:c r="V95" s="86"/>
      <x:c r="W95" s="86"/>
      <x:c r="X95" s="86"/>
      <x:c r="Y95" s="86"/>
      <x:c r="Z95" s="86"/>
    </x:row>
    <x:row r="96">
      <x:c r="A96" s="106"/>
      <x:c r="B96" s="126"/>
      <x:c r="C96" s="106"/>
      <x:c r="D96" s="106"/>
      <x:c r="E96" s="106"/>
      <x:c r="F96" s="106"/>
      <x:c r="G96" s="114"/>
      <x:c r="H96" s="128" t="str">
        <x:f>IF(OR(F96="",G96=""),"",F96*G96)</x:f>
      </x:c>
      <x:c r="I96" s="106"/>
      <x:c r="J96" s="113"/>
      <x:c r="K96" s="106"/>
      <x:c r="L96" s="106"/>
      <x:c r="M96" s="106"/>
      <x:c r="N96" s="106"/>
      <x:c r="O96" s="106"/>
      <x:c r="P96" s="114"/>
      <x:c r="Q96" s="113"/>
      <x:c r="R96" s="106"/>
      <x:c r="S96" s="86"/>
      <x:c r="T96" s="86"/>
      <x:c r="U96" s="86"/>
      <x:c r="V96" s="86"/>
      <x:c r="W96" s="86"/>
      <x:c r="X96" s="86"/>
      <x:c r="Y96" s="86"/>
      <x:c r="Z96" s="86"/>
    </x:row>
    <x:row r="97">
      <x:c r="A97" s="106"/>
      <x:c r="B97" s="126"/>
      <x:c r="C97" s="106"/>
      <x:c r="D97" s="106"/>
      <x:c r="E97" s="106"/>
      <x:c r="F97" s="106"/>
      <x:c r="G97" s="114"/>
      <x:c r="H97" s="128" t="str">
        <x:f>IF(OR(F97="",G97=""),"",F97*G97)</x:f>
      </x:c>
      <x:c r="I97" s="106"/>
      <x:c r="J97" s="113"/>
      <x:c r="K97" s="106"/>
      <x:c r="L97" s="106"/>
      <x:c r="M97" s="106"/>
      <x:c r="N97" s="106"/>
      <x:c r="O97" s="106"/>
      <x:c r="P97" s="114"/>
      <x:c r="Q97" s="113"/>
      <x:c r="R97" s="106"/>
      <x:c r="S97" s="86"/>
      <x:c r="T97" s="86"/>
      <x:c r="U97" s="86"/>
      <x:c r="V97" s="86"/>
      <x:c r="W97" s="86"/>
      <x:c r="X97" s="86"/>
      <x:c r="Y97" s="86"/>
      <x:c r="Z97" s="86"/>
    </x:row>
    <x:row r="98">
      <x:c r="A98" s="106"/>
      <x:c r="B98" s="126"/>
      <x:c r="C98" s="106"/>
      <x:c r="D98" s="106"/>
      <x:c r="E98" s="106"/>
      <x:c r="F98" s="106"/>
      <x:c r="G98" s="114"/>
      <x:c r="H98" s="128" t="str">
        <x:f>IF(OR(F98="",G98=""),"",F98*G98)</x:f>
      </x:c>
      <x:c r="I98" s="106"/>
      <x:c r="J98" s="113"/>
      <x:c r="K98" s="106"/>
      <x:c r="L98" s="106"/>
      <x:c r="M98" s="106"/>
      <x:c r="N98" s="106"/>
      <x:c r="O98" s="106"/>
      <x:c r="P98" s="114"/>
      <x:c r="Q98" s="113"/>
      <x:c r="R98" s="106"/>
      <x:c r="S98" s="86"/>
      <x:c r="T98" s="86"/>
      <x:c r="U98" s="86"/>
      <x:c r="V98" s="86"/>
      <x:c r="W98" s="86"/>
      <x:c r="X98" s="86"/>
      <x:c r="Y98" s="86"/>
      <x:c r="Z98" s="86"/>
    </x:row>
    <x:row r="99">
      <x:c r="A99" s="106"/>
      <x:c r="B99" s="126"/>
      <x:c r="C99" s="106"/>
      <x:c r="D99" s="106"/>
      <x:c r="E99" s="106"/>
      <x:c r="F99" s="106"/>
      <x:c r="G99" s="114"/>
      <x:c r="H99" s="128" t="str">
        <x:f>IF(OR(F99="",G99=""),"",F99*G99)</x:f>
      </x:c>
      <x:c r="I99" s="106"/>
      <x:c r="J99" s="113"/>
      <x:c r="K99" s="106"/>
      <x:c r="L99" s="106"/>
      <x:c r="M99" s="106"/>
      <x:c r="N99" s="106"/>
      <x:c r="O99" s="106"/>
      <x:c r="P99" s="114"/>
      <x:c r="Q99" s="113"/>
      <x:c r="R99" s="106"/>
      <x:c r="S99" s="86"/>
      <x:c r="T99" s="86"/>
      <x:c r="U99" s="86"/>
      <x:c r="V99" s="86"/>
      <x:c r="W99" s="86"/>
      <x:c r="X99" s="86"/>
      <x:c r="Y99" s="86"/>
      <x:c r="Z99" s="86"/>
    </x:row>
    <x:row r="100">
      <x:c r="A100" s="106"/>
      <x:c r="B100" s="126"/>
      <x:c r="C100" s="106"/>
      <x:c r="D100" s="106"/>
      <x:c r="E100" s="106"/>
      <x:c r="F100" s="106"/>
      <x:c r="G100" s="114"/>
      <x:c r="H100" s="128" t="str">
        <x:f>IF(OR(F100="",G100=""),"",F100*G100)</x:f>
      </x:c>
      <x:c r="I100" s="106"/>
      <x:c r="J100" s="113"/>
      <x:c r="K100" s="106"/>
      <x:c r="L100" s="106"/>
      <x:c r="M100" s="106"/>
      <x:c r="N100" s="106"/>
      <x:c r="O100" s="106"/>
      <x:c r="P100" s="114"/>
      <x:c r="Q100" s="113"/>
      <x:c r="R100" s="106"/>
      <x:c r="S100" s="86"/>
      <x:c r="T100" s="86"/>
      <x:c r="U100" s="86"/>
      <x:c r="V100" s="86"/>
      <x:c r="W100" s="86"/>
      <x:c r="X100" s="86"/>
      <x:c r="Y100" s="86"/>
      <x:c r="Z100" s="86"/>
    </x:row>
    <x:row r="101">
      <x:c r="A101" s="106"/>
      <x:c r="B101" s="126"/>
      <x:c r="C101" s="106"/>
      <x:c r="D101" s="106"/>
      <x:c r="E101" s="106"/>
      <x:c r="F101" s="106"/>
      <x:c r="G101" s="114"/>
      <x:c r="H101" s="128" t="str">
        <x:f>IF(OR(F101="",G101=""),"",F101*G101)</x:f>
      </x:c>
      <x:c r="I101" s="106"/>
      <x:c r="J101" s="113"/>
      <x:c r="K101" s="106"/>
      <x:c r="L101" s="106"/>
      <x:c r="M101" s="106"/>
      <x:c r="N101" s="106"/>
      <x:c r="O101" s="106"/>
      <x:c r="P101" s="114"/>
      <x:c r="Q101" s="113"/>
      <x:c r="R101" s="106"/>
      <x:c r="S101" s="86"/>
      <x:c r="T101" s="86"/>
      <x:c r="U101" s="86"/>
      <x:c r="V101" s="86"/>
      <x:c r="W101" s="86"/>
      <x:c r="X101" s="86"/>
      <x:c r="Y101" s="86"/>
      <x:c r="Z101" s="86"/>
    </x:row>
    <x:row r="102">
      <x:c r="A102" s="106"/>
      <x:c r="B102" s="126"/>
      <x:c r="C102" s="106"/>
      <x:c r="D102" s="106"/>
      <x:c r="E102" s="106"/>
      <x:c r="F102" s="106"/>
      <x:c r="G102" s="114"/>
      <x:c r="H102" s="128" t="str">
        <x:f>IF(OR(F102="",G102=""),"",F102*G102)</x:f>
      </x:c>
      <x:c r="I102" s="106"/>
      <x:c r="J102" s="113"/>
      <x:c r="K102" s="106"/>
      <x:c r="L102" s="106"/>
      <x:c r="M102" s="106"/>
      <x:c r="N102" s="106"/>
      <x:c r="O102" s="106"/>
      <x:c r="P102" s="114"/>
      <x:c r="Q102" s="113"/>
      <x:c r="R102" s="106"/>
      <x:c r="S102" s="86"/>
      <x:c r="T102" s="86"/>
      <x:c r="U102" s="86"/>
      <x:c r="V102" s="86"/>
      <x:c r="W102" s="86"/>
      <x:c r="X102" s="86"/>
      <x:c r="Y102" s="86"/>
      <x:c r="Z102" s="86"/>
    </x:row>
    <x:row r="103">
      <x:c r="A103" s="106"/>
      <x:c r="B103" s="126"/>
      <x:c r="C103" s="106"/>
      <x:c r="D103" s="106"/>
      <x:c r="E103" s="106"/>
      <x:c r="F103" s="106"/>
      <x:c r="G103" s="114"/>
      <x:c r="H103" s="128" t="str">
        <x:f>IF(OR(F103="",G103=""),"",F103*G103)</x:f>
      </x:c>
      <x:c r="I103" s="106"/>
      <x:c r="J103" s="113"/>
      <x:c r="K103" s="106"/>
      <x:c r="L103" s="106"/>
      <x:c r="M103" s="106"/>
      <x:c r="N103" s="106"/>
      <x:c r="O103" s="106"/>
      <x:c r="P103" s="114"/>
      <x:c r="Q103" s="113"/>
      <x:c r="R103" s="10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R1"/>
  </x:mergeCells>
  <x:dataValidations count="1">
    <x:dataValidation type="list" sqref="E4:E103">
      <x:formula1>"买入,加仓,减仓,卖出"</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1" hidden="0" customWidth="1"/>
    <x:col min="2" max="2" width="14" hidden="0" customWidth="1"/>
    <x:col min="3" max="3" width="24" hidden="0" customWidth="1"/>
    <x:col min="4" max="4" width="26" hidden="0" customWidth="1"/>
    <x:col min="5" max="5" width="32" hidden="0" customWidth="1"/>
    <x:col min="6" max="6" width="28" hidden="0" customWidth="1"/>
    <x:col min="7" max="7" width="30" hidden="0" customWidth="1"/>
    <x:col min="8" max="8" width="22" hidden="0" customWidth="1"/>
    <x:col min="9" max="9" width="22" hidden="0" customWidth="1"/>
    <x:col min="10" max="10" width="32" hidden="0" customWidth="1"/>
    <x:col min="11" max="11" width="32" hidden="0" customWidth="1"/>
    <x:col min="12" max="12" width="12" hidden="0" customWidth="1"/>
    <x:col min="13" max="13" width="10" hidden="0" customWidth="1"/>
  </x:cols>
  <x:sheetData>
    <x:row r="1">
      <x:c r="A1" s="5" t="str">
        <x:v>公司研究卡片（每家公司一行，保持“一句话逻辑+证伪条件”）</x:v>
      </x:c>
      <x:c r="B1" s="5"/>
      <x:c r="C1" s="5"/>
      <x:c r="D1" s="5"/>
      <x:c r="E1" s="5"/>
      <x:c r="F1" s="5"/>
      <x:c r="G1" s="5"/>
      <x:c r="H1" s="5"/>
      <x:c r="I1" s="5"/>
      <x:c r="J1" s="5"/>
      <x:c r="K1" s="5"/>
      <x:c r="L1" s="5"/>
      <x:c r="M1" s="5"/>
      <x:c r="N1" s="86"/>
      <x:c r="O1" s="86"/>
      <x:c r="P1" s="86"/>
      <x:c r="Q1" s="86"/>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股票代码</x:v>
      </x:c>
      <x:c r="B3" s="13" t="str">
        <x:v>公司名称</x:v>
      </x:c>
      <x:c r="C3" s="13" t="str">
        <x:v>商业模式</x:v>
      </x:c>
      <x:c r="D3" s="13" t="str">
        <x:v>核心护城河</x:v>
      </x:c>
      <x:c r="E3" s="13" t="str">
        <x:v>为什么值得长期跟踪</x:v>
      </x:c>
      <x:c r="F3" s="13" t="str">
        <x:v>未来5-10年驱动</x:v>
      </x:c>
      <x:c r="G3" s="13" t="str">
        <x:v>主要风险</x:v>
      </x:c>
      <x:c r="H3" s="13" t="str">
        <x:v>竞争对手</x:v>
      </x:c>
      <x:c r="I3" s="13" t="str">
        <x:v>关键KPI</x:v>
      </x:c>
      <x:c r="J3" s="13" t="str">
        <x:v>一句话投资逻辑</x:v>
      </x:c>
      <x:c r="K3" s="13" t="str">
        <x:v>证伪条件</x:v>
      </x:c>
      <x:c r="L3" s="13" t="str">
        <x:v>最近研究日期</x:v>
      </x:c>
      <x:c r="M3" s="13" t="str">
        <x:v>研究状态</x:v>
      </x:c>
      <x:c r="N3" s="86"/>
      <x:c r="O3" s="86"/>
      <x:c r="P3" s="86"/>
      <x:c r="Q3" s="86"/>
      <x:c r="R3" s="86"/>
      <x:c r="S3" s="86"/>
      <x:c r="T3" s="86"/>
      <x:c r="U3" s="86"/>
      <x:c r="V3" s="86"/>
      <x:c r="W3" s="86"/>
      <x:c r="X3" s="86"/>
      <x:c r="Y3" s="86"/>
      <x:c r="Z3" s="86"/>
    </x:row>
    <x:row r="4">
      <x:c r="A4" s="86" t="str">
        <x:v>600941</x:v>
      </x:c>
      <x:c r="B4" s="86" t="str">
        <x:v>中国移动</x:v>
      </x:c>
      <x:c r="C4" s="95" t="str">
        <x:v>移动通信+云/算力+政企业务</x:v>
      </x:c>
      <x:c r="D4" s="95" t="str">
        <x:v>网络规模、牌照、现金流、客户基础</x:v>
      </x:c>
      <x:c r="E4" s="95" t="str">
        <x:v>成熟主业提供现金流，数字化业务提供增量</x:v>
      </x:c>
      <x:c r="F4" s="95" t="str">
        <x:v>ARPU、云/算力、资本开支效率</x:v>
      </x:c>
      <x:c r="G4" s="95" t="str">
        <x:v>监管、竞争、资本开支回升</x:v>
      </x:c>
      <x:c r="H4" s="95" t="str">
        <x:v>中国电信/中国联通</x:v>
      </x:c>
      <x:c r="I4" s="95" t="str">
        <x:v>ARPU、云收入、自由现金流</x:v>
      </x:c>
      <x:c r="J4" s="95" t="str">
        <x:v>高现金流资产+数字化增量</x:v>
      </x:c>
      <x:c r="K4" s="95" t="str">
        <x:v>自由现金流持续恶化且分红能力下降</x:v>
      </x:c>
      <x:c r="L4" s="126"/>
      <x:c r="M4" s="86" t="str">
        <x:v>重点</x:v>
      </x:c>
      <x:c r="N4" s="86"/>
      <x:c r="O4" s="86"/>
      <x:c r="P4" s="86"/>
      <x:c r="Q4" s="86"/>
      <x:c r="R4" s="86"/>
      <x:c r="S4" s="86"/>
      <x:c r="T4" s="86"/>
      <x:c r="U4" s="86"/>
      <x:c r="V4" s="86"/>
      <x:c r="W4" s="86"/>
      <x:c r="X4" s="86"/>
      <x:c r="Y4" s="86"/>
      <x:c r="Z4" s="86"/>
    </x:row>
    <x:row r="5">
      <x:c r="A5" s="86" t="str">
        <x:v>600900</x:v>
      </x:c>
      <x:c r="B5" s="86" t="str">
        <x:v>长江电力</x:v>
      </x:c>
      <x:c r="C5" s="95" t="str">
        <x:v>大型水电运营</x:v>
      </x:c>
      <x:c r="D5" s="95" t="str">
        <x:v>稀缺优质水电资产、低边际成本</x:v>
      </x:c>
      <x:c r="E5" s="95" t="str">
        <x:v>稳定现金流与长期资产价值</x:v>
      </x:c>
      <x:c r="F5" s="95" t="str">
        <x:v>来水、资产注入、电价、财务优化</x:v>
      </x:c>
      <x:c r="G5" s="95" t="str">
        <x:v>来水波动、政策、电价机制</x:v>
      </x:c>
      <x:c r="H5" s="95" t="str">
        <x:v>华能水电等</x:v>
      </x:c>
      <x:c r="I5" s="95" t="str">
        <x:v>发电量、电价、负债率</x:v>
      </x:c>
      <x:c r="J5" s="95" t="str">
        <x:v>稀缺水电资产的长期现金流</x:v>
      </x:c>
      <x:c r="K5" s="95" t="str">
        <x:v>资本回报长期下降或政策机制明显恶化</x:v>
      </x:c>
      <x:c r="L5" s="126"/>
      <x:c r="M5" s="86" t="str">
        <x:v>重点</x:v>
      </x:c>
      <x:c r="N5" s="86"/>
      <x:c r="O5" s="86"/>
      <x:c r="P5" s="86"/>
      <x:c r="Q5" s="86"/>
      <x:c r="R5" s="86"/>
      <x:c r="S5" s="86"/>
      <x:c r="T5" s="86"/>
      <x:c r="U5" s="86"/>
      <x:c r="V5" s="86"/>
      <x:c r="W5" s="86"/>
      <x:c r="X5" s="86"/>
      <x:c r="Y5" s="86"/>
      <x:c r="Z5" s="86"/>
    </x:row>
    <x:row r="6">
      <x:c r="A6" s="86" t="str">
        <x:v>600519</x:v>
      </x:c>
      <x:c r="B6" s="86" t="str">
        <x:v>贵州茅台</x:v>
      </x:c>
      <x:c r="C6" s="95" t="str">
        <x:v>高端白酒</x:v>
      </x:c>
      <x:c r="D6" s="95" t="str">
        <x:v>品牌、稀缺性、渠道、定价权</x:v>
      </x:c>
      <x:c r="E6" s="95" t="str">
        <x:v>长期高ROE与强现金创造</x:v>
      </x:c>
      <x:c r="F6" s="95" t="str">
        <x:v>量价、渠道改革、消费结构</x:v>
      </x:c>
      <x:c r="G6" s="95" t="str">
        <x:v>需求下行、渠道库存、政策</x:v>
      </x:c>
      <x:c r="H6" s="95" t="str">
        <x:v>五粮液等</x:v>
      </x:c>
      <x:c r="I6" s="95" t="str">
        <x:v>批价、合同负债、现金流</x:v>
      </x:c>
      <x:c r="J6" s="95" t="str">
        <x:v>顶级品牌资产的现金流复利</x:v>
      </x:c>
      <x:c r="K6" s="95" t="str">
        <x:v>品牌力/批价长期破坏</x:v>
      </x:c>
      <x:c r="L6" s="126"/>
      <x:c r="M6" s="86" t="str">
        <x:v>重点</x:v>
      </x:c>
      <x:c r="N6" s="86"/>
      <x:c r="O6" s="86"/>
      <x:c r="P6" s="86"/>
      <x:c r="Q6" s="86"/>
      <x:c r="R6" s="86"/>
      <x:c r="S6" s="86"/>
      <x:c r="T6" s="86"/>
      <x:c r="U6" s="86"/>
      <x:c r="V6" s="86"/>
      <x:c r="W6" s="86"/>
      <x:c r="X6" s="86"/>
      <x:c r="Y6" s="86"/>
      <x:c r="Z6" s="86"/>
    </x:row>
    <x:row r="7">
      <x:c r="A7" s="86" t="str">
        <x:v>000333</x:v>
      </x:c>
      <x:c r="B7" s="86" t="str">
        <x:v>美的集团</x:v>
      </x:c>
      <x:c r="C7" s="95" t="str">
        <x:v>家电+工业技术+机器人</x:v>
      </x:c>
      <x:c r="D7" s="95" t="str">
        <x:v>规模、效率、渠道、全球化</x:v>
      </x:c>
      <x:c r="E7" s="95" t="str">
        <x:v>经营效率与全球化能力突出</x:v>
      </x:c>
      <x:c r="F7" s="95" t="str">
        <x:v>海外、ToB、产品升级</x:v>
      </x:c>
      <x:c r="G7" s="95" t="str">
        <x:v>地产/消费周期、海外贸易</x:v>
      </x:c>
      <x:c r="H7" s="95" t="str">
        <x:v>海尔/格力等</x:v>
      </x:c>
      <x:c r="I7" s="95" t="str">
        <x:v>毛利率、海外收入、现金流</x:v>
      </x:c>
      <x:c r="J7" s="95" t="str">
        <x:v>优秀制造企业的长期复利</x:v>
      </x:c>
      <x:c r="K7" s="95" t="str">
        <x:v>ROIC持续下滑且竞争优势弱化</x:v>
      </x:c>
      <x:c r="L7" s="126"/>
      <x:c r="M7" s="86" t="str">
        <x:v>重点</x:v>
      </x:c>
      <x:c r="N7" s="86"/>
      <x:c r="O7" s="86"/>
      <x:c r="P7" s="86"/>
      <x:c r="Q7" s="86"/>
      <x:c r="R7" s="86"/>
      <x:c r="S7" s="86"/>
      <x:c r="T7" s="86"/>
      <x:c r="U7" s="86"/>
      <x:c r="V7" s="86"/>
      <x:c r="W7" s="86"/>
      <x:c r="X7" s="86"/>
      <x:c r="Y7" s="86"/>
      <x:c r="Z7" s="86"/>
    </x:row>
    <x:row r="8">
      <x:c r="A8" s="86" t="str">
        <x:v>600036</x:v>
      </x:c>
      <x:c r="B8" s="86" t="str">
        <x:v>招商银行</x:v>
      </x:c>
      <x:c r="C8" s="95" t="str">
        <x:v>零售银行+财富管理</x:v>
      </x:c>
      <x:c r="D8" s="95" t="str">
        <x:v>客户质量、零售能力、品牌与风控</x:v>
      </x:c>
      <x:c r="E8" s="95" t="str">
        <x:v>金融行业中差异化较强</x:v>
      </x:c>
      <x:c r="F8" s="95" t="str">
        <x:v>财富管理、资产质量、息差</x:v>
      </x:c>
      <x:c r="G8" s="95" t="str">
        <x:v>信用周期、息差、监管</x:v>
      </x:c>
      <x:c r="H8" s="95" t="str">
        <x:v>平安银行/兴业银行等</x:v>
      </x:c>
      <x:c r="I8" s="95" t="str">
        <x:v>NIM、不良率、拨备、AUM</x:v>
      </x:c>
      <x:c r="J8" s="95" t="str">
        <x:v>优质零售银行的长期经营能力</x:v>
      </x:c>
      <x:c r="K8" s="95" t="str">
        <x:v>资产质量显著恶化且优势消失</x:v>
      </x:c>
      <x:c r="L8" s="126"/>
      <x:c r="M8" s="86" t="str">
        <x:v>普通</x:v>
      </x:c>
      <x:c r="N8" s="86"/>
      <x:c r="O8" s="86"/>
      <x:c r="P8" s="86"/>
      <x:c r="Q8" s="86"/>
      <x:c r="R8" s="86"/>
      <x:c r="S8" s="86"/>
      <x:c r="T8" s="86"/>
      <x:c r="U8" s="86"/>
      <x:c r="V8" s="86"/>
      <x:c r="W8" s="86"/>
      <x:c r="X8" s="86"/>
      <x:c r="Y8" s="86"/>
      <x:c r="Z8" s="86"/>
    </x:row>
    <x:row r="9">
      <x:c r="A9" s="86" t="str">
        <x:v>601288</x:v>
      </x:c>
      <x:c r="B9" s="86" t="str">
        <x:v>农业银行</x:v>
      </x:c>
      <x:c r="C9" s="95" t="str">
        <x:v>大型商业银行</x:v>
      </x:c>
      <x:c r="D9" s="95" t="str">
        <x:v>低成本存款、网点、规模</x:v>
      </x:c>
      <x:c r="E9" s="95" t="str">
        <x:v>高股息与大行稳定性研究样例</x:v>
      </x:c>
      <x:c r="F9" s="95" t="str">
        <x:v>息差、资产质量、分红政策</x:v>
      </x:c>
      <x:c r="G9" s="95" t="str">
        <x:v>利率周期、信用成本</x:v>
      </x:c>
      <x:c r="H9" s="95" t="str">
        <x:v>工行/建行等</x:v>
      </x:c>
      <x:c r="I9" s="95" t="str">
        <x:v>NIM、不良率、分红率</x:v>
      </x:c>
      <x:c r="J9" s="95" t="str">
        <x:v>低估值高股息大行样例</x:v>
      </x:c>
      <x:c r="K9" s="95" t="str">
        <x:v>资产质量恶化或分红能力受损</x:v>
      </x:c>
      <x:c r="L9" s="126"/>
      <x:c r="M9" s="86" t="str">
        <x:v>重点</x:v>
      </x:c>
      <x:c r="N9" s="86"/>
      <x:c r="O9" s="86"/>
      <x:c r="P9" s="86"/>
      <x:c r="Q9" s="86"/>
      <x:c r="R9" s="86"/>
      <x:c r="S9" s="86"/>
      <x:c r="T9" s="86"/>
      <x:c r="U9" s="86"/>
      <x:c r="V9" s="86"/>
      <x:c r="W9" s="86"/>
      <x:c r="X9" s="86"/>
      <x:c r="Y9" s="86"/>
      <x:c r="Z9" s="86"/>
    </x:row>
    <x:row r="10">
      <x:c r="A10" s="86" t="str">
        <x:v>601088</x:v>
      </x:c>
      <x:c r="B10" s="86" t="str">
        <x:v>中国神华</x:v>
      </x:c>
      <x:c r="C10" s="95" t="str">
        <x:v>煤炭+铁路+港口+电力</x:v>
      </x:c>
      <x:c r="D10" s="95" t="str">
        <x:v>一体化、低成本、高现金流</x:v>
      </x:c>
      <x:c r="E10" s="95" t="str">
        <x:v>周期行业中的高质量现金流资产</x:v>
      </x:c>
      <x:c r="F10" s="95" t="str">
        <x:v>煤价、产量、分红、一体化</x:v>
      </x:c>
      <x:c r="G10" s="95" t="str">
        <x:v>煤价下行、政策、能源转型</x:v>
      </x:c>
      <x:c r="H10" s="95" t="str">
        <x:v>兖矿能源等</x:v>
      </x:c>
      <x:c r="I10" s="95" t="str">
        <x:v>单位成本、煤价、自由现金流</x:v>
      </x:c>
      <x:c r="J10" s="95" t="str">
        <x:v>周期资产里寻找低成本+高回报</x:v>
      </x:c>
      <x:c r="K10" s="95" t="str">
        <x:v>成本优势消失或资本配置恶化</x:v>
      </x:c>
      <x:c r="L10" s="126"/>
      <x:c r="M10" s="86" t="str">
        <x:v>普通</x:v>
      </x:c>
      <x:c r="N10" s="86"/>
      <x:c r="O10" s="86"/>
      <x:c r="P10" s="86"/>
      <x:c r="Q10" s="86"/>
      <x:c r="R10" s="86"/>
      <x:c r="S10" s="86"/>
      <x:c r="T10" s="86"/>
      <x:c r="U10" s="86"/>
      <x:c r="V10" s="86"/>
      <x:c r="W10" s="86"/>
      <x:c r="X10" s="86"/>
      <x:c r="Y10" s="86"/>
      <x:c r="Z10" s="86"/>
    </x:row>
    <x:row r="11">
      <x:c r="A11" s="86" t="str">
        <x:v>600690</x:v>
      </x:c>
      <x:c r="B11" s="86" t="str">
        <x:v>海尔智家</x:v>
      </x:c>
      <x:c r="C11" s="95" t="str">
        <x:v>全球家电</x:v>
      </x:c>
      <x:c r="D11" s="95" t="str">
        <x:v>品牌、渠道、本地化运营</x:v>
      </x:c>
      <x:c r="E11" s="95" t="str">
        <x:v>全球化能力与高端品牌</x:v>
      </x:c>
      <x:c r="F11" s="95" t="str">
        <x:v>海外份额、卡萨帝、效率</x:v>
      </x:c>
      <x:c r="G11" s="95" t="str">
        <x:v>海外需求、汇率、竞争</x:v>
      </x:c>
      <x:c r="H11" s="95" t="str">
        <x:v>美的/三星/LG等</x:v>
      </x:c>
      <x:c r="I11" s="95" t="str">
        <x:v>海外收入、利润率、ROIC</x:v>
      </x:c>
      <x:c r="J11" s="95" t="str">
        <x:v>全球家电平台型公司</x:v>
      </x:c>
      <x:c r="K11" s="95" t="str">
        <x:v>海外竞争力明显下降</x:v>
      </x:c>
      <x:c r="L11" s="126"/>
      <x:c r="M11" s="86" t="str">
        <x:v>普通</x:v>
      </x:c>
      <x:c r="N11" s="86"/>
      <x:c r="O11" s="86"/>
      <x:c r="P11" s="86"/>
      <x:c r="Q11" s="86"/>
      <x:c r="R11" s="86"/>
      <x:c r="S11" s="86"/>
      <x:c r="T11" s="86"/>
      <x:c r="U11" s="86"/>
      <x:c r="V11" s="86"/>
      <x:c r="W11" s="86"/>
      <x:c r="X11" s="86"/>
      <x:c r="Y11" s="86"/>
      <x:c r="Z11" s="86"/>
    </x:row>
    <x:row r="12">
      <x:c r="A12" s="86" t="str">
        <x:v>300750</x:v>
      </x:c>
      <x:c r="B12" s="86" t="str">
        <x:v>宁德时代</x:v>
      </x:c>
      <x:c r="C12" s="95" t="str">
        <x:v>动力/储能电池</x:v>
      </x:c>
      <x:c r="D12" s="95" t="str">
        <x:v>规模、技术、客户、成本</x:v>
      </x:c>
      <x:c r="E12" s="95" t="str">
        <x:v>成长价值型核心资产样例</x:v>
      </x:c>
      <x:c r="F12" s="95" t="str">
        <x:v>储能、海外、技术迭代</x:v>
      </x:c>
      <x:c r="G12" s="95" t="str">
        <x:v>价格战、技术路线、海外政策</x:v>
      </x:c>
      <x:c r="H12" s="95" t="str">
        <x:v>比亚迪/亿纬锂能等</x:v>
      </x:c>
      <x:c r="I12" s="95" t="str">
        <x:v>出货量、单位盈利、现金流</x:v>
      </x:c>
      <x:c r="J12" s="95" t="str">
        <x:v>高成长龙头但要求更高安全边际</x:v>
      </x:c>
      <x:c r="K12" s="95" t="str">
        <x:v>技术/成本优势显著丧失</x:v>
      </x:c>
      <x:c r="L12" s="126"/>
      <x:c r="M12" s="86" t="str">
        <x:v>重点</x:v>
      </x:c>
      <x:c r="N12" s="86"/>
      <x:c r="O12" s="86"/>
      <x:c r="P12" s="86"/>
      <x:c r="Q12" s="86"/>
      <x:c r="R12" s="86"/>
      <x:c r="S12" s="86"/>
      <x:c r="T12" s="86"/>
      <x:c r="U12" s="86"/>
      <x:c r="V12" s="86"/>
      <x:c r="W12" s="86"/>
      <x:c r="X12" s="86"/>
      <x:c r="Y12" s="86"/>
      <x:c r="Z12" s="86"/>
    </x:row>
    <x:row r="13">
      <x:c r="A13" s="86" t="str">
        <x:v>600887</x:v>
      </x:c>
      <x:c r="B13" s="86" t="str">
        <x:v>伊利股份</x:v>
      </x:c>
      <x:c r="C13" s="95" t="str">
        <x:v>乳制品</x:v>
      </x:c>
      <x:c r="D13" s="95" t="str">
        <x:v>渠道、品牌、供应链</x:v>
      </x:c>
      <x:c r="E13" s="95" t="str">
        <x:v>消费稳定型现金流研究样例</x:v>
      </x:c>
      <x:c r="F13" s="95" t="str">
        <x:v>品类升级、渠道效率</x:v>
      </x:c>
      <x:c r="G13" s="95" t="str">
        <x:v>需求疲弱、原奶周期、竞争</x:v>
      </x:c>
      <x:c r="H13" s="95" t="str">
        <x:v>蒙牛乳业等</x:v>
      </x:c>
      <x:c r="I13" s="95" t="str">
        <x:v>收入增速、毛利率、现金流</x:v>
      </x:c>
      <x:c r="J13" s="95" t="str">
        <x:v>稳定消费龙头的估值修复</x:v>
      </x:c>
      <x:c r="K13" s="95" t="str">
        <x:v>品牌份额和盈利能力持续下滑</x:v>
      </x:c>
      <x:c r="L13" s="126"/>
      <x:c r="M13" s="86" t="str">
        <x:v>普通</x:v>
      </x:c>
      <x:c r="N13" s="86"/>
      <x:c r="O13" s="86"/>
      <x:c r="P13" s="86"/>
      <x:c r="Q13" s="86"/>
      <x:c r="R13" s="86"/>
      <x:c r="S13" s="86"/>
      <x:c r="T13" s="86"/>
      <x:c r="U13" s="86"/>
      <x:c r="V13" s="86"/>
      <x:c r="W13" s="86"/>
      <x:c r="X13" s="86"/>
      <x:c r="Y13" s="86"/>
      <x:c r="Z13" s="86"/>
    </x:row>
    <x:row r="14">
      <x:c r="A14" s="86"/>
      <x:c r="B14" s="86"/>
      <x:c r="C14" s="95"/>
      <x:c r="D14" s="95"/>
      <x:c r="E14" s="95"/>
      <x:c r="F14" s="95"/>
      <x:c r="G14" s="95"/>
      <x:c r="H14" s="95"/>
      <x:c r="I14" s="95"/>
      <x:c r="J14" s="95"/>
      <x:c r="K14" s="95"/>
      <x:c r="L14" s="126"/>
      <x:c r="M14" s="86"/>
      <x:c r="N14" s="86"/>
      <x:c r="O14" s="86"/>
      <x:c r="P14" s="86"/>
      <x:c r="Q14" s="86"/>
      <x:c r="R14" s="86"/>
      <x:c r="S14" s="86"/>
      <x:c r="T14" s="86"/>
      <x:c r="U14" s="86"/>
      <x:c r="V14" s="86"/>
      <x:c r="W14" s="86"/>
      <x:c r="X14" s="86"/>
      <x:c r="Y14" s="86"/>
      <x:c r="Z14" s="86"/>
    </x:row>
    <x:row r="15">
      <x:c r="A15" s="86"/>
      <x:c r="B15" s="86"/>
      <x:c r="C15" s="95"/>
      <x:c r="D15" s="95"/>
      <x:c r="E15" s="95"/>
      <x:c r="F15" s="95"/>
      <x:c r="G15" s="95"/>
      <x:c r="H15" s="95"/>
      <x:c r="I15" s="95"/>
      <x:c r="J15" s="95"/>
      <x:c r="K15" s="95"/>
      <x:c r="L15" s="126"/>
      <x:c r="M15" s="86"/>
      <x:c r="N15" s="86"/>
      <x:c r="O15" s="86"/>
      <x:c r="P15" s="86"/>
      <x:c r="Q15" s="86"/>
      <x:c r="R15" s="86"/>
      <x:c r="S15" s="86"/>
      <x:c r="T15" s="86"/>
      <x:c r="U15" s="86"/>
      <x:c r="V15" s="86"/>
      <x:c r="W15" s="86"/>
      <x:c r="X15" s="86"/>
      <x:c r="Y15" s="86"/>
      <x:c r="Z15" s="86"/>
    </x:row>
    <x:row r="16">
      <x:c r="A16" s="86"/>
      <x:c r="B16" s="86"/>
      <x:c r="C16" s="95"/>
      <x:c r="D16" s="95"/>
      <x:c r="E16" s="95"/>
      <x:c r="F16" s="95"/>
      <x:c r="G16" s="95"/>
      <x:c r="H16" s="95"/>
      <x:c r="I16" s="95"/>
      <x:c r="J16" s="95"/>
      <x:c r="K16" s="95"/>
      <x:c r="L16" s="126"/>
      <x:c r="M16" s="86"/>
      <x:c r="N16" s="86"/>
      <x:c r="O16" s="86"/>
      <x:c r="P16" s="86"/>
      <x:c r="Q16" s="86"/>
      <x:c r="R16" s="86"/>
      <x:c r="S16" s="86"/>
      <x:c r="T16" s="86"/>
      <x:c r="U16" s="86"/>
      <x:c r="V16" s="86"/>
      <x:c r="W16" s="86"/>
      <x:c r="X16" s="86"/>
      <x:c r="Y16" s="86"/>
      <x:c r="Z16" s="86"/>
    </x:row>
    <x:row r="17">
      <x:c r="A17" s="86"/>
      <x:c r="B17" s="86"/>
      <x:c r="C17" s="95"/>
      <x:c r="D17" s="95"/>
      <x:c r="E17" s="95"/>
      <x:c r="F17" s="95"/>
      <x:c r="G17" s="95"/>
      <x:c r="H17" s="95"/>
      <x:c r="I17" s="95"/>
      <x:c r="J17" s="95"/>
      <x:c r="K17" s="95"/>
      <x:c r="L17" s="126"/>
      <x:c r="M17" s="86"/>
      <x:c r="N17" s="86"/>
      <x:c r="O17" s="86"/>
      <x:c r="P17" s="86"/>
      <x:c r="Q17" s="86"/>
      <x:c r="R17" s="86"/>
      <x:c r="S17" s="86"/>
      <x:c r="T17" s="86"/>
      <x:c r="U17" s="86"/>
      <x:c r="V17" s="86"/>
      <x:c r="W17" s="86"/>
      <x:c r="X17" s="86"/>
      <x:c r="Y17" s="86"/>
      <x:c r="Z17" s="86"/>
    </x:row>
    <x:row r="18">
      <x:c r="A18" s="86"/>
      <x:c r="B18" s="86"/>
      <x:c r="C18" s="95"/>
      <x:c r="D18" s="95"/>
      <x:c r="E18" s="95"/>
      <x:c r="F18" s="95"/>
      <x:c r="G18" s="95"/>
      <x:c r="H18" s="95"/>
      <x:c r="I18" s="95"/>
      <x:c r="J18" s="95"/>
      <x:c r="K18" s="95"/>
      <x:c r="L18" s="126"/>
      <x:c r="M18" s="86"/>
      <x:c r="N18" s="86"/>
      <x:c r="O18" s="86"/>
      <x:c r="P18" s="86"/>
      <x:c r="Q18" s="86"/>
      <x:c r="R18" s="86"/>
      <x:c r="S18" s="86"/>
      <x:c r="T18" s="86"/>
      <x:c r="U18" s="86"/>
      <x:c r="V18" s="86"/>
      <x:c r="W18" s="86"/>
      <x:c r="X18" s="86"/>
      <x:c r="Y18" s="86"/>
      <x:c r="Z18" s="86"/>
    </x:row>
    <x:row r="19">
      <x:c r="A19" s="86"/>
      <x:c r="B19" s="86"/>
      <x:c r="C19" s="95"/>
      <x:c r="D19" s="95"/>
      <x:c r="E19" s="95"/>
      <x:c r="F19" s="95"/>
      <x:c r="G19" s="95"/>
      <x:c r="H19" s="95"/>
      <x:c r="I19" s="95"/>
      <x:c r="J19" s="95"/>
      <x:c r="K19" s="95"/>
      <x:c r="L19" s="126"/>
      <x:c r="M19" s="86"/>
      <x:c r="N19" s="86"/>
      <x:c r="O19" s="86"/>
      <x:c r="P19" s="86"/>
      <x:c r="Q19" s="86"/>
      <x:c r="R19" s="86"/>
      <x:c r="S19" s="86"/>
      <x:c r="T19" s="86"/>
      <x:c r="U19" s="86"/>
      <x:c r="V19" s="86"/>
      <x:c r="W19" s="86"/>
      <x:c r="X19" s="86"/>
      <x:c r="Y19" s="86"/>
      <x:c r="Z19" s="86"/>
    </x:row>
    <x:row r="20">
      <x:c r="A20" s="86"/>
      <x:c r="B20" s="86"/>
      <x:c r="C20" s="95"/>
      <x:c r="D20" s="95"/>
      <x:c r="E20" s="95"/>
      <x:c r="F20" s="95"/>
      <x:c r="G20" s="95"/>
      <x:c r="H20" s="95"/>
      <x:c r="I20" s="95"/>
      <x:c r="J20" s="95"/>
      <x:c r="K20" s="95"/>
      <x:c r="L20" s="126"/>
      <x:c r="M20" s="86"/>
      <x:c r="N20" s="86"/>
      <x:c r="O20" s="86"/>
      <x:c r="P20" s="86"/>
      <x:c r="Q20" s="86"/>
      <x:c r="R20" s="86"/>
      <x:c r="S20" s="86"/>
      <x:c r="T20" s="86"/>
      <x:c r="U20" s="86"/>
      <x:c r="V20" s="86"/>
      <x:c r="W20" s="86"/>
      <x:c r="X20" s="86"/>
      <x:c r="Y20" s="86"/>
      <x:c r="Z20" s="86"/>
    </x:row>
    <x:row r="21">
      <x:c r="A21" s="86"/>
      <x:c r="B21" s="86"/>
      <x:c r="C21" s="95"/>
      <x:c r="D21" s="95"/>
      <x:c r="E21" s="95"/>
      <x:c r="F21" s="95"/>
      <x:c r="G21" s="95"/>
      <x:c r="H21" s="95"/>
      <x:c r="I21" s="95"/>
      <x:c r="J21" s="95"/>
      <x:c r="K21" s="95"/>
      <x:c r="L21" s="126"/>
      <x:c r="M21" s="86"/>
      <x:c r="N21" s="86"/>
      <x:c r="O21" s="86"/>
      <x:c r="P21" s="86"/>
      <x:c r="Q21" s="86"/>
      <x:c r="R21" s="86"/>
      <x:c r="S21" s="86"/>
      <x:c r="T21" s="86"/>
      <x:c r="U21" s="86"/>
      <x:c r="V21" s="86"/>
      <x:c r="W21" s="86"/>
      <x:c r="X21" s="86"/>
      <x:c r="Y21" s="86"/>
      <x:c r="Z21" s="86"/>
    </x:row>
    <x:row r="22">
      <x:c r="A22" s="86"/>
      <x:c r="B22" s="86"/>
      <x:c r="C22" s="95"/>
      <x:c r="D22" s="95"/>
      <x:c r="E22" s="95"/>
      <x:c r="F22" s="95"/>
      <x:c r="G22" s="95"/>
      <x:c r="H22" s="95"/>
      <x:c r="I22" s="95"/>
      <x:c r="J22" s="95"/>
      <x:c r="K22" s="95"/>
      <x:c r="L22" s="126"/>
      <x:c r="M22" s="86"/>
      <x:c r="N22" s="86"/>
      <x:c r="O22" s="86"/>
      <x:c r="P22" s="86"/>
      <x:c r="Q22" s="86"/>
      <x:c r="R22" s="86"/>
      <x:c r="S22" s="86"/>
      <x:c r="T22" s="86"/>
      <x:c r="U22" s="86"/>
      <x:c r="V22" s="86"/>
      <x:c r="W22" s="86"/>
      <x:c r="X22" s="86"/>
      <x:c r="Y22" s="86"/>
      <x:c r="Z22" s="86"/>
    </x:row>
    <x:row r="23">
      <x:c r="A23" s="86"/>
      <x:c r="B23" s="86"/>
      <x:c r="C23" s="95"/>
      <x:c r="D23" s="95"/>
      <x:c r="E23" s="95"/>
      <x:c r="F23" s="95"/>
      <x:c r="G23" s="95"/>
      <x:c r="H23" s="95"/>
      <x:c r="I23" s="95"/>
      <x:c r="J23" s="95"/>
      <x:c r="K23" s="95"/>
      <x:c r="L23" s="126"/>
      <x:c r="M23" s="86"/>
      <x:c r="N23" s="86"/>
      <x:c r="O23" s="86"/>
      <x:c r="P23" s="86"/>
      <x:c r="Q23" s="86"/>
      <x:c r="R23" s="86"/>
      <x:c r="S23" s="86"/>
      <x:c r="T23" s="86"/>
      <x:c r="U23" s="86"/>
      <x:c r="V23" s="86"/>
      <x:c r="W23" s="86"/>
      <x:c r="X23" s="86"/>
      <x:c r="Y23" s="86"/>
      <x:c r="Z23" s="86"/>
    </x:row>
    <x:row r="24">
      <x:c r="A24" s="86"/>
      <x:c r="B24" s="86"/>
      <x:c r="C24" s="95"/>
      <x:c r="D24" s="95"/>
      <x:c r="E24" s="95"/>
      <x:c r="F24" s="95"/>
      <x:c r="G24" s="95"/>
      <x:c r="H24" s="95"/>
      <x:c r="I24" s="95"/>
      <x:c r="J24" s="95"/>
      <x:c r="K24" s="95"/>
      <x:c r="L24" s="126"/>
      <x:c r="M24" s="86"/>
      <x:c r="N24" s="86"/>
      <x:c r="O24" s="86"/>
      <x:c r="P24" s="86"/>
      <x:c r="Q24" s="86"/>
      <x:c r="R24" s="86"/>
      <x:c r="S24" s="86"/>
      <x:c r="T24" s="86"/>
      <x:c r="U24" s="86"/>
      <x:c r="V24" s="86"/>
      <x:c r="W24" s="86"/>
      <x:c r="X24" s="86"/>
      <x:c r="Y24" s="86"/>
      <x:c r="Z24" s="86"/>
    </x:row>
    <x:row r="25">
      <x:c r="A25" s="86"/>
      <x:c r="B25" s="86"/>
      <x:c r="C25" s="95"/>
      <x:c r="D25" s="95"/>
      <x:c r="E25" s="95"/>
      <x:c r="F25" s="95"/>
      <x:c r="G25" s="95"/>
      <x:c r="H25" s="95"/>
      <x:c r="I25" s="95"/>
      <x:c r="J25" s="95"/>
      <x:c r="K25" s="95"/>
      <x:c r="L25" s="126"/>
      <x:c r="M25" s="86"/>
      <x:c r="N25" s="86"/>
      <x:c r="O25" s="86"/>
      <x:c r="P25" s="86"/>
      <x:c r="Q25" s="86"/>
      <x:c r="R25" s="86"/>
      <x:c r="S25" s="86"/>
      <x:c r="T25" s="86"/>
      <x:c r="U25" s="86"/>
      <x:c r="V25" s="86"/>
      <x:c r="W25" s="86"/>
      <x:c r="X25" s="86"/>
      <x:c r="Y25" s="86"/>
      <x:c r="Z25" s="86"/>
    </x:row>
    <x:row r="26">
      <x:c r="A26" s="86"/>
      <x:c r="B26" s="86"/>
      <x:c r="C26" s="95"/>
      <x:c r="D26" s="95"/>
      <x:c r="E26" s="95"/>
      <x:c r="F26" s="95"/>
      <x:c r="G26" s="95"/>
      <x:c r="H26" s="95"/>
      <x:c r="I26" s="95"/>
      <x:c r="J26" s="95"/>
      <x:c r="K26" s="95"/>
      <x:c r="L26" s="126"/>
      <x:c r="M26" s="86"/>
      <x:c r="N26" s="86"/>
      <x:c r="O26" s="86"/>
      <x:c r="P26" s="86"/>
      <x:c r="Q26" s="86"/>
      <x:c r="R26" s="86"/>
      <x:c r="S26" s="86"/>
      <x:c r="T26" s="86"/>
      <x:c r="U26" s="86"/>
      <x:c r="V26" s="86"/>
      <x:c r="W26" s="86"/>
      <x:c r="X26" s="86"/>
      <x:c r="Y26" s="86"/>
      <x:c r="Z26" s="86"/>
    </x:row>
    <x:row r="27">
      <x:c r="A27" s="86"/>
      <x:c r="B27" s="86"/>
      <x:c r="C27" s="95"/>
      <x:c r="D27" s="95"/>
      <x:c r="E27" s="95"/>
      <x:c r="F27" s="95"/>
      <x:c r="G27" s="95"/>
      <x:c r="H27" s="95"/>
      <x:c r="I27" s="95"/>
      <x:c r="J27" s="95"/>
      <x:c r="K27" s="95"/>
      <x:c r="L27" s="126"/>
      <x:c r="M27" s="86"/>
      <x:c r="N27" s="86"/>
      <x:c r="O27" s="86"/>
      <x:c r="P27" s="86"/>
      <x:c r="Q27" s="86"/>
      <x:c r="R27" s="86"/>
      <x:c r="S27" s="86"/>
      <x:c r="T27" s="86"/>
      <x:c r="U27" s="86"/>
      <x:c r="V27" s="86"/>
      <x:c r="W27" s="86"/>
      <x:c r="X27" s="86"/>
      <x:c r="Y27" s="86"/>
      <x:c r="Z27" s="86"/>
    </x:row>
    <x:row r="28">
      <x:c r="A28" s="86"/>
      <x:c r="B28" s="86"/>
      <x:c r="C28" s="95"/>
      <x:c r="D28" s="95"/>
      <x:c r="E28" s="95"/>
      <x:c r="F28" s="95"/>
      <x:c r="G28" s="95"/>
      <x:c r="H28" s="95"/>
      <x:c r="I28" s="95"/>
      <x:c r="J28" s="95"/>
      <x:c r="K28" s="95"/>
      <x:c r="L28" s="126"/>
      <x:c r="M28" s="86"/>
      <x:c r="N28" s="86"/>
      <x:c r="O28" s="86"/>
      <x:c r="P28" s="86"/>
      <x:c r="Q28" s="86"/>
      <x:c r="R28" s="86"/>
      <x:c r="S28" s="86"/>
      <x:c r="T28" s="86"/>
      <x:c r="U28" s="86"/>
      <x:c r="V28" s="86"/>
      <x:c r="W28" s="86"/>
      <x:c r="X28" s="86"/>
      <x:c r="Y28" s="86"/>
      <x:c r="Z28" s="86"/>
    </x:row>
    <x:row r="29">
      <x:c r="A29" s="86"/>
      <x:c r="B29" s="86"/>
      <x:c r="C29" s="95"/>
      <x:c r="D29" s="95"/>
      <x:c r="E29" s="95"/>
      <x:c r="F29" s="95"/>
      <x:c r="G29" s="95"/>
      <x:c r="H29" s="95"/>
      <x:c r="I29" s="95"/>
      <x:c r="J29" s="95"/>
      <x:c r="K29" s="95"/>
      <x:c r="L29" s="126"/>
      <x:c r="M29" s="86"/>
      <x:c r="N29" s="86"/>
      <x:c r="O29" s="86"/>
      <x:c r="P29" s="86"/>
      <x:c r="Q29" s="86"/>
      <x:c r="R29" s="86"/>
      <x:c r="S29" s="86"/>
      <x:c r="T29" s="86"/>
      <x:c r="U29" s="86"/>
      <x:c r="V29" s="86"/>
      <x:c r="W29" s="86"/>
      <x:c r="X29" s="86"/>
      <x:c r="Y29" s="86"/>
      <x:c r="Z29" s="86"/>
    </x:row>
    <x:row r="30">
      <x:c r="A30" s="86"/>
      <x:c r="B30" s="86"/>
      <x:c r="C30" s="95"/>
      <x:c r="D30" s="95"/>
      <x:c r="E30" s="95"/>
      <x:c r="F30" s="95"/>
      <x:c r="G30" s="95"/>
      <x:c r="H30" s="95"/>
      <x:c r="I30" s="95"/>
      <x:c r="J30" s="95"/>
      <x:c r="K30" s="95"/>
      <x:c r="L30" s="126"/>
      <x:c r="M30" s="86"/>
      <x:c r="N30" s="86"/>
      <x:c r="O30" s="86"/>
      <x:c r="P30" s="86"/>
      <x:c r="Q30" s="86"/>
      <x:c r="R30" s="86"/>
      <x:c r="S30" s="86"/>
      <x:c r="T30" s="86"/>
      <x:c r="U30" s="86"/>
      <x:c r="V30" s="86"/>
      <x:c r="W30" s="86"/>
      <x:c r="X30" s="86"/>
      <x:c r="Y30" s="86"/>
      <x:c r="Z30" s="86"/>
    </x:row>
    <x:row r="31">
      <x:c r="A31" s="86"/>
      <x:c r="B31" s="86"/>
      <x:c r="C31" s="95"/>
      <x:c r="D31" s="95"/>
      <x:c r="E31" s="95"/>
      <x:c r="F31" s="95"/>
      <x:c r="G31" s="95"/>
      <x:c r="H31" s="95"/>
      <x:c r="I31" s="95"/>
      <x:c r="J31" s="95"/>
      <x:c r="K31" s="95"/>
      <x:c r="L31" s="126"/>
      <x:c r="M31" s="86"/>
      <x:c r="N31" s="86"/>
      <x:c r="O31" s="86"/>
      <x:c r="P31" s="86"/>
      <x:c r="Q31" s="86"/>
      <x:c r="R31" s="86"/>
      <x:c r="S31" s="86"/>
      <x:c r="T31" s="86"/>
      <x:c r="U31" s="86"/>
      <x:c r="V31" s="86"/>
      <x:c r="W31" s="86"/>
      <x:c r="X31" s="86"/>
      <x:c r="Y31" s="86"/>
      <x:c r="Z31" s="86"/>
    </x:row>
    <x:row r="32">
      <x:c r="A32" s="86"/>
      <x:c r="B32" s="86"/>
      <x:c r="C32" s="95"/>
      <x:c r="D32" s="95"/>
      <x:c r="E32" s="95"/>
      <x:c r="F32" s="95"/>
      <x:c r="G32" s="95"/>
      <x:c r="H32" s="95"/>
      <x:c r="I32" s="95"/>
      <x:c r="J32" s="95"/>
      <x:c r="K32" s="95"/>
      <x:c r="L32" s="126"/>
      <x:c r="M32" s="86"/>
      <x:c r="N32" s="86"/>
      <x:c r="O32" s="86"/>
      <x:c r="P32" s="86"/>
      <x:c r="Q32" s="86"/>
      <x:c r="R32" s="86"/>
      <x:c r="S32" s="86"/>
      <x:c r="T32" s="86"/>
      <x:c r="U32" s="86"/>
      <x:c r="V32" s="86"/>
      <x:c r="W32" s="86"/>
      <x:c r="X32" s="86"/>
      <x:c r="Y32" s="86"/>
      <x:c r="Z32" s="86"/>
    </x:row>
    <x:row r="33">
      <x:c r="A33" s="86"/>
      <x:c r="B33" s="86"/>
      <x:c r="C33" s="95"/>
      <x:c r="D33" s="95"/>
      <x:c r="E33" s="95"/>
      <x:c r="F33" s="95"/>
      <x:c r="G33" s="95"/>
      <x:c r="H33" s="95"/>
      <x:c r="I33" s="95"/>
      <x:c r="J33" s="95"/>
      <x:c r="K33" s="95"/>
      <x:c r="L33" s="126"/>
      <x:c r="M33" s="86"/>
      <x:c r="N33" s="86"/>
      <x:c r="O33" s="86"/>
      <x:c r="P33" s="86"/>
      <x:c r="Q33" s="86"/>
      <x:c r="R33" s="86"/>
      <x:c r="S33" s="86"/>
      <x:c r="T33" s="86"/>
      <x:c r="U33" s="86"/>
      <x:c r="V33" s="86"/>
      <x:c r="W33" s="86"/>
      <x:c r="X33" s="86"/>
      <x:c r="Y33" s="86"/>
      <x:c r="Z33" s="86"/>
    </x:row>
    <x:row r="34">
      <x:c r="A34" s="86"/>
      <x:c r="B34" s="86"/>
      <x:c r="C34" s="95"/>
      <x:c r="D34" s="95"/>
      <x:c r="E34" s="95"/>
      <x:c r="F34" s="95"/>
      <x:c r="G34" s="95"/>
      <x:c r="H34" s="95"/>
      <x:c r="I34" s="95"/>
      <x:c r="J34" s="95"/>
      <x:c r="K34" s="95"/>
      <x:c r="L34" s="126"/>
      <x:c r="M34" s="86"/>
      <x:c r="N34" s="86"/>
      <x:c r="O34" s="86"/>
      <x:c r="P34" s="86"/>
      <x:c r="Q34" s="86"/>
      <x:c r="R34" s="86"/>
      <x:c r="S34" s="86"/>
      <x:c r="T34" s="86"/>
      <x:c r="U34" s="86"/>
      <x:c r="V34" s="86"/>
      <x:c r="W34" s="86"/>
      <x:c r="X34" s="86"/>
      <x:c r="Y34" s="86"/>
      <x:c r="Z34" s="86"/>
    </x:row>
    <x:row r="35">
      <x:c r="A35" s="86"/>
      <x:c r="B35" s="86"/>
      <x:c r="C35" s="95"/>
      <x:c r="D35" s="95"/>
      <x:c r="E35" s="95"/>
      <x:c r="F35" s="95"/>
      <x:c r="G35" s="95"/>
      <x:c r="H35" s="95"/>
      <x:c r="I35" s="95"/>
      <x:c r="J35" s="95"/>
      <x:c r="K35" s="95"/>
      <x:c r="L35" s="126"/>
      <x:c r="M35" s="86"/>
      <x:c r="N35" s="86"/>
      <x:c r="O35" s="86"/>
      <x:c r="P35" s="86"/>
      <x:c r="Q35" s="86"/>
      <x:c r="R35" s="86"/>
      <x:c r="S35" s="86"/>
      <x:c r="T35" s="86"/>
      <x:c r="U35" s="86"/>
      <x:c r="V35" s="86"/>
      <x:c r="W35" s="86"/>
      <x:c r="X35" s="86"/>
      <x:c r="Y35" s="86"/>
      <x:c r="Z35" s="86"/>
    </x:row>
    <x:row r="36">
      <x:c r="A36" s="86"/>
      <x:c r="B36" s="86"/>
      <x:c r="C36" s="95"/>
      <x:c r="D36" s="95"/>
      <x:c r="E36" s="95"/>
      <x:c r="F36" s="95"/>
      <x:c r="G36" s="95"/>
      <x:c r="H36" s="95"/>
      <x:c r="I36" s="95"/>
      <x:c r="J36" s="95"/>
      <x:c r="K36" s="95"/>
      <x:c r="L36" s="126"/>
      <x:c r="M36" s="86"/>
      <x:c r="N36" s="86"/>
      <x:c r="O36" s="86"/>
      <x:c r="P36" s="86"/>
      <x:c r="Q36" s="86"/>
      <x:c r="R36" s="86"/>
      <x:c r="S36" s="86"/>
      <x:c r="T36" s="86"/>
      <x:c r="U36" s="86"/>
      <x:c r="V36" s="86"/>
      <x:c r="W36" s="86"/>
      <x:c r="X36" s="86"/>
      <x:c r="Y36" s="86"/>
      <x:c r="Z36" s="86"/>
    </x:row>
    <x:row r="37">
      <x:c r="A37" s="86"/>
      <x:c r="B37" s="86"/>
      <x:c r="C37" s="95"/>
      <x:c r="D37" s="95"/>
      <x:c r="E37" s="95"/>
      <x:c r="F37" s="95"/>
      <x:c r="G37" s="95"/>
      <x:c r="H37" s="95"/>
      <x:c r="I37" s="95"/>
      <x:c r="J37" s="95"/>
      <x:c r="K37" s="95"/>
      <x:c r="L37" s="126"/>
      <x:c r="M37" s="86"/>
      <x:c r="N37" s="86"/>
      <x:c r="O37" s="86"/>
      <x:c r="P37" s="86"/>
      <x:c r="Q37" s="86"/>
      <x:c r="R37" s="86"/>
      <x:c r="S37" s="86"/>
      <x:c r="T37" s="86"/>
      <x:c r="U37" s="86"/>
      <x:c r="V37" s="86"/>
      <x:c r="W37" s="86"/>
      <x:c r="X37" s="86"/>
      <x:c r="Y37" s="86"/>
      <x:c r="Z37" s="86"/>
    </x:row>
    <x:row r="38">
      <x:c r="A38" s="86"/>
      <x:c r="B38" s="86"/>
      <x:c r="C38" s="95"/>
      <x:c r="D38" s="95"/>
      <x:c r="E38" s="95"/>
      <x:c r="F38" s="95"/>
      <x:c r="G38" s="95"/>
      <x:c r="H38" s="95"/>
      <x:c r="I38" s="95"/>
      <x:c r="J38" s="95"/>
      <x:c r="K38" s="95"/>
      <x:c r="L38" s="126"/>
      <x:c r="M38" s="86"/>
      <x:c r="N38" s="86"/>
      <x:c r="O38" s="86"/>
      <x:c r="P38" s="86"/>
      <x:c r="Q38" s="86"/>
      <x:c r="R38" s="86"/>
      <x:c r="S38" s="86"/>
      <x:c r="T38" s="86"/>
      <x:c r="U38" s="86"/>
      <x:c r="V38" s="86"/>
      <x:c r="W38" s="86"/>
      <x:c r="X38" s="86"/>
      <x:c r="Y38" s="86"/>
      <x:c r="Z38" s="86"/>
    </x:row>
    <x:row r="39">
      <x:c r="A39" s="86"/>
      <x:c r="B39" s="86"/>
      <x:c r="C39" s="95"/>
      <x:c r="D39" s="95"/>
      <x:c r="E39" s="95"/>
      <x:c r="F39" s="95"/>
      <x:c r="G39" s="95"/>
      <x:c r="H39" s="95"/>
      <x:c r="I39" s="95"/>
      <x:c r="J39" s="95"/>
      <x:c r="K39" s="95"/>
      <x:c r="L39" s="126"/>
      <x:c r="M39" s="86"/>
      <x:c r="N39" s="86"/>
      <x:c r="O39" s="86"/>
      <x:c r="P39" s="86"/>
      <x:c r="Q39" s="86"/>
      <x:c r="R39" s="86"/>
      <x:c r="S39" s="86"/>
      <x:c r="T39" s="86"/>
      <x:c r="U39" s="86"/>
      <x:c r="V39" s="86"/>
      <x:c r="W39" s="86"/>
      <x:c r="X39" s="86"/>
      <x:c r="Y39" s="86"/>
      <x:c r="Z39" s="86"/>
    </x:row>
    <x:row r="40">
      <x:c r="A40" s="86"/>
      <x:c r="B40" s="86"/>
      <x:c r="C40" s="95"/>
      <x:c r="D40" s="95"/>
      <x:c r="E40" s="95"/>
      <x:c r="F40" s="95"/>
      <x:c r="G40" s="95"/>
      <x:c r="H40" s="95"/>
      <x:c r="I40" s="95"/>
      <x:c r="J40" s="95"/>
      <x:c r="K40" s="95"/>
      <x:c r="L40" s="126"/>
      <x:c r="M40" s="86"/>
      <x:c r="N40" s="86"/>
      <x:c r="O40" s="86"/>
      <x:c r="P40" s="86"/>
      <x:c r="Q40" s="86"/>
      <x:c r="R40" s="86"/>
      <x:c r="S40" s="86"/>
      <x:c r="T40" s="86"/>
      <x:c r="U40" s="86"/>
      <x:c r="V40" s="86"/>
      <x:c r="W40" s="86"/>
      <x:c r="X40" s="86"/>
      <x:c r="Y40" s="86"/>
      <x:c r="Z40" s="86"/>
    </x:row>
    <x:row r="41">
      <x:c r="A41" s="86"/>
      <x:c r="B41" s="86"/>
      <x:c r="C41" s="95"/>
      <x:c r="D41" s="95"/>
      <x:c r="E41" s="95"/>
      <x:c r="F41" s="95"/>
      <x:c r="G41" s="95"/>
      <x:c r="H41" s="95"/>
      <x:c r="I41" s="95"/>
      <x:c r="J41" s="95"/>
      <x:c r="K41" s="95"/>
      <x:c r="L41" s="126"/>
      <x:c r="M41" s="86"/>
      <x:c r="N41" s="86"/>
      <x:c r="O41" s="86"/>
      <x:c r="P41" s="86"/>
      <x:c r="Q41" s="86"/>
      <x:c r="R41" s="86"/>
      <x:c r="S41" s="86"/>
      <x:c r="T41" s="86"/>
      <x:c r="U41" s="86"/>
      <x:c r="V41" s="86"/>
      <x:c r="W41" s="86"/>
      <x:c r="X41" s="86"/>
      <x:c r="Y41" s="86"/>
      <x:c r="Z41" s="86"/>
    </x:row>
    <x:row r="42">
      <x:c r="A42" s="86"/>
      <x:c r="B42" s="86"/>
      <x:c r="C42" s="95"/>
      <x:c r="D42" s="95"/>
      <x:c r="E42" s="95"/>
      <x:c r="F42" s="95"/>
      <x:c r="G42" s="95"/>
      <x:c r="H42" s="95"/>
      <x:c r="I42" s="95"/>
      <x:c r="J42" s="95"/>
      <x:c r="K42" s="95"/>
      <x:c r="L42" s="126"/>
      <x:c r="M42" s="86"/>
      <x:c r="N42" s="86"/>
      <x:c r="O42" s="86"/>
      <x:c r="P42" s="86"/>
      <x:c r="Q42" s="86"/>
      <x:c r="R42" s="86"/>
      <x:c r="S42" s="86"/>
      <x:c r="T42" s="86"/>
      <x:c r="U42" s="86"/>
      <x:c r="V42" s="86"/>
      <x:c r="W42" s="86"/>
      <x:c r="X42" s="86"/>
      <x:c r="Y42" s="86"/>
      <x:c r="Z42" s="86"/>
    </x:row>
    <x:row r="43">
      <x:c r="A43" s="86"/>
      <x:c r="B43" s="86"/>
      <x:c r="C43" s="95"/>
      <x:c r="D43" s="95"/>
      <x:c r="E43" s="95"/>
      <x:c r="F43" s="95"/>
      <x:c r="G43" s="95"/>
      <x:c r="H43" s="95"/>
      <x:c r="I43" s="95"/>
      <x:c r="J43" s="95"/>
      <x:c r="K43" s="95"/>
      <x:c r="L43" s="126"/>
      <x:c r="M43" s="86"/>
      <x:c r="N43" s="86"/>
      <x:c r="O43" s="86"/>
      <x:c r="P43" s="86"/>
      <x:c r="Q43" s="86"/>
      <x:c r="R43" s="86"/>
      <x:c r="S43" s="86"/>
      <x:c r="T43" s="86"/>
      <x:c r="U43" s="86"/>
      <x:c r="V43" s="86"/>
      <x:c r="W43" s="86"/>
      <x:c r="X43" s="86"/>
      <x:c r="Y43" s="86"/>
      <x:c r="Z43" s="86"/>
    </x:row>
    <x:row r="44">
      <x:c r="A44" s="86"/>
      <x:c r="B44" s="86"/>
      <x:c r="C44" s="95"/>
      <x:c r="D44" s="95"/>
      <x:c r="E44" s="95"/>
      <x:c r="F44" s="95"/>
      <x:c r="G44" s="95"/>
      <x:c r="H44" s="95"/>
      <x:c r="I44" s="95"/>
      <x:c r="J44" s="95"/>
      <x:c r="K44" s="95"/>
      <x:c r="L44" s="126"/>
      <x:c r="M44" s="86"/>
      <x:c r="N44" s="86"/>
      <x:c r="O44" s="86"/>
      <x:c r="P44" s="86"/>
      <x:c r="Q44" s="86"/>
      <x:c r="R44" s="86"/>
      <x:c r="S44" s="86"/>
      <x:c r="T44" s="86"/>
      <x:c r="U44" s="86"/>
      <x:c r="V44" s="86"/>
      <x:c r="W44" s="86"/>
      <x:c r="X44" s="86"/>
      <x:c r="Y44" s="86"/>
      <x:c r="Z44" s="86"/>
    </x:row>
    <x:row r="45">
      <x:c r="A45" s="86"/>
      <x:c r="B45" s="86"/>
      <x:c r="C45" s="95"/>
      <x:c r="D45" s="95"/>
      <x:c r="E45" s="95"/>
      <x:c r="F45" s="95"/>
      <x:c r="G45" s="95"/>
      <x:c r="H45" s="95"/>
      <x:c r="I45" s="95"/>
      <x:c r="J45" s="95"/>
      <x:c r="K45" s="95"/>
      <x:c r="L45" s="126"/>
      <x:c r="M45" s="86"/>
      <x:c r="N45" s="86"/>
      <x:c r="O45" s="86"/>
      <x:c r="P45" s="86"/>
      <x:c r="Q45" s="86"/>
      <x:c r="R45" s="86"/>
      <x:c r="S45" s="86"/>
      <x:c r="T45" s="86"/>
      <x:c r="U45" s="86"/>
      <x:c r="V45" s="86"/>
      <x:c r="W45" s="86"/>
      <x:c r="X45" s="86"/>
      <x:c r="Y45" s="86"/>
      <x:c r="Z45" s="86"/>
    </x:row>
    <x:row r="46">
      <x:c r="A46" s="86"/>
      <x:c r="B46" s="86"/>
      <x:c r="C46" s="95"/>
      <x:c r="D46" s="95"/>
      <x:c r="E46" s="95"/>
      <x:c r="F46" s="95"/>
      <x:c r="G46" s="95"/>
      <x:c r="H46" s="95"/>
      <x:c r="I46" s="95"/>
      <x:c r="J46" s="95"/>
      <x:c r="K46" s="95"/>
      <x:c r="L46" s="126"/>
      <x:c r="M46" s="86"/>
      <x:c r="N46" s="86"/>
      <x:c r="O46" s="86"/>
      <x:c r="P46" s="86"/>
      <x:c r="Q46" s="86"/>
      <x:c r="R46" s="86"/>
      <x:c r="S46" s="86"/>
      <x:c r="T46" s="86"/>
      <x:c r="U46" s="86"/>
      <x:c r="V46" s="86"/>
      <x:c r="W46" s="86"/>
      <x:c r="X46" s="86"/>
      <x:c r="Y46" s="86"/>
      <x:c r="Z46" s="86"/>
    </x:row>
    <x:row r="47">
      <x:c r="A47" s="86"/>
      <x:c r="B47" s="86"/>
      <x:c r="C47" s="95"/>
      <x:c r="D47" s="95"/>
      <x:c r="E47" s="95"/>
      <x:c r="F47" s="95"/>
      <x:c r="G47" s="95"/>
      <x:c r="H47" s="95"/>
      <x:c r="I47" s="95"/>
      <x:c r="J47" s="95"/>
      <x:c r="K47" s="95"/>
      <x:c r="L47" s="126"/>
      <x:c r="M47" s="86"/>
      <x:c r="N47" s="86"/>
      <x:c r="O47" s="86"/>
      <x:c r="P47" s="86"/>
      <x:c r="Q47" s="86"/>
      <x:c r="R47" s="86"/>
      <x:c r="S47" s="86"/>
      <x:c r="T47" s="86"/>
      <x:c r="U47" s="86"/>
      <x:c r="V47" s="86"/>
      <x:c r="W47" s="86"/>
      <x:c r="X47" s="86"/>
      <x:c r="Y47" s="86"/>
      <x:c r="Z47" s="86"/>
    </x:row>
    <x:row r="48">
      <x:c r="A48" s="86"/>
      <x:c r="B48" s="86"/>
      <x:c r="C48" s="95"/>
      <x:c r="D48" s="95"/>
      <x:c r="E48" s="95"/>
      <x:c r="F48" s="95"/>
      <x:c r="G48" s="95"/>
      <x:c r="H48" s="95"/>
      <x:c r="I48" s="95"/>
      <x:c r="J48" s="95"/>
      <x:c r="K48" s="95"/>
      <x:c r="L48" s="126"/>
      <x:c r="M48" s="86"/>
      <x:c r="N48" s="86"/>
      <x:c r="O48" s="86"/>
      <x:c r="P48" s="86"/>
      <x:c r="Q48" s="86"/>
      <x:c r="R48" s="86"/>
      <x:c r="S48" s="86"/>
      <x:c r="T48" s="86"/>
      <x:c r="U48" s="86"/>
      <x:c r="V48" s="86"/>
      <x:c r="W48" s="86"/>
      <x:c r="X48" s="86"/>
      <x:c r="Y48" s="86"/>
      <x:c r="Z48" s="86"/>
    </x:row>
    <x:row r="49">
      <x:c r="A49" s="86"/>
      <x:c r="B49" s="86"/>
      <x:c r="C49" s="95"/>
      <x:c r="D49" s="95"/>
      <x:c r="E49" s="95"/>
      <x:c r="F49" s="95"/>
      <x:c r="G49" s="95"/>
      <x:c r="H49" s="95"/>
      <x:c r="I49" s="95"/>
      <x:c r="J49" s="95"/>
      <x:c r="K49" s="95"/>
      <x:c r="L49" s="126"/>
      <x:c r="M49" s="86"/>
      <x:c r="N49" s="86"/>
      <x:c r="O49" s="86"/>
      <x:c r="P49" s="86"/>
      <x:c r="Q49" s="86"/>
      <x:c r="R49" s="86"/>
      <x:c r="S49" s="86"/>
      <x:c r="T49" s="86"/>
      <x:c r="U49" s="86"/>
      <x:c r="V49" s="86"/>
      <x:c r="W49" s="86"/>
      <x:c r="X49" s="86"/>
      <x:c r="Y49" s="86"/>
      <x:c r="Z49" s="86"/>
    </x:row>
    <x:row r="50">
      <x:c r="A50" s="86"/>
      <x:c r="B50" s="86"/>
      <x:c r="C50" s="95"/>
      <x:c r="D50" s="95"/>
      <x:c r="E50" s="95"/>
      <x:c r="F50" s="95"/>
      <x:c r="G50" s="95"/>
      <x:c r="H50" s="95"/>
      <x:c r="I50" s="95"/>
      <x:c r="J50" s="95"/>
      <x:c r="K50" s="95"/>
      <x:c r="L50" s="126"/>
      <x:c r="M50" s="86"/>
      <x:c r="N50" s="86"/>
      <x:c r="O50" s="86"/>
      <x:c r="P50" s="86"/>
      <x:c r="Q50" s="86"/>
      <x:c r="R50" s="86"/>
      <x:c r="S50" s="86"/>
      <x:c r="T50" s="86"/>
      <x:c r="U50" s="86"/>
      <x:c r="V50" s="86"/>
      <x:c r="W50" s="86"/>
      <x:c r="X50" s="86"/>
      <x:c r="Y50" s="86"/>
      <x:c r="Z50" s="86"/>
    </x:row>
    <x:row r="51">
      <x:c r="A51" s="86"/>
      <x:c r="B51" s="86"/>
      <x:c r="C51" s="95"/>
      <x:c r="D51" s="95"/>
      <x:c r="E51" s="95"/>
      <x:c r="F51" s="95"/>
      <x:c r="G51" s="95"/>
      <x:c r="H51" s="95"/>
      <x:c r="I51" s="95"/>
      <x:c r="J51" s="95"/>
      <x:c r="K51" s="95"/>
      <x:c r="L51" s="126"/>
      <x:c r="M51" s="86"/>
      <x:c r="N51" s="86"/>
      <x:c r="O51" s="86"/>
      <x:c r="P51" s="86"/>
      <x:c r="Q51" s="86"/>
      <x:c r="R51" s="86"/>
      <x:c r="S51" s="86"/>
      <x:c r="T51" s="86"/>
      <x:c r="U51" s="86"/>
      <x:c r="V51" s="86"/>
      <x:c r="W51" s="86"/>
      <x:c r="X51" s="86"/>
      <x:c r="Y51" s="86"/>
      <x:c r="Z51" s="86"/>
    </x:row>
    <x:row r="52">
      <x:c r="A52" s="86"/>
      <x:c r="B52" s="86"/>
      <x:c r="C52" s="95"/>
      <x:c r="D52" s="95"/>
      <x:c r="E52" s="95"/>
      <x:c r="F52" s="95"/>
      <x:c r="G52" s="95"/>
      <x:c r="H52" s="95"/>
      <x:c r="I52" s="95"/>
      <x:c r="J52" s="95"/>
      <x:c r="K52" s="95"/>
      <x:c r="L52" s="126"/>
      <x:c r="M52" s="86"/>
      <x:c r="N52" s="86"/>
      <x:c r="O52" s="86"/>
      <x:c r="P52" s="86"/>
      <x:c r="Q52" s="86"/>
      <x:c r="R52" s="86"/>
      <x:c r="S52" s="86"/>
      <x:c r="T52" s="86"/>
      <x:c r="U52" s="86"/>
      <x:c r="V52" s="86"/>
      <x:c r="W52" s="86"/>
      <x:c r="X52" s="86"/>
      <x:c r="Y52" s="86"/>
      <x:c r="Z52" s="86"/>
    </x:row>
    <x:row r="53">
      <x:c r="A53" s="86"/>
      <x:c r="B53" s="86"/>
      <x:c r="C53" s="95"/>
      <x:c r="D53" s="95"/>
      <x:c r="E53" s="95"/>
      <x:c r="F53" s="95"/>
      <x:c r="G53" s="95"/>
      <x:c r="H53" s="95"/>
      <x:c r="I53" s="95"/>
      <x:c r="J53" s="95"/>
      <x:c r="K53" s="95"/>
      <x:c r="L53" s="126"/>
      <x:c r="M53" s="86"/>
      <x:c r="N53" s="86"/>
      <x:c r="O53" s="86"/>
      <x:c r="P53" s="86"/>
      <x:c r="Q53" s="86"/>
      <x:c r="R53" s="86"/>
      <x:c r="S53" s="86"/>
      <x:c r="T53" s="86"/>
      <x:c r="U53" s="86"/>
      <x:c r="V53" s="86"/>
      <x:c r="W53" s="86"/>
      <x:c r="X53" s="86"/>
      <x:c r="Y53" s="86"/>
      <x:c r="Z53" s="86"/>
    </x:row>
    <x:row r="54">
      <x:c r="A54" s="86"/>
      <x:c r="B54" s="86"/>
      <x:c r="C54" s="95"/>
      <x:c r="D54" s="95"/>
      <x:c r="E54" s="95"/>
      <x:c r="F54" s="95"/>
      <x:c r="G54" s="95"/>
      <x:c r="H54" s="95"/>
      <x:c r="I54" s="95"/>
      <x:c r="J54" s="95"/>
      <x:c r="K54" s="95"/>
      <x:c r="L54" s="126"/>
      <x:c r="M54" s="86"/>
      <x:c r="N54" s="86"/>
      <x:c r="O54" s="86"/>
      <x:c r="P54" s="86"/>
      <x:c r="Q54" s="86"/>
      <x:c r="R54" s="86"/>
      <x:c r="S54" s="86"/>
      <x:c r="T54" s="86"/>
      <x:c r="U54" s="86"/>
      <x:c r="V54" s="86"/>
      <x:c r="W54" s="86"/>
      <x:c r="X54" s="86"/>
      <x:c r="Y54" s="86"/>
      <x:c r="Z54" s="86"/>
    </x:row>
    <x:row r="55">
      <x:c r="A55" s="86"/>
      <x:c r="B55" s="86"/>
      <x:c r="C55" s="95"/>
      <x:c r="D55" s="95"/>
      <x:c r="E55" s="95"/>
      <x:c r="F55" s="95"/>
      <x:c r="G55" s="95"/>
      <x:c r="H55" s="95"/>
      <x:c r="I55" s="95"/>
      <x:c r="J55" s="95"/>
      <x:c r="K55" s="95"/>
      <x:c r="L55" s="126"/>
      <x:c r="M55" s="86"/>
      <x:c r="N55" s="86"/>
      <x:c r="O55" s="86"/>
      <x:c r="P55" s="86"/>
      <x:c r="Q55" s="86"/>
      <x:c r="R55" s="86"/>
      <x:c r="S55" s="86"/>
      <x:c r="T55" s="86"/>
      <x:c r="U55" s="86"/>
      <x:c r="V55" s="86"/>
      <x:c r="W55" s="86"/>
      <x:c r="X55" s="86"/>
      <x:c r="Y55" s="86"/>
      <x:c r="Z55" s="86"/>
    </x:row>
    <x:row r="56">
      <x:c r="A56" s="86"/>
      <x:c r="B56" s="86"/>
      <x:c r="C56" s="95"/>
      <x:c r="D56" s="95"/>
      <x:c r="E56" s="95"/>
      <x:c r="F56" s="95"/>
      <x:c r="G56" s="95"/>
      <x:c r="H56" s="95"/>
      <x:c r="I56" s="95"/>
      <x:c r="J56" s="95"/>
      <x:c r="K56" s="95"/>
      <x:c r="L56" s="126"/>
      <x:c r="M56" s="86"/>
      <x:c r="N56" s="86"/>
      <x:c r="O56" s="86"/>
      <x:c r="P56" s="86"/>
      <x:c r="Q56" s="86"/>
      <x:c r="R56" s="86"/>
      <x:c r="S56" s="86"/>
      <x:c r="T56" s="86"/>
      <x:c r="U56" s="86"/>
      <x:c r="V56" s="86"/>
      <x:c r="W56" s="86"/>
      <x:c r="X56" s="86"/>
      <x:c r="Y56" s="86"/>
      <x:c r="Z56" s="86"/>
    </x:row>
    <x:row r="57">
      <x:c r="A57" s="86"/>
      <x:c r="B57" s="86"/>
      <x:c r="C57" s="95"/>
      <x:c r="D57" s="95"/>
      <x:c r="E57" s="95"/>
      <x:c r="F57" s="95"/>
      <x:c r="G57" s="95"/>
      <x:c r="H57" s="95"/>
      <x:c r="I57" s="95"/>
      <x:c r="J57" s="95"/>
      <x:c r="K57" s="95"/>
      <x:c r="L57" s="126"/>
      <x:c r="M57" s="86"/>
      <x:c r="N57" s="86"/>
      <x:c r="O57" s="86"/>
      <x:c r="P57" s="86"/>
      <x:c r="Q57" s="86"/>
      <x:c r="R57" s="86"/>
      <x:c r="S57" s="86"/>
      <x:c r="T57" s="86"/>
      <x:c r="U57" s="86"/>
      <x:c r="V57" s="86"/>
      <x:c r="W57" s="86"/>
      <x:c r="X57" s="86"/>
      <x:c r="Y57" s="86"/>
      <x:c r="Z57" s="86"/>
    </x:row>
    <x:row r="58">
      <x:c r="A58" s="86"/>
      <x:c r="B58" s="86"/>
      <x:c r="C58" s="95"/>
      <x:c r="D58" s="95"/>
      <x:c r="E58" s="95"/>
      <x:c r="F58" s="95"/>
      <x:c r="G58" s="95"/>
      <x:c r="H58" s="95"/>
      <x:c r="I58" s="95"/>
      <x:c r="J58" s="95"/>
      <x:c r="K58" s="95"/>
      <x:c r="L58" s="126"/>
      <x:c r="M58" s="86"/>
      <x:c r="N58" s="86"/>
      <x:c r="O58" s="86"/>
      <x:c r="P58" s="86"/>
      <x:c r="Q58" s="86"/>
      <x:c r="R58" s="86"/>
      <x:c r="S58" s="86"/>
      <x:c r="T58" s="86"/>
      <x:c r="U58" s="86"/>
      <x:c r="V58" s="86"/>
      <x:c r="W58" s="86"/>
      <x:c r="X58" s="86"/>
      <x:c r="Y58" s="86"/>
      <x:c r="Z58" s="86"/>
    </x:row>
    <x:row r="59">
      <x:c r="A59" s="86"/>
      <x:c r="B59" s="86"/>
      <x:c r="C59" s="95"/>
      <x:c r="D59" s="95"/>
      <x:c r="E59" s="95"/>
      <x:c r="F59" s="95"/>
      <x:c r="G59" s="95"/>
      <x:c r="H59" s="95"/>
      <x:c r="I59" s="95"/>
      <x:c r="J59" s="95"/>
      <x:c r="K59" s="95"/>
      <x:c r="L59" s="126"/>
      <x:c r="M59" s="86"/>
      <x:c r="N59" s="86"/>
      <x:c r="O59" s="86"/>
      <x:c r="P59" s="86"/>
      <x:c r="Q59" s="86"/>
      <x:c r="R59" s="86"/>
      <x:c r="S59" s="86"/>
      <x:c r="T59" s="86"/>
      <x:c r="U59" s="86"/>
      <x:c r="V59" s="86"/>
      <x:c r="W59" s="86"/>
      <x:c r="X59" s="86"/>
      <x:c r="Y59" s="86"/>
      <x:c r="Z59" s="86"/>
    </x:row>
    <x:row r="60">
      <x:c r="A60" s="86"/>
      <x:c r="B60" s="86"/>
      <x:c r="C60" s="95"/>
      <x:c r="D60" s="95"/>
      <x:c r="E60" s="95"/>
      <x:c r="F60" s="95"/>
      <x:c r="G60" s="95"/>
      <x:c r="H60" s="95"/>
      <x:c r="I60" s="95"/>
      <x:c r="J60" s="95"/>
      <x:c r="K60" s="95"/>
      <x:c r="L60" s="126"/>
      <x:c r="M60" s="86"/>
      <x:c r="N60" s="86"/>
      <x:c r="O60" s="86"/>
      <x:c r="P60" s="86"/>
      <x:c r="Q60" s="86"/>
      <x:c r="R60" s="86"/>
      <x:c r="S60" s="86"/>
      <x:c r="T60" s="86"/>
      <x:c r="U60" s="86"/>
      <x:c r="V60" s="86"/>
      <x:c r="W60" s="86"/>
      <x:c r="X60" s="86"/>
      <x:c r="Y60" s="86"/>
      <x:c r="Z60" s="86"/>
    </x:row>
    <x:row r="61">
      <x:c r="A61" s="86"/>
      <x:c r="B61" s="86"/>
      <x:c r="C61" s="95"/>
      <x:c r="D61" s="95"/>
      <x:c r="E61" s="95"/>
      <x:c r="F61" s="95"/>
      <x:c r="G61" s="95"/>
      <x:c r="H61" s="95"/>
      <x:c r="I61" s="95"/>
      <x:c r="J61" s="95"/>
      <x:c r="K61" s="95"/>
      <x:c r="L61" s="126"/>
      <x:c r="M61" s="86"/>
      <x:c r="N61" s="86"/>
      <x:c r="O61" s="86"/>
      <x:c r="P61" s="86"/>
      <x:c r="Q61" s="86"/>
      <x:c r="R61" s="86"/>
      <x:c r="S61" s="86"/>
      <x:c r="T61" s="86"/>
      <x:c r="U61" s="86"/>
      <x:c r="V61" s="86"/>
      <x:c r="W61" s="86"/>
      <x:c r="X61" s="86"/>
      <x:c r="Y61" s="86"/>
      <x:c r="Z61" s="86"/>
    </x:row>
    <x:row r="62">
      <x:c r="A62" s="86"/>
      <x:c r="B62" s="86"/>
      <x:c r="C62" s="95"/>
      <x:c r="D62" s="95"/>
      <x:c r="E62" s="95"/>
      <x:c r="F62" s="95"/>
      <x:c r="G62" s="95"/>
      <x:c r="H62" s="95"/>
      <x:c r="I62" s="95"/>
      <x:c r="J62" s="95"/>
      <x:c r="K62" s="95"/>
      <x:c r="L62" s="126"/>
      <x:c r="M62" s="86"/>
      <x:c r="N62" s="86"/>
      <x:c r="O62" s="86"/>
      <x:c r="P62" s="86"/>
      <x:c r="Q62" s="86"/>
      <x:c r="R62" s="86"/>
      <x:c r="S62" s="86"/>
      <x:c r="T62" s="86"/>
      <x:c r="U62" s="86"/>
      <x:c r="V62" s="86"/>
      <x:c r="W62" s="86"/>
      <x:c r="X62" s="86"/>
      <x:c r="Y62" s="86"/>
      <x:c r="Z62" s="86"/>
    </x:row>
    <x:row r="63">
      <x:c r="A63" s="86"/>
      <x:c r="B63" s="86"/>
      <x:c r="C63" s="95"/>
      <x:c r="D63" s="95"/>
      <x:c r="E63" s="95"/>
      <x:c r="F63" s="95"/>
      <x:c r="G63" s="95"/>
      <x:c r="H63" s="95"/>
      <x:c r="I63" s="95"/>
      <x:c r="J63" s="95"/>
      <x:c r="K63" s="95"/>
      <x:c r="L63" s="126"/>
      <x:c r="M63" s="86"/>
      <x:c r="N63" s="86"/>
      <x:c r="O63" s="86"/>
      <x:c r="P63" s="86"/>
      <x:c r="Q63" s="86"/>
      <x:c r="R63" s="86"/>
      <x:c r="S63" s="86"/>
      <x:c r="T63" s="86"/>
      <x:c r="U63" s="86"/>
      <x:c r="V63" s="86"/>
      <x:c r="W63" s="86"/>
      <x:c r="X63" s="86"/>
      <x:c r="Y63" s="86"/>
      <x:c r="Z63" s="86"/>
    </x:row>
    <x:row r="64">
      <x:c r="A64" s="86"/>
      <x:c r="B64" s="86"/>
      <x:c r="C64" s="95"/>
      <x:c r="D64" s="95"/>
      <x:c r="E64" s="95"/>
      <x:c r="F64" s="95"/>
      <x:c r="G64" s="95"/>
      <x:c r="H64" s="95"/>
      <x:c r="I64" s="95"/>
      <x:c r="J64" s="95"/>
      <x:c r="K64" s="95"/>
      <x:c r="L64" s="126"/>
      <x:c r="M64" s="86"/>
      <x:c r="N64" s="86"/>
      <x:c r="O64" s="86"/>
      <x:c r="P64" s="86"/>
      <x:c r="Q64" s="86"/>
      <x:c r="R64" s="86"/>
      <x:c r="S64" s="86"/>
      <x:c r="T64" s="86"/>
      <x:c r="U64" s="86"/>
      <x:c r="V64" s="86"/>
      <x:c r="W64" s="86"/>
      <x:c r="X64" s="86"/>
      <x:c r="Y64" s="86"/>
      <x:c r="Z64" s="86"/>
    </x:row>
    <x:row r="65">
      <x:c r="A65" s="86"/>
      <x:c r="B65" s="86"/>
      <x:c r="C65" s="95"/>
      <x:c r="D65" s="95"/>
      <x:c r="E65" s="95"/>
      <x:c r="F65" s="95"/>
      <x:c r="G65" s="95"/>
      <x:c r="H65" s="95"/>
      <x:c r="I65" s="95"/>
      <x:c r="J65" s="95"/>
      <x:c r="K65" s="95"/>
      <x:c r="L65" s="126"/>
      <x:c r="M65" s="86"/>
      <x:c r="N65" s="86"/>
      <x:c r="O65" s="86"/>
      <x:c r="P65" s="86"/>
      <x:c r="Q65" s="86"/>
      <x:c r="R65" s="86"/>
      <x:c r="S65" s="86"/>
      <x:c r="T65" s="86"/>
      <x:c r="U65" s="86"/>
      <x:c r="V65" s="86"/>
      <x:c r="W65" s="86"/>
      <x:c r="X65" s="86"/>
      <x:c r="Y65" s="86"/>
      <x:c r="Z65" s="86"/>
    </x:row>
    <x:row r="66">
      <x:c r="A66" s="86"/>
      <x:c r="B66" s="86"/>
      <x:c r="C66" s="95"/>
      <x:c r="D66" s="95"/>
      <x:c r="E66" s="95"/>
      <x:c r="F66" s="95"/>
      <x:c r="G66" s="95"/>
      <x:c r="H66" s="95"/>
      <x:c r="I66" s="95"/>
      <x:c r="J66" s="95"/>
      <x:c r="K66" s="95"/>
      <x:c r="L66" s="126"/>
      <x:c r="M66" s="86"/>
      <x:c r="N66" s="86"/>
      <x:c r="O66" s="86"/>
      <x:c r="P66" s="86"/>
      <x:c r="Q66" s="86"/>
      <x:c r="R66" s="86"/>
      <x:c r="S66" s="86"/>
      <x:c r="T66" s="86"/>
      <x:c r="U66" s="86"/>
      <x:c r="V66" s="86"/>
      <x:c r="W66" s="86"/>
      <x:c r="X66" s="86"/>
      <x:c r="Y66" s="86"/>
      <x:c r="Z66" s="86"/>
    </x:row>
    <x:row r="67">
      <x:c r="A67" s="86"/>
      <x:c r="B67" s="86"/>
      <x:c r="C67" s="95"/>
      <x:c r="D67" s="95"/>
      <x:c r="E67" s="95"/>
      <x:c r="F67" s="95"/>
      <x:c r="G67" s="95"/>
      <x:c r="H67" s="95"/>
      <x:c r="I67" s="95"/>
      <x:c r="J67" s="95"/>
      <x:c r="K67" s="95"/>
      <x:c r="L67" s="126"/>
      <x:c r="M67" s="86"/>
      <x:c r="N67" s="86"/>
      <x:c r="O67" s="86"/>
      <x:c r="P67" s="86"/>
      <x:c r="Q67" s="86"/>
      <x:c r="R67" s="86"/>
      <x:c r="S67" s="86"/>
      <x:c r="T67" s="86"/>
      <x:c r="U67" s="86"/>
      <x:c r="V67" s="86"/>
      <x:c r="W67" s="86"/>
      <x:c r="X67" s="86"/>
      <x:c r="Y67" s="86"/>
      <x:c r="Z67" s="86"/>
    </x:row>
    <x:row r="68">
      <x:c r="A68" s="86"/>
      <x:c r="B68" s="86"/>
      <x:c r="C68" s="95"/>
      <x:c r="D68" s="95"/>
      <x:c r="E68" s="95"/>
      <x:c r="F68" s="95"/>
      <x:c r="G68" s="95"/>
      <x:c r="H68" s="95"/>
      <x:c r="I68" s="95"/>
      <x:c r="J68" s="95"/>
      <x:c r="K68" s="95"/>
      <x:c r="L68" s="126"/>
      <x:c r="M68" s="86"/>
      <x:c r="N68" s="86"/>
      <x:c r="O68" s="86"/>
      <x:c r="P68" s="86"/>
      <x:c r="Q68" s="86"/>
      <x:c r="R68" s="86"/>
      <x:c r="S68" s="86"/>
      <x:c r="T68" s="86"/>
      <x:c r="U68" s="86"/>
      <x:c r="V68" s="86"/>
      <x:c r="W68" s="86"/>
      <x:c r="X68" s="86"/>
      <x:c r="Y68" s="86"/>
      <x:c r="Z68" s="86"/>
    </x:row>
    <x:row r="69">
      <x:c r="A69" s="86"/>
      <x:c r="B69" s="86"/>
      <x:c r="C69" s="95"/>
      <x:c r="D69" s="95"/>
      <x:c r="E69" s="95"/>
      <x:c r="F69" s="95"/>
      <x:c r="G69" s="95"/>
      <x:c r="H69" s="95"/>
      <x:c r="I69" s="95"/>
      <x:c r="J69" s="95"/>
      <x:c r="K69" s="95"/>
      <x:c r="L69" s="126"/>
      <x:c r="M69" s="86"/>
      <x:c r="N69" s="86"/>
      <x:c r="O69" s="86"/>
      <x:c r="P69" s="86"/>
      <x:c r="Q69" s="86"/>
      <x:c r="R69" s="86"/>
      <x:c r="S69" s="86"/>
      <x:c r="T69" s="86"/>
      <x:c r="U69" s="86"/>
      <x:c r="V69" s="86"/>
      <x:c r="W69" s="86"/>
      <x:c r="X69" s="86"/>
      <x:c r="Y69" s="86"/>
      <x:c r="Z69" s="86"/>
    </x:row>
    <x:row r="70">
      <x:c r="A70" s="86"/>
      <x:c r="B70" s="86"/>
      <x:c r="C70" s="95"/>
      <x:c r="D70" s="95"/>
      <x:c r="E70" s="95"/>
      <x:c r="F70" s="95"/>
      <x:c r="G70" s="95"/>
      <x:c r="H70" s="95"/>
      <x:c r="I70" s="95"/>
      <x:c r="J70" s="95"/>
      <x:c r="K70" s="95"/>
      <x:c r="L70" s="126"/>
      <x:c r="M70" s="86"/>
      <x:c r="N70" s="86"/>
      <x:c r="O70" s="86"/>
      <x:c r="P70" s="86"/>
      <x:c r="Q70" s="86"/>
      <x:c r="R70" s="86"/>
      <x:c r="S70" s="86"/>
      <x:c r="T70" s="86"/>
      <x:c r="U70" s="86"/>
      <x:c r="V70" s="86"/>
      <x:c r="W70" s="86"/>
      <x:c r="X70" s="86"/>
      <x:c r="Y70" s="86"/>
      <x:c r="Z70" s="86"/>
    </x:row>
    <x:row r="71">
      <x:c r="A71" s="86"/>
      <x:c r="B71" s="86"/>
      <x:c r="C71" s="95"/>
      <x:c r="D71" s="95"/>
      <x:c r="E71" s="95"/>
      <x:c r="F71" s="95"/>
      <x:c r="G71" s="95"/>
      <x:c r="H71" s="95"/>
      <x:c r="I71" s="95"/>
      <x:c r="J71" s="95"/>
      <x:c r="K71" s="95"/>
      <x:c r="L71" s="126"/>
      <x:c r="M71" s="86"/>
      <x:c r="N71" s="86"/>
      <x:c r="O71" s="86"/>
      <x:c r="P71" s="86"/>
      <x:c r="Q71" s="86"/>
      <x:c r="R71" s="86"/>
      <x:c r="S71" s="86"/>
      <x:c r="T71" s="86"/>
      <x:c r="U71" s="86"/>
      <x:c r="V71" s="86"/>
      <x:c r="W71" s="86"/>
      <x:c r="X71" s="86"/>
      <x:c r="Y71" s="86"/>
      <x:c r="Z71" s="86"/>
    </x:row>
    <x:row r="72">
      <x:c r="A72" s="86"/>
      <x:c r="B72" s="86"/>
      <x:c r="C72" s="95"/>
      <x:c r="D72" s="95"/>
      <x:c r="E72" s="95"/>
      <x:c r="F72" s="95"/>
      <x:c r="G72" s="95"/>
      <x:c r="H72" s="95"/>
      <x:c r="I72" s="95"/>
      <x:c r="J72" s="95"/>
      <x:c r="K72" s="95"/>
      <x:c r="L72" s="126"/>
      <x:c r="M72" s="86"/>
      <x:c r="N72" s="86"/>
      <x:c r="O72" s="86"/>
      <x:c r="P72" s="86"/>
      <x:c r="Q72" s="86"/>
      <x:c r="R72" s="86"/>
      <x:c r="S72" s="86"/>
      <x:c r="T72" s="86"/>
      <x:c r="U72" s="86"/>
      <x:c r="V72" s="86"/>
      <x:c r="W72" s="86"/>
      <x:c r="X72" s="86"/>
      <x:c r="Y72" s="86"/>
      <x:c r="Z72" s="86"/>
    </x:row>
    <x:row r="73">
      <x:c r="A73" s="86"/>
      <x:c r="B73" s="86"/>
      <x:c r="C73" s="95"/>
      <x:c r="D73" s="95"/>
      <x:c r="E73" s="95"/>
      <x:c r="F73" s="95"/>
      <x:c r="G73" s="95"/>
      <x:c r="H73" s="95"/>
      <x:c r="I73" s="95"/>
      <x:c r="J73" s="95"/>
      <x:c r="K73" s="95"/>
      <x:c r="L73" s="126"/>
      <x:c r="M73" s="86"/>
      <x:c r="N73" s="86"/>
      <x:c r="O73" s="86"/>
      <x:c r="P73" s="86"/>
      <x:c r="Q73" s="86"/>
      <x:c r="R73" s="86"/>
      <x:c r="S73" s="86"/>
      <x:c r="T73" s="86"/>
      <x:c r="U73" s="86"/>
      <x:c r="V73" s="86"/>
      <x:c r="W73" s="86"/>
      <x:c r="X73" s="86"/>
      <x:c r="Y73" s="86"/>
      <x:c r="Z73" s="86"/>
    </x:row>
    <x:row r="74">
      <x:c r="A74" s="86"/>
      <x:c r="B74" s="86"/>
      <x:c r="C74" s="95"/>
      <x:c r="D74" s="95"/>
      <x:c r="E74" s="95"/>
      <x:c r="F74" s="95"/>
      <x:c r="G74" s="95"/>
      <x:c r="H74" s="95"/>
      <x:c r="I74" s="95"/>
      <x:c r="J74" s="95"/>
      <x:c r="K74" s="95"/>
      <x:c r="L74" s="126"/>
      <x:c r="M74" s="86"/>
      <x:c r="N74" s="86"/>
      <x:c r="O74" s="86"/>
      <x:c r="P74" s="86"/>
      <x:c r="Q74" s="86"/>
      <x:c r="R74" s="86"/>
      <x:c r="S74" s="86"/>
      <x:c r="T74" s="86"/>
      <x:c r="U74" s="86"/>
      <x:c r="V74" s="86"/>
      <x:c r="W74" s="86"/>
      <x:c r="X74" s="86"/>
      <x:c r="Y74" s="86"/>
      <x:c r="Z74" s="86"/>
    </x:row>
    <x:row r="75">
      <x:c r="A75" s="86"/>
      <x:c r="B75" s="86"/>
      <x:c r="C75" s="95"/>
      <x:c r="D75" s="95"/>
      <x:c r="E75" s="95"/>
      <x:c r="F75" s="95"/>
      <x:c r="G75" s="95"/>
      <x:c r="H75" s="95"/>
      <x:c r="I75" s="95"/>
      <x:c r="J75" s="95"/>
      <x:c r="K75" s="95"/>
      <x:c r="L75" s="126"/>
      <x:c r="M75" s="86"/>
      <x:c r="N75" s="86"/>
      <x:c r="O75" s="86"/>
      <x:c r="P75" s="86"/>
      <x:c r="Q75" s="86"/>
      <x:c r="R75" s="86"/>
      <x:c r="S75" s="86"/>
      <x:c r="T75" s="86"/>
      <x:c r="U75" s="86"/>
      <x:c r="V75" s="86"/>
      <x:c r="W75" s="86"/>
      <x:c r="X75" s="86"/>
      <x:c r="Y75" s="86"/>
      <x:c r="Z75" s="86"/>
    </x:row>
    <x:row r="76">
      <x:c r="A76" s="86"/>
      <x:c r="B76" s="86"/>
      <x:c r="C76" s="95"/>
      <x:c r="D76" s="95"/>
      <x:c r="E76" s="95"/>
      <x:c r="F76" s="95"/>
      <x:c r="G76" s="95"/>
      <x:c r="H76" s="95"/>
      <x:c r="I76" s="95"/>
      <x:c r="J76" s="95"/>
      <x:c r="K76" s="95"/>
      <x:c r="L76" s="126"/>
      <x:c r="M76" s="86"/>
      <x:c r="N76" s="86"/>
      <x:c r="O76" s="86"/>
      <x:c r="P76" s="86"/>
      <x:c r="Q76" s="86"/>
      <x:c r="R76" s="86"/>
      <x:c r="S76" s="86"/>
      <x:c r="T76" s="86"/>
      <x:c r="U76" s="86"/>
      <x:c r="V76" s="86"/>
      <x:c r="W76" s="86"/>
      <x:c r="X76" s="86"/>
      <x:c r="Y76" s="86"/>
      <x:c r="Z76" s="86"/>
    </x:row>
    <x:row r="77">
      <x:c r="A77" s="86"/>
      <x:c r="B77" s="86"/>
      <x:c r="C77" s="95"/>
      <x:c r="D77" s="95"/>
      <x:c r="E77" s="95"/>
      <x:c r="F77" s="95"/>
      <x:c r="G77" s="95"/>
      <x:c r="H77" s="95"/>
      <x:c r="I77" s="95"/>
      <x:c r="J77" s="95"/>
      <x:c r="K77" s="95"/>
      <x:c r="L77" s="126"/>
      <x:c r="M77" s="86"/>
      <x:c r="N77" s="86"/>
      <x:c r="O77" s="86"/>
      <x:c r="P77" s="86"/>
      <x:c r="Q77" s="86"/>
      <x:c r="R77" s="86"/>
      <x:c r="S77" s="86"/>
      <x:c r="T77" s="86"/>
      <x:c r="U77" s="86"/>
      <x:c r="V77" s="86"/>
      <x:c r="W77" s="86"/>
      <x:c r="X77" s="86"/>
      <x:c r="Y77" s="86"/>
      <x:c r="Z77" s="86"/>
    </x:row>
    <x:row r="78">
      <x:c r="A78" s="86"/>
      <x:c r="B78" s="86"/>
      <x:c r="C78" s="95"/>
      <x:c r="D78" s="95"/>
      <x:c r="E78" s="95"/>
      <x:c r="F78" s="95"/>
      <x:c r="G78" s="95"/>
      <x:c r="H78" s="95"/>
      <x:c r="I78" s="95"/>
      <x:c r="J78" s="95"/>
      <x:c r="K78" s="95"/>
      <x:c r="L78" s="126"/>
      <x:c r="M78" s="86"/>
      <x:c r="N78" s="86"/>
      <x:c r="O78" s="86"/>
      <x:c r="P78" s="86"/>
      <x:c r="Q78" s="86"/>
      <x:c r="R78" s="86"/>
      <x:c r="S78" s="86"/>
      <x:c r="T78" s="86"/>
      <x:c r="U78" s="86"/>
      <x:c r="V78" s="86"/>
      <x:c r="W78" s="86"/>
      <x:c r="X78" s="86"/>
      <x:c r="Y78" s="86"/>
      <x:c r="Z78" s="86"/>
    </x:row>
    <x:row r="79">
      <x:c r="A79" s="86"/>
      <x:c r="B79" s="86"/>
      <x:c r="C79" s="95"/>
      <x:c r="D79" s="95"/>
      <x:c r="E79" s="95"/>
      <x:c r="F79" s="95"/>
      <x:c r="G79" s="95"/>
      <x:c r="H79" s="95"/>
      <x:c r="I79" s="95"/>
      <x:c r="J79" s="95"/>
      <x:c r="K79" s="95"/>
      <x:c r="L79" s="126"/>
      <x:c r="M79" s="86"/>
      <x:c r="N79" s="86"/>
      <x:c r="O79" s="86"/>
      <x:c r="P79" s="86"/>
      <x:c r="Q79" s="86"/>
      <x:c r="R79" s="86"/>
      <x:c r="S79" s="86"/>
      <x:c r="T79" s="86"/>
      <x:c r="U79" s="86"/>
      <x:c r="V79" s="86"/>
      <x:c r="W79" s="86"/>
      <x:c r="X79" s="86"/>
      <x:c r="Y79" s="86"/>
      <x:c r="Z79" s="86"/>
    </x:row>
    <x:row r="80">
      <x:c r="A80" s="86"/>
      <x:c r="B80" s="86"/>
      <x:c r="C80" s="95"/>
      <x:c r="D80" s="95"/>
      <x:c r="E80" s="95"/>
      <x:c r="F80" s="95"/>
      <x:c r="G80" s="95"/>
      <x:c r="H80" s="95"/>
      <x:c r="I80" s="95"/>
      <x:c r="J80" s="95"/>
      <x:c r="K80" s="95"/>
      <x:c r="L80" s="126"/>
      <x:c r="M80" s="86"/>
      <x:c r="N80" s="86"/>
      <x:c r="O80" s="86"/>
      <x:c r="P80" s="86"/>
      <x:c r="Q80" s="86"/>
      <x:c r="R80" s="86"/>
      <x:c r="S80" s="86"/>
      <x:c r="T80" s="86"/>
      <x:c r="U80" s="86"/>
      <x:c r="V80" s="86"/>
      <x:c r="W80" s="86"/>
      <x:c r="X80" s="86"/>
      <x:c r="Y80" s="86"/>
      <x:c r="Z80" s="86"/>
    </x:row>
    <x:row r="81">
      <x:c r="A81" s="86"/>
      <x:c r="B81" s="86"/>
      <x:c r="C81" s="95"/>
      <x:c r="D81" s="95"/>
      <x:c r="E81" s="95"/>
      <x:c r="F81" s="95"/>
      <x:c r="G81" s="95"/>
      <x:c r="H81" s="95"/>
      <x:c r="I81" s="95"/>
      <x:c r="J81" s="95"/>
      <x:c r="K81" s="95"/>
      <x:c r="L81" s="126"/>
      <x:c r="M81" s="86"/>
      <x:c r="N81" s="86"/>
      <x:c r="O81" s="86"/>
      <x:c r="P81" s="86"/>
      <x:c r="Q81" s="86"/>
      <x:c r="R81" s="86"/>
      <x:c r="S81" s="86"/>
      <x:c r="T81" s="86"/>
      <x:c r="U81" s="86"/>
      <x:c r="V81" s="86"/>
      <x:c r="W81" s="86"/>
      <x:c r="X81" s="86"/>
      <x:c r="Y81" s="86"/>
      <x:c r="Z81" s="86"/>
    </x:row>
    <x:row r="82">
      <x:c r="A82" s="86"/>
      <x:c r="B82" s="86"/>
      <x:c r="C82" s="95"/>
      <x:c r="D82" s="95"/>
      <x:c r="E82" s="95"/>
      <x:c r="F82" s="95"/>
      <x:c r="G82" s="95"/>
      <x:c r="H82" s="95"/>
      <x:c r="I82" s="95"/>
      <x:c r="J82" s="95"/>
      <x:c r="K82" s="95"/>
      <x:c r="L82" s="126"/>
      <x:c r="M82" s="86"/>
      <x:c r="N82" s="86"/>
      <x:c r="O82" s="86"/>
      <x:c r="P82" s="86"/>
      <x:c r="Q82" s="86"/>
      <x:c r="R82" s="86"/>
      <x:c r="S82" s="86"/>
      <x:c r="T82" s="86"/>
      <x:c r="U82" s="86"/>
      <x:c r="V82" s="86"/>
      <x:c r="W82" s="86"/>
      <x:c r="X82" s="86"/>
      <x:c r="Y82" s="86"/>
      <x:c r="Z82" s="86"/>
    </x:row>
    <x:row r="83">
      <x:c r="A83" s="86"/>
      <x:c r="B83" s="86"/>
      <x:c r="C83" s="95"/>
      <x:c r="D83" s="95"/>
      <x:c r="E83" s="95"/>
      <x:c r="F83" s="95"/>
      <x:c r="G83" s="95"/>
      <x:c r="H83" s="95"/>
      <x:c r="I83" s="95"/>
      <x:c r="J83" s="95"/>
      <x:c r="K83" s="95"/>
      <x:c r="L83" s="126"/>
      <x:c r="M83" s="86"/>
      <x:c r="N83" s="86"/>
      <x:c r="O83" s="86"/>
      <x:c r="P83" s="86"/>
      <x:c r="Q83" s="86"/>
      <x:c r="R83" s="86"/>
      <x:c r="S83" s="86"/>
      <x:c r="T83" s="86"/>
      <x:c r="U83" s="86"/>
      <x:c r="V83" s="86"/>
      <x:c r="W83" s="86"/>
      <x:c r="X83" s="86"/>
      <x:c r="Y83" s="86"/>
      <x:c r="Z83" s="86"/>
    </x:row>
    <x:row r="84">
      <x:c r="A84" s="86"/>
      <x:c r="B84" s="86"/>
      <x:c r="C84" s="95"/>
      <x:c r="D84" s="95"/>
      <x:c r="E84" s="95"/>
      <x:c r="F84" s="95"/>
      <x:c r="G84" s="95"/>
      <x:c r="H84" s="95"/>
      <x:c r="I84" s="95"/>
      <x:c r="J84" s="95"/>
      <x:c r="K84" s="95"/>
      <x:c r="L84" s="126"/>
      <x:c r="M84" s="86"/>
      <x:c r="N84" s="86"/>
      <x:c r="O84" s="86"/>
      <x:c r="P84" s="86"/>
      <x:c r="Q84" s="86"/>
      <x:c r="R84" s="86"/>
      <x:c r="S84" s="86"/>
      <x:c r="T84" s="86"/>
      <x:c r="U84" s="86"/>
      <x:c r="V84" s="86"/>
      <x:c r="W84" s="86"/>
      <x:c r="X84" s="86"/>
      <x:c r="Y84" s="86"/>
      <x:c r="Z84" s="86"/>
    </x:row>
    <x:row r="85">
      <x:c r="A85" s="86"/>
      <x:c r="B85" s="86"/>
      <x:c r="C85" s="95"/>
      <x:c r="D85" s="95"/>
      <x:c r="E85" s="95"/>
      <x:c r="F85" s="95"/>
      <x:c r="G85" s="95"/>
      <x:c r="H85" s="95"/>
      <x:c r="I85" s="95"/>
      <x:c r="J85" s="95"/>
      <x:c r="K85" s="95"/>
      <x:c r="L85" s="126"/>
      <x:c r="M85" s="86"/>
      <x:c r="N85" s="86"/>
      <x:c r="O85" s="86"/>
      <x:c r="P85" s="86"/>
      <x:c r="Q85" s="86"/>
      <x:c r="R85" s="86"/>
      <x:c r="S85" s="86"/>
      <x:c r="T85" s="86"/>
      <x:c r="U85" s="86"/>
      <x:c r="V85" s="86"/>
      <x:c r="W85" s="86"/>
      <x:c r="X85" s="86"/>
      <x:c r="Y85" s="86"/>
      <x:c r="Z85" s="86"/>
    </x:row>
    <x:row r="86">
      <x:c r="A86" s="86"/>
      <x:c r="B86" s="86"/>
      <x:c r="C86" s="95"/>
      <x:c r="D86" s="95"/>
      <x:c r="E86" s="95"/>
      <x:c r="F86" s="95"/>
      <x:c r="G86" s="95"/>
      <x:c r="H86" s="95"/>
      <x:c r="I86" s="95"/>
      <x:c r="J86" s="95"/>
      <x:c r="K86" s="95"/>
      <x:c r="L86" s="126"/>
      <x:c r="M86" s="86"/>
      <x:c r="N86" s="86"/>
      <x:c r="O86" s="86"/>
      <x:c r="P86" s="86"/>
      <x:c r="Q86" s="86"/>
      <x:c r="R86" s="86"/>
      <x:c r="S86" s="86"/>
      <x:c r="T86" s="86"/>
      <x:c r="U86" s="86"/>
      <x:c r="V86" s="86"/>
      <x:c r="W86" s="86"/>
      <x:c r="X86" s="86"/>
      <x:c r="Y86" s="86"/>
      <x:c r="Z86" s="86"/>
    </x:row>
    <x:row r="87">
      <x:c r="A87" s="86"/>
      <x:c r="B87" s="86"/>
      <x:c r="C87" s="95"/>
      <x:c r="D87" s="95"/>
      <x:c r="E87" s="95"/>
      <x:c r="F87" s="95"/>
      <x:c r="G87" s="95"/>
      <x:c r="H87" s="95"/>
      <x:c r="I87" s="95"/>
      <x:c r="J87" s="95"/>
      <x:c r="K87" s="95"/>
      <x:c r="L87" s="126"/>
      <x:c r="M87" s="86"/>
      <x:c r="N87" s="86"/>
      <x:c r="O87" s="86"/>
      <x:c r="P87" s="86"/>
      <x:c r="Q87" s="86"/>
      <x:c r="R87" s="86"/>
      <x:c r="S87" s="86"/>
      <x:c r="T87" s="86"/>
      <x:c r="U87" s="86"/>
      <x:c r="V87" s="86"/>
      <x:c r="W87" s="86"/>
      <x:c r="X87" s="86"/>
      <x:c r="Y87" s="86"/>
      <x:c r="Z87" s="86"/>
    </x:row>
    <x:row r="88">
      <x:c r="A88" s="86"/>
      <x:c r="B88" s="86"/>
      <x:c r="C88" s="95"/>
      <x:c r="D88" s="95"/>
      <x:c r="E88" s="95"/>
      <x:c r="F88" s="95"/>
      <x:c r="G88" s="95"/>
      <x:c r="H88" s="95"/>
      <x:c r="I88" s="95"/>
      <x:c r="J88" s="95"/>
      <x:c r="K88" s="95"/>
      <x:c r="L88" s="126"/>
      <x:c r="M88" s="86"/>
      <x:c r="N88" s="86"/>
      <x:c r="O88" s="86"/>
      <x:c r="P88" s="86"/>
      <x:c r="Q88" s="86"/>
      <x:c r="R88" s="86"/>
      <x:c r="S88" s="86"/>
      <x:c r="T88" s="86"/>
      <x:c r="U88" s="86"/>
      <x:c r="V88" s="86"/>
      <x:c r="W88" s="86"/>
      <x:c r="X88" s="86"/>
      <x:c r="Y88" s="86"/>
      <x:c r="Z88" s="86"/>
    </x:row>
    <x:row r="89">
      <x:c r="A89" s="86"/>
      <x:c r="B89" s="86"/>
      <x:c r="C89" s="95"/>
      <x:c r="D89" s="95"/>
      <x:c r="E89" s="95"/>
      <x:c r="F89" s="95"/>
      <x:c r="G89" s="95"/>
      <x:c r="H89" s="95"/>
      <x:c r="I89" s="95"/>
      <x:c r="J89" s="95"/>
      <x:c r="K89" s="95"/>
      <x:c r="L89" s="126"/>
      <x:c r="M89" s="86"/>
      <x:c r="N89" s="86"/>
      <x:c r="O89" s="86"/>
      <x:c r="P89" s="86"/>
      <x:c r="Q89" s="86"/>
      <x:c r="R89" s="86"/>
      <x:c r="S89" s="86"/>
      <x:c r="T89" s="86"/>
      <x:c r="U89" s="86"/>
      <x:c r="V89" s="86"/>
      <x:c r="W89" s="86"/>
      <x:c r="X89" s="86"/>
      <x:c r="Y89" s="86"/>
      <x:c r="Z89" s="86"/>
    </x:row>
    <x:row r="90">
      <x:c r="A90" s="86"/>
      <x:c r="B90" s="86"/>
      <x:c r="C90" s="95"/>
      <x:c r="D90" s="95"/>
      <x:c r="E90" s="95"/>
      <x:c r="F90" s="95"/>
      <x:c r="G90" s="95"/>
      <x:c r="H90" s="95"/>
      <x:c r="I90" s="95"/>
      <x:c r="J90" s="95"/>
      <x:c r="K90" s="95"/>
      <x:c r="L90" s="126"/>
      <x:c r="M90" s="86"/>
      <x:c r="N90" s="86"/>
      <x:c r="O90" s="86"/>
      <x:c r="P90" s="86"/>
      <x:c r="Q90" s="86"/>
      <x:c r="R90" s="86"/>
      <x:c r="S90" s="86"/>
      <x:c r="T90" s="86"/>
      <x:c r="U90" s="86"/>
      <x:c r="V90" s="86"/>
      <x:c r="W90" s="86"/>
      <x:c r="X90" s="86"/>
      <x:c r="Y90" s="86"/>
      <x:c r="Z90" s="86"/>
    </x:row>
    <x:row r="91">
      <x:c r="A91" s="86"/>
      <x:c r="B91" s="86"/>
      <x:c r="C91" s="95"/>
      <x:c r="D91" s="95"/>
      <x:c r="E91" s="95"/>
      <x:c r="F91" s="95"/>
      <x:c r="G91" s="95"/>
      <x:c r="H91" s="95"/>
      <x:c r="I91" s="95"/>
      <x:c r="J91" s="95"/>
      <x:c r="K91" s="95"/>
      <x:c r="L91" s="126"/>
      <x:c r="M91" s="86"/>
      <x:c r="N91" s="86"/>
      <x:c r="O91" s="86"/>
      <x:c r="P91" s="86"/>
      <x:c r="Q91" s="86"/>
      <x:c r="R91" s="86"/>
      <x:c r="S91" s="86"/>
      <x:c r="T91" s="86"/>
      <x:c r="U91" s="86"/>
      <x:c r="V91" s="86"/>
      <x:c r="W91" s="86"/>
      <x:c r="X91" s="86"/>
      <x:c r="Y91" s="86"/>
      <x:c r="Z91" s="86"/>
    </x:row>
    <x:row r="92">
      <x:c r="A92" s="86"/>
      <x:c r="B92" s="86"/>
      <x:c r="C92" s="95"/>
      <x:c r="D92" s="95"/>
      <x:c r="E92" s="95"/>
      <x:c r="F92" s="95"/>
      <x:c r="G92" s="95"/>
      <x:c r="H92" s="95"/>
      <x:c r="I92" s="95"/>
      <x:c r="J92" s="95"/>
      <x:c r="K92" s="95"/>
      <x:c r="L92" s="126"/>
      <x:c r="M92" s="86"/>
      <x:c r="N92" s="86"/>
      <x:c r="O92" s="86"/>
      <x:c r="P92" s="86"/>
      <x:c r="Q92" s="86"/>
      <x:c r="R92" s="86"/>
      <x:c r="S92" s="86"/>
      <x:c r="T92" s="86"/>
      <x:c r="U92" s="86"/>
      <x:c r="V92" s="86"/>
      <x:c r="W92" s="86"/>
      <x:c r="X92" s="86"/>
      <x:c r="Y92" s="86"/>
      <x:c r="Z92" s="86"/>
    </x:row>
    <x:row r="93">
      <x:c r="A93" s="86"/>
      <x:c r="B93" s="86"/>
      <x:c r="C93" s="95"/>
      <x:c r="D93" s="95"/>
      <x:c r="E93" s="95"/>
      <x:c r="F93" s="95"/>
      <x:c r="G93" s="95"/>
      <x:c r="H93" s="95"/>
      <x:c r="I93" s="95"/>
      <x:c r="J93" s="95"/>
      <x:c r="K93" s="95"/>
      <x:c r="L93" s="126"/>
      <x:c r="M93" s="86"/>
      <x:c r="N93" s="86"/>
      <x:c r="O93" s="86"/>
      <x:c r="P93" s="86"/>
      <x:c r="Q93" s="86"/>
      <x:c r="R93" s="86"/>
      <x:c r="S93" s="86"/>
      <x:c r="T93" s="86"/>
      <x:c r="U93" s="86"/>
      <x:c r="V93" s="86"/>
      <x:c r="W93" s="86"/>
      <x:c r="X93" s="86"/>
      <x:c r="Y93" s="86"/>
      <x:c r="Z93" s="86"/>
    </x:row>
    <x:row r="94">
      <x:c r="A94" s="86"/>
      <x:c r="B94" s="86"/>
      <x:c r="C94" s="95"/>
      <x:c r="D94" s="95"/>
      <x:c r="E94" s="95"/>
      <x:c r="F94" s="95"/>
      <x:c r="G94" s="95"/>
      <x:c r="H94" s="95"/>
      <x:c r="I94" s="95"/>
      <x:c r="J94" s="95"/>
      <x:c r="K94" s="95"/>
      <x:c r="L94" s="126"/>
      <x:c r="M94" s="86"/>
      <x:c r="N94" s="86"/>
      <x:c r="O94" s="86"/>
      <x:c r="P94" s="86"/>
      <x:c r="Q94" s="86"/>
      <x:c r="R94" s="86"/>
      <x:c r="S94" s="86"/>
      <x:c r="T94" s="86"/>
      <x:c r="U94" s="86"/>
      <x:c r="V94" s="86"/>
      <x:c r="W94" s="86"/>
      <x:c r="X94" s="86"/>
      <x:c r="Y94" s="86"/>
      <x:c r="Z94" s="86"/>
    </x:row>
    <x:row r="95">
      <x:c r="A95" s="86"/>
      <x:c r="B95" s="86"/>
      <x:c r="C95" s="95"/>
      <x:c r="D95" s="95"/>
      <x:c r="E95" s="95"/>
      <x:c r="F95" s="95"/>
      <x:c r="G95" s="95"/>
      <x:c r="H95" s="95"/>
      <x:c r="I95" s="95"/>
      <x:c r="J95" s="95"/>
      <x:c r="K95" s="95"/>
      <x:c r="L95" s="126"/>
      <x:c r="M95" s="86"/>
      <x:c r="N95" s="86"/>
      <x:c r="O95" s="86"/>
      <x:c r="P95" s="86"/>
      <x:c r="Q95" s="86"/>
      <x:c r="R95" s="86"/>
      <x:c r="S95" s="86"/>
      <x:c r="T95" s="86"/>
      <x:c r="U95" s="86"/>
      <x:c r="V95" s="86"/>
      <x:c r="W95" s="86"/>
      <x:c r="X95" s="86"/>
      <x:c r="Y95" s="86"/>
      <x:c r="Z95" s="86"/>
    </x:row>
    <x:row r="96">
      <x:c r="A96" s="86"/>
      <x:c r="B96" s="86"/>
      <x:c r="C96" s="95"/>
      <x:c r="D96" s="95"/>
      <x:c r="E96" s="95"/>
      <x:c r="F96" s="95"/>
      <x:c r="G96" s="95"/>
      <x:c r="H96" s="95"/>
      <x:c r="I96" s="95"/>
      <x:c r="J96" s="95"/>
      <x:c r="K96" s="95"/>
      <x:c r="L96" s="126"/>
      <x:c r="M96" s="86"/>
      <x:c r="N96" s="86"/>
      <x:c r="O96" s="86"/>
      <x:c r="P96" s="86"/>
      <x:c r="Q96" s="86"/>
      <x:c r="R96" s="86"/>
      <x:c r="S96" s="86"/>
      <x:c r="T96" s="86"/>
      <x:c r="U96" s="86"/>
      <x:c r="V96" s="86"/>
      <x:c r="W96" s="86"/>
      <x:c r="X96" s="86"/>
      <x:c r="Y96" s="86"/>
      <x:c r="Z96" s="86"/>
    </x:row>
    <x:row r="97">
      <x:c r="A97" s="86"/>
      <x:c r="B97" s="86"/>
      <x:c r="C97" s="95"/>
      <x:c r="D97" s="95"/>
      <x:c r="E97" s="95"/>
      <x:c r="F97" s="95"/>
      <x:c r="G97" s="95"/>
      <x:c r="H97" s="95"/>
      <x:c r="I97" s="95"/>
      <x:c r="J97" s="95"/>
      <x:c r="K97" s="95"/>
      <x:c r="L97" s="126"/>
      <x:c r="M97" s="86"/>
      <x:c r="N97" s="86"/>
      <x:c r="O97" s="86"/>
      <x:c r="P97" s="86"/>
      <x:c r="Q97" s="86"/>
      <x:c r="R97" s="86"/>
      <x:c r="S97" s="86"/>
      <x:c r="T97" s="86"/>
      <x:c r="U97" s="86"/>
      <x:c r="V97" s="86"/>
      <x:c r="W97" s="86"/>
      <x:c r="X97" s="86"/>
      <x:c r="Y97" s="86"/>
      <x:c r="Z97" s="86"/>
    </x:row>
    <x:row r="98">
      <x:c r="A98" s="86"/>
      <x:c r="B98" s="86"/>
      <x:c r="C98" s="95"/>
      <x:c r="D98" s="95"/>
      <x:c r="E98" s="95"/>
      <x:c r="F98" s="95"/>
      <x:c r="G98" s="95"/>
      <x:c r="H98" s="95"/>
      <x:c r="I98" s="95"/>
      <x:c r="J98" s="95"/>
      <x:c r="K98" s="95"/>
      <x:c r="L98" s="126"/>
      <x:c r="M98" s="86"/>
      <x:c r="N98" s="86"/>
      <x:c r="O98" s="86"/>
      <x:c r="P98" s="86"/>
      <x:c r="Q98" s="86"/>
      <x:c r="R98" s="86"/>
      <x:c r="S98" s="86"/>
      <x:c r="T98" s="86"/>
      <x:c r="U98" s="86"/>
      <x:c r="V98" s="86"/>
      <x:c r="W98" s="86"/>
      <x:c r="X98" s="86"/>
      <x:c r="Y98" s="86"/>
      <x:c r="Z98" s="86"/>
    </x:row>
    <x:row r="99">
      <x:c r="A99" s="86"/>
      <x:c r="B99" s="86"/>
      <x:c r="C99" s="95"/>
      <x:c r="D99" s="95"/>
      <x:c r="E99" s="95"/>
      <x:c r="F99" s="95"/>
      <x:c r="G99" s="95"/>
      <x:c r="H99" s="95"/>
      <x:c r="I99" s="95"/>
      <x:c r="J99" s="95"/>
      <x:c r="K99" s="95"/>
      <x:c r="L99" s="126"/>
      <x:c r="M99" s="86"/>
      <x:c r="N99" s="86"/>
      <x:c r="O99" s="86"/>
      <x:c r="P99" s="86"/>
      <x:c r="Q99" s="86"/>
      <x:c r="R99" s="86"/>
      <x:c r="S99" s="86"/>
      <x:c r="T99" s="86"/>
      <x:c r="U99" s="86"/>
      <x:c r="V99" s="86"/>
      <x:c r="W99" s="86"/>
      <x:c r="X99" s="86"/>
      <x:c r="Y99" s="86"/>
      <x:c r="Z99" s="86"/>
    </x:row>
    <x:row r="100">
      <x:c r="A100" s="86"/>
      <x:c r="B100" s="86"/>
      <x:c r="C100" s="95"/>
      <x:c r="D100" s="95"/>
      <x:c r="E100" s="95"/>
      <x:c r="F100" s="95"/>
      <x:c r="G100" s="95"/>
      <x:c r="H100" s="95"/>
      <x:c r="I100" s="95"/>
      <x:c r="J100" s="95"/>
      <x:c r="K100" s="95"/>
      <x:c r="L100" s="126"/>
      <x:c r="M100" s="86"/>
      <x:c r="N100" s="86"/>
      <x:c r="O100" s="86"/>
      <x:c r="P100" s="86"/>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M1"/>
  </x:mergeCells>
  <x:dataValidations count="1">
    <x:dataValidation type="list" sqref="M4:M100">
      <x:formula1>"重点,普通,暂停,归档"</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1" hidden="0" customWidth="1"/>
    <x:col min="2" max="2" width="14" hidden="0" customWidth="1"/>
    <x:col min="3" max="3" width="10" hidden="0" customWidth="1"/>
    <x:col min="4" max="4" width="14" hidden="0" customWidth="1"/>
    <x:col min="5" max="5" width="12" hidden="0" customWidth="1"/>
    <x:col min="6" max="6" width="24" hidden="0" customWidth="1"/>
    <x:col min="7" max="7" width="24" hidden="0" customWidth="1"/>
    <x:col min="8" max="8" width="24" hidden="0" customWidth="1"/>
    <x:col min="9" max="9" width="24" hidden="0" customWidth="1"/>
    <x:col min="10" max="10" width="22" hidden="0" customWidth="1"/>
    <x:col min="11" max="11" width="30" hidden="0" customWidth="1"/>
    <x:col min="12" max="12" width="30" hidden="0" customWidth="1"/>
    <x:col min="13" max="13" width="38" hidden="0" customWidth="1"/>
    <x:col min="14" max="14" width="30" hidden="0" customWidth="1"/>
  </x:cols>
  <x:sheetData>
    <x:row r="1">
      <x:c r="A1" s="5" t="str">
        <x:v>年报/公告跟踪（核心任务：确认投资逻辑有没有变化，而不是只看利润增速）</x:v>
      </x:c>
      <x:c r="B1" s="5"/>
      <x:c r="C1" s="5"/>
      <x:c r="D1" s="5"/>
      <x:c r="E1" s="5"/>
      <x:c r="F1" s="5"/>
      <x:c r="G1" s="5"/>
      <x:c r="H1" s="5"/>
      <x:c r="I1" s="5"/>
      <x:c r="J1" s="5"/>
      <x:c r="K1" s="5"/>
      <x:c r="L1" s="5"/>
      <x:c r="M1" s="5"/>
      <x:c r="N1" s="5"/>
      <x:c r="O1" s="86"/>
      <x:c r="P1" s="86"/>
      <x:c r="Q1" s="86"/>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股票代码</x:v>
      </x:c>
      <x:c r="B3" s="13" t="str">
        <x:v>公司名称</x:v>
      </x:c>
      <x:c r="C3" s="13" t="str">
        <x:v>报告年度</x:v>
      </x:c>
      <x:c r="D3" s="13" t="str">
        <x:v>年报状态</x:v>
      </x:c>
      <x:c r="E3" s="13" t="str">
        <x:v>审计意见</x:v>
      </x:c>
      <x:c r="F3" s="13" t="str">
        <x:v>营收变化</x:v>
      </x:c>
      <x:c r="G3" s="13" t="str">
        <x:v>利润变化</x:v>
      </x:c>
      <x:c r="H3" s="13" t="str">
        <x:v>现金流变化</x:v>
      </x:c>
      <x:c r="I3" s="13" t="str">
        <x:v>资本开支变化</x:v>
      </x:c>
      <x:c r="J3" s="13" t="str">
        <x:v>分红变化</x:v>
      </x:c>
      <x:c r="K3" s="13" t="str">
        <x:v>管理层表述变化</x:v>
      </x:c>
      <x:c r="L3" s="13" t="str">
        <x:v>风险提示变化</x:v>
      </x:c>
      <x:c r="M3" s="13" t="str">
        <x:v>官方来源URL</x:v>
      </x:c>
      <x:c r="N3" s="13" t="str">
        <x:v>阅读结论</x:v>
      </x:c>
      <x:c r="O3" s="86"/>
      <x:c r="P3" s="86"/>
      <x:c r="Q3" s="86"/>
      <x:c r="R3" s="86"/>
      <x:c r="S3" s="86"/>
      <x:c r="T3" s="86"/>
      <x:c r="U3" s="86"/>
      <x:c r="V3" s="86"/>
      <x:c r="W3" s="86"/>
      <x:c r="X3" s="86"/>
      <x:c r="Y3" s="86"/>
      <x:c r="Z3" s="86"/>
    </x:row>
    <x:row r="4">
      <x:c r="A4" s="86" t="str">
        <x:v>600941</x:v>
      </x:c>
      <x:c r="B4" s="86" t="str">
        <x:v>中国移动</x:v>
      </x:c>
      <x:c r="C4" s="86" t="str">
        <x:v>2026H1</x:v>
      </x:c>
      <x:c r="D4" s="86" t="str">
        <x:v>官方原件待复核: 中国移动：2026年半年度报告</x:v>
      </x:c>
      <x:c r="E4" s="106" t="str">
        <x:v>2026-08-13 16:00:00+00:00</x:v>
      </x:c>
      <x:c r="F4" s="106"/>
      <x:c r="G4" s="106"/>
      <x:c r="H4" s="106"/>
      <x:c r="I4" s="106"/>
      <x:c r="J4" s="106"/>
      <x:c r="K4" s="106"/>
      <x:c r="L4" s="106"/>
      <x:c r="M4" s="130" t="str">
        <x:v>https://static.cninfo.com.cn/finalpage/2026-08-14/1225472195.PDF</x:v>
      </x:c>
      <x:c r="N4" s="106"/>
      <x:c r="O4" s="86"/>
      <x:c r="P4" s="86"/>
      <x:c r="Q4" s="86"/>
      <x:c r="R4" s="86"/>
      <x:c r="S4" s="86"/>
      <x:c r="T4" s="86"/>
      <x:c r="U4" s="86"/>
      <x:c r="V4" s="86"/>
      <x:c r="W4" s="86"/>
      <x:c r="X4" s="86"/>
      <x:c r="Y4" s="86"/>
      <x:c r="Z4" s="86"/>
    </x:row>
    <x:row r="5">
      <x:c r="A5" s="86" t="str">
        <x:v>600900</x:v>
      </x:c>
      <x:c r="B5" s="86" t="str">
        <x:v>长江电力</x:v>
      </x:c>
      <x:c r="C5" s="86" t="str">
        <x:v>2026H1</x:v>
      </x:c>
      <x:c r="D5" s="86" t="str">
        <x:v>官方原件待复核: 长江电力2026年半年度报告</x:v>
      </x:c>
      <x:c r="E5" s="106" t="str">
        <x:v>2026-08-30 16:00:00+00:00</x:v>
      </x:c>
      <x:c r="F5" s="106"/>
      <x:c r="G5" s="106"/>
      <x:c r="H5" s="106"/>
      <x:c r="I5" s="106"/>
      <x:c r="J5" s="106"/>
      <x:c r="K5" s="106"/>
      <x:c r="L5" s="106"/>
      <x:c r="M5" s="130" t="str">
        <x:v>https://static.cninfo.com.cn/finalpage/2026-08-31/1225534923.PDF</x:v>
      </x:c>
      <x:c r="N5" s="106"/>
      <x:c r="O5" s="86"/>
      <x:c r="P5" s="86"/>
      <x:c r="Q5" s="86"/>
      <x:c r="R5" s="86"/>
      <x:c r="S5" s="86"/>
      <x:c r="T5" s="86"/>
      <x:c r="U5" s="86"/>
      <x:c r="V5" s="86"/>
      <x:c r="W5" s="86"/>
      <x:c r="X5" s="86"/>
      <x:c r="Y5" s="86"/>
      <x:c r="Z5" s="86"/>
    </x:row>
    <x:row r="6">
      <x:c r="A6" s="86" t="str">
        <x:v>600519</x:v>
      </x:c>
      <x:c r="B6" s="86" t="str">
        <x:v>贵州茅台</x:v>
      </x:c>
      <x:c r="C6" s="86" t="str">
        <x:v>2026H1</x:v>
      </x:c>
      <x:c r="D6" s="86" t="str">
        <x:v>官方原件待复核: 贵州茅台2026年半年度报告</x:v>
      </x:c>
      <x:c r="E6" s="106" t="str">
        <x:v>2026-08-14 16:00:00+00:00</x:v>
      </x:c>
      <x:c r="F6" s="106"/>
      <x:c r="G6" s="106"/>
      <x:c r="H6" s="106"/>
      <x:c r="I6" s="106"/>
      <x:c r="J6" s="106"/>
      <x:c r="K6" s="106"/>
      <x:c r="L6" s="106"/>
      <x:c r="M6" s="130" t="str">
        <x:v>https://static.cninfo.com.cn/finalpage/2026-08-15/1225475868.PDF</x:v>
      </x:c>
      <x:c r="N6" s="106"/>
      <x:c r="O6" s="86"/>
      <x:c r="P6" s="86"/>
      <x:c r="Q6" s="86"/>
      <x:c r="R6" s="86"/>
      <x:c r="S6" s="86"/>
      <x:c r="T6" s="86"/>
      <x:c r="U6" s="86"/>
      <x:c r="V6" s="86"/>
      <x:c r="W6" s="86"/>
      <x:c r="X6" s="86"/>
      <x:c r="Y6" s="86"/>
      <x:c r="Z6" s="86"/>
    </x:row>
    <x:row r="7">
      <x:c r="A7" s="86" t="str">
        <x:v>000333</x:v>
      </x:c>
      <x:c r="B7" s="86" t="str">
        <x:v>美的集团</x:v>
      </x:c>
      <x:c r="C7" s="86" t="str">
        <x:v>2026H1</x:v>
      </x:c>
      <x:c r="D7" s="86" t="str">
        <x:v>官方原件待复核: 2026年半年度报告</x:v>
      </x:c>
      <x:c r="E7" s="106" t="str">
        <x:v>2026-08-28 16:00:00+00:00</x:v>
      </x:c>
      <x:c r="F7" s="106"/>
      <x:c r="G7" s="106"/>
      <x:c r="H7" s="106"/>
      <x:c r="I7" s="106"/>
      <x:c r="J7" s="106"/>
      <x:c r="K7" s="106"/>
      <x:c r="L7" s="106"/>
      <x:c r="M7" s="130" t="str">
        <x:v>https://static.cninfo.com.cn/finalpage/2026-08-29/1225531404.PDF</x:v>
      </x:c>
      <x:c r="N7" s="106"/>
      <x:c r="O7" s="86"/>
      <x:c r="P7" s="86"/>
      <x:c r="Q7" s="86"/>
      <x:c r="R7" s="86"/>
      <x:c r="S7" s="86"/>
      <x:c r="T7" s="86"/>
      <x:c r="U7" s="86"/>
      <x:c r="V7" s="86"/>
      <x:c r="W7" s="86"/>
      <x:c r="X7" s="86"/>
      <x:c r="Y7" s="86"/>
      <x:c r="Z7" s="86"/>
    </x:row>
    <x:row r="8">
      <x:c r="A8" s="86" t="str">
        <x:v>600036</x:v>
      </x:c>
      <x:c r="B8" s="86" t="str">
        <x:v>招商银行</x:v>
      </x:c>
      <x:c r="C8" s="86" t="str">
        <x:v>2026H1</x:v>
      </x:c>
      <x:c r="D8" s="86" t="str">
        <x:v>官方原件待复核: 招商银行股份有限公司2026年半年度报告</x:v>
      </x:c>
      <x:c r="E8" s="106" t="str">
        <x:v>2026-08-28 16:00:00+00:00</x:v>
      </x:c>
      <x:c r="F8" s="106"/>
      <x:c r="G8" s="106"/>
      <x:c r="H8" s="106"/>
      <x:c r="I8" s="106"/>
      <x:c r="J8" s="106"/>
      <x:c r="K8" s="106"/>
      <x:c r="L8" s="106"/>
      <x:c r="M8" s="130" t="str">
        <x:v>https://static.cninfo.com.cn/finalpage/2026-08-29/1225530237.PDF</x:v>
      </x:c>
      <x:c r="N8" s="106"/>
      <x:c r="O8" s="86"/>
      <x:c r="P8" s="86"/>
      <x:c r="Q8" s="86"/>
      <x:c r="R8" s="86"/>
      <x:c r="S8" s="86"/>
      <x:c r="T8" s="86"/>
      <x:c r="U8" s="86"/>
      <x:c r="V8" s="86"/>
      <x:c r="W8" s="86"/>
      <x:c r="X8" s="86"/>
      <x:c r="Y8" s="86"/>
      <x:c r="Z8" s="86"/>
    </x:row>
    <x:row r="9">
      <x:c r="A9" s="86" t="str">
        <x:v>601288</x:v>
      </x:c>
      <x:c r="B9" s="86" t="str">
        <x:v>农业银行</x:v>
      </x:c>
      <x:c r="C9" s="86" t="str">
        <x:v>2026H1</x:v>
      </x:c>
      <x:c r="D9" s="86" t="str">
        <x:v>官方原件待复核: 农业银行2026年半年度报告</x:v>
      </x:c>
      <x:c r="E9" s="106" t="str">
        <x:v>2026-08-28 16:00:00+00:00</x:v>
      </x:c>
      <x:c r="F9" s="106"/>
      <x:c r="G9" s="106"/>
      <x:c r="H9" s="106"/>
      <x:c r="I9" s="106"/>
      <x:c r="J9" s="106"/>
      <x:c r="K9" s="106"/>
      <x:c r="L9" s="106"/>
      <x:c r="M9" s="130" t="str">
        <x:v>https://static.cninfo.com.cn/finalpage/2026-08-29/1225527334.PDF</x:v>
      </x:c>
      <x:c r="N9" s="106"/>
      <x:c r="O9" s="86"/>
      <x:c r="P9" s="86"/>
      <x:c r="Q9" s="86"/>
      <x:c r="R9" s="86"/>
      <x:c r="S9" s="86"/>
      <x:c r="T9" s="86"/>
      <x:c r="U9" s="86"/>
      <x:c r="V9" s="86"/>
      <x:c r="W9" s="86"/>
      <x:c r="X9" s="86"/>
      <x:c r="Y9" s="86"/>
      <x:c r="Z9" s="86"/>
    </x:row>
    <x:row r="10">
      <x:c r="A10" s="86" t="str">
        <x:v>601088</x:v>
      </x:c>
      <x:c r="B10" s="86" t="str">
        <x:v>中国神华</x:v>
      </x:c>
      <x:c r="C10" s="86" t="str">
        <x:v>2026H1</x:v>
      </x:c>
      <x:c r="D10" s="86" t="str">
        <x:v>官方原件待复核: 中国神华2026年半年度报告</x:v>
      </x:c>
      <x:c r="E10" s="106" t="str">
        <x:v>2026-08-28 16:00:00+00:00</x:v>
      </x:c>
      <x:c r="F10" s="106"/>
      <x:c r="G10" s="106"/>
      <x:c r="H10" s="106"/>
      <x:c r="I10" s="106"/>
      <x:c r="J10" s="106"/>
      <x:c r="K10" s="106"/>
      <x:c r="L10" s="106"/>
      <x:c r="M10" s="130" t="str">
        <x:v>https://static.cninfo.com.cn/finalpage/2026-08-29/1225531759.PDF</x:v>
      </x:c>
      <x:c r="N10" s="106"/>
      <x:c r="O10" s="86"/>
      <x:c r="P10" s="86"/>
      <x:c r="Q10" s="86"/>
      <x:c r="R10" s="86"/>
      <x:c r="S10" s="86"/>
      <x:c r="T10" s="86"/>
      <x:c r="U10" s="86"/>
      <x:c r="V10" s="86"/>
      <x:c r="W10" s="86"/>
      <x:c r="X10" s="86"/>
      <x:c r="Y10" s="86"/>
      <x:c r="Z10" s="86"/>
    </x:row>
    <x:row r="11">
      <x:c r="A11" s="86" t="str">
        <x:v>600690</x:v>
      </x:c>
      <x:c r="B11" s="86" t="str">
        <x:v>海尔智家</x:v>
      </x:c>
      <x:c r="C11" s="86" t="str">
        <x:v>2026H1</x:v>
      </x:c>
      <x:c r="D11" s="86" t="str">
        <x:v>官方原件待复核: 海尔智家股份有限公司2026年半年度报告</x:v>
      </x:c>
      <x:c r="E11" s="106" t="str">
        <x:v>2026-08-27 16:00:00+00:00</x:v>
      </x:c>
      <x:c r="F11" s="106"/>
      <x:c r="G11" s="106"/>
      <x:c r="H11" s="106"/>
      <x:c r="I11" s="106"/>
      <x:c r="J11" s="106"/>
      <x:c r="K11" s="106"/>
      <x:c r="L11" s="106"/>
      <x:c r="M11" s="130" t="str">
        <x:v>https://static.cninfo.com.cn/finalpage/2026-08-28/1225522691.PDF</x:v>
      </x:c>
      <x:c r="N11" s="106"/>
      <x:c r="O11" s="86"/>
      <x:c r="P11" s="86"/>
      <x:c r="Q11" s="86"/>
      <x:c r="R11" s="86"/>
      <x:c r="S11" s="86"/>
      <x:c r="T11" s="86"/>
      <x:c r="U11" s="86"/>
      <x:c r="V11" s="86"/>
      <x:c r="W11" s="86"/>
      <x:c r="X11" s="86"/>
      <x:c r="Y11" s="86"/>
      <x:c r="Z11" s="86"/>
    </x:row>
    <x:row r="12">
      <x:c r="A12" s="86" t="str">
        <x:v>300750</x:v>
      </x:c>
      <x:c r="B12" s="86" t="str">
        <x:v>宁德时代</x:v>
      </x:c>
      <x:c r="C12" s="86" t="str">
        <x:v>2026H1</x:v>
      </x:c>
      <x:c r="D12" s="86" t="str">
        <x:v>官方原件待复核: 2026年半年度报告</x:v>
      </x:c>
      <x:c r="E12" s="106" t="str">
        <x:v>2026-07-24 16:00:00+00:00</x:v>
      </x:c>
      <x:c r="F12" s="106"/>
      <x:c r="G12" s="106"/>
      <x:c r="H12" s="106"/>
      <x:c r="I12" s="106"/>
      <x:c r="J12" s="106"/>
      <x:c r="K12" s="106"/>
      <x:c r="L12" s="106"/>
      <x:c r="M12" s="130" t="str">
        <x:v>https://static.cninfo.com.cn/finalpage/2026-07-25/1225441586.PDF</x:v>
      </x:c>
      <x:c r="N12" s="106"/>
      <x:c r="O12" s="86"/>
      <x:c r="P12" s="86"/>
      <x:c r="Q12" s="86"/>
      <x:c r="R12" s="86"/>
      <x:c r="S12" s="86"/>
      <x:c r="T12" s="86"/>
      <x:c r="U12" s="86"/>
      <x:c r="V12" s="86"/>
      <x:c r="W12" s="86"/>
      <x:c r="X12" s="86"/>
      <x:c r="Y12" s="86"/>
      <x:c r="Z12" s="86"/>
    </x:row>
    <x:row r="13">
      <x:c r="A13" s="86" t="str">
        <x:v>600887</x:v>
      </x:c>
      <x:c r="B13" s="86" t="str">
        <x:v>伊利股份</x:v>
      </x:c>
      <x:c r="C13" s="86" t="str">
        <x:v>2026H1</x:v>
      </x:c>
      <x:c r="D13" s="86" t="str">
        <x:v>官方原件待复核: 内蒙古伊利实业集团股份有限公司2026年半年度报告</x:v>
      </x:c>
      <x:c r="E13" s="106" t="str">
        <x:v>2026-08-26 16:00:00+00:00</x:v>
      </x:c>
      <x:c r="F13" s="106"/>
      <x:c r="G13" s="106"/>
      <x:c r="H13" s="106"/>
      <x:c r="I13" s="106"/>
      <x:c r="J13" s="106"/>
      <x:c r="K13" s="106"/>
      <x:c r="L13" s="106"/>
      <x:c r="M13" s="130" t="str">
        <x:v>https://static.cninfo.com.cn/finalpage/2026-08-27/1225511409.PDF</x:v>
      </x:c>
      <x:c r="N13" s="106"/>
      <x:c r="O13" s="86"/>
      <x:c r="P13" s="86"/>
      <x:c r="Q13" s="86"/>
      <x:c r="R13" s="86"/>
      <x:c r="S13" s="86"/>
      <x:c r="T13" s="86"/>
      <x:c r="U13" s="86"/>
      <x:c r="V13" s="86"/>
      <x:c r="W13" s="86"/>
      <x:c r="X13" s="86"/>
      <x:c r="Y13" s="86"/>
      <x:c r="Z13" s="86"/>
    </x:row>
    <x:row r="14">
      <x:c r="A14" s="86"/>
      <x:c r="B14" s="86"/>
      <x:c r="C14" s="86"/>
      <x:c r="D14" s="86"/>
      <x:c r="E14" s="106"/>
      <x:c r="F14" s="106"/>
      <x:c r="G14" s="106"/>
      <x:c r="H14" s="106"/>
      <x:c r="I14" s="106"/>
      <x:c r="J14" s="106"/>
      <x:c r="K14" s="106"/>
      <x:c r="L14" s="106"/>
      <x:c r="M14" s="130"/>
      <x:c r="N14" s="106"/>
      <x:c r="O14" s="86"/>
      <x:c r="P14" s="86"/>
      <x:c r="Q14" s="86"/>
      <x:c r="R14" s="86"/>
      <x:c r="S14" s="86"/>
      <x:c r="T14" s="86"/>
      <x:c r="U14" s="86"/>
      <x:c r="V14" s="86"/>
      <x:c r="W14" s="86"/>
      <x:c r="X14" s="86"/>
      <x:c r="Y14" s="86"/>
      <x:c r="Z14" s="86"/>
    </x:row>
    <x:row r="15">
      <x:c r="A15" s="86"/>
      <x:c r="B15" s="86"/>
      <x:c r="C15" s="86"/>
      <x:c r="D15" s="86"/>
      <x:c r="E15" s="106"/>
      <x:c r="F15" s="106"/>
      <x:c r="G15" s="106"/>
      <x:c r="H15" s="106"/>
      <x:c r="I15" s="106"/>
      <x:c r="J15" s="106"/>
      <x:c r="K15" s="106"/>
      <x:c r="L15" s="106"/>
      <x:c r="M15" s="130"/>
      <x:c r="N15" s="106"/>
      <x:c r="O15" s="86"/>
      <x:c r="P15" s="86"/>
      <x:c r="Q15" s="86"/>
      <x:c r="R15" s="86"/>
      <x:c r="S15" s="86"/>
      <x:c r="T15" s="86"/>
      <x:c r="U15" s="86"/>
      <x:c r="V15" s="86"/>
      <x:c r="W15" s="86"/>
      <x:c r="X15" s="86"/>
      <x:c r="Y15" s="86"/>
      <x:c r="Z15" s="86"/>
    </x:row>
    <x:row r="16">
      <x:c r="A16" s="86"/>
      <x:c r="B16" s="86"/>
      <x:c r="C16" s="86"/>
      <x:c r="D16" s="86"/>
      <x:c r="E16" s="106"/>
      <x:c r="F16" s="106"/>
      <x:c r="G16" s="106"/>
      <x:c r="H16" s="106"/>
      <x:c r="I16" s="106"/>
      <x:c r="J16" s="106"/>
      <x:c r="K16" s="106"/>
      <x:c r="L16" s="106"/>
      <x:c r="M16" s="130"/>
      <x:c r="N16" s="106"/>
      <x:c r="O16" s="86"/>
      <x:c r="P16" s="86"/>
      <x:c r="Q16" s="86"/>
      <x:c r="R16" s="86"/>
      <x:c r="S16" s="86"/>
      <x:c r="T16" s="86"/>
      <x:c r="U16" s="86"/>
      <x:c r="V16" s="86"/>
      <x:c r="W16" s="86"/>
      <x:c r="X16" s="86"/>
      <x:c r="Y16" s="86"/>
      <x:c r="Z16" s="86"/>
    </x:row>
    <x:row r="17">
      <x:c r="A17" s="86"/>
      <x:c r="B17" s="86"/>
      <x:c r="C17" s="86"/>
      <x:c r="D17" s="86"/>
      <x:c r="E17" s="106"/>
      <x:c r="F17" s="106"/>
      <x:c r="G17" s="106"/>
      <x:c r="H17" s="106"/>
      <x:c r="I17" s="106"/>
      <x:c r="J17" s="106"/>
      <x:c r="K17" s="106"/>
      <x:c r="L17" s="106"/>
      <x:c r="M17" s="130"/>
      <x:c r="N17" s="106"/>
      <x:c r="O17" s="86"/>
      <x:c r="P17" s="86"/>
      <x:c r="Q17" s="86"/>
      <x:c r="R17" s="86"/>
      <x:c r="S17" s="86"/>
      <x:c r="T17" s="86"/>
      <x:c r="U17" s="86"/>
      <x:c r="V17" s="86"/>
      <x:c r="W17" s="86"/>
      <x:c r="X17" s="86"/>
      <x:c r="Y17" s="86"/>
      <x:c r="Z17" s="86"/>
    </x:row>
    <x:row r="18">
      <x:c r="A18" s="86"/>
      <x:c r="B18" s="86"/>
      <x:c r="C18" s="86"/>
      <x:c r="D18" s="86"/>
      <x:c r="E18" s="106"/>
      <x:c r="F18" s="106"/>
      <x:c r="G18" s="106"/>
      <x:c r="H18" s="106"/>
      <x:c r="I18" s="106"/>
      <x:c r="J18" s="106"/>
      <x:c r="K18" s="106"/>
      <x:c r="L18" s="106"/>
      <x:c r="M18" s="130"/>
      <x:c r="N18" s="106"/>
      <x:c r="O18" s="86"/>
      <x:c r="P18" s="86"/>
      <x:c r="Q18" s="86"/>
      <x:c r="R18" s="86"/>
      <x:c r="S18" s="86"/>
      <x:c r="T18" s="86"/>
      <x:c r="U18" s="86"/>
      <x:c r="V18" s="86"/>
      <x:c r="W18" s="86"/>
      <x:c r="X18" s="86"/>
      <x:c r="Y18" s="86"/>
      <x:c r="Z18" s="86"/>
    </x:row>
    <x:row r="19">
      <x:c r="A19" s="86"/>
      <x:c r="B19" s="86"/>
      <x:c r="C19" s="86"/>
      <x:c r="D19" s="86"/>
      <x:c r="E19" s="106"/>
      <x:c r="F19" s="106"/>
      <x:c r="G19" s="106"/>
      <x:c r="H19" s="106"/>
      <x:c r="I19" s="106"/>
      <x:c r="J19" s="106"/>
      <x:c r="K19" s="106"/>
      <x:c r="L19" s="106"/>
      <x:c r="M19" s="130"/>
      <x:c r="N19" s="106"/>
      <x:c r="O19" s="86"/>
      <x:c r="P19" s="86"/>
      <x:c r="Q19" s="86"/>
      <x:c r="R19" s="86"/>
      <x:c r="S19" s="86"/>
      <x:c r="T19" s="86"/>
      <x:c r="U19" s="86"/>
      <x:c r="V19" s="86"/>
      <x:c r="W19" s="86"/>
      <x:c r="X19" s="86"/>
      <x:c r="Y19" s="86"/>
      <x:c r="Z19" s="86"/>
    </x:row>
    <x:row r="20">
      <x:c r="A20" s="86"/>
      <x:c r="B20" s="86"/>
      <x:c r="C20" s="86"/>
      <x:c r="D20" s="86"/>
      <x:c r="E20" s="106"/>
      <x:c r="F20" s="106"/>
      <x:c r="G20" s="106"/>
      <x:c r="H20" s="106"/>
      <x:c r="I20" s="106"/>
      <x:c r="J20" s="106"/>
      <x:c r="K20" s="106"/>
      <x:c r="L20" s="106"/>
      <x:c r="M20" s="130"/>
      <x:c r="N20" s="106"/>
      <x:c r="O20" s="86"/>
      <x:c r="P20" s="86"/>
      <x:c r="Q20" s="86"/>
      <x:c r="R20" s="86"/>
      <x:c r="S20" s="86"/>
      <x:c r="T20" s="86"/>
      <x:c r="U20" s="86"/>
      <x:c r="V20" s="86"/>
      <x:c r="W20" s="86"/>
      <x:c r="X20" s="86"/>
      <x:c r="Y20" s="86"/>
      <x:c r="Z20" s="86"/>
    </x:row>
    <x:row r="21">
      <x:c r="A21" s="86"/>
      <x:c r="B21" s="86"/>
      <x:c r="C21" s="86"/>
      <x:c r="D21" s="86"/>
      <x:c r="E21" s="106"/>
      <x:c r="F21" s="106"/>
      <x:c r="G21" s="106"/>
      <x:c r="H21" s="106"/>
      <x:c r="I21" s="106"/>
      <x:c r="J21" s="106"/>
      <x:c r="K21" s="106"/>
      <x:c r="L21" s="106"/>
      <x:c r="M21" s="130"/>
      <x:c r="N21" s="106"/>
      <x:c r="O21" s="86"/>
      <x:c r="P21" s="86"/>
      <x:c r="Q21" s="86"/>
      <x:c r="R21" s="86"/>
      <x:c r="S21" s="86"/>
      <x:c r="T21" s="86"/>
      <x:c r="U21" s="86"/>
      <x:c r="V21" s="86"/>
      <x:c r="W21" s="86"/>
      <x:c r="X21" s="86"/>
      <x:c r="Y21" s="86"/>
      <x:c r="Z21" s="86"/>
    </x:row>
    <x:row r="22">
      <x:c r="A22" s="86"/>
      <x:c r="B22" s="86"/>
      <x:c r="C22" s="86"/>
      <x:c r="D22" s="86"/>
      <x:c r="E22" s="106"/>
      <x:c r="F22" s="106"/>
      <x:c r="G22" s="106"/>
      <x:c r="H22" s="106"/>
      <x:c r="I22" s="106"/>
      <x:c r="J22" s="106"/>
      <x:c r="K22" s="106"/>
      <x:c r="L22" s="106"/>
      <x:c r="M22" s="130"/>
      <x:c r="N22" s="106"/>
      <x:c r="O22" s="86"/>
      <x:c r="P22" s="86"/>
      <x:c r="Q22" s="86"/>
      <x:c r="R22" s="86"/>
      <x:c r="S22" s="86"/>
      <x:c r="T22" s="86"/>
      <x:c r="U22" s="86"/>
      <x:c r="V22" s="86"/>
      <x:c r="W22" s="86"/>
      <x:c r="X22" s="86"/>
      <x:c r="Y22" s="86"/>
      <x:c r="Z22" s="86"/>
    </x:row>
    <x:row r="23">
      <x:c r="A23" s="86"/>
      <x:c r="B23" s="86"/>
      <x:c r="C23" s="86"/>
      <x:c r="D23" s="86"/>
      <x:c r="E23" s="106"/>
      <x:c r="F23" s="106"/>
      <x:c r="G23" s="106"/>
      <x:c r="H23" s="106"/>
      <x:c r="I23" s="106"/>
      <x:c r="J23" s="106"/>
      <x:c r="K23" s="106"/>
      <x:c r="L23" s="106"/>
      <x:c r="M23" s="130"/>
      <x:c r="N23" s="106"/>
      <x:c r="O23" s="86"/>
      <x:c r="P23" s="86"/>
      <x:c r="Q23" s="86"/>
      <x:c r="R23" s="86"/>
      <x:c r="S23" s="86"/>
      <x:c r="T23" s="86"/>
      <x:c r="U23" s="86"/>
      <x:c r="V23" s="86"/>
      <x:c r="W23" s="86"/>
      <x:c r="X23" s="86"/>
      <x:c r="Y23" s="86"/>
      <x:c r="Z23" s="86"/>
    </x:row>
    <x:row r="24">
      <x:c r="A24" s="86"/>
      <x:c r="B24" s="86"/>
      <x:c r="C24" s="86"/>
      <x:c r="D24" s="86"/>
      <x:c r="E24" s="106"/>
      <x:c r="F24" s="106"/>
      <x:c r="G24" s="106"/>
      <x:c r="H24" s="106"/>
      <x:c r="I24" s="106"/>
      <x:c r="J24" s="106"/>
      <x:c r="K24" s="106"/>
      <x:c r="L24" s="106"/>
      <x:c r="M24" s="130"/>
      <x:c r="N24" s="106"/>
      <x:c r="O24" s="86"/>
      <x:c r="P24" s="86"/>
      <x:c r="Q24" s="86"/>
      <x:c r="R24" s="86"/>
      <x:c r="S24" s="86"/>
      <x:c r="T24" s="86"/>
      <x:c r="U24" s="86"/>
      <x:c r="V24" s="86"/>
      <x:c r="W24" s="86"/>
      <x:c r="X24" s="86"/>
      <x:c r="Y24" s="86"/>
      <x:c r="Z24" s="86"/>
    </x:row>
    <x:row r="25">
      <x:c r="A25" s="86"/>
      <x:c r="B25" s="86"/>
      <x:c r="C25" s="86"/>
      <x:c r="D25" s="86"/>
      <x:c r="E25" s="106"/>
      <x:c r="F25" s="106"/>
      <x:c r="G25" s="106"/>
      <x:c r="H25" s="106"/>
      <x:c r="I25" s="106"/>
      <x:c r="J25" s="106"/>
      <x:c r="K25" s="106"/>
      <x:c r="L25" s="106"/>
      <x:c r="M25" s="130"/>
      <x:c r="N25" s="106"/>
      <x:c r="O25" s="86"/>
      <x:c r="P25" s="86"/>
      <x:c r="Q25" s="86"/>
      <x:c r="R25" s="86"/>
      <x:c r="S25" s="86"/>
      <x:c r="T25" s="86"/>
      <x:c r="U25" s="86"/>
      <x:c r="V25" s="86"/>
      <x:c r="W25" s="86"/>
      <x:c r="X25" s="86"/>
      <x:c r="Y25" s="86"/>
      <x:c r="Z25" s="86"/>
    </x:row>
    <x:row r="26">
      <x:c r="A26" s="86"/>
      <x:c r="B26" s="86"/>
      <x:c r="C26" s="86"/>
      <x:c r="D26" s="86"/>
      <x:c r="E26" s="106"/>
      <x:c r="F26" s="106"/>
      <x:c r="G26" s="106"/>
      <x:c r="H26" s="106"/>
      <x:c r="I26" s="106"/>
      <x:c r="J26" s="106"/>
      <x:c r="K26" s="106"/>
      <x:c r="L26" s="106"/>
      <x:c r="M26" s="130"/>
      <x:c r="N26" s="106"/>
      <x:c r="O26" s="86"/>
      <x:c r="P26" s="86"/>
      <x:c r="Q26" s="86"/>
      <x:c r="R26" s="86"/>
      <x:c r="S26" s="86"/>
      <x:c r="T26" s="86"/>
      <x:c r="U26" s="86"/>
      <x:c r="V26" s="86"/>
      <x:c r="W26" s="86"/>
      <x:c r="X26" s="86"/>
      <x:c r="Y26" s="86"/>
      <x:c r="Z26" s="86"/>
    </x:row>
    <x:row r="27">
      <x:c r="A27" s="86"/>
      <x:c r="B27" s="86"/>
      <x:c r="C27" s="86"/>
      <x:c r="D27" s="86"/>
      <x:c r="E27" s="106"/>
      <x:c r="F27" s="106"/>
      <x:c r="G27" s="106"/>
      <x:c r="H27" s="106"/>
      <x:c r="I27" s="106"/>
      <x:c r="J27" s="106"/>
      <x:c r="K27" s="106"/>
      <x:c r="L27" s="106"/>
      <x:c r="M27" s="130"/>
      <x:c r="N27" s="106"/>
      <x:c r="O27" s="86"/>
      <x:c r="P27" s="86"/>
      <x:c r="Q27" s="86"/>
      <x:c r="R27" s="86"/>
      <x:c r="S27" s="86"/>
      <x:c r="T27" s="86"/>
      <x:c r="U27" s="86"/>
      <x:c r="V27" s="86"/>
      <x:c r="W27" s="86"/>
      <x:c r="X27" s="86"/>
      <x:c r="Y27" s="86"/>
      <x:c r="Z27" s="86"/>
    </x:row>
    <x:row r="28">
      <x:c r="A28" s="86"/>
      <x:c r="B28" s="86"/>
      <x:c r="C28" s="86"/>
      <x:c r="D28" s="86"/>
      <x:c r="E28" s="106"/>
      <x:c r="F28" s="106"/>
      <x:c r="G28" s="106"/>
      <x:c r="H28" s="106"/>
      <x:c r="I28" s="106"/>
      <x:c r="J28" s="106"/>
      <x:c r="K28" s="106"/>
      <x:c r="L28" s="106"/>
      <x:c r="M28" s="130"/>
      <x:c r="N28" s="106"/>
      <x:c r="O28" s="86"/>
      <x:c r="P28" s="86"/>
      <x:c r="Q28" s="86"/>
      <x:c r="R28" s="86"/>
      <x:c r="S28" s="86"/>
      <x:c r="T28" s="86"/>
      <x:c r="U28" s="86"/>
      <x:c r="V28" s="86"/>
      <x:c r="W28" s="86"/>
      <x:c r="X28" s="86"/>
      <x:c r="Y28" s="86"/>
      <x:c r="Z28" s="86"/>
    </x:row>
    <x:row r="29">
      <x:c r="A29" s="86"/>
      <x:c r="B29" s="86"/>
      <x:c r="C29" s="86"/>
      <x:c r="D29" s="86"/>
      <x:c r="E29" s="106"/>
      <x:c r="F29" s="106"/>
      <x:c r="G29" s="106"/>
      <x:c r="H29" s="106"/>
      <x:c r="I29" s="106"/>
      <x:c r="J29" s="106"/>
      <x:c r="K29" s="106"/>
      <x:c r="L29" s="106"/>
      <x:c r="M29" s="130"/>
      <x:c r="N29" s="106"/>
      <x:c r="O29" s="86"/>
      <x:c r="P29" s="86"/>
      <x:c r="Q29" s="86"/>
      <x:c r="R29" s="86"/>
      <x:c r="S29" s="86"/>
      <x:c r="T29" s="86"/>
      <x:c r="U29" s="86"/>
      <x:c r="V29" s="86"/>
      <x:c r="W29" s="86"/>
      <x:c r="X29" s="86"/>
      <x:c r="Y29" s="86"/>
      <x:c r="Z29" s="86"/>
    </x:row>
    <x:row r="30">
      <x:c r="A30" s="86"/>
      <x:c r="B30" s="86"/>
      <x:c r="C30" s="86"/>
      <x:c r="D30" s="86"/>
      <x:c r="E30" s="106"/>
      <x:c r="F30" s="106"/>
      <x:c r="G30" s="106"/>
      <x:c r="H30" s="106"/>
      <x:c r="I30" s="106"/>
      <x:c r="J30" s="106"/>
      <x:c r="K30" s="106"/>
      <x:c r="L30" s="106"/>
      <x:c r="M30" s="130"/>
      <x:c r="N30" s="106"/>
      <x:c r="O30" s="86"/>
      <x:c r="P30" s="86"/>
      <x:c r="Q30" s="86"/>
      <x:c r="R30" s="86"/>
      <x:c r="S30" s="86"/>
      <x:c r="T30" s="86"/>
      <x:c r="U30" s="86"/>
      <x:c r="V30" s="86"/>
      <x:c r="W30" s="86"/>
      <x:c r="X30" s="86"/>
      <x:c r="Y30" s="86"/>
      <x:c r="Z30" s="86"/>
    </x:row>
    <x:row r="31">
      <x:c r="A31" s="86"/>
      <x:c r="B31" s="86"/>
      <x:c r="C31" s="86"/>
      <x:c r="D31" s="86"/>
      <x:c r="E31" s="106"/>
      <x:c r="F31" s="106"/>
      <x:c r="G31" s="106"/>
      <x:c r="H31" s="106"/>
      <x:c r="I31" s="106"/>
      <x:c r="J31" s="106"/>
      <x:c r="K31" s="106"/>
      <x:c r="L31" s="106"/>
      <x:c r="M31" s="130"/>
      <x:c r="N31" s="106"/>
      <x:c r="O31" s="86"/>
      <x:c r="P31" s="86"/>
      <x:c r="Q31" s="86"/>
      <x:c r="R31" s="86"/>
      <x:c r="S31" s="86"/>
      <x:c r="T31" s="86"/>
      <x:c r="U31" s="86"/>
      <x:c r="V31" s="86"/>
      <x:c r="W31" s="86"/>
      <x:c r="X31" s="86"/>
      <x:c r="Y31" s="86"/>
      <x:c r="Z31" s="86"/>
    </x:row>
    <x:row r="32">
      <x:c r="A32" s="86"/>
      <x:c r="B32" s="86"/>
      <x:c r="C32" s="86"/>
      <x:c r="D32" s="86"/>
      <x:c r="E32" s="106"/>
      <x:c r="F32" s="106"/>
      <x:c r="G32" s="106"/>
      <x:c r="H32" s="106"/>
      <x:c r="I32" s="106"/>
      <x:c r="J32" s="106"/>
      <x:c r="K32" s="106"/>
      <x:c r="L32" s="106"/>
      <x:c r="M32" s="130"/>
      <x:c r="N32" s="106"/>
      <x:c r="O32" s="86"/>
      <x:c r="P32" s="86"/>
      <x:c r="Q32" s="86"/>
      <x:c r="R32" s="86"/>
      <x:c r="S32" s="86"/>
      <x:c r="T32" s="86"/>
      <x:c r="U32" s="86"/>
      <x:c r="V32" s="86"/>
      <x:c r="W32" s="86"/>
      <x:c r="X32" s="86"/>
      <x:c r="Y32" s="86"/>
      <x:c r="Z32" s="86"/>
    </x:row>
    <x:row r="33">
      <x:c r="A33" s="86"/>
      <x:c r="B33" s="86"/>
      <x:c r="C33" s="86"/>
      <x:c r="D33" s="86"/>
      <x:c r="E33" s="106"/>
      <x:c r="F33" s="106"/>
      <x:c r="G33" s="106"/>
      <x:c r="H33" s="106"/>
      <x:c r="I33" s="106"/>
      <x:c r="J33" s="106"/>
      <x:c r="K33" s="106"/>
      <x:c r="L33" s="106"/>
      <x:c r="M33" s="130"/>
      <x:c r="N33" s="106"/>
      <x:c r="O33" s="86"/>
      <x:c r="P33" s="86"/>
      <x:c r="Q33" s="86"/>
      <x:c r="R33" s="86"/>
      <x:c r="S33" s="86"/>
      <x:c r="T33" s="86"/>
      <x:c r="U33" s="86"/>
      <x:c r="V33" s="86"/>
      <x:c r="W33" s="86"/>
      <x:c r="X33" s="86"/>
      <x:c r="Y33" s="86"/>
      <x:c r="Z33" s="86"/>
    </x:row>
    <x:row r="34">
      <x:c r="A34" s="86"/>
      <x:c r="B34" s="86"/>
      <x:c r="C34" s="86"/>
      <x:c r="D34" s="86"/>
      <x:c r="E34" s="106"/>
      <x:c r="F34" s="106"/>
      <x:c r="G34" s="106"/>
      <x:c r="H34" s="106"/>
      <x:c r="I34" s="106"/>
      <x:c r="J34" s="106"/>
      <x:c r="K34" s="106"/>
      <x:c r="L34" s="106"/>
      <x:c r="M34" s="130"/>
      <x:c r="N34" s="106"/>
      <x:c r="O34" s="86"/>
      <x:c r="P34" s="86"/>
      <x:c r="Q34" s="86"/>
      <x:c r="R34" s="86"/>
      <x:c r="S34" s="86"/>
      <x:c r="T34" s="86"/>
      <x:c r="U34" s="86"/>
      <x:c r="V34" s="86"/>
      <x:c r="W34" s="86"/>
      <x:c r="X34" s="86"/>
      <x:c r="Y34" s="86"/>
      <x:c r="Z34" s="86"/>
    </x:row>
    <x:row r="35">
      <x:c r="A35" s="86"/>
      <x:c r="B35" s="86"/>
      <x:c r="C35" s="86"/>
      <x:c r="D35" s="86"/>
      <x:c r="E35" s="106"/>
      <x:c r="F35" s="106"/>
      <x:c r="G35" s="106"/>
      <x:c r="H35" s="106"/>
      <x:c r="I35" s="106"/>
      <x:c r="J35" s="106"/>
      <x:c r="K35" s="106"/>
      <x:c r="L35" s="106"/>
      <x:c r="M35" s="130"/>
      <x:c r="N35" s="106"/>
      <x:c r="O35" s="86"/>
      <x:c r="P35" s="86"/>
      <x:c r="Q35" s="86"/>
      <x:c r="R35" s="86"/>
      <x:c r="S35" s="86"/>
      <x:c r="T35" s="86"/>
      <x:c r="U35" s="86"/>
      <x:c r="V35" s="86"/>
      <x:c r="W35" s="86"/>
      <x:c r="X35" s="86"/>
      <x:c r="Y35" s="86"/>
      <x:c r="Z35" s="86"/>
    </x:row>
    <x:row r="36">
      <x:c r="A36" s="86"/>
      <x:c r="B36" s="86"/>
      <x:c r="C36" s="86"/>
      <x:c r="D36" s="86"/>
      <x:c r="E36" s="106"/>
      <x:c r="F36" s="106"/>
      <x:c r="G36" s="106"/>
      <x:c r="H36" s="106"/>
      <x:c r="I36" s="106"/>
      <x:c r="J36" s="106"/>
      <x:c r="K36" s="106"/>
      <x:c r="L36" s="106"/>
      <x:c r="M36" s="130"/>
      <x:c r="N36" s="106"/>
      <x:c r="O36" s="86"/>
      <x:c r="P36" s="86"/>
      <x:c r="Q36" s="86"/>
      <x:c r="R36" s="86"/>
      <x:c r="S36" s="86"/>
      <x:c r="T36" s="86"/>
      <x:c r="U36" s="86"/>
      <x:c r="V36" s="86"/>
      <x:c r="W36" s="86"/>
      <x:c r="X36" s="86"/>
      <x:c r="Y36" s="86"/>
      <x:c r="Z36" s="86"/>
    </x:row>
    <x:row r="37">
      <x:c r="A37" s="86"/>
      <x:c r="B37" s="86"/>
      <x:c r="C37" s="86"/>
      <x:c r="D37" s="86"/>
      <x:c r="E37" s="106"/>
      <x:c r="F37" s="106"/>
      <x:c r="G37" s="106"/>
      <x:c r="H37" s="106"/>
      <x:c r="I37" s="106"/>
      <x:c r="J37" s="106"/>
      <x:c r="K37" s="106"/>
      <x:c r="L37" s="106"/>
      <x:c r="M37" s="130"/>
      <x:c r="N37" s="106"/>
      <x:c r="O37" s="86"/>
      <x:c r="P37" s="86"/>
      <x:c r="Q37" s="86"/>
      <x:c r="R37" s="86"/>
      <x:c r="S37" s="86"/>
      <x:c r="T37" s="86"/>
      <x:c r="U37" s="86"/>
      <x:c r="V37" s="86"/>
      <x:c r="W37" s="86"/>
      <x:c r="X37" s="86"/>
      <x:c r="Y37" s="86"/>
      <x:c r="Z37" s="86"/>
    </x:row>
    <x:row r="38">
      <x:c r="A38" s="86"/>
      <x:c r="B38" s="86"/>
      <x:c r="C38" s="86"/>
      <x:c r="D38" s="86"/>
      <x:c r="E38" s="106"/>
      <x:c r="F38" s="106"/>
      <x:c r="G38" s="106"/>
      <x:c r="H38" s="106"/>
      <x:c r="I38" s="106"/>
      <x:c r="J38" s="106"/>
      <x:c r="K38" s="106"/>
      <x:c r="L38" s="106"/>
      <x:c r="M38" s="130"/>
      <x:c r="N38" s="106"/>
      <x:c r="O38" s="86"/>
      <x:c r="P38" s="86"/>
      <x:c r="Q38" s="86"/>
      <x:c r="R38" s="86"/>
      <x:c r="S38" s="86"/>
      <x:c r="T38" s="86"/>
      <x:c r="U38" s="86"/>
      <x:c r="V38" s="86"/>
      <x:c r="W38" s="86"/>
      <x:c r="X38" s="86"/>
      <x:c r="Y38" s="86"/>
      <x:c r="Z38" s="86"/>
    </x:row>
    <x:row r="39">
      <x:c r="A39" s="86"/>
      <x:c r="B39" s="86"/>
      <x:c r="C39" s="86"/>
      <x:c r="D39" s="86"/>
      <x:c r="E39" s="106"/>
      <x:c r="F39" s="106"/>
      <x:c r="G39" s="106"/>
      <x:c r="H39" s="106"/>
      <x:c r="I39" s="106"/>
      <x:c r="J39" s="106"/>
      <x:c r="K39" s="106"/>
      <x:c r="L39" s="106"/>
      <x:c r="M39" s="130"/>
      <x:c r="N39" s="106"/>
      <x:c r="O39" s="86"/>
      <x:c r="P39" s="86"/>
      <x:c r="Q39" s="86"/>
      <x:c r="R39" s="86"/>
      <x:c r="S39" s="86"/>
      <x:c r="T39" s="86"/>
      <x:c r="U39" s="86"/>
      <x:c r="V39" s="86"/>
      <x:c r="W39" s="86"/>
      <x:c r="X39" s="86"/>
      <x:c r="Y39" s="86"/>
      <x:c r="Z39" s="86"/>
    </x:row>
    <x:row r="40">
      <x:c r="A40" s="86"/>
      <x:c r="B40" s="86"/>
      <x:c r="C40" s="86"/>
      <x:c r="D40" s="86"/>
      <x:c r="E40" s="106"/>
      <x:c r="F40" s="106"/>
      <x:c r="G40" s="106"/>
      <x:c r="H40" s="106"/>
      <x:c r="I40" s="106"/>
      <x:c r="J40" s="106"/>
      <x:c r="K40" s="106"/>
      <x:c r="L40" s="106"/>
      <x:c r="M40" s="130"/>
      <x:c r="N40" s="106"/>
      <x:c r="O40" s="86"/>
      <x:c r="P40" s="86"/>
      <x:c r="Q40" s="86"/>
      <x:c r="R40" s="86"/>
      <x:c r="S40" s="86"/>
      <x:c r="T40" s="86"/>
      <x:c r="U40" s="86"/>
      <x:c r="V40" s="86"/>
      <x:c r="W40" s="86"/>
      <x:c r="X40" s="86"/>
      <x:c r="Y40" s="86"/>
      <x:c r="Z40" s="86"/>
    </x:row>
    <x:row r="41">
      <x:c r="A41" s="86"/>
      <x:c r="B41" s="86"/>
      <x:c r="C41" s="86"/>
      <x:c r="D41" s="86"/>
      <x:c r="E41" s="106"/>
      <x:c r="F41" s="106"/>
      <x:c r="G41" s="106"/>
      <x:c r="H41" s="106"/>
      <x:c r="I41" s="106"/>
      <x:c r="J41" s="106"/>
      <x:c r="K41" s="106"/>
      <x:c r="L41" s="106"/>
      <x:c r="M41" s="130"/>
      <x:c r="N41" s="106"/>
      <x:c r="O41" s="86"/>
      <x:c r="P41" s="86"/>
      <x:c r="Q41" s="86"/>
      <x:c r="R41" s="86"/>
      <x:c r="S41" s="86"/>
      <x:c r="T41" s="86"/>
      <x:c r="U41" s="86"/>
      <x:c r="V41" s="86"/>
      <x:c r="W41" s="86"/>
      <x:c r="X41" s="86"/>
      <x:c r="Y41" s="86"/>
      <x:c r="Z41" s="86"/>
    </x:row>
    <x:row r="42">
      <x:c r="A42" s="86"/>
      <x:c r="B42" s="86"/>
      <x:c r="C42" s="86"/>
      <x:c r="D42" s="86"/>
      <x:c r="E42" s="106"/>
      <x:c r="F42" s="106"/>
      <x:c r="G42" s="106"/>
      <x:c r="H42" s="106"/>
      <x:c r="I42" s="106"/>
      <x:c r="J42" s="106"/>
      <x:c r="K42" s="106"/>
      <x:c r="L42" s="106"/>
      <x:c r="M42" s="130"/>
      <x:c r="N42" s="106"/>
      <x:c r="O42" s="86"/>
      <x:c r="P42" s="86"/>
      <x:c r="Q42" s="86"/>
      <x:c r="R42" s="86"/>
      <x:c r="S42" s="86"/>
      <x:c r="T42" s="86"/>
      <x:c r="U42" s="86"/>
      <x:c r="V42" s="86"/>
      <x:c r="W42" s="86"/>
      <x:c r="X42" s="86"/>
      <x:c r="Y42" s="86"/>
      <x:c r="Z42" s="86"/>
    </x:row>
    <x:row r="43">
      <x:c r="A43" s="86"/>
      <x:c r="B43" s="86"/>
      <x:c r="C43" s="86"/>
      <x:c r="D43" s="86"/>
      <x:c r="E43" s="106"/>
      <x:c r="F43" s="106"/>
      <x:c r="G43" s="106"/>
      <x:c r="H43" s="106"/>
      <x:c r="I43" s="106"/>
      <x:c r="J43" s="106"/>
      <x:c r="K43" s="106"/>
      <x:c r="L43" s="106"/>
      <x:c r="M43" s="130"/>
      <x:c r="N43" s="106"/>
      <x:c r="O43" s="86"/>
      <x:c r="P43" s="86"/>
      <x:c r="Q43" s="86"/>
      <x:c r="R43" s="86"/>
      <x:c r="S43" s="86"/>
      <x:c r="T43" s="86"/>
      <x:c r="U43" s="86"/>
      <x:c r="V43" s="86"/>
      <x:c r="W43" s="86"/>
      <x:c r="X43" s="86"/>
      <x:c r="Y43" s="86"/>
      <x:c r="Z43" s="86"/>
    </x:row>
    <x:row r="44">
      <x:c r="A44" s="86"/>
      <x:c r="B44" s="86"/>
      <x:c r="C44" s="86"/>
      <x:c r="D44" s="86"/>
      <x:c r="E44" s="106"/>
      <x:c r="F44" s="106"/>
      <x:c r="G44" s="106"/>
      <x:c r="H44" s="106"/>
      <x:c r="I44" s="106"/>
      <x:c r="J44" s="106"/>
      <x:c r="K44" s="106"/>
      <x:c r="L44" s="106"/>
      <x:c r="M44" s="130"/>
      <x:c r="N44" s="106"/>
      <x:c r="O44" s="86"/>
      <x:c r="P44" s="86"/>
      <x:c r="Q44" s="86"/>
      <x:c r="R44" s="86"/>
      <x:c r="S44" s="86"/>
      <x:c r="T44" s="86"/>
      <x:c r="U44" s="86"/>
      <x:c r="V44" s="86"/>
      <x:c r="W44" s="86"/>
      <x:c r="X44" s="86"/>
      <x:c r="Y44" s="86"/>
      <x:c r="Z44" s="86"/>
    </x:row>
    <x:row r="45">
      <x:c r="A45" s="86"/>
      <x:c r="B45" s="86"/>
      <x:c r="C45" s="86"/>
      <x:c r="D45" s="86"/>
      <x:c r="E45" s="106"/>
      <x:c r="F45" s="106"/>
      <x:c r="G45" s="106"/>
      <x:c r="H45" s="106"/>
      <x:c r="I45" s="106"/>
      <x:c r="J45" s="106"/>
      <x:c r="K45" s="106"/>
      <x:c r="L45" s="106"/>
      <x:c r="M45" s="130"/>
      <x:c r="N45" s="106"/>
      <x:c r="O45" s="86"/>
      <x:c r="P45" s="86"/>
      <x:c r="Q45" s="86"/>
      <x:c r="R45" s="86"/>
      <x:c r="S45" s="86"/>
      <x:c r="T45" s="86"/>
      <x:c r="U45" s="86"/>
      <x:c r="V45" s="86"/>
      <x:c r="W45" s="86"/>
      <x:c r="X45" s="86"/>
      <x:c r="Y45" s="86"/>
      <x:c r="Z45" s="86"/>
    </x:row>
    <x:row r="46">
      <x:c r="A46" s="86"/>
      <x:c r="B46" s="86"/>
      <x:c r="C46" s="86"/>
      <x:c r="D46" s="86"/>
      <x:c r="E46" s="106"/>
      <x:c r="F46" s="106"/>
      <x:c r="G46" s="106"/>
      <x:c r="H46" s="106"/>
      <x:c r="I46" s="106"/>
      <x:c r="J46" s="106"/>
      <x:c r="K46" s="106"/>
      <x:c r="L46" s="106"/>
      <x:c r="M46" s="130"/>
      <x:c r="N46" s="106"/>
      <x:c r="O46" s="86"/>
      <x:c r="P46" s="86"/>
      <x:c r="Q46" s="86"/>
      <x:c r="R46" s="86"/>
      <x:c r="S46" s="86"/>
      <x:c r="T46" s="86"/>
      <x:c r="U46" s="86"/>
      <x:c r="V46" s="86"/>
      <x:c r="W46" s="86"/>
      <x:c r="X46" s="86"/>
      <x:c r="Y46" s="86"/>
      <x:c r="Z46" s="86"/>
    </x:row>
    <x:row r="47">
      <x:c r="A47" s="86"/>
      <x:c r="B47" s="86"/>
      <x:c r="C47" s="86"/>
      <x:c r="D47" s="86"/>
      <x:c r="E47" s="106"/>
      <x:c r="F47" s="106"/>
      <x:c r="G47" s="106"/>
      <x:c r="H47" s="106"/>
      <x:c r="I47" s="106"/>
      <x:c r="J47" s="106"/>
      <x:c r="K47" s="106"/>
      <x:c r="L47" s="106"/>
      <x:c r="M47" s="130"/>
      <x:c r="N47" s="106"/>
      <x:c r="O47" s="86"/>
      <x:c r="P47" s="86"/>
      <x:c r="Q47" s="86"/>
      <x:c r="R47" s="86"/>
      <x:c r="S47" s="86"/>
      <x:c r="T47" s="86"/>
      <x:c r="U47" s="86"/>
      <x:c r="V47" s="86"/>
      <x:c r="W47" s="86"/>
      <x:c r="X47" s="86"/>
      <x:c r="Y47" s="86"/>
      <x:c r="Z47" s="86"/>
    </x:row>
    <x:row r="48">
      <x:c r="A48" s="86"/>
      <x:c r="B48" s="86"/>
      <x:c r="C48" s="86"/>
      <x:c r="D48" s="86"/>
      <x:c r="E48" s="106"/>
      <x:c r="F48" s="106"/>
      <x:c r="G48" s="106"/>
      <x:c r="H48" s="106"/>
      <x:c r="I48" s="106"/>
      <x:c r="J48" s="106"/>
      <x:c r="K48" s="106"/>
      <x:c r="L48" s="106"/>
      <x:c r="M48" s="130"/>
      <x:c r="N48" s="106"/>
      <x:c r="O48" s="86"/>
      <x:c r="P48" s="86"/>
      <x:c r="Q48" s="86"/>
      <x:c r="R48" s="86"/>
      <x:c r="S48" s="86"/>
      <x:c r="T48" s="86"/>
      <x:c r="U48" s="86"/>
      <x:c r="V48" s="86"/>
      <x:c r="W48" s="86"/>
      <x:c r="X48" s="86"/>
      <x:c r="Y48" s="86"/>
      <x:c r="Z48" s="86"/>
    </x:row>
    <x:row r="49">
      <x:c r="A49" s="86"/>
      <x:c r="B49" s="86"/>
      <x:c r="C49" s="86"/>
      <x:c r="D49" s="86"/>
      <x:c r="E49" s="106"/>
      <x:c r="F49" s="106"/>
      <x:c r="G49" s="106"/>
      <x:c r="H49" s="106"/>
      <x:c r="I49" s="106"/>
      <x:c r="J49" s="106"/>
      <x:c r="K49" s="106"/>
      <x:c r="L49" s="106"/>
      <x:c r="M49" s="130"/>
      <x:c r="N49" s="106"/>
      <x:c r="O49" s="86"/>
      <x:c r="P49" s="86"/>
      <x:c r="Q49" s="86"/>
      <x:c r="R49" s="86"/>
      <x:c r="S49" s="86"/>
      <x:c r="T49" s="86"/>
      <x:c r="U49" s="86"/>
      <x:c r="V49" s="86"/>
      <x:c r="W49" s="86"/>
      <x:c r="X49" s="86"/>
      <x:c r="Y49" s="86"/>
      <x:c r="Z49" s="86"/>
    </x:row>
    <x:row r="50">
      <x:c r="A50" s="86"/>
      <x:c r="B50" s="86"/>
      <x:c r="C50" s="86"/>
      <x:c r="D50" s="86"/>
      <x:c r="E50" s="106"/>
      <x:c r="F50" s="106"/>
      <x:c r="G50" s="106"/>
      <x:c r="H50" s="106"/>
      <x:c r="I50" s="106"/>
      <x:c r="J50" s="106"/>
      <x:c r="K50" s="106"/>
      <x:c r="L50" s="106"/>
      <x:c r="M50" s="130"/>
      <x:c r="N50" s="106"/>
      <x:c r="O50" s="86"/>
      <x:c r="P50" s="86"/>
      <x:c r="Q50" s="86"/>
      <x:c r="R50" s="86"/>
      <x:c r="S50" s="86"/>
      <x:c r="T50" s="86"/>
      <x:c r="U50" s="86"/>
      <x:c r="V50" s="86"/>
      <x:c r="W50" s="86"/>
      <x:c r="X50" s="86"/>
      <x:c r="Y50" s="86"/>
      <x:c r="Z50" s="86"/>
    </x:row>
    <x:row r="51">
      <x:c r="A51" s="86"/>
      <x:c r="B51" s="86"/>
      <x:c r="C51" s="86"/>
      <x:c r="D51" s="86"/>
      <x:c r="E51" s="106"/>
      <x:c r="F51" s="106"/>
      <x:c r="G51" s="106"/>
      <x:c r="H51" s="106"/>
      <x:c r="I51" s="106"/>
      <x:c r="J51" s="106"/>
      <x:c r="K51" s="106"/>
      <x:c r="L51" s="106"/>
      <x:c r="M51" s="130"/>
      <x:c r="N51" s="106"/>
      <x:c r="O51" s="86"/>
      <x:c r="P51" s="86"/>
      <x:c r="Q51" s="86"/>
      <x:c r="R51" s="86"/>
      <x:c r="S51" s="86"/>
      <x:c r="T51" s="86"/>
      <x:c r="U51" s="86"/>
      <x:c r="V51" s="86"/>
      <x:c r="W51" s="86"/>
      <x:c r="X51" s="86"/>
      <x:c r="Y51" s="86"/>
      <x:c r="Z51" s="86"/>
    </x:row>
    <x:row r="52">
      <x:c r="A52" s="86"/>
      <x:c r="B52" s="86"/>
      <x:c r="C52" s="86"/>
      <x:c r="D52" s="86"/>
      <x:c r="E52" s="106"/>
      <x:c r="F52" s="106"/>
      <x:c r="G52" s="106"/>
      <x:c r="H52" s="106"/>
      <x:c r="I52" s="106"/>
      <x:c r="J52" s="106"/>
      <x:c r="K52" s="106"/>
      <x:c r="L52" s="106"/>
      <x:c r="M52" s="130"/>
      <x:c r="N52" s="106"/>
      <x:c r="O52" s="86"/>
      <x:c r="P52" s="86"/>
      <x:c r="Q52" s="86"/>
      <x:c r="R52" s="86"/>
      <x:c r="S52" s="86"/>
      <x:c r="T52" s="86"/>
      <x:c r="U52" s="86"/>
      <x:c r="V52" s="86"/>
      <x:c r="W52" s="86"/>
      <x:c r="X52" s="86"/>
      <x:c r="Y52" s="86"/>
      <x:c r="Z52" s="86"/>
    </x:row>
    <x:row r="53">
      <x:c r="A53" s="86"/>
      <x:c r="B53" s="86"/>
      <x:c r="C53" s="86"/>
      <x:c r="D53" s="86"/>
      <x:c r="E53" s="106"/>
      <x:c r="F53" s="106"/>
      <x:c r="G53" s="106"/>
      <x:c r="H53" s="106"/>
      <x:c r="I53" s="106"/>
      <x:c r="J53" s="106"/>
      <x:c r="K53" s="106"/>
      <x:c r="L53" s="106"/>
      <x:c r="M53" s="130"/>
      <x:c r="N53" s="106"/>
      <x:c r="O53" s="86"/>
      <x:c r="P53" s="86"/>
      <x:c r="Q53" s="86"/>
      <x:c r="R53" s="86"/>
      <x:c r="S53" s="86"/>
      <x:c r="T53" s="86"/>
      <x:c r="U53" s="86"/>
      <x:c r="V53" s="86"/>
      <x:c r="W53" s="86"/>
      <x:c r="X53" s="86"/>
      <x:c r="Y53" s="86"/>
      <x:c r="Z53" s="86"/>
    </x:row>
    <x:row r="54">
      <x:c r="A54" s="86"/>
      <x:c r="B54" s="86"/>
      <x:c r="C54" s="86"/>
      <x:c r="D54" s="86"/>
      <x:c r="E54" s="106"/>
      <x:c r="F54" s="106"/>
      <x:c r="G54" s="106"/>
      <x:c r="H54" s="106"/>
      <x:c r="I54" s="106"/>
      <x:c r="J54" s="106"/>
      <x:c r="K54" s="106"/>
      <x:c r="L54" s="106"/>
      <x:c r="M54" s="130"/>
      <x:c r="N54" s="106"/>
      <x:c r="O54" s="86"/>
      <x:c r="P54" s="86"/>
      <x:c r="Q54" s="86"/>
      <x:c r="R54" s="86"/>
      <x:c r="S54" s="86"/>
      <x:c r="T54" s="86"/>
      <x:c r="U54" s="86"/>
      <x:c r="V54" s="86"/>
      <x:c r="W54" s="86"/>
      <x:c r="X54" s="86"/>
      <x:c r="Y54" s="86"/>
      <x:c r="Z54" s="86"/>
    </x:row>
    <x:row r="55">
      <x:c r="A55" s="86"/>
      <x:c r="B55" s="86"/>
      <x:c r="C55" s="86"/>
      <x:c r="D55" s="86"/>
      <x:c r="E55" s="106"/>
      <x:c r="F55" s="106"/>
      <x:c r="G55" s="106"/>
      <x:c r="H55" s="106"/>
      <x:c r="I55" s="106"/>
      <x:c r="J55" s="106"/>
      <x:c r="K55" s="106"/>
      <x:c r="L55" s="106"/>
      <x:c r="M55" s="130"/>
      <x:c r="N55" s="106"/>
      <x:c r="O55" s="86"/>
      <x:c r="P55" s="86"/>
      <x:c r="Q55" s="86"/>
      <x:c r="R55" s="86"/>
      <x:c r="S55" s="86"/>
      <x:c r="T55" s="86"/>
      <x:c r="U55" s="86"/>
      <x:c r="V55" s="86"/>
      <x:c r="W55" s="86"/>
      <x:c r="X55" s="86"/>
      <x:c r="Y55" s="86"/>
      <x:c r="Z55" s="86"/>
    </x:row>
    <x:row r="56">
      <x:c r="A56" s="86"/>
      <x:c r="B56" s="86"/>
      <x:c r="C56" s="86"/>
      <x:c r="D56" s="86"/>
      <x:c r="E56" s="106"/>
      <x:c r="F56" s="106"/>
      <x:c r="G56" s="106"/>
      <x:c r="H56" s="106"/>
      <x:c r="I56" s="106"/>
      <x:c r="J56" s="106"/>
      <x:c r="K56" s="106"/>
      <x:c r="L56" s="106"/>
      <x:c r="M56" s="130"/>
      <x:c r="N56" s="106"/>
      <x:c r="O56" s="86"/>
      <x:c r="P56" s="86"/>
      <x:c r="Q56" s="86"/>
      <x:c r="R56" s="86"/>
      <x:c r="S56" s="86"/>
      <x:c r="T56" s="86"/>
      <x:c r="U56" s="86"/>
      <x:c r="V56" s="86"/>
      <x:c r="W56" s="86"/>
      <x:c r="X56" s="86"/>
      <x:c r="Y56" s="86"/>
      <x:c r="Z56" s="86"/>
    </x:row>
    <x:row r="57">
      <x:c r="A57" s="86"/>
      <x:c r="B57" s="86"/>
      <x:c r="C57" s="86"/>
      <x:c r="D57" s="86"/>
      <x:c r="E57" s="106"/>
      <x:c r="F57" s="106"/>
      <x:c r="G57" s="106"/>
      <x:c r="H57" s="106"/>
      <x:c r="I57" s="106"/>
      <x:c r="J57" s="106"/>
      <x:c r="K57" s="106"/>
      <x:c r="L57" s="106"/>
      <x:c r="M57" s="130"/>
      <x:c r="N57" s="106"/>
      <x:c r="O57" s="86"/>
      <x:c r="P57" s="86"/>
      <x:c r="Q57" s="86"/>
      <x:c r="R57" s="86"/>
      <x:c r="S57" s="86"/>
      <x:c r="T57" s="86"/>
      <x:c r="U57" s="86"/>
      <x:c r="V57" s="86"/>
      <x:c r="W57" s="86"/>
      <x:c r="X57" s="86"/>
      <x:c r="Y57" s="86"/>
      <x:c r="Z57" s="86"/>
    </x:row>
    <x:row r="58">
      <x:c r="A58" s="86"/>
      <x:c r="B58" s="86"/>
      <x:c r="C58" s="86"/>
      <x:c r="D58" s="86"/>
      <x:c r="E58" s="106"/>
      <x:c r="F58" s="106"/>
      <x:c r="G58" s="106"/>
      <x:c r="H58" s="106"/>
      <x:c r="I58" s="106"/>
      <x:c r="J58" s="106"/>
      <x:c r="K58" s="106"/>
      <x:c r="L58" s="106"/>
      <x:c r="M58" s="130"/>
      <x:c r="N58" s="106"/>
      <x:c r="O58" s="86"/>
      <x:c r="P58" s="86"/>
      <x:c r="Q58" s="86"/>
      <x:c r="R58" s="86"/>
      <x:c r="S58" s="86"/>
      <x:c r="T58" s="86"/>
      <x:c r="U58" s="86"/>
      <x:c r="V58" s="86"/>
      <x:c r="W58" s="86"/>
      <x:c r="X58" s="86"/>
      <x:c r="Y58" s="86"/>
      <x:c r="Z58" s="86"/>
    </x:row>
    <x:row r="59">
      <x:c r="A59" s="86"/>
      <x:c r="B59" s="86"/>
      <x:c r="C59" s="86"/>
      <x:c r="D59" s="86"/>
      <x:c r="E59" s="106"/>
      <x:c r="F59" s="106"/>
      <x:c r="G59" s="106"/>
      <x:c r="H59" s="106"/>
      <x:c r="I59" s="106"/>
      <x:c r="J59" s="106"/>
      <x:c r="K59" s="106"/>
      <x:c r="L59" s="106"/>
      <x:c r="M59" s="130"/>
      <x:c r="N59" s="106"/>
      <x:c r="O59" s="86"/>
      <x:c r="P59" s="86"/>
      <x:c r="Q59" s="86"/>
      <x:c r="R59" s="86"/>
      <x:c r="S59" s="86"/>
      <x:c r="T59" s="86"/>
      <x:c r="U59" s="86"/>
      <x:c r="V59" s="86"/>
      <x:c r="W59" s="86"/>
      <x:c r="X59" s="86"/>
      <x:c r="Y59" s="86"/>
      <x:c r="Z59" s="86"/>
    </x:row>
    <x:row r="60">
      <x:c r="A60" s="86"/>
      <x:c r="B60" s="86"/>
      <x:c r="C60" s="86"/>
      <x:c r="D60" s="86"/>
      <x:c r="E60" s="106"/>
      <x:c r="F60" s="106"/>
      <x:c r="G60" s="106"/>
      <x:c r="H60" s="106"/>
      <x:c r="I60" s="106"/>
      <x:c r="J60" s="106"/>
      <x:c r="K60" s="106"/>
      <x:c r="L60" s="106"/>
      <x:c r="M60" s="130"/>
      <x:c r="N60" s="106"/>
      <x:c r="O60" s="86"/>
      <x:c r="P60" s="86"/>
      <x:c r="Q60" s="86"/>
      <x:c r="R60" s="86"/>
      <x:c r="S60" s="86"/>
      <x:c r="T60" s="86"/>
      <x:c r="U60" s="86"/>
      <x:c r="V60" s="86"/>
      <x:c r="W60" s="86"/>
      <x:c r="X60" s="86"/>
      <x:c r="Y60" s="86"/>
      <x:c r="Z60" s="86"/>
    </x:row>
    <x:row r="61">
      <x:c r="A61" s="86"/>
      <x:c r="B61" s="86"/>
      <x:c r="C61" s="86"/>
      <x:c r="D61" s="86"/>
      <x:c r="E61" s="106"/>
      <x:c r="F61" s="106"/>
      <x:c r="G61" s="106"/>
      <x:c r="H61" s="106"/>
      <x:c r="I61" s="106"/>
      <x:c r="J61" s="106"/>
      <x:c r="K61" s="106"/>
      <x:c r="L61" s="106"/>
      <x:c r="M61" s="130"/>
      <x:c r="N61" s="106"/>
      <x:c r="O61" s="86"/>
      <x:c r="P61" s="86"/>
      <x:c r="Q61" s="86"/>
      <x:c r="R61" s="86"/>
      <x:c r="S61" s="86"/>
      <x:c r="T61" s="86"/>
      <x:c r="U61" s="86"/>
      <x:c r="V61" s="86"/>
      <x:c r="W61" s="86"/>
      <x:c r="X61" s="86"/>
      <x:c r="Y61" s="86"/>
      <x:c r="Z61" s="86"/>
    </x:row>
    <x:row r="62">
      <x:c r="A62" s="86"/>
      <x:c r="B62" s="86"/>
      <x:c r="C62" s="86"/>
      <x:c r="D62" s="86"/>
      <x:c r="E62" s="106"/>
      <x:c r="F62" s="106"/>
      <x:c r="G62" s="106"/>
      <x:c r="H62" s="106"/>
      <x:c r="I62" s="106"/>
      <x:c r="J62" s="106"/>
      <x:c r="K62" s="106"/>
      <x:c r="L62" s="106"/>
      <x:c r="M62" s="130"/>
      <x:c r="N62" s="106"/>
      <x:c r="O62" s="86"/>
      <x:c r="P62" s="86"/>
      <x:c r="Q62" s="86"/>
      <x:c r="R62" s="86"/>
      <x:c r="S62" s="86"/>
      <x:c r="T62" s="86"/>
      <x:c r="U62" s="86"/>
      <x:c r="V62" s="86"/>
      <x:c r="W62" s="86"/>
      <x:c r="X62" s="86"/>
      <x:c r="Y62" s="86"/>
      <x:c r="Z62" s="86"/>
    </x:row>
    <x:row r="63">
      <x:c r="A63" s="86"/>
      <x:c r="B63" s="86"/>
      <x:c r="C63" s="86"/>
      <x:c r="D63" s="86"/>
      <x:c r="E63" s="106"/>
      <x:c r="F63" s="106"/>
      <x:c r="G63" s="106"/>
      <x:c r="H63" s="106"/>
      <x:c r="I63" s="106"/>
      <x:c r="J63" s="106"/>
      <x:c r="K63" s="106"/>
      <x:c r="L63" s="106"/>
      <x:c r="M63" s="130"/>
      <x:c r="N63" s="106"/>
      <x:c r="O63" s="86"/>
      <x:c r="P63" s="86"/>
      <x:c r="Q63" s="86"/>
      <x:c r="R63" s="86"/>
      <x:c r="S63" s="86"/>
      <x:c r="T63" s="86"/>
      <x:c r="U63" s="86"/>
      <x:c r="V63" s="86"/>
      <x:c r="W63" s="86"/>
      <x:c r="X63" s="86"/>
      <x:c r="Y63" s="86"/>
      <x:c r="Z63" s="86"/>
    </x:row>
    <x:row r="64">
      <x:c r="A64" s="86"/>
      <x:c r="B64" s="86"/>
      <x:c r="C64" s="86"/>
      <x:c r="D64" s="86"/>
      <x:c r="E64" s="106"/>
      <x:c r="F64" s="106"/>
      <x:c r="G64" s="106"/>
      <x:c r="H64" s="106"/>
      <x:c r="I64" s="106"/>
      <x:c r="J64" s="106"/>
      <x:c r="K64" s="106"/>
      <x:c r="L64" s="106"/>
      <x:c r="M64" s="130"/>
      <x:c r="N64" s="106"/>
      <x:c r="O64" s="86"/>
      <x:c r="P64" s="86"/>
      <x:c r="Q64" s="86"/>
      <x:c r="R64" s="86"/>
      <x:c r="S64" s="86"/>
      <x:c r="T64" s="86"/>
      <x:c r="U64" s="86"/>
      <x:c r="V64" s="86"/>
      <x:c r="W64" s="86"/>
      <x:c r="X64" s="86"/>
      <x:c r="Y64" s="86"/>
      <x:c r="Z64" s="86"/>
    </x:row>
    <x:row r="65">
      <x:c r="A65" s="86"/>
      <x:c r="B65" s="86"/>
      <x:c r="C65" s="86"/>
      <x:c r="D65" s="86"/>
      <x:c r="E65" s="106"/>
      <x:c r="F65" s="106"/>
      <x:c r="G65" s="106"/>
      <x:c r="H65" s="106"/>
      <x:c r="I65" s="106"/>
      <x:c r="J65" s="106"/>
      <x:c r="K65" s="106"/>
      <x:c r="L65" s="106"/>
      <x:c r="M65" s="130"/>
      <x:c r="N65" s="106"/>
      <x:c r="O65" s="86"/>
      <x:c r="P65" s="86"/>
      <x:c r="Q65" s="86"/>
      <x:c r="R65" s="86"/>
      <x:c r="S65" s="86"/>
      <x:c r="T65" s="86"/>
      <x:c r="U65" s="86"/>
      <x:c r="V65" s="86"/>
      <x:c r="W65" s="86"/>
      <x:c r="X65" s="86"/>
      <x:c r="Y65" s="86"/>
      <x:c r="Z65" s="86"/>
    </x:row>
    <x:row r="66">
      <x:c r="A66" s="86"/>
      <x:c r="B66" s="86"/>
      <x:c r="C66" s="86"/>
      <x:c r="D66" s="86"/>
      <x:c r="E66" s="106"/>
      <x:c r="F66" s="106"/>
      <x:c r="G66" s="106"/>
      <x:c r="H66" s="106"/>
      <x:c r="I66" s="106"/>
      <x:c r="J66" s="106"/>
      <x:c r="K66" s="106"/>
      <x:c r="L66" s="106"/>
      <x:c r="M66" s="130"/>
      <x:c r="N66" s="106"/>
      <x:c r="O66" s="86"/>
      <x:c r="P66" s="86"/>
      <x:c r="Q66" s="86"/>
      <x:c r="R66" s="86"/>
      <x:c r="S66" s="86"/>
      <x:c r="T66" s="86"/>
      <x:c r="U66" s="86"/>
      <x:c r="V66" s="86"/>
      <x:c r="W66" s="86"/>
      <x:c r="X66" s="86"/>
      <x:c r="Y66" s="86"/>
      <x:c r="Z66" s="86"/>
    </x:row>
    <x:row r="67">
      <x:c r="A67" s="86"/>
      <x:c r="B67" s="86"/>
      <x:c r="C67" s="86"/>
      <x:c r="D67" s="86"/>
      <x:c r="E67" s="106"/>
      <x:c r="F67" s="106"/>
      <x:c r="G67" s="106"/>
      <x:c r="H67" s="106"/>
      <x:c r="I67" s="106"/>
      <x:c r="J67" s="106"/>
      <x:c r="K67" s="106"/>
      <x:c r="L67" s="106"/>
      <x:c r="M67" s="130"/>
      <x:c r="N67" s="106"/>
      <x:c r="O67" s="86"/>
      <x:c r="P67" s="86"/>
      <x:c r="Q67" s="86"/>
      <x:c r="R67" s="86"/>
      <x:c r="S67" s="86"/>
      <x:c r="T67" s="86"/>
      <x:c r="U67" s="86"/>
      <x:c r="V67" s="86"/>
      <x:c r="W67" s="86"/>
      <x:c r="X67" s="86"/>
      <x:c r="Y67" s="86"/>
      <x:c r="Z67" s="86"/>
    </x:row>
    <x:row r="68">
      <x:c r="A68" s="86"/>
      <x:c r="B68" s="86"/>
      <x:c r="C68" s="86"/>
      <x:c r="D68" s="86"/>
      <x:c r="E68" s="106"/>
      <x:c r="F68" s="106"/>
      <x:c r="G68" s="106"/>
      <x:c r="H68" s="106"/>
      <x:c r="I68" s="106"/>
      <x:c r="J68" s="106"/>
      <x:c r="K68" s="106"/>
      <x:c r="L68" s="106"/>
      <x:c r="M68" s="130"/>
      <x:c r="N68" s="106"/>
      <x:c r="O68" s="86"/>
      <x:c r="P68" s="86"/>
      <x:c r="Q68" s="86"/>
      <x:c r="R68" s="86"/>
      <x:c r="S68" s="86"/>
      <x:c r="T68" s="86"/>
      <x:c r="U68" s="86"/>
      <x:c r="V68" s="86"/>
      <x:c r="W68" s="86"/>
      <x:c r="X68" s="86"/>
      <x:c r="Y68" s="86"/>
      <x:c r="Z68" s="86"/>
    </x:row>
    <x:row r="69">
      <x:c r="A69" s="86"/>
      <x:c r="B69" s="86"/>
      <x:c r="C69" s="86"/>
      <x:c r="D69" s="86"/>
      <x:c r="E69" s="106"/>
      <x:c r="F69" s="106"/>
      <x:c r="G69" s="106"/>
      <x:c r="H69" s="106"/>
      <x:c r="I69" s="106"/>
      <x:c r="J69" s="106"/>
      <x:c r="K69" s="106"/>
      <x:c r="L69" s="106"/>
      <x:c r="M69" s="130"/>
      <x:c r="N69" s="106"/>
      <x:c r="O69" s="86"/>
      <x:c r="P69" s="86"/>
      <x:c r="Q69" s="86"/>
      <x:c r="R69" s="86"/>
      <x:c r="S69" s="86"/>
      <x:c r="T69" s="86"/>
      <x:c r="U69" s="86"/>
      <x:c r="V69" s="86"/>
      <x:c r="W69" s="86"/>
      <x:c r="X69" s="86"/>
      <x:c r="Y69" s="86"/>
      <x:c r="Z69" s="86"/>
    </x:row>
    <x:row r="70">
      <x:c r="A70" s="86"/>
      <x:c r="B70" s="86"/>
      <x:c r="C70" s="86"/>
      <x:c r="D70" s="86"/>
      <x:c r="E70" s="106"/>
      <x:c r="F70" s="106"/>
      <x:c r="G70" s="106"/>
      <x:c r="H70" s="106"/>
      <x:c r="I70" s="106"/>
      <x:c r="J70" s="106"/>
      <x:c r="K70" s="106"/>
      <x:c r="L70" s="106"/>
      <x:c r="M70" s="130"/>
      <x:c r="N70" s="106"/>
      <x:c r="O70" s="86"/>
      <x:c r="P70" s="86"/>
      <x:c r="Q70" s="86"/>
      <x:c r="R70" s="86"/>
      <x:c r="S70" s="86"/>
      <x:c r="T70" s="86"/>
      <x:c r="U70" s="86"/>
      <x:c r="V70" s="86"/>
      <x:c r="W70" s="86"/>
      <x:c r="X70" s="86"/>
      <x:c r="Y70" s="86"/>
      <x:c r="Z70" s="86"/>
    </x:row>
    <x:row r="71">
      <x:c r="A71" s="86"/>
      <x:c r="B71" s="86"/>
      <x:c r="C71" s="86"/>
      <x:c r="D71" s="86"/>
      <x:c r="E71" s="106"/>
      <x:c r="F71" s="106"/>
      <x:c r="G71" s="106"/>
      <x:c r="H71" s="106"/>
      <x:c r="I71" s="106"/>
      <x:c r="J71" s="106"/>
      <x:c r="K71" s="106"/>
      <x:c r="L71" s="106"/>
      <x:c r="M71" s="130"/>
      <x:c r="N71" s="106"/>
      <x:c r="O71" s="86"/>
      <x:c r="P71" s="86"/>
      <x:c r="Q71" s="86"/>
      <x:c r="R71" s="86"/>
      <x:c r="S71" s="86"/>
      <x:c r="T71" s="86"/>
      <x:c r="U71" s="86"/>
      <x:c r="V71" s="86"/>
      <x:c r="W71" s="86"/>
      <x:c r="X71" s="86"/>
      <x:c r="Y71" s="86"/>
      <x:c r="Z71" s="86"/>
    </x:row>
    <x:row r="72">
      <x:c r="A72" s="86"/>
      <x:c r="B72" s="86"/>
      <x:c r="C72" s="86"/>
      <x:c r="D72" s="86"/>
      <x:c r="E72" s="106"/>
      <x:c r="F72" s="106"/>
      <x:c r="G72" s="106"/>
      <x:c r="H72" s="106"/>
      <x:c r="I72" s="106"/>
      <x:c r="J72" s="106"/>
      <x:c r="K72" s="106"/>
      <x:c r="L72" s="106"/>
      <x:c r="M72" s="130"/>
      <x:c r="N72" s="106"/>
      <x:c r="O72" s="86"/>
      <x:c r="P72" s="86"/>
      <x:c r="Q72" s="86"/>
      <x:c r="R72" s="86"/>
      <x:c r="S72" s="86"/>
      <x:c r="T72" s="86"/>
      <x:c r="U72" s="86"/>
      <x:c r="V72" s="86"/>
      <x:c r="W72" s="86"/>
      <x:c r="X72" s="86"/>
      <x:c r="Y72" s="86"/>
      <x:c r="Z72" s="86"/>
    </x:row>
    <x:row r="73">
      <x:c r="A73" s="86"/>
      <x:c r="B73" s="86"/>
      <x:c r="C73" s="86"/>
      <x:c r="D73" s="86"/>
      <x:c r="E73" s="106"/>
      <x:c r="F73" s="106"/>
      <x:c r="G73" s="106"/>
      <x:c r="H73" s="106"/>
      <x:c r="I73" s="106"/>
      <x:c r="J73" s="106"/>
      <x:c r="K73" s="106"/>
      <x:c r="L73" s="106"/>
      <x:c r="M73" s="130"/>
      <x:c r="N73" s="106"/>
      <x:c r="O73" s="86"/>
      <x:c r="P73" s="86"/>
      <x:c r="Q73" s="86"/>
      <x:c r="R73" s="86"/>
      <x:c r="S73" s="86"/>
      <x:c r="T73" s="86"/>
      <x:c r="U73" s="86"/>
      <x:c r="V73" s="86"/>
      <x:c r="W73" s="86"/>
      <x:c r="X73" s="86"/>
      <x:c r="Y73" s="86"/>
      <x:c r="Z73" s="86"/>
    </x:row>
    <x:row r="74">
      <x:c r="A74" s="86"/>
      <x:c r="B74" s="86"/>
      <x:c r="C74" s="86"/>
      <x:c r="D74" s="86"/>
      <x:c r="E74" s="106"/>
      <x:c r="F74" s="106"/>
      <x:c r="G74" s="106"/>
      <x:c r="H74" s="106"/>
      <x:c r="I74" s="106"/>
      <x:c r="J74" s="106"/>
      <x:c r="K74" s="106"/>
      <x:c r="L74" s="106"/>
      <x:c r="M74" s="130"/>
      <x:c r="N74" s="106"/>
      <x:c r="O74" s="86"/>
      <x:c r="P74" s="86"/>
      <x:c r="Q74" s="86"/>
      <x:c r="R74" s="86"/>
      <x:c r="S74" s="86"/>
      <x:c r="T74" s="86"/>
      <x:c r="U74" s="86"/>
      <x:c r="V74" s="86"/>
      <x:c r="W74" s="86"/>
      <x:c r="X74" s="86"/>
      <x:c r="Y74" s="86"/>
      <x:c r="Z74" s="86"/>
    </x:row>
    <x:row r="75">
      <x:c r="A75" s="86"/>
      <x:c r="B75" s="86"/>
      <x:c r="C75" s="86"/>
      <x:c r="D75" s="86"/>
      <x:c r="E75" s="106"/>
      <x:c r="F75" s="106"/>
      <x:c r="G75" s="106"/>
      <x:c r="H75" s="106"/>
      <x:c r="I75" s="106"/>
      <x:c r="J75" s="106"/>
      <x:c r="K75" s="106"/>
      <x:c r="L75" s="106"/>
      <x:c r="M75" s="130"/>
      <x:c r="N75" s="106"/>
      <x:c r="O75" s="86"/>
      <x:c r="P75" s="86"/>
      <x:c r="Q75" s="86"/>
      <x:c r="R75" s="86"/>
      <x:c r="S75" s="86"/>
      <x:c r="T75" s="86"/>
      <x:c r="U75" s="86"/>
      <x:c r="V75" s="86"/>
      <x:c r="W75" s="86"/>
      <x:c r="X75" s="86"/>
      <x:c r="Y75" s="86"/>
      <x:c r="Z75" s="86"/>
    </x:row>
    <x:row r="76">
      <x:c r="A76" s="86"/>
      <x:c r="B76" s="86"/>
      <x:c r="C76" s="86"/>
      <x:c r="D76" s="86"/>
      <x:c r="E76" s="106"/>
      <x:c r="F76" s="106"/>
      <x:c r="G76" s="106"/>
      <x:c r="H76" s="106"/>
      <x:c r="I76" s="106"/>
      <x:c r="J76" s="106"/>
      <x:c r="K76" s="106"/>
      <x:c r="L76" s="106"/>
      <x:c r="M76" s="130"/>
      <x:c r="N76" s="106"/>
      <x:c r="O76" s="86"/>
      <x:c r="P76" s="86"/>
      <x:c r="Q76" s="86"/>
      <x:c r="R76" s="86"/>
      <x:c r="S76" s="86"/>
      <x:c r="T76" s="86"/>
      <x:c r="U76" s="86"/>
      <x:c r="V76" s="86"/>
      <x:c r="W76" s="86"/>
      <x:c r="X76" s="86"/>
      <x:c r="Y76" s="86"/>
      <x:c r="Z76" s="86"/>
    </x:row>
    <x:row r="77">
      <x:c r="A77" s="86"/>
      <x:c r="B77" s="86"/>
      <x:c r="C77" s="86"/>
      <x:c r="D77" s="86"/>
      <x:c r="E77" s="106"/>
      <x:c r="F77" s="106"/>
      <x:c r="G77" s="106"/>
      <x:c r="H77" s="106"/>
      <x:c r="I77" s="106"/>
      <x:c r="J77" s="106"/>
      <x:c r="K77" s="106"/>
      <x:c r="L77" s="106"/>
      <x:c r="M77" s="130"/>
      <x:c r="N77" s="106"/>
      <x:c r="O77" s="86"/>
      <x:c r="P77" s="86"/>
      <x:c r="Q77" s="86"/>
      <x:c r="R77" s="86"/>
      <x:c r="S77" s="86"/>
      <x:c r="T77" s="86"/>
      <x:c r="U77" s="86"/>
      <x:c r="V77" s="86"/>
      <x:c r="W77" s="86"/>
      <x:c r="X77" s="86"/>
      <x:c r="Y77" s="86"/>
      <x:c r="Z77" s="86"/>
    </x:row>
    <x:row r="78">
      <x:c r="A78" s="86"/>
      <x:c r="B78" s="86"/>
      <x:c r="C78" s="86"/>
      <x:c r="D78" s="86"/>
      <x:c r="E78" s="106"/>
      <x:c r="F78" s="106"/>
      <x:c r="G78" s="106"/>
      <x:c r="H78" s="106"/>
      <x:c r="I78" s="106"/>
      <x:c r="J78" s="106"/>
      <x:c r="K78" s="106"/>
      <x:c r="L78" s="106"/>
      <x:c r="M78" s="130"/>
      <x:c r="N78" s="106"/>
      <x:c r="O78" s="86"/>
      <x:c r="P78" s="86"/>
      <x:c r="Q78" s="86"/>
      <x:c r="R78" s="86"/>
      <x:c r="S78" s="86"/>
      <x:c r="T78" s="86"/>
      <x:c r="U78" s="86"/>
      <x:c r="V78" s="86"/>
      <x:c r="W78" s="86"/>
      <x:c r="X78" s="86"/>
      <x:c r="Y78" s="86"/>
      <x:c r="Z78" s="86"/>
    </x:row>
    <x:row r="79">
      <x:c r="A79" s="86"/>
      <x:c r="B79" s="86"/>
      <x:c r="C79" s="86"/>
      <x:c r="D79" s="86"/>
      <x:c r="E79" s="106"/>
      <x:c r="F79" s="106"/>
      <x:c r="G79" s="106"/>
      <x:c r="H79" s="106"/>
      <x:c r="I79" s="106"/>
      <x:c r="J79" s="106"/>
      <x:c r="K79" s="106"/>
      <x:c r="L79" s="106"/>
      <x:c r="M79" s="130"/>
      <x:c r="N79" s="106"/>
      <x:c r="O79" s="86"/>
      <x:c r="P79" s="86"/>
      <x:c r="Q79" s="86"/>
      <x:c r="R79" s="86"/>
      <x:c r="S79" s="86"/>
      <x:c r="T79" s="86"/>
      <x:c r="U79" s="86"/>
      <x:c r="V79" s="86"/>
      <x:c r="W79" s="86"/>
      <x:c r="X79" s="86"/>
      <x:c r="Y79" s="86"/>
      <x:c r="Z79" s="86"/>
    </x:row>
    <x:row r="80">
      <x:c r="A80" s="86"/>
      <x:c r="B80" s="86"/>
      <x:c r="C80" s="86"/>
      <x:c r="D80" s="86"/>
      <x:c r="E80" s="106"/>
      <x:c r="F80" s="106"/>
      <x:c r="G80" s="106"/>
      <x:c r="H80" s="106"/>
      <x:c r="I80" s="106"/>
      <x:c r="J80" s="106"/>
      <x:c r="K80" s="106"/>
      <x:c r="L80" s="106"/>
      <x:c r="M80" s="130"/>
      <x:c r="N80" s="106"/>
      <x:c r="O80" s="86"/>
      <x:c r="P80" s="86"/>
      <x:c r="Q80" s="86"/>
      <x:c r="R80" s="86"/>
      <x:c r="S80" s="86"/>
      <x:c r="T80" s="86"/>
      <x:c r="U80" s="86"/>
      <x:c r="V80" s="86"/>
      <x:c r="W80" s="86"/>
      <x:c r="X80" s="86"/>
      <x:c r="Y80" s="86"/>
      <x:c r="Z80" s="86"/>
    </x:row>
    <x:row r="81">
      <x:c r="A81" s="86"/>
      <x:c r="B81" s="86"/>
      <x:c r="C81" s="86"/>
      <x:c r="D81" s="86"/>
      <x:c r="E81" s="106"/>
      <x:c r="F81" s="106"/>
      <x:c r="G81" s="106"/>
      <x:c r="H81" s="106"/>
      <x:c r="I81" s="106"/>
      <x:c r="J81" s="106"/>
      <x:c r="K81" s="106"/>
      <x:c r="L81" s="106"/>
      <x:c r="M81" s="130"/>
      <x:c r="N81" s="106"/>
      <x:c r="O81" s="86"/>
      <x:c r="P81" s="86"/>
      <x:c r="Q81" s="86"/>
      <x:c r="R81" s="86"/>
      <x:c r="S81" s="86"/>
      <x:c r="T81" s="86"/>
      <x:c r="U81" s="86"/>
      <x:c r="V81" s="86"/>
      <x:c r="W81" s="86"/>
      <x:c r="X81" s="86"/>
      <x:c r="Y81" s="86"/>
      <x:c r="Z81" s="86"/>
    </x:row>
    <x:row r="82">
      <x:c r="A82" s="86"/>
      <x:c r="B82" s="86"/>
      <x:c r="C82" s="86"/>
      <x:c r="D82" s="86"/>
      <x:c r="E82" s="106"/>
      <x:c r="F82" s="106"/>
      <x:c r="G82" s="106"/>
      <x:c r="H82" s="106"/>
      <x:c r="I82" s="106"/>
      <x:c r="J82" s="106"/>
      <x:c r="K82" s="106"/>
      <x:c r="L82" s="106"/>
      <x:c r="M82" s="130"/>
      <x:c r="N82" s="106"/>
      <x:c r="O82" s="86"/>
      <x:c r="P82" s="86"/>
      <x:c r="Q82" s="86"/>
      <x:c r="R82" s="86"/>
      <x:c r="S82" s="86"/>
      <x:c r="T82" s="86"/>
      <x:c r="U82" s="86"/>
      <x:c r="V82" s="86"/>
      <x:c r="W82" s="86"/>
      <x:c r="X82" s="86"/>
      <x:c r="Y82" s="86"/>
      <x:c r="Z82" s="86"/>
    </x:row>
    <x:row r="83">
      <x:c r="A83" s="86"/>
      <x:c r="B83" s="86"/>
      <x:c r="C83" s="86"/>
      <x:c r="D83" s="86"/>
      <x:c r="E83" s="106"/>
      <x:c r="F83" s="106"/>
      <x:c r="G83" s="106"/>
      <x:c r="H83" s="106"/>
      <x:c r="I83" s="106"/>
      <x:c r="J83" s="106"/>
      <x:c r="K83" s="106"/>
      <x:c r="L83" s="106"/>
      <x:c r="M83" s="130"/>
      <x:c r="N83" s="106"/>
      <x:c r="O83" s="86"/>
      <x:c r="P83" s="86"/>
      <x:c r="Q83" s="86"/>
      <x:c r="R83" s="86"/>
      <x:c r="S83" s="86"/>
      <x:c r="T83" s="86"/>
      <x:c r="U83" s="86"/>
      <x:c r="V83" s="86"/>
      <x:c r="W83" s="86"/>
      <x:c r="X83" s="86"/>
      <x:c r="Y83" s="86"/>
      <x:c r="Z83" s="86"/>
    </x:row>
    <x:row r="84">
      <x:c r="A84" s="86"/>
      <x:c r="B84" s="86"/>
      <x:c r="C84" s="86"/>
      <x:c r="D84" s="86"/>
      <x:c r="E84" s="106"/>
      <x:c r="F84" s="106"/>
      <x:c r="G84" s="106"/>
      <x:c r="H84" s="106"/>
      <x:c r="I84" s="106"/>
      <x:c r="J84" s="106"/>
      <x:c r="K84" s="106"/>
      <x:c r="L84" s="106"/>
      <x:c r="M84" s="130"/>
      <x:c r="N84" s="106"/>
      <x:c r="O84" s="86"/>
      <x:c r="P84" s="86"/>
      <x:c r="Q84" s="86"/>
      <x:c r="R84" s="86"/>
      <x:c r="S84" s="86"/>
      <x:c r="T84" s="86"/>
      <x:c r="U84" s="86"/>
      <x:c r="V84" s="86"/>
      <x:c r="W84" s="86"/>
      <x:c r="X84" s="86"/>
      <x:c r="Y84" s="86"/>
      <x:c r="Z84" s="86"/>
    </x:row>
    <x:row r="85">
      <x:c r="A85" s="86"/>
      <x:c r="B85" s="86"/>
      <x:c r="C85" s="86"/>
      <x:c r="D85" s="86"/>
      <x:c r="E85" s="106"/>
      <x:c r="F85" s="106"/>
      <x:c r="G85" s="106"/>
      <x:c r="H85" s="106"/>
      <x:c r="I85" s="106"/>
      <x:c r="J85" s="106"/>
      <x:c r="K85" s="106"/>
      <x:c r="L85" s="106"/>
      <x:c r="M85" s="130"/>
      <x:c r="N85" s="106"/>
      <x:c r="O85" s="86"/>
      <x:c r="P85" s="86"/>
      <x:c r="Q85" s="86"/>
      <x:c r="R85" s="86"/>
      <x:c r="S85" s="86"/>
      <x:c r="T85" s="86"/>
      <x:c r="U85" s="86"/>
      <x:c r="V85" s="86"/>
      <x:c r="W85" s="86"/>
      <x:c r="X85" s="86"/>
      <x:c r="Y85" s="86"/>
      <x:c r="Z85" s="86"/>
    </x:row>
    <x:row r="86">
      <x:c r="A86" s="86"/>
      <x:c r="B86" s="86"/>
      <x:c r="C86" s="86"/>
      <x:c r="D86" s="86"/>
      <x:c r="E86" s="106"/>
      <x:c r="F86" s="106"/>
      <x:c r="G86" s="106"/>
      <x:c r="H86" s="106"/>
      <x:c r="I86" s="106"/>
      <x:c r="J86" s="106"/>
      <x:c r="K86" s="106"/>
      <x:c r="L86" s="106"/>
      <x:c r="M86" s="130"/>
      <x:c r="N86" s="106"/>
      <x:c r="O86" s="86"/>
      <x:c r="P86" s="86"/>
      <x:c r="Q86" s="86"/>
      <x:c r="R86" s="86"/>
      <x:c r="S86" s="86"/>
      <x:c r="T86" s="86"/>
      <x:c r="U86" s="86"/>
      <x:c r="V86" s="86"/>
      <x:c r="W86" s="86"/>
      <x:c r="X86" s="86"/>
      <x:c r="Y86" s="86"/>
      <x:c r="Z86" s="86"/>
    </x:row>
    <x:row r="87">
      <x:c r="A87" s="86"/>
      <x:c r="B87" s="86"/>
      <x:c r="C87" s="86"/>
      <x:c r="D87" s="86"/>
      <x:c r="E87" s="106"/>
      <x:c r="F87" s="106"/>
      <x:c r="G87" s="106"/>
      <x:c r="H87" s="106"/>
      <x:c r="I87" s="106"/>
      <x:c r="J87" s="106"/>
      <x:c r="K87" s="106"/>
      <x:c r="L87" s="106"/>
      <x:c r="M87" s="130"/>
      <x:c r="N87" s="106"/>
      <x:c r="O87" s="86"/>
      <x:c r="P87" s="86"/>
      <x:c r="Q87" s="86"/>
      <x:c r="R87" s="86"/>
      <x:c r="S87" s="86"/>
      <x:c r="T87" s="86"/>
      <x:c r="U87" s="86"/>
      <x:c r="V87" s="86"/>
      <x:c r="W87" s="86"/>
      <x:c r="X87" s="86"/>
      <x:c r="Y87" s="86"/>
      <x:c r="Z87" s="86"/>
    </x:row>
    <x:row r="88">
      <x:c r="A88" s="86"/>
      <x:c r="B88" s="86"/>
      <x:c r="C88" s="86"/>
      <x:c r="D88" s="86"/>
      <x:c r="E88" s="106"/>
      <x:c r="F88" s="106"/>
      <x:c r="G88" s="106"/>
      <x:c r="H88" s="106"/>
      <x:c r="I88" s="106"/>
      <x:c r="J88" s="106"/>
      <x:c r="K88" s="106"/>
      <x:c r="L88" s="106"/>
      <x:c r="M88" s="130"/>
      <x:c r="N88" s="106"/>
      <x:c r="O88" s="86"/>
      <x:c r="P88" s="86"/>
      <x:c r="Q88" s="86"/>
      <x:c r="R88" s="86"/>
      <x:c r="S88" s="86"/>
      <x:c r="T88" s="86"/>
      <x:c r="U88" s="86"/>
      <x:c r="V88" s="86"/>
      <x:c r="W88" s="86"/>
      <x:c r="X88" s="86"/>
      <x:c r="Y88" s="86"/>
      <x:c r="Z88" s="86"/>
    </x:row>
    <x:row r="89">
      <x:c r="A89" s="86"/>
      <x:c r="B89" s="86"/>
      <x:c r="C89" s="86"/>
      <x:c r="D89" s="86"/>
      <x:c r="E89" s="106"/>
      <x:c r="F89" s="106"/>
      <x:c r="G89" s="106"/>
      <x:c r="H89" s="106"/>
      <x:c r="I89" s="106"/>
      <x:c r="J89" s="106"/>
      <x:c r="K89" s="106"/>
      <x:c r="L89" s="106"/>
      <x:c r="M89" s="130"/>
      <x:c r="N89" s="106"/>
      <x:c r="O89" s="86"/>
      <x:c r="P89" s="86"/>
      <x:c r="Q89" s="86"/>
      <x:c r="R89" s="86"/>
      <x:c r="S89" s="86"/>
      <x:c r="T89" s="86"/>
      <x:c r="U89" s="86"/>
      <x:c r="V89" s="86"/>
      <x:c r="W89" s="86"/>
      <x:c r="X89" s="86"/>
      <x:c r="Y89" s="86"/>
      <x:c r="Z89" s="86"/>
    </x:row>
    <x:row r="90">
      <x:c r="A90" s="86"/>
      <x:c r="B90" s="86"/>
      <x:c r="C90" s="86"/>
      <x:c r="D90" s="86"/>
      <x:c r="E90" s="106"/>
      <x:c r="F90" s="106"/>
      <x:c r="G90" s="106"/>
      <x:c r="H90" s="106"/>
      <x:c r="I90" s="106"/>
      <x:c r="J90" s="106"/>
      <x:c r="K90" s="106"/>
      <x:c r="L90" s="106"/>
      <x:c r="M90" s="130"/>
      <x:c r="N90" s="106"/>
      <x:c r="O90" s="86"/>
      <x:c r="P90" s="86"/>
      <x:c r="Q90" s="86"/>
      <x:c r="R90" s="86"/>
      <x:c r="S90" s="86"/>
      <x:c r="T90" s="86"/>
      <x:c r="U90" s="86"/>
      <x:c r="V90" s="86"/>
      <x:c r="W90" s="86"/>
      <x:c r="X90" s="86"/>
      <x:c r="Y90" s="86"/>
      <x:c r="Z90" s="86"/>
    </x:row>
    <x:row r="91">
      <x:c r="A91" s="86"/>
      <x:c r="B91" s="86"/>
      <x:c r="C91" s="86"/>
      <x:c r="D91" s="86"/>
      <x:c r="E91" s="106"/>
      <x:c r="F91" s="106"/>
      <x:c r="G91" s="106"/>
      <x:c r="H91" s="106"/>
      <x:c r="I91" s="106"/>
      <x:c r="J91" s="106"/>
      <x:c r="K91" s="106"/>
      <x:c r="L91" s="106"/>
      <x:c r="M91" s="130"/>
      <x:c r="N91" s="106"/>
      <x:c r="O91" s="86"/>
      <x:c r="P91" s="86"/>
      <x:c r="Q91" s="86"/>
      <x:c r="R91" s="86"/>
      <x:c r="S91" s="86"/>
      <x:c r="T91" s="86"/>
      <x:c r="U91" s="86"/>
      <x:c r="V91" s="86"/>
      <x:c r="W91" s="86"/>
      <x:c r="X91" s="86"/>
      <x:c r="Y91" s="86"/>
      <x:c r="Z91" s="86"/>
    </x:row>
    <x:row r="92">
      <x:c r="A92" s="86"/>
      <x:c r="B92" s="86"/>
      <x:c r="C92" s="86"/>
      <x:c r="D92" s="86"/>
      <x:c r="E92" s="106"/>
      <x:c r="F92" s="106"/>
      <x:c r="G92" s="106"/>
      <x:c r="H92" s="106"/>
      <x:c r="I92" s="106"/>
      <x:c r="J92" s="106"/>
      <x:c r="K92" s="106"/>
      <x:c r="L92" s="106"/>
      <x:c r="M92" s="130"/>
      <x:c r="N92" s="106"/>
      <x:c r="O92" s="86"/>
      <x:c r="P92" s="86"/>
      <x:c r="Q92" s="86"/>
      <x:c r="R92" s="86"/>
      <x:c r="S92" s="86"/>
      <x:c r="T92" s="86"/>
      <x:c r="U92" s="86"/>
      <x:c r="V92" s="86"/>
      <x:c r="W92" s="86"/>
      <x:c r="X92" s="86"/>
      <x:c r="Y92" s="86"/>
      <x:c r="Z92" s="86"/>
    </x:row>
    <x:row r="93">
      <x:c r="A93" s="86"/>
      <x:c r="B93" s="86"/>
      <x:c r="C93" s="86"/>
      <x:c r="D93" s="86"/>
      <x:c r="E93" s="106"/>
      <x:c r="F93" s="106"/>
      <x:c r="G93" s="106"/>
      <x:c r="H93" s="106"/>
      <x:c r="I93" s="106"/>
      <x:c r="J93" s="106"/>
      <x:c r="K93" s="106"/>
      <x:c r="L93" s="106"/>
      <x:c r="M93" s="130"/>
      <x:c r="N93" s="106"/>
      <x:c r="O93" s="86"/>
      <x:c r="P93" s="86"/>
      <x:c r="Q93" s="86"/>
      <x:c r="R93" s="86"/>
      <x:c r="S93" s="86"/>
      <x:c r="T93" s="86"/>
      <x:c r="U93" s="86"/>
      <x:c r="V93" s="86"/>
      <x:c r="W93" s="86"/>
      <x:c r="X93" s="86"/>
      <x:c r="Y93" s="86"/>
      <x:c r="Z93" s="86"/>
    </x:row>
    <x:row r="94">
      <x:c r="A94" s="86"/>
      <x:c r="B94" s="86"/>
      <x:c r="C94" s="86"/>
      <x:c r="D94" s="86"/>
      <x:c r="E94" s="106"/>
      <x:c r="F94" s="106"/>
      <x:c r="G94" s="106"/>
      <x:c r="H94" s="106"/>
      <x:c r="I94" s="106"/>
      <x:c r="J94" s="106"/>
      <x:c r="K94" s="106"/>
      <x:c r="L94" s="106"/>
      <x:c r="M94" s="130"/>
      <x:c r="N94" s="106"/>
      <x:c r="O94" s="86"/>
      <x:c r="P94" s="86"/>
      <x:c r="Q94" s="86"/>
      <x:c r="R94" s="86"/>
      <x:c r="S94" s="86"/>
      <x:c r="T94" s="86"/>
      <x:c r="U94" s="86"/>
      <x:c r="V94" s="86"/>
      <x:c r="W94" s="86"/>
      <x:c r="X94" s="86"/>
      <x:c r="Y94" s="86"/>
      <x:c r="Z94" s="86"/>
    </x:row>
    <x:row r="95">
      <x:c r="A95" s="86"/>
      <x:c r="B95" s="86"/>
      <x:c r="C95" s="86"/>
      <x:c r="D95" s="86"/>
      <x:c r="E95" s="106"/>
      <x:c r="F95" s="106"/>
      <x:c r="G95" s="106"/>
      <x:c r="H95" s="106"/>
      <x:c r="I95" s="106"/>
      <x:c r="J95" s="106"/>
      <x:c r="K95" s="106"/>
      <x:c r="L95" s="106"/>
      <x:c r="M95" s="130"/>
      <x:c r="N95" s="106"/>
      <x:c r="O95" s="86"/>
      <x:c r="P95" s="86"/>
      <x:c r="Q95" s="86"/>
      <x:c r="R95" s="86"/>
      <x:c r="S95" s="86"/>
      <x:c r="T95" s="86"/>
      <x:c r="U95" s="86"/>
      <x:c r="V95" s="86"/>
      <x:c r="W95" s="86"/>
      <x:c r="X95" s="86"/>
      <x:c r="Y95" s="86"/>
      <x:c r="Z95" s="86"/>
    </x:row>
    <x:row r="96">
      <x:c r="A96" s="86"/>
      <x:c r="B96" s="86"/>
      <x:c r="C96" s="86"/>
      <x:c r="D96" s="86"/>
      <x:c r="E96" s="106"/>
      <x:c r="F96" s="106"/>
      <x:c r="G96" s="106"/>
      <x:c r="H96" s="106"/>
      <x:c r="I96" s="106"/>
      <x:c r="J96" s="106"/>
      <x:c r="K96" s="106"/>
      <x:c r="L96" s="106"/>
      <x:c r="M96" s="130"/>
      <x:c r="N96" s="106"/>
      <x:c r="O96" s="86"/>
      <x:c r="P96" s="86"/>
      <x:c r="Q96" s="86"/>
      <x:c r="R96" s="86"/>
      <x:c r="S96" s="86"/>
      <x:c r="T96" s="86"/>
      <x:c r="U96" s="86"/>
      <x:c r="V96" s="86"/>
      <x:c r="W96" s="86"/>
      <x:c r="X96" s="86"/>
      <x:c r="Y96" s="86"/>
      <x:c r="Z96" s="86"/>
    </x:row>
    <x:row r="97">
      <x:c r="A97" s="86"/>
      <x:c r="B97" s="86"/>
      <x:c r="C97" s="86"/>
      <x:c r="D97" s="86"/>
      <x:c r="E97" s="106"/>
      <x:c r="F97" s="106"/>
      <x:c r="G97" s="106"/>
      <x:c r="H97" s="106"/>
      <x:c r="I97" s="106"/>
      <x:c r="J97" s="106"/>
      <x:c r="K97" s="106"/>
      <x:c r="L97" s="106"/>
      <x:c r="M97" s="130"/>
      <x:c r="N97" s="106"/>
      <x:c r="O97" s="86"/>
      <x:c r="P97" s="86"/>
      <x:c r="Q97" s="86"/>
      <x:c r="R97" s="86"/>
      <x:c r="S97" s="86"/>
      <x:c r="T97" s="86"/>
      <x:c r="U97" s="86"/>
      <x:c r="V97" s="86"/>
      <x:c r="W97" s="86"/>
      <x:c r="X97" s="86"/>
      <x:c r="Y97" s="86"/>
      <x:c r="Z97" s="86"/>
    </x:row>
    <x:row r="98">
      <x:c r="A98" s="86"/>
      <x:c r="B98" s="86"/>
      <x:c r="C98" s="86"/>
      <x:c r="D98" s="86"/>
      <x:c r="E98" s="106"/>
      <x:c r="F98" s="106"/>
      <x:c r="G98" s="106"/>
      <x:c r="H98" s="106"/>
      <x:c r="I98" s="106"/>
      <x:c r="J98" s="106"/>
      <x:c r="K98" s="106"/>
      <x:c r="L98" s="106"/>
      <x:c r="M98" s="130"/>
      <x:c r="N98" s="106"/>
      <x:c r="O98" s="86"/>
      <x:c r="P98" s="86"/>
      <x:c r="Q98" s="86"/>
      <x:c r="R98" s="86"/>
      <x:c r="S98" s="86"/>
      <x:c r="T98" s="86"/>
      <x:c r="U98" s="86"/>
      <x:c r="V98" s="86"/>
      <x:c r="W98" s="86"/>
      <x:c r="X98" s="86"/>
      <x:c r="Y98" s="86"/>
      <x:c r="Z98" s="86"/>
    </x:row>
    <x:row r="99">
      <x:c r="A99" s="86"/>
      <x:c r="B99" s="86"/>
      <x:c r="C99" s="86"/>
      <x:c r="D99" s="86"/>
      <x:c r="E99" s="106"/>
      <x:c r="F99" s="106"/>
      <x:c r="G99" s="106"/>
      <x:c r="H99" s="106"/>
      <x:c r="I99" s="106"/>
      <x:c r="J99" s="106"/>
      <x:c r="K99" s="106"/>
      <x:c r="L99" s="106"/>
      <x:c r="M99" s="130"/>
      <x:c r="N99" s="106"/>
      <x:c r="O99" s="86"/>
      <x:c r="P99" s="86"/>
      <x:c r="Q99" s="86"/>
      <x:c r="R99" s="86"/>
      <x:c r="S99" s="86"/>
      <x:c r="T99" s="86"/>
      <x:c r="U99" s="86"/>
      <x:c r="V99" s="86"/>
      <x:c r="W99" s="86"/>
      <x:c r="X99" s="86"/>
      <x:c r="Y99" s="86"/>
      <x:c r="Z99" s="86"/>
    </x:row>
    <x:row r="100">
      <x:c r="A100" s="86"/>
      <x:c r="B100" s="86"/>
      <x:c r="C100" s="86"/>
      <x:c r="D100" s="86"/>
      <x:c r="E100" s="106"/>
      <x:c r="F100" s="106"/>
      <x:c r="G100" s="106"/>
      <x:c r="H100" s="106"/>
      <x:c r="I100" s="106"/>
      <x:c r="J100" s="106"/>
      <x:c r="K100" s="106"/>
      <x:c r="L100" s="106"/>
      <x:c r="M100" s="130"/>
      <x:c r="N100" s="106"/>
      <x:c r="O100" s="86"/>
      <x:c r="P100" s="86"/>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N1"/>
  </x:mergeCells>
  <x:dataValidations count="1">
    <x:dataValidation type="list" sqref="D4:D100">
      <x:formula1>"待Agent校验,已抓取,已阅读,异常"</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1" hidden="0" customWidth="1"/>
    <x:col min="3" max="3" width="18" hidden="0" customWidth="1"/>
    <x:col min="4" max="4" width="18" hidden="0" customWidth="1"/>
    <x:col min="5" max="5" width="14" hidden="0" customWidth="1"/>
    <x:col min="6" max="6" width="10" hidden="0" customWidth="1"/>
    <x:col min="7" max="7" width="24" hidden="0" customWidth="1"/>
    <x:col min="8" max="8" width="36" hidden="0" customWidth="1"/>
    <x:col min="9" max="9" width="24" hidden="0" customWidth="1"/>
    <x:col min="10" max="10" width="36" hidden="0" customWidth="1"/>
    <x:col min="11" max="11" width="19" hidden="0" customWidth="1"/>
    <x:col min="12" max="12" width="19" hidden="0" customWidth="1"/>
    <x:col min="13" max="13" width="12" hidden="0" customWidth="1"/>
    <x:col min="14" max="14" width="36" hidden="0" customWidth="1"/>
    <x:col min="15" max="15" width="12" hidden="0" customWidth="1"/>
    <x:col min="16" max="16" width="14" hidden="0" customWidth="1"/>
    <x:col min="17" max="17" width="12" hidden="0" customWidth="1"/>
    <x:col min="18" max="18" width="36" hidden="0" customWidth="1"/>
  </x:cols>
  <x:sheetData>
    <x:row r="1">
      <x:c r="A1" s="5" t="str">
        <x:v>数据源与审计日志（任何影响买入/卖出的关键字段，都应能追到原始来源）</x:v>
      </x:c>
      <x:c r="B1" s="5"/>
      <x:c r="C1" s="5"/>
      <x:c r="D1" s="5"/>
      <x:c r="E1" s="5"/>
      <x:c r="F1" s="5"/>
      <x:c r="G1" s="5"/>
      <x:c r="H1" s="5"/>
      <x:c r="I1" s="5"/>
      <x:c r="J1" s="5"/>
      <x:c r="K1" s="5"/>
      <x:c r="L1" s="5"/>
      <x:c r="M1" s="5"/>
      <x:c r="N1" s="5"/>
      <x:c r="O1" s="5"/>
      <x:c r="P1" s="5"/>
      <x:c r="Q1" s="5"/>
      <x:c r="R1" s="5"/>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audit_id</x:v>
      </x:c>
      <x:c r="B3" s="13" t="str">
        <x:v>股票代码</x:v>
      </x:c>
      <x:c r="C3" s="13" t="str">
        <x:v>字段名</x:v>
      </x:c>
      <x:c r="D3" s="13" t="str">
        <x:v>报告期/时点</x:v>
      </x:c>
      <x:c r="E3" s="13" t="str">
        <x:v>值</x:v>
      </x:c>
      <x:c r="F3" s="13" t="str">
        <x:v>单位</x:v>
      </x:c>
      <x:c r="G3" s="13" t="str">
        <x:v>一级来源</x:v>
      </x:c>
      <x:c r="H3" s="13" t="str">
        <x:v>一级来源URL</x:v>
      </x:c>
      <x:c r="I3" s="13" t="str">
        <x:v>二级来源</x:v>
      </x:c>
      <x:c r="J3" s="13" t="str">
        <x:v>二级来源URL</x:v>
      </x:c>
      <x:c r="K3" s="13" t="str">
        <x:v>抓取时间</x:v>
      </x:c>
      <x:c r="L3" s="13" t="str">
        <x:v>源发布时间</x:v>
      </x:c>
      <x:c r="M3" s="13" t="str">
        <x:v>解析器版本</x:v>
      </x:c>
      <x:c r="N3" s="13" t="str">
        <x:v>原始文件Hash</x:v>
      </x:c>
      <x:c r="O3" s="13" t="str">
        <x:v>双源差异</x:v>
      </x:c>
      <x:c r="P3" s="13" t="str">
        <x:v>校验结果</x:v>
      </x:c>
      <x:c r="Q3" s="13" t="str">
        <x:v>人工复核</x:v>
      </x:c>
      <x:c r="R3" s="13" t="str">
        <x:v>备注</x:v>
      </x:c>
      <x:c r="S3" s="86"/>
      <x:c r="T3" s="86"/>
      <x:c r="U3" s="86"/>
      <x:c r="V3" s="86"/>
      <x:c r="W3" s="86"/>
      <x:c r="X3" s="86"/>
      <x:c r="Y3" s="86"/>
      <x:c r="Z3" s="86"/>
    </x:row>
    <x:row r="4">
      <x:c r="A4" s="106"/>
      <x:c r="B4" s="106"/>
      <x:c r="C4" s="106"/>
      <x:c r="D4" s="106"/>
      <x:c r="E4" s="106"/>
      <x:c r="F4" s="106"/>
      <x:c r="G4" s="106"/>
      <x:c r="H4" s="106"/>
      <x:c r="I4" s="106"/>
      <x:c r="J4" s="106"/>
      <x:c r="K4" s="121"/>
      <x:c r="L4" s="121"/>
      <x:c r="M4" s="106"/>
      <x:c r="N4" s="106"/>
      <x:c r="O4" s="113"/>
      <x:c r="P4" s="106"/>
      <x:c r="Q4" s="106"/>
      <x:c r="R4" s="106"/>
      <x:c r="S4" s="86"/>
      <x:c r="T4" s="86"/>
      <x:c r="U4" s="86"/>
      <x:c r="V4" s="86"/>
      <x:c r="W4" s="86"/>
      <x:c r="X4" s="86"/>
      <x:c r="Y4" s="86"/>
      <x:c r="Z4" s="86"/>
    </x:row>
    <x:row r="5">
      <x:c r="A5" s="106"/>
      <x:c r="B5" s="106"/>
      <x:c r="C5" s="106"/>
      <x:c r="D5" s="106"/>
      <x:c r="E5" s="106"/>
      <x:c r="F5" s="106"/>
      <x:c r="G5" s="106"/>
      <x:c r="H5" s="106"/>
      <x:c r="I5" s="106"/>
      <x:c r="J5" s="106"/>
      <x:c r="K5" s="121"/>
      <x:c r="L5" s="121"/>
      <x:c r="M5" s="106"/>
      <x:c r="N5" s="106"/>
      <x:c r="O5" s="113"/>
      <x:c r="P5" s="106"/>
      <x:c r="Q5" s="106"/>
      <x:c r="R5" s="106"/>
      <x:c r="S5" s="86"/>
      <x:c r="T5" s="86"/>
      <x:c r="U5" s="86"/>
      <x:c r="V5" s="86"/>
      <x:c r="W5" s="86"/>
      <x:c r="X5" s="86"/>
      <x:c r="Y5" s="86"/>
      <x:c r="Z5" s="86"/>
    </x:row>
    <x:row r="6">
      <x:c r="A6" s="106" t="str">
        <x:v>42d491a1-5572-43fd-a46b-dfcb3733717f</x:v>
      </x:c>
      <x:c r="B6" s="106" t="str">
        <x:v>600036</x:v>
      </x:c>
      <x:c r="C6" s="106" t="str">
        <x:v>roe</x:v>
      </x:c>
      <x:c r="D6" s="106" t="str">
        <x:v>2026-06-30</x:v>
      </x:c>
      <x:c r="E6" s="106" t="n">
        <x:v>5.68</x:v>
      </x:c>
      <x:c r="F6" s="106" t="str">
        <x:v>percent</x:v>
      </x:c>
      <x:c r="G6" s="106" t="str">
        <x:v>AkShare / Sina financial indicators</x:v>
      </x:c>
      <x:c r="H6" s="106" t="str">
        <x:v>https://money.finance.sina.com.cn/corp/go.php/vFD_FinancialGuideLine/stockid/600036/ctrl/2026/displaytype/4.phtml</x:v>
      </x:c>
      <x:c r="I6" s="106"/>
      <x:c r="J6" s="106"/>
      <x:c r="K6" s="121" t="str">
        <x:v>2026-09-01 15:02:21.471439+00:00</x:v>
      </x:c>
      <x:c r="L6" s="121"/>
      <x:c r="M6" s="106" t="str">
        <x:v>akshare-financial-v1-sina</x:v>
      </x:c>
      <x:c r="N6" s="106" t="str">
        <x:v>992a8784527f68fc7e8d1a5caea9dadfa0356fd7a7273f061955302d71b1bcef</x:v>
      </x:c>
      <x:c r="O6" s="113"/>
      <x:c r="P6" s="106" t="str">
        <x:v>pending</x:v>
      </x:c>
      <x:c r="Q6" s="106" t="str">
        <x:v>否</x:v>
      </x:c>
      <x:c r="R6" s="106" t="str">
        <x:v>由本地 Agent 同步</x:v>
      </x:c>
      <x:c r="S6" s="86"/>
      <x:c r="T6" s="86"/>
      <x:c r="U6" s="86"/>
      <x:c r="V6" s="86"/>
      <x:c r="W6" s="86"/>
      <x:c r="X6" s="86"/>
      <x:c r="Y6" s="86"/>
      <x:c r="Z6" s="86"/>
    </x:row>
    <x:row r="7">
      <x:c r="A7" s="106" t="str">
        <x:v>c3b50d66-ec3a-4289-b696-f3adbdb60f14</x:v>
      </x:c>
      <x:c r="B7" s="106" t="str">
        <x:v>600887</x:v>
      </x:c>
      <x:c r="C7" s="106" t="str">
        <x:v>operating_cash_flow_to_net_income</x:v>
      </x:c>
      <x:c r="D7" s="106" t="str">
        <x:v>2026-06-30</x:v>
      </x:c>
      <x:c r="E7" s="106" t="n">
        <x:v>1.7668</x:v>
      </x:c>
      <x:c r="F7" s="106" t="str">
        <x:v>percent</x:v>
      </x:c>
      <x:c r="G7" s="106" t="str">
        <x:v>AkShare / Sina financial indicators</x:v>
      </x:c>
      <x:c r="H7" s="106" t="str">
        <x:v>https://money.finance.sina.com.cn/corp/go.php/vFD_FinancialGuideLine/stockid/600887/ctrl/2026/displaytype/4.phtml</x:v>
      </x:c>
      <x:c r="I7" s="106"/>
      <x:c r="J7" s="106"/>
      <x:c r="K7" s="121" t="str">
        <x:v>2026-09-01 15:02:21.471439+00:00</x:v>
      </x:c>
      <x:c r="L7" s="121"/>
      <x:c r="M7" s="106" t="str">
        <x:v>akshare-financial-v1-sina</x:v>
      </x:c>
      <x:c r="N7" s="106" t="str">
        <x:v>bd51fbe2807667a7f423ab45b829cf35ce0438cce13316a24049a808f18ae51c</x:v>
      </x:c>
      <x:c r="O7" s="113"/>
      <x:c r="P7" s="106" t="str">
        <x:v>pending</x:v>
      </x:c>
      <x:c r="Q7" s="106" t="str">
        <x:v>否</x:v>
      </x:c>
      <x:c r="R7" s="106" t="str">
        <x:v>由本地 Agent 同步</x:v>
      </x:c>
      <x:c r="S7" s="86"/>
      <x:c r="T7" s="86"/>
      <x:c r="U7" s="86"/>
      <x:c r="V7" s="86"/>
      <x:c r="W7" s="86"/>
      <x:c r="X7" s="86"/>
      <x:c r="Y7" s="86"/>
      <x:c r="Z7" s="86"/>
    </x:row>
    <x:row r="8">
      <x:c r="A8" s="106" t="str">
        <x:v>c3b50d66-ec3a-4289-b696-f3adbdb60f14</x:v>
      </x:c>
      <x:c r="B8" s="106" t="str">
        <x:v>600887</x:v>
      </x:c>
      <x:c r="C8" s="106" t="str">
        <x:v>debt_ratio</x:v>
      </x:c>
      <x:c r="D8" s="106" t="str">
        <x:v>2026-06-30</x:v>
      </x:c>
      <x:c r="E8" s="106" t="n">
        <x:v>63.5566</x:v>
      </x:c>
      <x:c r="F8" s="106" t="str">
        <x:v>percent</x:v>
      </x:c>
      <x:c r="G8" s="106" t="str">
        <x:v>AkShare / Sina financial indicators</x:v>
      </x:c>
      <x:c r="H8" s="106" t="str">
        <x:v>https://money.finance.sina.com.cn/corp/go.php/vFD_FinancialGuideLine/stockid/600887/ctrl/2026/displaytype/4.phtml</x:v>
      </x:c>
      <x:c r="I8" s="106"/>
      <x:c r="J8" s="106"/>
      <x:c r="K8" s="121" t="str">
        <x:v>2026-09-01 15:02:21.471439+00:00</x:v>
      </x:c>
      <x:c r="L8" s="121"/>
      <x:c r="M8" s="106" t="str">
        <x:v>akshare-financial-v1-sina</x:v>
      </x:c>
      <x:c r="N8" s="106" t="str">
        <x:v>bd51fbe2807667a7f423ab45b829cf35ce0438cce13316a24049a808f18ae51c</x:v>
      </x:c>
      <x:c r="O8" s="113"/>
      <x:c r="P8" s="106" t="str">
        <x:v>pending</x:v>
      </x:c>
      <x:c r="Q8" s="106" t="str">
        <x:v>否</x:v>
      </x:c>
      <x:c r="R8" s="106" t="str">
        <x:v>由本地 Agent 同步</x:v>
      </x:c>
      <x:c r="S8" s="86"/>
      <x:c r="T8" s="86"/>
      <x:c r="U8" s="86"/>
      <x:c r="V8" s="86"/>
      <x:c r="W8" s="86"/>
      <x:c r="X8" s="86"/>
      <x:c r="Y8" s="86"/>
      <x:c r="Z8" s="86"/>
    </x:row>
    <x:row r="9">
      <x:c r="A9" s="106" t="str">
        <x:v>c3b50d66-ec3a-4289-b696-f3adbdb60f14</x:v>
      </x:c>
      <x:c r="B9" s="106" t="str">
        <x:v>600887</x:v>
      </x:c>
      <x:c r="C9" s="106" t="str">
        <x:v>net_income_yoy</x:v>
      </x:c>
      <x:c r="D9" s="106" t="str">
        <x:v>2026-06-30</x:v>
      </x:c>
      <x:c r="E9" s="106" t="n">
        <x:v>-23.6579</x:v>
      </x:c>
      <x:c r="F9" s="106" t="str">
        <x:v>percent</x:v>
      </x:c>
      <x:c r="G9" s="106" t="str">
        <x:v>AkShare / Sina financial indicators</x:v>
      </x:c>
      <x:c r="H9" s="106" t="str">
        <x:v>https://money.finance.sina.com.cn/corp/go.php/vFD_FinancialGuideLine/stockid/600887/ctrl/2026/displaytype/4.phtml</x:v>
      </x:c>
      <x:c r="I9" s="106"/>
      <x:c r="J9" s="106"/>
      <x:c r="K9" s="121" t="str">
        <x:v>2026-09-01 15:02:21.471439+00:00</x:v>
      </x:c>
      <x:c r="L9" s="121"/>
      <x:c r="M9" s="106" t="str">
        <x:v>akshare-financial-v1-sina</x:v>
      </x:c>
      <x:c r="N9" s="106" t="str">
        <x:v>bd51fbe2807667a7f423ab45b829cf35ce0438cce13316a24049a808f18ae51c</x:v>
      </x:c>
      <x:c r="O9" s="113"/>
      <x:c r="P9" s="106" t="str">
        <x:v>pending</x:v>
      </x:c>
      <x:c r="Q9" s="106" t="str">
        <x:v>否</x:v>
      </x:c>
      <x:c r="R9" s="106" t="str">
        <x:v>由本地 Agent 同步</x:v>
      </x:c>
      <x:c r="S9" s="86"/>
      <x:c r="T9" s="86"/>
      <x:c r="U9" s="86"/>
      <x:c r="V9" s="86"/>
      <x:c r="W9" s="86"/>
      <x:c r="X9" s="86"/>
      <x:c r="Y9" s="86"/>
      <x:c r="Z9" s="86"/>
    </x:row>
    <x:row r="10">
      <x:c r="A10" s="106" t="str">
        <x:v>c3b50d66-ec3a-4289-b696-f3adbdb60f14</x:v>
      </x:c>
      <x:c r="B10" s="106" t="str">
        <x:v>600887</x:v>
      </x:c>
      <x:c r="C10" s="106" t="str">
        <x:v>revenue_yoy</x:v>
      </x:c>
      <x:c r="D10" s="106" t="str">
        <x:v>2026-06-30</x:v>
      </x:c>
      <x:c r="E10" s="106" t="n">
        <x:v>4.1345</x:v>
      </x:c>
      <x:c r="F10" s="106" t="str">
        <x:v>percent</x:v>
      </x:c>
      <x:c r="G10" s="106" t="str">
        <x:v>AkShare / Sina financial indicators</x:v>
      </x:c>
      <x:c r="H10" s="106" t="str">
        <x:v>https://money.finance.sina.com.cn/corp/go.php/vFD_FinancialGuideLine/stockid/600887/ctrl/2026/displaytype/4.phtml</x:v>
      </x:c>
      <x:c r="I10" s="106"/>
      <x:c r="J10" s="106"/>
      <x:c r="K10" s="121" t="str">
        <x:v>2026-09-01 15:02:21.471439+00:00</x:v>
      </x:c>
      <x:c r="L10" s="121"/>
      <x:c r="M10" s="106" t="str">
        <x:v>akshare-financial-v1-sina</x:v>
      </x:c>
      <x:c r="N10" s="106" t="str">
        <x:v>bd51fbe2807667a7f423ab45b829cf35ce0438cce13316a24049a808f18ae51c</x:v>
      </x:c>
      <x:c r="O10" s="113"/>
      <x:c r="P10" s="106" t="str">
        <x:v>pending</x:v>
      </x:c>
      <x:c r="Q10" s="106" t="str">
        <x:v>否</x:v>
      </x:c>
      <x:c r="R10" s="106" t="str">
        <x:v>由本地 Agent 同步</x:v>
      </x:c>
      <x:c r="S10" s="86"/>
      <x:c r="T10" s="86"/>
      <x:c r="U10" s="86"/>
      <x:c r="V10" s="86"/>
      <x:c r="W10" s="86"/>
      <x:c r="X10" s="86"/>
      <x:c r="Y10" s="86"/>
      <x:c r="Z10" s="86"/>
    </x:row>
    <x:row r="11">
      <x:c r="A11" s="106" t="str">
        <x:v>c3b50d66-ec3a-4289-b696-f3adbdb60f14</x:v>
      </x:c>
      <x:c r="B11" s="106" t="str">
        <x:v>600887</x:v>
      </x:c>
      <x:c r="C11" s="106" t="str">
        <x:v>net_margin</x:v>
      </x:c>
      <x:c r="D11" s="106" t="str">
        <x:v>2026-06-30</x:v>
      </x:c>
      <x:c r="E11" s="106" t="n">
        <x:v>8.5864</x:v>
      </x:c>
      <x:c r="F11" s="106" t="str">
        <x:v>percent</x:v>
      </x:c>
      <x:c r="G11" s="106" t="str">
        <x:v>AkShare / Sina financial indicators</x:v>
      </x:c>
      <x:c r="H11" s="106" t="str">
        <x:v>https://money.finance.sina.com.cn/corp/go.php/vFD_FinancialGuideLine/stockid/600887/ctrl/2026/displaytype/4.phtml</x:v>
      </x:c>
      <x:c r="I11" s="106"/>
      <x:c r="J11" s="106"/>
      <x:c r="K11" s="121" t="str">
        <x:v>2026-09-01 15:02:21.471439+00:00</x:v>
      </x:c>
      <x:c r="L11" s="121"/>
      <x:c r="M11" s="106" t="str">
        <x:v>akshare-financial-v1-sina</x:v>
      </x:c>
      <x:c r="N11" s="106" t="str">
        <x:v>bd51fbe2807667a7f423ab45b829cf35ce0438cce13316a24049a808f18ae51c</x:v>
      </x:c>
      <x:c r="O11" s="113"/>
      <x:c r="P11" s="106" t="str">
        <x:v>pending</x:v>
      </x:c>
      <x:c r="Q11" s="106" t="str">
        <x:v>否</x:v>
      </x:c>
      <x:c r="R11" s="106" t="str">
        <x:v>由本地 Agent 同步</x:v>
      </x:c>
      <x:c r="S11" s="86"/>
      <x:c r="T11" s="86"/>
      <x:c r="U11" s="86"/>
      <x:c r="V11" s="86"/>
      <x:c r="W11" s="86"/>
      <x:c r="X11" s="86"/>
      <x:c r="Y11" s="86"/>
      <x:c r="Z11" s="86"/>
    </x:row>
    <x:row r="12">
      <x:c r="A12" s="106" t="str">
        <x:v>c3b50d66-ec3a-4289-b696-f3adbdb60f14</x:v>
      </x:c>
      <x:c r="B12" s="106" t="str">
        <x:v>600887</x:v>
      </x:c>
      <x:c r="C12" s="106" t="str">
        <x:v>roe</x:v>
      </x:c>
      <x:c r="D12" s="106" t="str">
        <x:v>2026-06-30</x:v>
      </x:c>
      <x:c r="E12" s="106" t="n">
        <x:v>10.72</x:v>
      </x:c>
      <x:c r="F12" s="106" t="str">
        <x:v>percent</x:v>
      </x:c>
      <x:c r="G12" s="106" t="str">
        <x:v>AkShare / Sina financial indicators</x:v>
      </x:c>
      <x:c r="H12" s="106" t="str">
        <x:v>https://money.finance.sina.com.cn/corp/go.php/vFD_FinancialGuideLine/stockid/600887/ctrl/2026/displaytype/4.phtml</x:v>
      </x:c>
      <x:c r="I12" s="106"/>
      <x:c r="J12" s="106"/>
      <x:c r="K12" s="121" t="str">
        <x:v>2026-09-01 15:02:21.471439+00:00</x:v>
      </x:c>
      <x:c r="L12" s="121"/>
      <x:c r="M12" s="106" t="str">
        <x:v>akshare-financial-v1-sina</x:v>
      </x:c>
      <x:c r="N12" s="106" t="str">
        <x:v>bd51fbe2807667a7f423ab45b829cf35ce0438cce13316a24049a808f18ae51c</x:v>
      </x:c>
      <x:c r="O12" s="113"/>
      <x:c r="P12" s="106" t="str">
        <x:v>pending</x:v>
      </x:c>
      <x:c r="Q12" s="106" t="str">
        <x:v>否</x:v>
      </x:c>
      <x:c r="R12" s="106" t="str">
        <x:v>由本地 Agent 同步</x:v>
      </x:c>
      <x:c r="S12" s="86"/>
      <x:c r="T12" s="86"/>
      <x:c r="U12" s="86"/>
      <x:c r="V12" s="86"/>
      <x:c r="W12" s="86"/>
      <x:c r="X12" s="86"/>
      <x:c r="Y12" s="86"/>
      <x:c r="Z12" s="86"/>
    </x:row>
    <x:row r="13">
      <x:c r="A13" s="106" t="str">
        <x:v>c3b50d66-ec3a-4289-b696-f3adbdb60f14</x:v>
      </x:c>
      <x:c r="B13" s="106" t="str">
        <x:v>600887</x:v>
      </x:c>
      <x:c r="C13" s="106" t="str">
        <x:v>bvps</x:v>
      </x:c>
      <x:c r="D13" s="106" t="str">
        <x:v>2026-06-30</x:v>
      </x:c>
      <x:c r="E13" s="106" t="n">
        <x:v>9.055</x:v>
      </x:c>
      <x:c r="F13" s="106" t="str">
        <x:v>CNY/share</x:v>
      </x:c>
      <x:c r="G13" s="106" t="str">
        <x:v>AkShare / Sina financial indicators</x:v>
      </x:c>
      <x:c r="H13" s="106" t="str">
        <x:v>https://money.finance.sina.com.cn/corp/go.php/vFD_FinancialGuideLine/stockid/600887/ctrl/2026/displaytype/4.phtml</x:v>
      </x:c>
      <x:c r="I13" s="106"/>
      <x:c r="J13" s="106"/>
      <x:c r="K13" s="121" t="str">
        <x:v>2026-09-01 15:02:21.471439+00:00</x:v>
      </x:c>
      <x:c r="L13" s="121"/>
      <x:c r="M13" s="106" t="str">
        <x:v>akshare-financial-v1-sina</x:v>
      </x:c>
      <x:c r="N13" s="106" t="str">
        <x:v>bd51fbe2807667a7f423ab45b829cf35ce0438cce13316a24049a808f18ae51c</x:v>
      </x:c>
      <x:c r="O13" s="113"/>
      <x:c r="P13" s="106" t="str">
        <x:v>pending</x:v>
      </x:c>
      <x:c r="Q13" s="106" t="str">
        <x:v>否</x:v>
      </x:c>
      <x:c r="R13" s="106" t="str">
        <x:v>由本地 Agent 同步</x:v>
      </x:c>
      <x:c r="S13" s="86"/>
      <x:c r="T13" s="86"/>
      <x:c r="U13" s="86"/>
      <x:c r="V13" s="86"/>
      <x:c r="W13" s="86"/>
      <x:c r="X13" s="86"/>
      <x:c r="Y13" s="86"/>
      <x:c r="Z13" s="86"/>
    </x:row>
    <x:row r="14">
      <x:c r="A14" s="106" t="str">
        <x:v>c3b50d66-ec3a-4289-b696-f3adbdb60f14</x:v>
      </x:c>
      <x:c r="B14" s="106" t="str">
        <x:v>600887</x:v>
      </x:c>
      <x:c r="C14" s="106" t="str">
        <x:v>eps_ttm</x:v>
      </x:c>
      <x:c r="D14" s="106" t="str">
        <x:v>2026-06-30</x:v>
      </x:c>
      <x:c r="E14" s="106" t="n">
        <x:v>0.8733</x:v>
      </x:c>
      <x:c r="F14" s="106" t="str">
        <x:v>CNY/share</x:v>
      </x:c>
      <x:c r="G14" s="106" t="str">
        <x:v>AkShare / Sina financial indicators</x:v>
      </x:c>
      <x:c r="H14" s="106" t="str">
        <x:v>https://money.finance.sina.com.cn/corp/go.php/vFD_FinancialGuideLine/stockid/600887/ctrl/2026/displaytype/4.phtml</x:v>
      </x:c>
      <x:c r="I14" s="106"/>
      <x:c r="J14" s="106"/>
      <x:c r="K14" s="121" t="str">
        <x:v>2026-09-01 15:02:21.471439+00:00</x:v>
      </x:c>
      <x:c r="L14" s="121"/>
      <x:c r="M14" s="106" t="str">
        <x:v>akshare-financial-v1-sina</x:v>
      </x:c>
      <x:c r="N14" s="106" t="str">
        <x:v>bd51fbe2807667a7f423ab45b829cf35ce0438cce13316a24049a808f18ae51c</x:v>
      </x:c>
      <x:c r="O14" s="113"/>
      <x:c r="P14" s="106" t="str">
        <x:v>pending</x:v>
      </x:c>
      <x:c r="Q14" s="106" t="str">
        <x:v>否</x:v>
      </x:c>
      <x:c r="R14" s="106" t="str">
        <x:v>由本地 Agent 同步</x:v>
      </x:c>
      <x:c r="S14" s="86"/>
      <x:c r="T14" s="86"/>
      <x:c r="U14" s="86"/>
      <x:c r="V14" s="86"/>
      <x:c r="W14" s="86"/>
      <x:c r="X14" s="86"/>
      <x:c r="Y14" s="86"/>
      <x:c r="Z14" s="86"/>
    </x:row>
    <x:row r="15">
      <x:c r="A15" s="106" t="str">
        <x:v>455d4371-6826-4eab-88b7-06f2be51c4b0</x:v>
      </x:c>
      <x:c r="B15" s="106" t="str">
        <x:v>300750</x:v>
      </x:c>
      <x:c r="C15" s="106" t="str">
        <x:v>operating_cash_flow_to_net_income</x:v>
      </x:c>
      <x:c r="D15" s="106" t="str">
        <x:v>2026-06-30</x:v>
      </x:c>
      <x:c r="E15" s="106" t="n">
        <x:v>1.2804</x:v>
      </x:c>
      <x:c r="F15" s="106" t="str">
        <x:v>percent</x:v>
      </x:c>
      <x:c r="G15" s="106" t="str">
        <x:v>AkShare / Sina financial indicators</x:v>
      </x:c>
      <x:c r="H15" s="106" t="str">
        <x:v>https://money.finance.sina.com.cn/corp/go.php/vFD_FinancialGuideLine/stockid/300750/ctrl/2026/displaytype/4.phtml</x:v>
      </x:c>
      <x:c r="I15" s="106"/>
      <x:c r="J15" s="106"/>
      <x:c r="K15" s="121" t="str">
        <x:v>2026-09-01 15:02:21.471439+00:00</x:v>
      </x:c>
      <x:c r="L15" s="121"/>
      <x:c r="M15" s="106" t="str">
        <x:v>akshare-financial-v1-sina</x:v>
      </x:c>
      <x:c r="N15" s="106" t="str">
        <x:v>d54ae9b27dea0ed5feacb1508aa80307f322ea12ead3154adc13457449f16077</x:v>
      </x:c>
      <x:c r="O15" s="113"/>
      <x:c r="P15" s="106" t="str">
        <x:v>pending</x:v>
      </x:c>
      <x:c r="Q15" s="106" t="str">
        <x:v>否</x:v>
      </x:c>
      <x:c r="R15" s="106" t="str">
        <x:v>由本地 Agent 同步</x:v>
      </x:c>
      <x:c r="S15" s="86"/>
      <x:c r="T15" s="86"/>
      <x:c r="U15" s="86"/>
      <x:c r="V15" s="86"/>
      <x:c r="W15" s="86"/>
      <x:c r="X15" s="86"/>
      <x:c r="Y15" s="86"/>
      <x:c r="Z15" s="86"/>
    </x:row>
    <x:row r="16">
      <x:c r="A16" s="106" t="str">
        <x:v>455d4371-6826-4eab-88b7-06f2be51c4b0</x:v>
      </x:c>
      <x:c r="B16" s="106" t="str">
        <x:v>300750</x:v>
      </x:c>
      <x:c r="C16" s="106" t="str">
        <x:v>debt_ratio</x:v>
      </x:c>
      <x:c r="D16" s="106" t="str">
        <x:v>2026-06-30</x:v>
      </x:c>
      <x:c r="E16" s="106" t="n">
        <x:v>63.6525</x:v>
      </x:c>
      <x:c r="F16" s="106" t="str">
        <x:v>percent</x:v>
      </x:c>
      <x:c r="G16" s="106" t="str">
        <x:v>AkShare / Sina financial indicators</x:v>
      </x:c>
      <x:c r="H16" s="106" t="str">
        <x:v>https://money.finance.sina.com.cn/corp/go.php/vFD_FinancialGuideLine/stockid/300750/ctrl/2026/displaytype/4.phtml</x:v>
      </x:c>
      <x:c r="I16" s="106"/>
      <x:c r="J16" s="106"/>
      <x:c r="K16" s="121" t="str">
        <x:v>2026-09-01 15:02:21.471439+00:00</x:v>
      </x:c>
      <x:c r="L16" s="121"/>
      <x:c r="M16" s="106" t="str">
        <x:v>akshare-financial-v1-sina</x:v>
      </x:c>
      <x:c r="N16" s="106" t="str">
        <x:v>d54ae9b27dea0ed5feacb1508aa80307f322ea12ead3154adc13457449f16077</x:v>
      </x:c>
      <x:c r="O16" s="113"/>
      <x:c r="P16" s="106" t="str">
        <x:v>pending</x:v>
      </x:c>
      <x:c r="Q16" s="106" t="str">
        <x:v>否</x:v>
      </x:c>
      <x:c r="R16" s="106" t="str">
        <x:v>由本地 Agent 同步</x:v>
      </x:c>
      <x:c r="S16" s="86"/>
      <x:c r="T16" s="86"/>
      <x:c r="U16" s="86"/>
      <x:c r="V16" s="86"/>
      <x:c r="W16" s="86"/>
      <x:c r="X16" s="86"/>
      <x:c r="Y16" s="86"/>
      <x:c r="Z16" s="86"/>
    </x:row>
    <x:row r="17">
      <x:c r="A17" s="106" t="str">
        <x:v>455d4371-6826-4eab-88b7-06f2be51c4b0</x:v>
      </x:c>
      <x:c r="B17" s="106" t="str">
        <x:v>300750</x:v>
      </x:c>
      <x:c r="C17" s="106" t="str">
        <x:v>net_income_yoy</x:v>
      </x:c>
      <x:c r="D17" s="106" t="str">
        <x:v>2026-06-30</x:v>
      </x:c>
      <x:c r="E17" s="106" t="n">
        <x:v>45.3113</x:v>
      </x:c>
      <x:c r="F17" s="106" t="str">
        <x:v>percent</x:v>
      </x:c>
      <x:c r="G17" s="106" t="str">
        <x:v>AkShare / Sina financial indicators</x:v>
      </x:c>
      <x:c r="H17" s="106" t="str">
        <x:v>https://money.finance.sina.com.cn/corp/go.php/vFD_FinancialGuideLine/stockid/300750/ctrl/2026/displaytype/4.phtml</x:v>
      </x:c>
      <x:c r="I17" s="106"/>
      <x:c r="J17" s="106"/>
      <x:c r="K17" s="121" t="str">
        <x:v>2026-09-01 15:02:21.471439+00:00</x:v>
      </x:c>
      <x:c r="L17" s="121"/>
      <x:c r="M17" s="106" t="str">
        <x:v>akshare-financial-v1-sina</x:v>
      </x:c>
      <x:c r="N17" s="106" t="str">
        <x:v>d54ae9b27dea0ed5feacb1508aa80307f322ea12ead3154adc13457449f16077</x:v>
      </x:c>
      <x:c r="O17" s="113"/>
      <x:c r="P17" s="106" t="str">
        <x:v>pending</x:v>
      </x:c>
      <x:c r="Q17" s="106" t="str">
        <x:v>否</x:v>
      </x:c>
      <x:c r="R17" s="106" t="str">
        <x:v>由本地 Agent 同步</x:v>
      </x:c>
      <x:c r="S17" s="86"/>
      <x:c r="T17" s="86"/>
      <x:c r="U17" s="86"/>
      <x:c r="V17" s="86"/>
      <x:c r="W17" s="86"/>
      <x:c r="X17" s="86"/>
      <x:c r="Y17" s="86"/>
      <x:c r="Z17" s="86"/>
    </x:row>
    <x:row r="18">
      <x:c r="A18" s="106" t="str">
        <x:v>455d4371-6826-4eab-88b7-06f2be51c4b0</x:v>
      </x:c>
      <x:c r="B18" s="106" t="str">
        <x:v>300750</x:v>
      </x:c>
      <x:c r="C18" s="106" t="str">
        <x:v>revenue_yoy</x:v>
      </x:c>
      <x:c r="D18" s="106" t="str">
        <x:v>2026-06-30</x:v>
      </x:c>
      <x:c r="E18" s="106" t="n">
        <x:v>54.8004</x:v>
      </x:c>
      <x:c r="F18" s="106" t="str">
        <x:v>percent</x:v>
      </x:c>
      <x:c r="G18" s="106" t="str">
        <x:v>AkShare / Sina financial indicators</x:v>
      </x:c>
      <x:c r="H18" s="106" t="str">
        <x:v>https://money.finance.sina.com.cn/corp/go.php/vFD_FinancialGuideLine/stockid/300750/ctrl/2026/displaytype/4.phtml</x:v>
      </x:c>
      <x:c r="I18" s="106"/>
      <x:c r="J18" s="106"/>
      <x:c r="K18" s="121" t="str">
        <x:v>2026-09-01 15:02:21.471439+00:00</x:v>
      </x:c>
      <x:c r="L18" s="121"/>
      <x:c r="M18" s="106" t="str">
        <x:v>akshare-financial-v1-sina</x:v>
      </x:c>
      <x:c r="N18" s="106" t="str">
        <x:v>d54ae9b27dea0ed5feacb1508aa80307f322ea12ead3154adc13457449f16077</x:v>
      </x:c>
      <x:c r="O18" s="113"/>
      <x:c r="P18" s="106" t="str">
        <x:v>pending</x:v>
      </x:c>
      <x:c r="Q18" s="106" t="str">
        <x:v>否</x:v>
      </x:c>
      <x:c r="R18" s="106" t="str">
        <x:v>由本地 Agent 同步</x:v>
      </x:c>
      <x:c r="S18" s="86"/>
      <x:c r="T18" s="86"/>
      <x:c r="U18" s="86"/>
      <x:c r="V18" s="86"/>
      <x:c r="W18" s="86"/>
      <x:c r="X18" s="86"/>
      <x:c r="Y18" s="86"/>
      <x:c r="Z18" s="86"/>
    </x:row>
    <x:row r="19">
      <x:c r="A19" s="106" t="str">
        <x:v>455d4371-6826-4eab-88b7-06f2be51c4b0</x:v>
      </x:c>
      <x:c r="B19" s="106" t="str">
        <x:v>300750</x:v>
      </x:c>
      <x:c r="C19" s="106" t="str">
        <x:v>net_margin</x:v>
      </x:c>
      <x:c r="D19" s="106" t="str">
        <x:v>2026-06-30</x:v>
      </x:c>
      <x:c r="E19" s="106" t="n">
        <x:v>16.9837</x:v>
      </x:c>
      <x:c r="F19" s="106" t="str">
        <x:v>percent</x:v>
      </x:c>
      <x:c r="G19" s="106" t="str">
        <x:v>AkShare / Sina financial indicators</x:v>
      </x:c>
      <x:c r="H19" s="106" t="str">
        <x:v>https://money.finance.sina.com.cn/corp/go.php/vFD_FinancialGuideLine/stockid/300750/ctrl/2026/displaytype/4.phtml</x:v>
      </x:c>
      <x:c r="I19" s="106"/>
      <x:c r="J19" s="106"/>
      <x:c r="K19" s="121" t="str">
        <x:v>2026-09-01 15:02:21.471439+00:00</x:v>
      </x:c>
      <x:c r="L19" s="121"/>
      <x:c r="M19" s="106" t="str">
        <x:v>akshare-financial-v1-sina</x:v>
      </x:c>
      <x:c r="N19" s="106" t="str">
        <x:v>d54ae9b27dea0ed5feacb1508aa80307f322ea12ead3154adc13457449f16077</x:v>
      </x:c>
      <x:c r="O19" s="113"/>
      <x:c r="P19" s="106" t="str">
        <x:v>pending</x:v>
      </x:c>
      <x:c r="Q19" s="106" t="str">
        <x:v>否</x:v>
      </x:c>
      <x:c r="R19" s="106" t="str">
        <x:v>由本地 Agent 同步</x:v>
      </x:c>
      <x:c r="S19" s="86"/>
      <x:c r="T19" s="86"/>
      <x:c r="U19" s="86"/>
      <x:c r="V19" s="86"/>
      <x:c r="W19" s="86"/>
      <x:c r="X19" s="86"/>
      <x:c r="Y19" s="86"/>
      <x:c r="Z19" s="86"/>
    </x:row>
    <x:row r="20">
      <x:c r="A20" s="106" t="str">
        <x:v>455d4371-6826-4eab-88b7-06f2be51c4b0</x:v>
      </x:c>
      <x:c r="B20" s="106" t="str">
        <x:v>300750</x:v>
      </x:c>
      <x:c r="C20" s="106" t="str">
        <x:v>roe</x:v>
      </x:c>
      <x:c r="D20" s="106" t="str">
        <x:v>2026-06-30</x:v>
      </x:c>
      <x:c r="E20" s="106" t="n">
        <x:v>11.41</x:v>
      </x:c>
      <x:c r="F20" s="106" t="str">
        <x:v>percent</x:v>
      </x:c>
      <x:c r="G20" s="106" t="str">
        <x:v>AkShare / Sina financial indicators</x:v>
      </x:c>
      <x:c r="H20" s="106" t="str">
        <x:v>https://money.finance.sina.com.cn/corp/go.php/vFD_FinancialGuideLine/stockid/300750/ctrl/2026/displaytype/4.phtml</x:v>
      </x:c>
      <x:c r="I20" s="106"/>
      <x:c r="J20" s="106"/>
      <x:c r="K20" s="121" t="str">
        <x:v>2026-09-01 15:02:21.471439+00:00</x:v>
      </x:c>
      <x:c r="L20" s="121"/>
      <x:c r="M20" s="106" t="str">
        <x:v>akshare-financial-v1-sina</x:v>
      </x:c>
      <x:c r="N20" s="106" t="str">
        <x:v>d54ae9b27dea0ed5feacb1508aa80307f322ea12ead3154adc13457449f16077</x:v>
      </x:c>
      <x:c r="O20" s="113"/>
      <x:c r="P20" s="106" t="str">
        <x:v>pending</x:v>
      </x:c>
      <x:c r="Q20" s="106" t="str">
        <x:v>否</x:v>
      </x:c>
      <x:c r="R20" s="106" t="str">
        <x:v>由本地 Agent 同步</x:v>
      </x:c>
      <x:c r="S20" s="86"/>
      <x:c r="T20" s="86"/>
      <x:c r="U20" s="86"/>
      <x:c r="V20" s="86"/>
      <x:c r="W20" s="86"/>
      <x:c r="X20" s="86"/>
      <x:c r="Y20" s="86"/>
      <x:c r="Z20" s="86"/>
    </x:row>
    <x:row r="21">
      <x:c r="A21" s="106" t="str">
        <x:v>455d4371-6826-4eab-88b7-06f2be51c4b0</x:v>
      </x:c>
      <x:c r="B21" s="106" t="str">
        <x:v>300750</x:v>
      </x:c>
      <x:c r="C21" s="106" t="str">
        <x:v>bvps</x:v>
      </x:c>
      <x:c r="D21" s="106" t="str">
        <x:v>2026-06-30</x:v>
      </x:c>
      <x:c r="E21" s="106" t="n">
        <x:v>89.4719</x:v>
      </x:c>
      <x:c r="F21" s="106" t="str">
        <x:v>CNY/share</x:v>
      </x:c>
      <x:c r="G21" s="106" t="str">
        <x:v>AkShare / Sina financial indicators</x:v>
      </x:c>
      <x:c r="H21" s="106" t="str">
        <x:v>https://money.finance.sina.com.cn/corp/go.php/vFD_FinancialGuideLine/stockid/300750/ctrl/2026/displaytype/4.phtml</x:v>
      </x:c>
      <x:c r="I21" s="106"/>
      <x:c r="J21" s="106"/>
      <x:c r="K21" s="121" t="str">
        <x:v>2026-09-01 15:02:21.471439+00:00</x:v>
      </x:c>
      <x:c r="L21" s="121"/>
      <x:c r="M21" s="106" t="str">
        <x:v>akshare-financial-v1-sina</x:v>
      </x:c>
      <x:c r="N21" s="106" t="str">
        <x:v>d54ae9b27dea0ed5feacb1508aa80307f322ea12ead3154adc13457449f16077</x:v>
      </x:c>
      <x:c r="O21" s="113"/>
      <x:c r="P21" s="106" t="str">
        <x:v>pending</x:v>
      </x:c>
      <x:c r="Q21" s="106" t="str">
        <x:v>否</x:v>
      </x:c>
      <x:c r="R21" s="106" t="str">
        <x:v>由本地 Agent 同步</x:v>
      </x:c>
      <x:c r="S21" s="86"/>
      <x:c r="T21" s="86"/>
      <x:c r="U21" s="86"/>
      <x:c r="V21" s="86"/>
      <x:c r="W21" s="86"/>
      <x:c r="X21" s="86"/>
      <x:c r="Y21" s="86"/>
      <x:c r="Z21" s="86"/>
    </x:row>
    <x:row r="22">
      <x:c r="A22" s="106" t="str">
        <x:v>455d4371-6826-4eab-88b7-06f2be51c4b0</x:v>
      </x:c>
      <x:c r="B22" s="106" t="str">
        <x:v>300750</x:v>
      </x:c>
      <x:c r="C22" s="106" t="str">
        <x:v>eps_ttm</x:v>
      </x:c>
      <x:c r="D22" s="106" t="str">
        <x:v>2026-06-30</x:v>
      </x:c>
      <x:c r="E22" s="106" t="n">
        <x:v>10.1652</x:v>
      </x:c>
      <x:c r="F22" s="106" t="str">
        <x:v>CNY/share</x:v>
      </x:c>
      <x:c r="G22" s="106" t="str">
        <x:v>AkShare / Sina financial indicators</x:v>
      </x:c>
      <x:c r="H22" s="106" t="str">
        <x:v>https://money.finance.sina.com.cn/corp/go.php/vFD_FinancialGuideLine/stockid/300750/ctrl/2026/displaytype/4.phtml</x:v>
      </x:c>
      <x:c r="I22" s="106"/>
      <x:c r="J22" s="106"/>
      <x:c r="K22" s="121" t="str">
        <x:v>2026-09-01 15:02:21.471439+00:00</x:v>
      </x:c>
      <x:c r="L22" s="121"/>
      <x:c r="M22" s="106" t="str">
        <x:v>akshare-financial-v1-sina</x:v>
      </x:c>
      <x:c r="N22" s="106" t="str">
        <x:v>d54ae9b27dea0ed5feacb1508aa80307f322ea12ead3154adc13457449f16077</x:v>
      </x:c>
      <x:c r="O22" s="113"/>
      <x:c r="P22" s="106" t="str">
        <x:v>pending</x:v>
      </x:c>
      <x:c r="Q22" s="106" t="str">
        <x:v>否</x:v>
      </x:c>
      <x:c r="R22" s="106" t="str">
        <x:v>由本地 Agent 同步</x:v>
      </x:c>
      <x:c r="S22" s="86"/>
      <x:c r="T22" s="86"/>
      <x:c r="U22" s="86"/>
      <x:c r="V22" s="86"/>
      <x:c r="W22" s="86"/>
      <x:c r="X22" s="86"/>
      <x:c r="Y22" s="86"/>
      <x:c r="Z22" s="86"/>
    </x:row>
    <x:row r="23">
      <x:c r="A23" s="106" t="str">
        <x:v>29a02e0f-2384-42d7-a97f-2477061d8ad3</x:v>
      </x:c>
      <x:c r="B23" s="106" t="str">
        <x:v>600690</x:v>
      </x:c>
      <x:c r="C23" s="106" t="str">
        <x:v>operating_cash_flow_to_net_income</x:v>
      </x:c>
      <x:c r="D23" s="106" t="str">
        <x:v>2026-06-30</x:v>
      </x:c>
      <x:c r="E23" s="106" t="n">
        <x:v>0.8967</x:v>
      </x:c>
      <x:c r="F23" s="106" t="str">
        <x:v>percent</x:v>
      </x:c>
      <x:c r="G23" s="106" t="str">
        <x:v>AkShare / Sina financial indicators</x:v>
      </x:c>
      <x:c r="H23" s="106" t="str">
        <x:v>https://money.finance.sina.com.cn/corp/go.php/vFD_FinancialGuideLine/stockid/600690/ctrl/2026/displaytype/4.phtml</x:v>
      </x:c>
      <x:c r="I23" s="106"/>
      <x:c r="J23" s="106"/>
      <x:c r="K23" s="121" t="str">
        <x:v>2026-09-01 15:02:21.471439+00:00</x:v>
      </x:c>
      <x:c r="L23" s="121"/>
      <x:c r="M23" s="106" t="str">
        <x:v>akshare-financial-v1-sina</x:v>
      </x:c>
      <x:c r="N23" s="106" t="str">
        <x:v>ade4f31fd58c67e11d2288b82eda2669263dc53005ba511af7dfe9e5158c559f</x:v>
      </x:c>
      <x:c r="O23" s="113"/>
      <x:c r="P23" s="106" t="str">
        <x:v>pending</x:v>
      </x:c>
      <x:c r="Q23" s="106" t="str">
        <x:v>否</x:v>
      </x:c>
      <x:c r="R23" s="106" t="str">
        <x:v>由本地 Agent 同步</x:v>
      </x:c>
      <x:c r="S23" s="86"/>
      <x:c r="T23" s="86"/>
      <x:c r="U23" s="86"/>
      <x:c r="V23" s="86"/>
      <x:c r="W23" s="86"/>
      <x:c r="X23" s="86"/>
      <x:c r="Y23" s="86"/>
      <x:c r="Z23" s="86"/>
    </x:row>
    <x:row r="24">
      <x:c r="A24" s="106" t="str">
        <x:v>29a02e0f-2384-42d7-a97f-2477061d8ad3</x:v>
      </x:c>
      <x:c r="B24" s="106" t="str">
        <x:v>600690</x:v>
      </x:c>
      <x:c r="C24" s="106" t="str">
        <x:v>debt_ratio</x:v>
      </x:c>
      <x:c r="D24" s="106" t="str">
        <x:v>2026-06-30</x:v>
      </x:c>
      <x:c r="E24" s="106" t="n">
        <x:v>58.5218</x:v>
      </x:c>
      <x:c r="F24" s="106" t="str">
        <x:v>percent</x:v>
      </x:c>
      <x:c r="G24" s="106" t="str">
        <x:v>AkShare / Sina financial indicators</x:v>
      </x:c>
      <x:c r="H24" s="106" t="str">
        <x:v>https://money.finance.sina.com.cn/corp/go.php/vFD_FinancialGuideLine/stockid/600690/ctrl/2026/displaytype/4.phtml</x:v>
      </x:c>
      <x:c r="I24" s="106"/>
      <x:c r="J24" s="106"/>
      <x:c r="K24" s="121" t="str">
        <x:v>2026-09-01 15:02:21.471439+00:00</x:v>
      </x:c>
      <x:c r="L24" s="121"/>
      <x:c r="M24" s="106" t="str">
        <x:v>akshare-financial-v1-sina</x:v>
      </x:c>
      <x:c r="N24" s="106" t="str">
        <x:v>ade4f31fd58c67e11d2288b82eda2669263dc53005ba511af7dfe9e5158c559f</x:v>
      </x:c>
      <x:c r="O24" s="113"/>
      <x:c r="P24" s="106" t="str">
        <x:v>pending</x:v>
      </x:c>
      <x:c r="Q24" s="106" t="str">
        <x:v>否</x:v>
      </x:c>
      <x:c r="R24" s="106" t="str">
        <x:v>由本地 Agent 同步</x:v>
      </x:c>
      <x:c r="S24" s="86"/>
      <x:c r="T24" s="86"/>
      <x:c r="U24" s="86"/>
      <x:c r="V24" s="86"/>
      <x:c r="W24" s="86"/>
      <x:c r="X24" s="86"/>
      <x:c r="Y24" s="86"/>
      <x:c r="Z24" s="86"/>
    </x:row>
    <x:row r="25">
      <x:c r="A25" s="106" t="str">
        <x:v>29a02e0f-2384-42d7-a97f-2477061d8ad3</x:v>
      </x:c>
      <x:c r="B25" s="106" t="str">
        <x:v>600690</x:v>
      </x:c>
      <x:c r="C25" s="106" t="str">
        <x:v>net_income_yoy</x:v>
      </x:c>
      <x:c r="D25" s="106" t="str">
        <x:v>2026-06-30</x:v>
      </x:c>
      <x:c r="E25" s="106" t="n">
        <x:v>-12.8882</x:v>
      </x:c>
      <x:c r="F25" s="106" t="str">
        <x:v>percent</x:v>
      </x:c>
      <x:c r="G25" s="106" t="str">
        <x:v>AkShare / Sina financial indicators</x:v>
      </x:c>
      <x:c r="H25" s="106" t="str">
        <x:v>https://money.finance.sina.com.cn/corp/go.php/vFD_FinancialGuideLine/stockid/600690/ctrl/2026/displaytype/4.phtml</x:v>
      </x:c>
      <x:c r="I25" s="106"/>
      <x:c r="J25" s="106"/>
      <x:c r="K25" s="121" t="str">
        <x:v>2026-09-01 15:02:21.471439+00:00</x:v>
      </x:c>
      <x:c r="L25" s="121"/>
      <x:c r="M25" s="106" t="str">
        <x:v>akshare-financial-v1-sina</x:v>
      </x:c>
      <x:c r="N25" s="106" t="str">
        <x:v>ade4f31fd58c67e11d2288b82eda2669263dc53005ba511af7dfe9e5158c559f</x:v>
      </x:c>
      <x:c r="O25" s="113"/>
      <x:c r="P25" s="106" t="str">
        <x:v>pending</x:v>
      </x:c>
      <x:c r="Q25" s="106" t="str">
        <x:v>否</x:v>
      </x:c>
      <x:c r="R25" s="106" t="str">
        <x:v>由本地 Agent 同步</x:v>
      </x:c>
      <x:c r="S25" s="86"/>
      <x:c r="T25" s="86"/>
      <x:c r="U25" s="86"/>
      <x:c r="V25" s="86"/>
      <x:c r="W25" s="86"/>
      <x:c r="X25" s="86"/>
      <x:c r="Y25" s="86"/>
      <x:c r="Z25" s="86"/>
    </x:row>
    <x:row r="26">
      <x:c r="A26" s="106" t="str">
        <x:v>29a02e0f-2384-42d7-a97f-2477061d8ad3</x:v>
      </x:c>
      <x:c r="B26" s="106" t="str">
        <x:v>600690</x:v>
      </x:c>
      <x:c r="C26" s="106" t="str">
        <x:v>revenue_yoy</x:v>
      </x:c>
      <x:c r="D26" s="106" t="str">
        <x:v>2026-06-30</x:v>
      </x:c>
      <x:c r="E26" s="106" t="n">
        <x:v>-2.7982</x:v>
      </x:c>
      <x:c r="F26" s="106" t="str">
        <x:v>percent</x:v>
      </x:c>
      <x:c r="G26" s="106" t="str">
        <x:v>AkShare / Sina financial indicators</x:v>
      </x:c>
      <x:c r="H26" s="106" t="str">
        <x:v>https://money.finance.sina.com.cn/corp/go.php/vFD_FinancialGuideLine/stockid/600690/ctrl/2026/displaytype/4.phtml</x:v>
      </x:c>
      <x:c r="I26" s="106"/>
      <x:c r="J26" s="106"/>
      <x:c r="K26" s="121" t="str">
        <x:v>2026-09-01 15:02:21.471439+00:00</x:v>
      </x:c>
      <x:c r="L26" s="121"/>
      <x:c r="M26" s="106" t="str">
        <x:v>akshare-financial-v1-sina</x:v>
      </x:c>
      <x:c r="N26" s="106" t="str">
        <x:v>ade4f31fd58c67e11d2288b82eda2669263dc53005ba511af7dfe9e5158c559f</x:v>
      </x:c>
      <x:c r="O26" s="113"/>
      <x:c r="P26" s="106" t="str">
        <x:v>pending</x:v>
      </x:c>
      <x:c r="Q26" s="106" t="str">
        <x:v>否</x:v>
      </x:c>
      <x:c r="R26" s="106" t="str">
        <x:v>由本地 Agent 同步</x:v>
      </x:c>
      <x:c r="S26" s="86"/>
      <x:c r="T26" s="86"/>
      <x:c r="U26" s="86"/>
      <x:c r="V26" s="86"/>
      <x:c r="W26" s="86"/>
      <x:c r="X26" s="86"/>
      <x:c r="Y26" s="86"/>
      <x:c r="Z26" s="86"/>
    </x:row>
    <x:row r="27">
      <x:c r="A27" s="106" t="str">
        <x:v>29a02e0f-2384-42d7-a97f-2477061d8ad3</x:v>
      </x:c>
      <x:c r="B27" s="106" t="str">
        <x:v>600690</x:v>
      </x:c>
      <x:c r="C27" s="106" t="str">
        <x:v>net_margin</x:v>
      </x:c>
      <x:c r="D27" s="106" t="str">
        <x:v>2026-06-30</x:v>
      </x:c>
      <x:c r="E27" s="106" t="n">
        <x:v>7.1499</x:v>
      </x:c>
      <x:c r="F27" s="106" t="str">
        <x:v>percent</x:v>
      </x:c>
      <x:c r="G27" s="106" t="str">
        <x:v>AkShare / Sina financial indicators</x:v>
      </x:c>
      <x:c r="H27" s="106" t="str">
        <x:v>https://money.finance.sina.com.cn/corp/go.php/vFD_FinancialGuideLine/stockid/600690/ctrl/2026/displaytype/4.phtml</x:v>
      </x:c>
      <x:c r="I27" s="106"/>
      <x:c r="J27" s="106"/>
      <x:c r="K27" s="121" t="str">
        <x:v>2026-09-01 15:02:21.471439+00:00</x:v>
      </x:c>
      <x:c r="L27" s="121"/>
      <x:c r="M27" s="106" t="str">
        <x:v>akshare-financial-v1-sina</x:v>
      </x:c>
      <x:c r="N27" s="106" t="str">
        <x:v>ade4f31fd58c67e11d2288b82eda2669263dc53005ba511af7dfe9e5158c559f</x:v>
      </x:c>
      <x:c r="O27" s="113"/>
      <x:c r="P27" s="106" t="str">
        <x:v>pending</x:v>
      </x:c>
      <x:c r="Q27" s="106" t="str">
        <x:v>否</x:v>
      </x:c>
      <x:c r="R27" s="106" t="str">
        <x:v>由本地 Agent 同步</x:v>
      </x:c>
      <x:c r="S27" s="86"/>
      <x:c r="T27" s="86"/>
      <x:c r="U27" s="86"/>
      <x:c r="V27" s="86"/>
      <x:c r="W27" s="86"/>
      <x:c r="X27" s="86"/>
      <x:c r="Y27" s="86"/>
      <x:c r="Z27" s="86"/>
    </x:row>
    <x:row r="28">
      <x:c r="A28" s="106" t="str">
        <x:v>29a02e0f-2384-42d7-a97f-2477061d8ad3</x:v>
      </x:c>
      <x:c r="B28" s="106" t="str">
        <x:v>600690</x:v>
      </x:c>
      <x:c r="C28" s="106" t="str">
        <x:v>roe</x:v>
      </x:c>
      <x:c r="D28" s="106" t="str">
        <x:v>2026-06-30</x:v>
      </x:c>
      <x:c r="E28" s="106" t="n">
        <x:v>8.62</x:v>
      </x:c>
      <x:c r="F28" s="106" t="str">
        <x:v>percent</x:v>
      </x:c>
      <x:c r="G28" s="106" t="str">
        <x:v>AkShare / Sina financial indicators</x:v>
      </x:c>
      <x:c r="H28" s="106" t="str">
        <x:v>https://money.finance.sina.com.cn/corp/go.php/vFD_FinancialGuideLine/stockid/600690/ctrl/2026/displaytype/4.phtml</x:v>
      </x:c>
      <x:c r="I28" s="106"/>
      <x:c r="J28" s="106"/>
      <x:c r="K28" s="121" t="str">
        <x:v>2026-09-01 15:02:21.471439+00:00</x:v>
      </x:c>
      <x:c r="L28" s="121"/>
      <x:c r="M28" s="106" t="str">
        <x:v>akshare-financial-v1-sina</x:v>
      </x:c>
      <x:c r="N28" s="106" t="str">
        <x:v>ade4f31fd58c67e11d2288b82eda2669263dc53005ba511af7dfe9e5158c559f</x:v>
      </x:c>
      <x:c r="O28" s="113"/>
      <x:c r="P28" s="106" t="str">
        <x:v>pending</x:v>
      </x:c>
      <x:c r="Q28" s="106" t="str">
        <x:v>否</x:v>
      </x:c>
      <x:c r="R28" s="106" t="str">
        <x:v>由本地 Agent 同步</x:v>
      </x:c>
      <x:c r="S28" s="86"/>
      <x:c r="T28" s="86"/>
      <x:c r="U28" s="86"/>
      <x:c r="V28" s="86"/>
      <x:c r="W28" s="86"/>
      <x:c r="X28" s="86"/>
      <x:c r="Y28" s="86"/>
      <x:c r="Z28" s="86"/>
    </x:row>
    <x:row r="29">
      <x:c r="A29" s="106" t="str">
        <x:v>29a02e0f-2384-42d7-a97f-2477061d8ad3</x:v>
      </x:c>
      <x:c r="B29" s="106" t="str">
        <x:v>600690</x:v>
      </x:c>
      <x:c r="C29" s="106" t="str">
        <x:v>bvps</x:v>
      </x:c>
      <x:c r="D29" s="106" t="str">
        <x:v>2026-06-30</x:v>
      </x:c>
      <x:c r="E29" s="106" t="n">
        <x:v>13.7962</x:v>
      </x:c>
      <x:c r="F29" s="106" t="str">
        <x:v>CNY/share</x:v>
      </x:c>
      <x:c r="G29" s="106" t="str">
        <x:v>AkShare / Sina financial indicators</x:v>
      </x:c>
      <x:c r="H29" s="106" t="str">
        <x:v>https://money.finance.sina.com.cn/corp/go.php/vFD_FinancialGuideLine/stockid/600690/ctrl/2026/displaytype/4.phtml</x:v>
      </x:c>
      <x:c r="I29" s="106"/>
      <x:c r="J29" s="106"/>
      <x:c r="K29" s="121" t="str">
        <x:v>2026-09-01 15:02:21.471439+00:00</x:v>
      </x:c>
      <x:c r="L29" s="121"/>
      <x:c r="M29" s="106" t="str">
        <x:v>akshare-financial-v1-sina</x:v>
      </x:c>
      <x:c r="N29" s="106" t="str">
        <x:v>ade4f31fd58c67e11d2288b82eda2669263dc53005ba511af7dfe9e5158c559f</x:v>
      </x:c>
      <x:c r="O29" s="113"/>
      <x:c r="P29" s="106" t="str">
        <x:v>pending</x:v>
      </x:c>
      <x:c r="Q29" s="106" t="str">
        <x:v>否</x:v>
      </x:c>
      <x:c r="R29" s="106" t="str">
        <x:v>由本地 Agent 同步</x:v>
      </x:c>
      <x:c r="S29" s="86"/>
      <x:c r="T29" s="86"/>
      <x:c r="U29" s="86"/>
      <x:c r="V29" s="86"/>
      <x:c r="W29" s="86"/>
      <x:c r="X29" s="86"/>
      <x:c r="Y29" s="86"/>
      <x:c r="Z29" s="86"/>
    </x:row>
    <x:row r="30">
      <x:c r="A30" s="106" t="str">
        <x:v>29a02e0f-2384-42d7-a97f-2477061d8ad3</x:v>
      </x:c>
      <x:c r="B30" s="106" t="str">
        <x:v>600690</x:v>
      </x:c>
      <x:c r="C30" s="106" t="str">
        <x:v>eps_ttm</x:v>
      </x:c>
      <x:c r="D30" s="106" t="str">
        <x:v>2026-06-30</x:v>
      </x:c>
      <x:c r="E30" s="106" t="n">
        <x:v>1.1598</x:v>
      </x:c>
      <x:c r="F30" s="106" t="str">
        <x:v>CNY/share</x:v>
      </x:c>
      <x:c r="G30" s="106" t="str">
        <x:v>AkShare / Sina financial indicators</x:v>
      </x:c>
      <x:c r="H30" s="106" t="str">
        <x:v>https://money.finance.sina.com.cn/corp/go.php/vFD_FinancialGuideLine/stockid/600690/ctrl/2026/displaytype/4.phtml</x:v>
      </x:c>
      <x:c r="I30" s="106"/>
      <x:c r="J30" s="106"/>
      <x:c r="K30" s="121" t="str">
        <x:v>2026-09-01 15:02:21.471439+00:00</x:v>
      </x:c>
      <x:c r="L30" s="121"/>
      <x:c r="M30" s="106" t="str">
        <x:v>akshare-financial-v1-sina</x:v>
      </x:c>
      <x:c r="N30" s="106" t="str">
        <x:v>ade4f31fd58c67e11d2288b82eda2669263dc53005ba511af7dfe9e5158c559f</x:v>
      </x:c>
      <x:c r="O30" s="113"/>
      <x:c r="P30" s="106" t="str">
        <x:v>pending</x:v>
      </x:c>
      <x:c r="Q30" s="106" t="str">
        <x:v>否</x:v>
      </x:c>
      <x:c r="R30" s="106" t="str">
        <x:v>由本地 Agent 同步</x:v>
      </x:c>
      <x:c r="S30" s="86"/>
      <x:c r="T30" s="86"/>
      <x:c r="U30" s="86"/>
      <x:c r="V30" s="86"/>
      <x:c r="W30" s="86"/>
      <x:c r="X30" s="86"/>
      <x:c r="Y30" s="86"/>
      <x:c r="Z30" s="86"/>
    </x:row>
    <x:row r="31">
      <x:c r="A31" s="106" t="str">
        <x:v>46430327-487d-4aeb-a5d2-a2c92f7e7ce2</x:v>
      </x:c>
      <x:c r="B31" s="106" t="str">
        <x:v>601088</x:v>
      </x:c>
      <x:c r="C31" s="106" t="str">
        <x:v>operating_cash_flow_to_net_income</x:v>
      </x:c>
      <x:c r="D31" s="106" t="str">
        <x:v>2026-06-30</x:v>
      </x:c>
      <x:c r="E31" s="106" t="n">
        <x:v>1.539</x:v>
      </x:c>
      <x:c r="F31" s="106" t="str">
        <x:v>percent</x:v>
      </x:c>
      <x:c r="G31" s="106" t="str">
        <x:v>AkShare / Sina financial indicators</x:v>
      </x:c>
      <x:c r="H31" s="106" t="str">
        <x:v>https://money.finance.sina.com.cn/corp/go.php/vFD_FinancialGuideLine/stockid/601088/ctrl/2026/displaytype/4.phtml</x:v>
      </x:c>
      <x:c r="I31" s="106"/>
      <x:c r="J31" s="106"/>
      <x:c r="K31" s="121" t="str">
        <x:v>2026-09-01 15:02:21.471439+00:00</x:v>
      </x:c>
      <x:c r="L31" s="121"/>
      <x:c r="M31" s="106" t="str">
        <x:v>akshare-financial-v1-sina</x:v>
      </x:c>
      <x:c r="N31" s="106" t="str">
        <x:v>7becb04ec6fcffecb289b4e6b9c79557bf08513d4e2d54f40a8cbbd4592f7fac</x:v>
      </x:c>
      <x:c r="O31" s="113"/>
      <x:c r="P31" s="106" t="str">
        <x:v>pending</x:v>
      </x:c>
      <x:c r="Q31" s="106" t="str">
        <x:v>否</x:v>
      </x:c>
      <x:c r="R31" s="106" t="str">
        <x:v>由本地 Agent 同步</x:v>
      </x:c>
      <x:c r="S31" s="86"/>
      <x:c r="T31" s="86"/>
      <x:c r="U31" s="86"/>
      <x:c r="V31" s="86"/>
      <x:c r="W31" s="86"/>
      <x:c r="X31" s="86"/>
      <x:c r="Y31" s="86"/>
      <x:c r="Z31" s="86"/>
    </x:row>
    <x:row r="32">
      <x:c r="A32" s="106" t="str">
        <x:v>46430327-487d-4aeb-a5d2-a2c92f7e7ce2</x:v>
      </x:c>
      <x:c r="B32" s="106" t="str">
        <x:v>601088</x:v>
      </x:c>
      <x:c r="C32" s="106" t="str">
        <x:v>debt_ratio</x:v>
      </x:c>
      <x:c r="D32" s="106" t="str">
        <x:v>2026-06-30</x:v>
      </x:c>
      <x:c r="E32" s="106" t="n">
        <x:v>40.2728</x:v>
      </x:c>
      <x:c r="F32" s="106" t="str">
        <x:v>percent</x:v>
      </x:c>
      <x:c r="G32" s="106" t="str">
        <x:v>AkShare / Sina financial indicators</x:v>
      </x:c>
      <x:c r="H32" s="106" t="str">
        <x:v>https://money.finance.sina.com.cn/corp/go.php/vFD_FinancialGuideLine/stockid/601088/ctrl/2026/displaytype/4.phtml</x:v>
      </x:c>
      <x:c r="I32" s="106"/>
      <x:c r="J32" s="106"/>
      <x:c r="K32" s="121" t="str">
        <x:v>2026-09-01 15:02:21.471439+00:00</x:v>
      </x:c>
      <x:c r="L32" s="121"/>
      <x:c r="M32" s="106" t="str">
        <x:v>akshare-financial-v1-sina</x:v>
      </x:c>
      <x:c r="N32" s="106" t="str">
        <x:v>7becb04ec6fcffecb289b4e6b9c79557bf08513d4e2d54f40a8cbbd4592f7fac</x:v>
      </x:c>
      <x:c r="O32" s="113"/>
      <x:c r="P32" s="106" t="str">
        <x:v>pending</x:v>
      </x:c>
      <x:c r="Q32" s="106" t="str">
        <x:v>否</x:v>
      </x:c>
      <x:c r="R32" s="106" t="str">
        <x:v>由本地 Agent 同步</x:v>
      </x:c>
      <x:c r="S32" s="86"/>
      <x:c r="T32" s="86"/>
      <x:c r="U32" s="86"/>
      <x:c r="V32" s="86"/>
      <x:c r="W32" s="86"/>
      <x:c r="X32" s="86"/>
      <x:c r="Y32" s="86"/>
      <x:c r="Z32" s="86"/>
    </x:row>
    <x:row r="33">
      <x:c r="A33" s="106" t="str">
        <x:v>46430327-487d-4aeb-a5d2-a2c92f7e7ce2</x:v>
      </x:c>
      <x:c r="B33" s="106" t="str">
        <x:v>601088</x:v>
      </x:c>
      <x:c r="C33" s="106" t="str">
        <x:v>net_income_yoy</x:v>
      </x:c>
      <x:c r="D33" s="106" t="str">
        <x:v>2026-06-30</x:v>
      </x:c>
      <x:c r="E33" s="106" t="n">
        <x:v>19.8866</x:v>
      </x:c>
      <x:c r="F33" s="106" t="str">
        <x:v>percent</x:v>
      </x:c>
      <x:c r="G33" s="106" t="str">
        <x:v>AkShare / Sina financial indicators</x:v>
      </x:c>
      <x:c r="H33" s="106" t="str">
        <x:v>https://money.finance.sina.com.cn/corp/go.php/vFD_FinancialGuideLine/stockid/601088/ctrl/2026/displaytype/4.phtml</x:v>
      </x:c>
      <x:c r="I33" s="106"/>
      <x:c r="J33" s="106"/>
      <x:c r="K33" s="121" t="str">
        <x:v>2026-09-01 15:02:21.471439+00:00</x:v>
      </x:c>
      <x:c r="L33" s="121"/>
      <x:c r="M33" s="106" t="str">
        <x:v>akshare-financial-v1-sina</x:v>
      </x:c>
      <x:c r="N33" s="106" t="str">
        <x:v>7becb04ec6fcffecb289b4e6b9c79557bf08513d4e2d54f40a8cbbd4592f7fac</x:v>
      </x:c>
      <x:c r="O33" s="113"/>
      <x:c r="P33" s="106" t="str">
        <x:v>pending</x:v>
      </x:c>
      <x:c r="Q33" s="106" t="str">
        <x:v>否</x:v>
      </x:c>
      <x:c r="R33" s="106" t="str">
        <x:v>由本地 Agent 同步</x:v>
      </x:c>
      <x:c r="S33" s="86"/>
      <x:c r="T33" s="86"/>
      <x:c r="U33" s="86"/>
      <x:c r="V33" s="86"/>
      <x:c r="W33" s="86"/>
      <x:c r="X33" s="86"/>
      <x:c r="Y33" s="86"/>
      <x:c r="Z33" s="86"/>
    </x:row>
    <x:row r="34">
      <x:c r="A34" s="106" t="str">
        <x:v>46430327-487d-4aeb-a5d2-a2c92f7e7ce2</x:v>
      </x:c>
      <x:c r="B34" s="106" t="str">
        <x:v>601088</x:v>
      </x:c>
      <x:c r="C34" s="106" t="str">
        <x:v>revenue_yoy</x:v>
      </x:c>
      <x:c r="D34" s="106" t="str">
        <x:v>2026-06-30</x:v>
      </x:c>
      <x:c r="E34" s="106" t="n">
        <x:v>37.0932</x:v>
      </x:c>
      <x:c r="F34" s="106" t="str">
        <x:v>percent</x:v>
      </x:c>
      <x:c r="G34" s="106" t="str">
        <x:v>AkShare / Sina financial indicators</x:v>
      </x:c>
      <x:c r="H34" s="106" t="str">
        <x:v>https://money.finance.sina.com.cn/corp/go.php/vFD_FinancialGuideLine/stockid/601088/ctrl/2026/displaytype/4.phtml</x:v>
      </x:c>
      <x:c r="I34" s="106"/>
      <x:c r="J34" s="106"/>
      <x:c r="K34" s="121" t="str">
        <x:v>2026-09-01 15:02:21.471439+00:00</x:v>
      </x:c>
      <x:c r="L34" s="121"/>
      <x:c r="M34" s="106" t="str">
        <x:v>akshare-financial-v1-sina</x:v>
      </x:c>
      <x:c r="N34" s="106" t="str">
        <x:v>7becb04ec6fcffecb289b4e6b9c79557bf08513d4e2d54f40a8cbbd4592f7fac</x:v>
      </x:c>
      <x:c r="O34" s="113"/>
      <x:c r="P34" s="106" t="str">
        <x:v>pending</x:v>
      </x:c>
      <x:c r="Q34" s="106" t="str">
        <x:v>否</x:v>
      </x:c>
      <x:c r="R34" s="106" t="str">
        <x:v>由本地 Agent 同步</x:v>
      </x:c>
      <x:c r="S34" s="86"/>
      <x:c r="T34" s="86"/>
      <x:c r="U34" s="86"/>
      <x:c r="V34" s="86"/>
      <x:c r="W34" s="86"/>
      <x:c r="X34" s="86"/>
      <x:c r="Y34" s="86"/>
      <x:c r="Z34" s="86"/>
    </x:row>
    <x:row r="35">
      <x:c r="A35" s="106" t="str">
        <x:v>46430327-487d-4aeb-a5d2-a2c92f7e7ce2</x:v>
      </x:c>
      <x:c r="B35" s="106" t="str">
        <x:v>601088</x:v>
      </x:c>
      <x:c r="C35" s="106" t="str">
        <x:v>net_margin</x:v>
      </x:c>
      <x:c r="D35" s="106" t="str">
        <x:v>2026-06-30</x:v>
      </x:c>
      <x:c r="E35" s="106" t="n">
        <x:v>18.7601</x:v>
      </x:c>
      <x:c r="F35" s="106" t="str">
        <x:v>percent</x:v>
      </x:c>
      <x:c r="G35" s="106" t="str">
        <x:v>AkShare / Sina financial indicators</x:v>
      </x:c>
      <x:c r="H35" s="106" t="str">
        <x:v>https://money.finance.sina.com.cn/corp/go.php/vFD_FinancialGuideLine/stockid/601088/ctrl/2026/displaytype/4.phtml</x:v>
      </x:c>
      <x:c r="I35" s="106"/>
      <x:c r="J35" s="106"/>
      <x:c r="K35" s="121" t="str">
        <x:v>2026-09-01 15:02:21.471439+00:00</x:v>
      </x:c>
      <x:c r="L35" s="121"/>
      <x:c r="M35" s="106" t="str">
        <x:v>akshare-financial-v1-sina</x:v>
      </x:c>
      <x:c r="N35" s="106" t="str">
        <x:v>7becb04ec6fcffecb289b4e6b9c79557bf08513d4e2d54f40a8cbbd4592f7fac</x:v>
      </x:c>
      <x:c r="O35" s="113"/>
      <x:c r="P35" s="106" t="str">
        <x:v>pending</x:v>
      </x:c>
      <x:c r="Q35" s="106" t="str">
        <x:v>否</x:v>
      </x:c>
      <x:c r="R35" s="106" t="str">
        <x:v>由本地 Agent 同步</x:v>
      </x:c>
      <x:c r="S35" s="86"/>
      <x:c r="T35" s="86"/>
      <x:c r="U35" s="86"/>
      <x:c r="V35" s="86"/>
      <x:c r="W35" s="86"/>
      <x:c r="X35" s="86"/>
      <x:c r="Y35" s="86"/>
      <x:c r="Z35" s="86"/>
    </x:row>
    <x:row r="36">
      <x:c r="A36" s="106" t="str">
        <x:v>46430327-487d-4aeb-a5d2-a2c92f7e7ce2</x:v>
      </x:c>
      <x:c r="B36" s="106" t="str">
        <x:v>601088</x:v>
      </x:c>
      <x:c r="C36" s="106" t="str">
        <x:v>roe</x:v>
      </x:c>
      <x:c r="D36" s="106" t="str">
        <x:v>2026-06-30</x:v>
      </x:c>
      <x:c r="E36" s="106" t="n">
        <x:v>6.37</x:v>
      </x:c>
      <x:c r="F36" s="106" t="str">
        <x:v>percent</x:v>
      </x:c>
      <x:c r="G36" s="106" t="str">
        <x:v>AkShare / Sina financial indicators</x:v>
      </x:c>
      <x:c r="H36" s="106" t="str">
        <x:v>https://money.finance.sina.com.cn/corp/go.php/vFD_FinancialGuideLine/stockid/601088/ctrl/2026/displaytype/4.phtml</x:v>
      </x:c>
      <x:c r="I36" s="106"/>
      <x:c r="J36" s="106"/>
      <x:c r="K36" s="121" t="str">
        <x:v>2026-09-01 15:02:21.471439+00:00</x:v>
      </x:c>
      <x:c r="L36" s="121"/>
      <x:c r="M36" s="106" t="str">
        <x:v>akshare-financial-v1-sina</x:v>
      </x:c>
      <x:c r="N36" s="106" t="str">
        <x:v>7becb04ec6fcffecb289b4e6b9c79557bf08513d4e2d54f40a8cbbd4592f7fac</x:v>
      </x:c>
      <x:c r="O36" s="113"/>
      <x:c r="P36" s="106" t="str">
        <x:v>pending</x:v>
      </x:c>
      <x:c r="Q36" s="106" t="str">
        <x:v>否</x:v>
      </x:c>
      <x:c r="R36" s="106" t="str">
        <x:v>由本地 Agent 同步</x:v>
      </x:c>
      <x:c r="S36" s="86"/>
      <x:c r="T36" s="86"/>
      <x:c r="U36" s="86"/>
      <x:c r="V36" s="86"/>
      <x:c r="W36" s="86"/>
      <x:c r="X36" s="86"/>
      <x:c r="Y36" s="86"/>
      <x:c r="Z36" s="86"/>
    </x:row>
    <x:row r="37">
      <x:c r="A37" s="106" t="str">
        <x:v>46430327-487d-4aeb-a5d2-a2c92f7e7ce2</x:v>
      </x:c>
      <x:c r="B37" s="106" t="str">
        <x:v>601088</x:v>
      </x:c>
      <x:c r="C37" s="106" t="str">
        <x:v>bvps</x:v>
      </x:c>
      <x:c r="D37" s="106" t="str">
        <x:v>2026-06-30</x:v>
      </x:c>
      <x:c r="E37" s="106" t="n">
        <x:v>25.3594</x:v>
      </x:c>
      <x:c r="F37" s="106" t="str">
        <x:v>CNY/share</x:v>
      </x:c>
      <x:c r="G37" s="106" t="str">
        <x:v>AkShare / Sina financial indicators</x:v>
      </x:c>
      <x:c r="H37" s="106" t="str">
        <x:v>https://money.finance.sina.com.cn/corp/go.php/vFD_FinancialGuideLine/stockid/601088/ctrl/2026/displaytype/4.phtml</x:v>
      </x:c>
      <x:c r="I37" s="106"/>
      <x:c r="J37" s="106"/>
      <x:c r="K37" s="121" t="str">
        <x:v>2026-09-01 15:02:21.471439+00:00</x:v>
      </x:c>
      <x:c r="L37" s="121"/>
      <x:c r="M37" s="106" t="str">
        <x:v>akshare-financial-v1-sina</x:v>
      </x:c>
      <x:c r="N37" s="106" t="str">
        <x:v>7becb04ec6fcffecb289b4e6b9c79557bf08513d4e2d54f40a8cbbd4592f7fac</x:v>
      </x:c>
      <x:c r="O37" s="113"/>
      <x:c r="P37" s="106" t="str">
        <x:v>pending</x:v>
      </x:c>
      <x:c r="Q37" s="106" t="str">
        <x:v>否</x:v>
      </x:c>
      <x:c r="R37" s="106" t="str">
        <x:v>由本地 Agent 同步</x:v>
      </x:c>
      <x:c r="S37" s="86"/>
      <x:c r="T37" s="86"/>
      <x:c r="U37" s="86"/>
      <x:c r="V37" s="86"/>
      <x:c r="W37" s="86"/>
      <x:c r="X37" s="86"/>
      <x:c r="Y37" s="86"/>
      <x:c r="Z37" s="86"/>
    </x:row>
    <x:row r="38">
      <x:c r="A38" s="106" t="str">
        <x:v>46430327-487d-4aeb-a5d2-a2c92f7e7ce2</x:v>
      </x:c>
      <x:c r="B38" s="106" t="str">
        <x:v>601088</x:v>
      </x:c>
      <x:c r="C38" s="106" t="str">
        <x:v>eps_ttm</x:v>
      </x:c>
      <x:c r="D38" s="106" t="str">
        <x:v>2026-06-30</x:v>
      </x:c>
      <x:c r="E38" s="106" t="n">
        <x:v>1.6377</x:v>
      </x:c>
      <x:c r="F38" s="106" t="str">
        <x:v>CNY/share</x:v>
      </x:c>
      <x:c r="G38" s="106" t="str">
        <x:v>AkShare / Sina financial indicators</x:v>
      </x:c>
      <x:c r="H38" s="106" t="str">
        <x:v>https://money.finance.sina.com.cn/corp/go.php/vFD_FinancialGuideLine/stockid/601088/ctrl/2026/displaytype/4.phtml</x:v>
      </x:c>
      <x:c r="I38" s="106"/>
      <x:c r="J38" s="106"/>
      <x:c r="K38" s="121" t="str">
        <x:v>2026-09-01 15:02:21.471439+00:00</x:v>
      </x:c>
      <x:c r="L38" s="121"/>
      <x:c r="M38" s="106" t="str">
        <x:v>akshare-financial-v1-sina</x:v>
      </x:c>
      <x:c r="N38" s="106" t="str">
        <x:v>7becb04ec6fcffecb289b4e6b9c79557bf08513d4e2d54f40a8cbbd4592f7fac</x:v>
      </x:c>
      <x:c r="O38" s="113"/>
      <x:c r="P38" s="106" t="str">
        <x:v>pending</x:v>
      </x:c>
      <x:c r="Q38" s="106" t="str">
        <x:v>否</x:v>
      </x:c>
      <x:c r="R38" s="106" t="str">
        <x:v>由本地 Agent 同步</x:v>
      </x:c>
      <x:c r="S38" s="86"/>
      <x:c r="T38" s="86"/>
      <x:c r="U38" s="86"/>
      <x:c r="V38" s="86"/>
      <x:c r="W38" s="86"/>
      <x:c r="X38" s="86"/>
      <x:c r="Y38" s="86"/>
      <x:c r="Z38" s="86"/>
    </x:row>
    <x:row r="39">
      <x:c r="A39" s="106" t="str">
        <x:v>958713ef-2598-432a-b7aa-511bdc6a0bee</x:v>
      </x:c>
      <x:c r="B39" s="106" t="str">
        <x:v>601288</x:v>
      </x:c>
      <x:c r="C39" s="106" t="str">
        <x:v>operating_cash_flow_to_net_income</x:v>
      </x:c>
      <x:c r="D39" s="106" t="str">
        <x:v>2026-06-30</x:v>
      </x:c>
      <x:c r="E39" s="106" t="n">
        <x:v>1.9425</x:v>
      </x:c>
      <x:c r="F39" s="106" t="str">
        <x:v>percent</x:v>
      </x:c>
      <x:c r="G39" s="106" t="str">
        <x:v>AkShare / Sina financial indicators</x:v>
      </x:c>
      <x:c r="H39" s="106" t="str">
        <x:v>https://money.finance.sina.com.cn/corp/go.php/vFD_FinancialGuideLine/stockid/601288/ctrl/2026/displaytype/4.phtml</x:v>
      </x:c>
      <x:c r="I39" s="106"/>
      <x:c r="J39" s="106"/>
      <x:c r="K39" s="121" t="str">
        <x:v>2026-09-01 15:02:21.471439+00:00</x:v>
      </x:c>
      <x:c r="L39" s="121"/>
      <x:c r="M39" s="106" t="str">
        <x:v>akshare-financial-v1-sina</x:v>
      </x:c>
      <x:c r="N39" s="106" t="str">
        <x:v>92643be27071e72c2cb3b452fc6c348e2b412bba1977528dbd6029bccf427eb7</x:v>
      </x:c>
      <x:c r="O39" s="113"/>
      <x:c r="P39" s="106" t="str">
        <x:v>pending</x:v>
      </x:c>
      <x:c r="Q39" s="106" t="str">
        <x:v>否</x:v>
      </x:c>
      <x:c r="R39" s="106" t="str">
        <x:v>由本地 Agent 同步</x:v>
      </x:c>
      <x:c r="S39" s="86"/>
      <x:c r="T39" s="86"/>
      <x:c r="U39" s="86"/>
      <x:c r="V39" s="86"/>
      <x:c r="W39" s="86"/>
      <x:c r="X39" s="86"/>
      <x:c r="Y39" s="86"/>
      <x:c r="Z39" s="86"/>
    </x:row>
    <x:row r="40">
      <x:c r="A40" s="106" t="str">
        <x:v>958713ef-2598-432a-b7aa-511bdc6a0bee</x:v>
      </x:c>
      <x:c r="B40" s="106" t="str">
        <x:v>601288</x:v>
      </x:c>
      <x:c r="C40" s="106" t="str">
        <x:v>debt_ratio</x:v>
      </x:c>
      <x:c r="D40" s="106" t="str">
        <x:v>2026-06-30</x:v>
      </x:c>
      <x:c r="E40" s="106" t="n">
        <x:v>93.4686</x:v>
      </x:c>
      <x:c r="F40" s="106" t="str">
        <x:v>percent</x:v>
      </x:c>
      <x:c r="G40" s="106" t="str">
        <x:v>AkShare / Sina financial indicators</x:v>
      </x:c>
      <x:c r="H40" s="106" t="str">
        <x:v>https://money.finance.sina.com.cn/corp/go.php/vFD_FinancialGuideLine/stockid/601288/ctrl/2026/displaytype/4.phtml</x:v>
      </x:c>
      <x:c r="I40" s="106"/>
      <x:c r="J40" s="106"/>
      <x:c r="K40" s="121" t="str">
        <x:v>2026-09-01 15:02:21.471439+00:00</x:v>
      </x:c>
      <x:c r="L40" s="121"/>
      <x:c r="M40" s="106" t="str">
        <x:v>akshare-financial-v1-sina</x:v>
      </x:c>
      <x:c r="N40" s="106" t="str">
        <x:v>92643be27071e72c2cb3b452fc6c348e2b412bba1977528dbd6029bccf427eb7</x:v>
      </x:c>
      <x:c r="O40" s="113"/>
      <x:c r="P40" s="106" t="str">
        <x:v>pending</x:v>
      </x:c>
      <x:c r="Q40" s="106" t="str">
        <x:v>否</x:v>
      </x:c>
      <x:c r="R40" s="106" t="str">
        <x:v>由本地 Agent 同步</x:v>
      </x:c>
      <x:c r="S40" s="86"/>
      <x:c r="T40" s="86"/>
      <x:c r="U40" s="86"/>
      <x:c r="V40" s="86"/>
      <x:c r="W40" s="86"/>
      <x:c r="X40" s="86"/>
      <x:c r="Y40" s="86"/>
      <x:c r="Z40" s="86"/>
    </x:row>
    <x:row r="41">
      <x:c r="A41" s="106" t="str">
        <x:v>958713ef-2598-432a-b7aa-511bdc6a0bee</x:v>
      </x:c>
      <x:c r="B41" s="106" t="str">
        <x:v>601288</x:v>
      </x:c>
      <x:c r="C41" s="106" t="str">
        <x:v>net_income_yoy</x:v>
      </x:c>
      <x:c r="D41" s="106" t="str">
        <x:v>2026-06-30</x:v>
      </x:c>
      <x:c r="E41" s="106" t="n">
        <x:v>5.8016</x:v>
      </x:c>
      <x:c r="F41" s="106" t="str">
        <x:v>percent</x:v>
      </x:c>
      <x:c r="G41" s="106" t="str">
        <x:v>AkShare / Sina financial indicators</x:v>
      </x:c>
      <x:c r="H41" s="106" t="str">
        <x:v>https://money.finance.sina.com.cn/corp/go.php/vFD_FinancialGuideLine/stockid/601288/ctrl/2026/displaytype/4.phtml</x:v>
      </x:c>
      <x:c r="I41" s="106"/>
      <x:c r="J41" s="106"/>
      <x:c r="K41" s="121" t="str">
        <x:v>2026-09-01 15:02:21.471439+00:00</x:v>
      </x:c>
      <x:c r="L41" s="121"/>
      <x:c r="M41" s="106" t="str">
        <x:v>akshare-financial-v1-sina</x:v>
      </x:c>
      <x:c r="N41" s="106" t="str">
        <x:v>92643be27071e72c2cb3b452fc6c348e2b412bba1977528dbd6029bccf427eb7</x:v>
      </x:c>
      <x:c r="O41" s="113"/>
      <x:c r="P41" s="106" t="str">
        <x:v>pending</x:v>
      </x:c>
      <x:c r="Q41" s="106" t="str">
        <x:v>否</x:v>
      </x:c>
      <x:c r="R41" s="106" t="str">
        <x:v>由本地 Agent 同步</x:v>
      </x:c>
      <x:c r="S41" s="86"/>
      <x:c r="T41" s="86"/>
      <x:c r="U41" s="86"/>
      <x:c r="V41" s="86"/>
      <x:c r="W41" s="86"/>
      <x:c r="X41" s="86"/>
      <x:c r="Y41" s="86"/>
      <x:c r="Z41" s="86"/>
    </x:row>
    <x:row r="42">
      <x:c r="A42" s="106" t="str">
        <x:v>958713ef-2598-432a-b7aa-511bdc6a0bee</x:v>
      </x:c>
      <x:c r="B42" s="106" t="str">
        <x:v>601288</x:v>
      </x:c>
      <x:c r="C42" s="106" t="str">
        <x:v>roe</x:v>
      </x:c>
      <x:c r="D42" s="106" t="str">
        <x:v>2026-06-30</x:v>
      </x:c>
      <x:c r="E42" s="106" t="n">
        <x:v>4.4</x:v>
      </x:c>
      <x:c r="F42" s="106" t="str">
        <x:v>percent</x:v>
      </x:c>
      <x:c r="G42" s="106" t="str">
        <x:v>AkShare / Sina financial indicators</x:v>
      </x:c>
      <x:c r="H42" s="106" t="str">
        <x:v>https://money.finance.sina.com.cn/corp/go.php/vFD_FinancialGuideLine/stockid/601288/ctrl/2026/displaytype/4.phtml</x:v>
      </x:c>
      <x:c r="I42" s="106"/>
      <x:c r="J42" s="106"/>
      <x:c r="K42" s="121" t="str">
        <x:v>2026-09-01 15:02:21.471439+00:00</x:v>
      </x:c>
      <x:c r="L42" s="121"/>
      <x:c r="M42" s="106" t="str">
        <x:v>akshare-financial-v1-sina</x:v>
      </x:c>
      <x:c r="N42" s="106" t="str">
        <x:v>92643be27071e72c2cb3b452fc6c348e2b412bba1977528dbd6029bccf427eb7</x:v>
      </x:c>
      <x:c r="O42" s="113"/>
      <x:c r="P42" s="106" t="str">
        <x:v>pending</x:v>
      </x:c>
      <x:c r="Q42" s="106" t="str">
        <x:v>否</x:v>
      </x:c>
      <x:c r="R42" s="106" t="str">
        <x:v>由本地 Agent 同步</x:v>
      </x:c>
      <x:c r="S42" s="86"/>
      <x:c r="T42" s="86"/>
      <x:c r="U42" s="86"/>
      <x:c r="V42" s="86"/>
      <x:c r="W42" s="86"/>
      <x:c r="X42" s="86"/>
      <x:c r="Y42" s="86"/>
      <x:c r="Z42" s="86"/>
    </x:row>
    <x:row r="43">
      <x:c r="A43" s="106" t="str">
        <x:v>958713ef-2598-432a-b7aa-511bdc6a0bee</x:v>
      </x:c>
      <x:c r="B43" s="106" t="str">
        <x:v>601288</x:v>
      </x:c>
      <x:c r="C43" s="106" t="str">
        <x:v>bvps</x:v>
      </x:c>
      <x:c r="D43" s="106" t="str">
        <x:v>2026-06-30</x:v>
      </x:c>
      <x:c r="E43" s="106" t="n">
        <x:v>9.5286</x:v>
      </x:c>
      <x:c r="F43" s="106" t="str">
        <x:v>CNY/share</x:v>
      </x:c>
      <x:c r="G43" s="106" t="str">
        <x:v>AkShare / Sina financial indicators</x:v>
      </x:c>
      <x:c r="H43" s="106" t="str">
        <x:v>https://money.finance.sina.com.cn/corp/go.php/vFD_FinancialGuideLine/stockid/601288/ctrl/2026/displaytype/4.phtml</x:v>
      </x:c>
      <x:c r="I43" s="106"/>
      <x:c r="J43" s="106"/>
      <x:c r="K43" s="121" t="str">
        <x:v>2026-09-01 15:02:21.471439+00:00</x:v>
      </x:c>
      <x:c r="L43" s="121"/>
      <x:c r="M43" s="106" t="str">
        <x:v>akshare-financial-v1-sina</x:v>
      </x:c>
      <x:c r="N43" s="106" t="str">
        <x:v>92643be27071e72c2cb3b452fc6c348e2b412bba1977528dbd6029bccf427eb7</x:v>
      </x:c>
      <x:c r="O43" s="113"/>
      <x:c r="P43" s="106" t="str">
        <x:v>pending</x:v>
      </x:c>
      <x:c r="Q43" s="106" t="str">
        <x:v>否</x:v>
      </x:c>
      <x:c r="R43" s="106" t="str">
        <x:v>由本地 Agent 同步</x:v>
      </x:c>
      <x:c r="S43" s="86"/>
      <x:c r="T43" s="86"/>
      <x:c r="U43" s="86"/>
      <x:c r="V43" s="86"/>
      <x:c r="W43" s="86"/>
      <x:c r="X43" s="86"/>
      <x:c r="Y43" s="86"/>
      <x:c r="Z43" s="86"/>
    </x:row>
    <x:row r="44">
      <x:c r="A44" s="106" t="str">
        <x:v>958713ef-2598-432a-b7aa-511bdc6a0bee</x:v>
      </x:c>
      <x:c r="B44" s="106" t="str">
        <x:v>601288</x:v>
      </x:c>
      <x:c r="C44" s="106" t="str">
        <x:v>eps_ttm</x:v>
      </x:c>
      <x:c r="D44" s="106" t="str">
        <x:v>2026-06-30</x:v>
      </x:c>
      <x:c r="E44" s="106" t="n">
        <x:v>0.4231</x:v>
      </x:c>
      <x:c r="F44" s="106" t="str">
        <x:v>CNY/share</x:v>
      </x:c>
      <x:c r="G44" s="106" t="str">
        <x:v>AkShare / Sina financial indicators</x:v>
      </x:c>
      <x:c r="H44" s="106" t="str">
        <x:v>https://money.finance.sina.com.cn/corp/go.php/vFD_FinancialGuideLine/stockid/601288/ctrl/2026/displaytype/4.phtml</x:v>
      </x:c>
      <x:c r="I44" s="106"/>
      <x:c r="J44" s="106"/>
      <x:c r="K44" s="121" t="str">
        <x:v>2026-09-01 15:02:21.471439+00:00</x:v>
      </x:c>
      <x:c r="L44" s="121"/>
      <x:c r="M44" s="106" t="str">
        <x:v>akshare-financial-v1-sina</x:v>
      </x:c>
      <x:c r="N44" s="106" t="str">
        <x:v>92643be27071e72c2cb3b452fc6c348e2b412bba1977528dbd6029bccf427eb7</x:v>
      </x:c>
      <x:c r="O44" s="113"/>
      <x:c r="P44" s="106" t="str">
        <x:v>pending</x:v>
      </x:c>
      <x:c r="Q44" s="106" t="str">
        <x:v>否</x:v>
      </x:c>
      <x:c r="R44" s="106" t="str">
        <x:v>由本地 Agent 同步</x:v>
      </x:c>
      <x:c r="S44" s="86"/>
      <x:c r="T44" s="86"/>
      <x:c r="U44" s="86"/>
      <x:c r="V44" s="86"/>
      <x:c r="W44" s="86"/>
      <x:c r="X44" s="86"/>
      <x:c r="Y44" s="86"/>
      <x:c r="Z44" s="86"/>
    </x:row>
    <x:row r="45">
      <x:c r="A45" s="106" t="str">
        <x:v>42d491a1-5572-43fd-a46b-dfcb3733717f</x:v>
      </x:c>
      <x:c r="B45" s="106" t="str">
        <x:v>600036</x:v>
      </x:c>
      <x:c r="C45" s="106" t="str">
        <x:v>operating_cash_flow_to_net_income</x:v>
      </x:c>
      <x:c r="D45" s="106" t="str">
        <x:v>2026-06-30</x:v>
      </x:c>
      <x:c r="E45" s="106" t="n">
        <x:v>3.9602</x:v>
      </x:c>
      <x:c r="F45" s="106" t="str">
        <x:v>percent</x:v>
      </x:c>
      <x:c r="G45" s="106" t="str">
        <x:v>AkShare / Sina financial indicators</x:v>
      </x:c>
      <x:c r="H45" s="106" t="str">
        <x:v>https://money.finance.sina.com.cn/corp/go.php/vFD_FinancialGuideLine/stockid/600036/ctrl/2026/displaytype/4.phtml</x:v>
      </x:c>
      <x:c r="I45" s="106"/>
      <x:c r="J45" s="106"/>
      <x:c r="K45" s="121" t="str">
        <x:v>2026-09-01 15:02:21.471439+00:00</x:v>
      </x:c>
      <x:c r="L45" s="121"/>
      <x:c r="M45" s="106" t="str">
        <x:v>akshare-financial-v1-sina</x:v>
      </x:c>
      <x:c r="N45" s="106" t="str">
        <x:v>992a8784527f68fc7e8d1a5caea9dadfa0356fd7a7273f061955302d71b1bcef</x:v>
      </x:c>
      <x:c r="O45" s="113"/>
      <x:c r="P45" s="106" t="str">
        <x:v>pending</x:v>
      </x:c>
      <x:c r="Q45" s="106" t="str">
        <x:v>否</x:v>
      </x:c>
      <x:c r="R45" s="106" t="str">
        <x:v>由本地 Agent 同步</x:v>
      </x:c>
      <x:c r="S45" s="86"/>
      <x:c r="T45" s="86"/>
      <x:c r="U45" s="86"/>
      <x:c r="V45" s="86"/>
      <x:c r="W45" s="86"/>
      <x:c r="X45" s="86"/>
      <x:c r="Y45" s="86"/>
      <x:c r="Z45" s="86"/>
    </x:row>
    <x:row r="46">
      <x:c r="A46" s="106" t="str">
        <x:v>42d491a1-5572-43fd-a46b-dfcb3733717f</x:v>
      </x:c>
      <x:c r="B46" s="106" t="str">
        <x:v>600036</x:v>
      </x:c>
      <x:c r="C46" s="106" t="str">
        <x:v>debt_ratio</x:v>
      </x:c>
      <x:c r="D46" s="106" t="str">
        <x:v>2026-06-30</x:v>
      </x:c>
      <x:c r="E46" s="106" t="n">
        <x:v>90.183</x:v>
      </x:c>
      <x:c r="F46" s="106" t="str">
        <x:v>percent</x:v>
      </x:c>
      <x:c r="G46" s="106" t="str">
        <x:v>AkShare / Sina financial indicators</x:v>
      </x:c>
      <x:c r="H46" s="106" t="str">
        <x:v>https://money.finance.sina.com.cn/corp/go.php/vFD_FinancialGuideLine/stockid/600036/ctrl/2026/displaytype/4.phtml</x:v>
      </x:c>
      <x:c r="I46" s="106"/>
      <x:c r="J46" s="106"/>
      <x:c r="K46" s="121" t="str">
        <x:v>2026-09-01 15:02:21.471439+00:00</x:v>
      </x:c>
      <x:c r="L46" s="121"/>
      <x:c r="M46" s="106" t="str">
        <x:v>akshare-financial-v1-sina</x:v>
      </x:c>
      <x:c r="N46" s="106" t="str">
        <x:v>992a8784527f68fc7e8d1a5caea9dadfa0356fd7a7273f061955302d71b1bcef</x:v>
      </x:c>
      <x:c r="O46" s="113"/>
      <x:c r="P46" s="106" t="str">
        <x:v>pending</x:v>
      </x:c>
      <x:c r="Q46" s="106" t="str">
        <x:v>否</x:v>
      </x:c>
      <x:c r="R46" s="106" t="str">
        <x:v>由本地 Agent 同步</x:v>
      </x:c>
      <x:c r="S46" s="86"/>
      <x:c r="T46" s="86"/>
      <x:c r="U46" s="86"/>
      <x:c r="V46" s="86"/>
      <x:c r="W46" s="86"/>
      <x:c r="X46" s="86"/>
      <x:c r="Y46" s="86"/>
      <x:c r="Z46" s="86"/>
    </x:row>
    <x:row r="47">
      <x:c r="A47" s="106" t="str">
        <x:v>42d491a1-5572-43fd-a46b-dfcb3733717f</x:v>
      </x:c>
      <x:c r="B47" s="106" t="str">
        <x:v>600036</x:v>
      </x:c>
      <x:c r="C47" s="106" t="str">
        <x:v>net_income_yoy</x:v>
      </x:c>
      <x:c r="D47" s="106" t="str">
        <x:v>2026-06-30</x:v>
      </x:c>
      <x:c r="E47" s="106" t="n">
        <x:v>2.0078</x:v>
      </x:c>
      <x:c r="F47" s="106" t="str">
        <x:v>percent</x:v>
      </x:c>
      <x:c r="G47" s="106" t="str">
        <x:v>AkShare / Sina financial indicators</x:v>
      </x:c>
      <x:c r="H47" s="106" t="str">
        <x:v>https://money.finance.sina.com.cn/corp/go.php/vFD_FinancialGuideLine/stockid/600036/ctrl/2026/displaytype/4.phtml</x:v>
      </x:c>
      <x:c r="I47" s="106"/>
      <x:c r="J47" s="106"/>
      <x:c r="K47" s="121" t="str">
        <x:v>2026-09-01 15:02:21.471439+00:00</x:v>
      </x:c>
      <x:c r="L47" s="121"/>
      <x:c r="M47" s="106" t="str">
        <x:v>akshare-financial-v1-sina</x:v>
      </x:c>
      <x:c r="N47" s="106" t="str">
        <x:v>992a8784527f68fc7e8d1a5caea9dadfa0356fd7a7273f061955302d71b1bcef</x:v>
      </x:c>
      <x:c r="O47" s="113"/>
      <x:c r="P47" s="106" t="str">
        <x:v>pending</x:v>
      </x:c>
      <x:c r="Q47" s="106" t="str">
        <x:v>否</x:v>
      </x:c>
      <x:c r="R47" s="106" t="str">
        <x:v>由本地 Agent 同步</x:v>
      </x:c>
      <x:c r="S47" s="86"/>
      <x:c r="T47" s="86"/>
      <x:c r="U47" s="86"/>
      <x:c r="V47" s="86"/>
      <x:c r="W47" s="86"/>
      <x:c r="X47" s="86"/>
      <x:c r="Y47" s="86"/>
      <x:c r="Z47" s="86"/>
    </x:row>
    <x:row r="48">
      <x:c r="A48" s="106" t="str">
        <x:v>42d491a1-5572-43fd-a46b-dfcb3733717f</x:v>
      </x:c>
      <x:c r="B48" s="106" t="str">
        <x:v>600036</x:v>
      </x:c>
      <x:c r="C48" s="106" t="str">
        <x:v>bvps</x:v>
      </x:c>
      <x:c r="D48" s="106" t="str">
        <x:v>2026-06-30</x:v>
      </x:c>
      <x:c r="E48" s="106" t="n">
        <x:v>53.6602</x:v>
      </x:c>
      <x:c r="F48" s="106" t="str">
        <x:v>CNY/share</x:v>
      </x:c>
      <x:c r="G48" s="106" t="str">
        <x:v>AkShare / Sina financial indicators</x:v>
      </x:c>
      <x:c r="H48" s="106" t="str">
        <x:v>https://money.finance.sina.com.cn/corp/go.php/vFD_FinancialGuideLine/stockid/600036/ctrl/2026/displaytype/4.phtml</x:v>
      </x:c>
      <x:c r="I48" s="106"/>
      <x:c r="J48" s="106"/>
      <x:c r="K48" s="121" t="str">
        <x:v>2026-09-01 15:02:21.471439+00:00</x:v>
      </x:c>
      <x:c r="L48" s="121"/>
      <x:c r="M48" s="106" t="str">
        <x:v>akshare-financial-v1-sina</x:v>
      </x:c>
      <x:c r="N48" s="106" t="str">
        <x:v>992a8784527f68fc7e8d1a5caea9dadfa0356fd7a7273f061955302d71b1bcef</x:v>
      </x:c>
      <x:c r="O48" s="113"/>
      <x:c r="P48" s="106" t="str">
        <x:v>pending</x:v>
      </x:c>
      <x:c r="Q48" s="106" t="str">
        <x:v>否</x:v>
      </x:c>
      <x:c r="R48" s="106" t="str">
        <x:v>由本地 Agent 同步</x:v>
      </x:c>
      <x:c r="S48" s="86"/>
      <x:c r="T48" s="86"/>
      <x:c r="U48" s="86"/>
      <x:c r="V48" s="86"/>
      <x:c r="W48" s="86"/>
      <x:c r="X48" s="86"/>
      <x:c r="Y48" s="86"/>
      <x:c r="Z48" s="86"/>
    </x:row>
    <x:row r="49">
      <x:c r="A49" s="106" t="str">
        <x:v>42d491a1-5572-43fd-a46b-dfcb3733717f</x:v>
      </x:c>
      <x:c r="B49" s="106" t="str">
        <x:v>600036</x:v>
      </x:c>
      <x:c r="C49" s="106" t="str">
        <x:v>eps_ttm</x:v>
      </x:c>
      <x:c r="D49" s="106" t="str">
        <x:v>2026-06-30</x:v>
      </x:c>
      <x:c r="E49" s="106" t="n">
        <x:v>3.0499</x:v>
      </x:c>
      <x:c r="F49" s="106" t="str">
        <x:v>CNY/share</x:v>
      </x:c>
      <x:c r="G49" s="106" t="str">
        <x:v>AkShare / Sina financial indicators</x:v>
      </x:c>
      <x:c r="H49" s="106" t="str">
        <x:v>https://money.finance.sina.com.cn/corp/go.php/vFD_FinancialGuideLine/stockid/600036/ctrl/2026/displaytype/4.phtml</x:v>
      </x:c>
      <x:c r="I49" s="106"/>
      <x:c r="J49" s="106"/>
      <x:c r="K49" s="121" t="str">
        <x:v>2026-09-01 15:02:21.471439+00:00</x:v>
      </x:c>
      <x:c r="L49" s="121"/>
      <x:c r="M49" s="106" t="str">
        <x:v>akshare-financial-v1-sina</x:v>
      </x:c>
      <x:c r="N49" s="106" t="str">
        <x:v>992a8784527f68fc7e8d1a5caea9dadfa0356fd7a7273f061955302d71b1bcef</x:v>
      </x:c>
      <x:c r="O49" s="113"/>
      <x:c r="P49" s="106" t="str">
        <x:v>pending</x:v>
      </x:c>
      <x:c r="Q49" s="106" t="str">
        <x:v>否</x:v>
      </x:c>
      <x:c r="R49" s="106" t="str">
        <x:v>由本地 Agent 同步</x:v>
      </x:c>
      <x:c r="S49" s="86"/>
      <x:c r="T49" s="86"/>
      <x:c r="U49" s="86"/>
      <x:c r="V49" s="86"/>
      <x:c r="W49" s="86"/>
      <x:c r="X49" s="86"/>
      <x:c r="Y49" s="86"/>
      <x:c r="Z49" s="86"/>
    </x:row>
    <x:row r="50">
      <x:c r="A50" s="106" t="str">
        <x:v>b57b66f5-7127-4618-85b5-e48181b104ed</x:v>
      </x:c>
      <x:c r="B50" s="106" t="str">
        <x:v>000333</x:v>
      </x:c>
      <x:c r="C50" s="106" t="str">
        <x:v>operating_cash_flow_to_net_income</x:v>
      </x:c>
      <x:c r="D50" s="106" t="str">
        <x:v>2026-06-30</x:v>
      </x:c>
      <x:c r="E50" s="106" t="n">
        <x:v>1.4126</x:v>
      </x:c>
      <x:c r="F50" s="106" t="str">
        <x:v>percent</x:v>
      </x:c>
      <x:c r="G50" s="106" t="str">
        <x:v>AkShare / Sina financial indicators</x:v>
      </x:c>
      <x:c r="H50" s="106" t="str">
        <x:v>https://money.finance.sina.com.cn/corp/go.php/vFD_FinancialGuideLine/stockid/000333/ctrl/2026/displaytype/4.phtml</x:v>
      </x:c>
      <x:c r="I50" s="106"/>
      <x:c r="J50" s="106"/>
      <x:c r="K50" s="121" t="str">
        <x:v>2026-09-01 15:02:21.471439+00:00</x:v>
      </x:c>
      <x:c r="L50" s="121"/>
      <x:c r="M50" s="106" t="str">
        <x:v>akshare-financial-v1-sina</x:v>
      </x:c>
      <x:c r="N50" s="106" t="str">
        <x:v>2265cfda54193ae194e530e9101576d9955245a4ad2c5808bc8b3df48a190606</x:v>
      </x:c>
      <x:c r="O50" s="113"/>
      <x:c r="P50" s="106" t="str">
        <x:v>pending</x:v>
      </x:c>
      <x:c r="Q50" s="106" t="str">
        <x:v>否</x:v>
      </x:c>
      <x:c r="R50" s="106" t="str">
        <x:v>由本地 Agent 同步</x:v>
      </x:c>
      <x:c r="S50" s="86"/>
      <x:c r="T50" s="86"/>
      <x:c r="U50" s="86"/>
      <x:c r="V50" s="86"/>
      <x:c r="W50" s="86"/>
      <x:c r="X50" s="86"/>
      <x:c r="Y50" s="86"/>
      <x:c r="Z50" s="86"/>
    </x:row>
    <x:row r="51">
      <x:c r="A51" s="106" t="str">
        <x:v>b57b66f5-7127-4618-85b5-e48181b104ed</x:v>
      </x:c>
      <x:c r="B51" s="106" t="str">
        <x:v>000333</x:v>
      </x:c>
      <x:c r="C51" s="106" t="str">
        <x:v>debt_ratio</x:v>
      </x:c>
      <x:c r="D51" s="106" t="str">
        <x:v>2026-06-30</x:v>
      </x:c>
      <x:c r="E51" s="106" t="n">
        <x:v>64.89</x:v>
      </x:c>
      <x:c r="F51" s="106" t="str">
        <x:v>percent</x:v>
      </x:c>
      <x:c r="G51" s="106" t="str">
        <x:v>AkShare / Sina financial indicators</x:v>
      </x:c>
      <x:c r="H51" s="106" t="str">
        <x:v>https://money.finance.sina.com.cn/corp/go.php/vFD_FinancialGuideLine/stockid/000333/ctrl/2026/displaytype/4.phtml</x:v>
      </x:c>
      <x:c r="I51" s="106"/>
      <x:c r="J51" s="106"/>
      <x:c r="K51" s="121" t="str">
        <x:v>2026-09-01 15:02:21.471439+00:00</x:v>
      </x:c>
      <x:c r="L51" s="121"/>
      <x:c r="M51" s="106" t="str">
        <x:v>akshare-financial-v1-sina</x:v>
      </x:c>
      <x:c r="N51" s="106" t="str">
        <x:v>2265cfda54193ae194e530e9101576d9955245a4ad2c5808bc8b3df48a190606</x:v>
      </x:c>
      <x:c r="O51" s="113"/>
      <x:c r="P51" s="106" t="str">
        <x:v>pending</x:v>
      </x:c>
      <x:c r="Q51" s="106" t="str">
        <x:v>否</x:v>
      </x:c>
      <x:c r="R51" s="106" t="str">
        <x:v>由本地 Agent 同步</x:v>
      </x:c>
      <x:c r="S51" s="86"/>
      <x:c r="T51" s="86"/>
      <x:c r="U51" s="86"/>
      <x:c r="V51" s="86"/>
      <x:c r="W51" s="86"/>
      <x:c r="X51" s="86"/>
      <x:c r="Y51" s="86"/>
      <x:c r="Z51" s="86"/>
    </x:row>
    <x:row r="52">
      <x:c r="A52" s="106" t="str">
        <x:v>b57b66f5-7127-4618-85b5-e48181b104ed</x:v>
      </x:c>
      <x:c r="B52" s="106" t="str">
        <x:v>000333</x:v>
      </x:c>
      <x:c r="C52" s="106" t="str">
        <x:v>net_income_yoy</x:v>
      </x:c>
      <x:c r="D52" s="106" t="str">
        <x:v>2026-06-30</x:v>
      </x:c>
      <x:c r="E52" s="106" t="n">
        <x:v>-0.242</x:v>
      </x:c>
      <x:c r="F52" s="106" t="str">
        <x:v>percent</x:v>
      </x:c>
      <x:c r="G52" s="106" t="str">
        <x:v>AkShare / Sina financial indicators</x:v>
      </x:c>
      <x:c r="H52" s="106" t="str">
        <x:v>https://money.finance.sina.com.cn/corp/go.php/vFD_FinancialGuideLine/stockid/000333/ctrl/2026/displaytype/4.phtml</x:v>
      </x:c>
      <x:c r="I52" s="106"/>
      <x:c r="J52" s="106"/>
      <x:c r="K52" s="121" t="str">
        <x:v>2026-09-01 15:02:21.471439+00:00</x:v>
      </x:c>
      <x:c r="L52" s="121"/>
      <x:c r="M52" s="106" t="str">
        <x:v>akshare-financial-v1-sina</x:v>
      </x:c>
      <x:c r="N52" s="106" t="str">
        <x:v>2265cfda54193ae194e530e9101576d9955245a4ad2c5808bc8b3df48a190606</x:v>
      </x:c>
      <x:c r="O52" s="113"/>
      <x:c r="P52" s="106" t="str">
        <x:v>pending</x:v>
      </x:c>
      <x:c r="Q52" s="106" t="str">
        <x:v>否</x:v>
      </x:c>
      <x:c r="R52" s="106" t="str">
        <x:v>由本地 Agent 同步</x:v>
      </x:c>
      <x:c r="S52" s="86"/>
      <x:c r="T52" s="86"/>
      <x:c r="U52" s="86"/>
      <x:c r="V52" s="86"/>
      <x:c r="W52" s="86"/>
      <x:c r="X52" s="86"/>
      <x:c r="Y52" s="86"/>
      <x:c r="Z52" s="86"/>
    </x:row>
    <x:row r="53">
      <x:c r="A53" s="106" t="str">
        <x:v>b57b66f5-7127-4618-85b5-e48181b104ed</x:v>
      </x:c>
      <x:c r="B53" s="106" t="str">
        <x:v>000333</x:v>
      </x:c>
      <x:c r="C53" s="106" t="str">
        <x:v>revenue_yoy</x:v>
      </x:c>
      <x:c r="D53" s="106" t="str">
        <x:v>2026-06-30</x:v>
      </x:c>
      <x:c r="E53" s="106" t="n">
        <x:v>3.5515</x:v>
      </x:c>
      <x:c r="F53" s="106" t="str">
        <x:v>percent</x:v>
      </x:c>
      <x:c r="G53" s="106" t="str">
        <x:v>AkShare / Sina financial indicators</x:v>
      </x:c>
      <x:c r="H53" s="106" t="str">
        <x:v>https://money.finance.sina.com.cn/corp/go.php/vFD_FinancialGuideLine/stockid/000333/ctrl/2026/displaytype/4.phtml</x:v>
      </x:c>
      <x:c r="I53" s="106"/>
      <x:c r="J53" s="106"/>
      <x:c r="K53" s="121" t="str">
        <x:v>2026-09-01 15:02:21.471439+00:00</x:v>
      </x:c>
      <x:c r="L53" s="121"/>
      <x:c r="M53" s="106" t="str">
        <x:v>akshare-financial-v1-sina</x:v>
      </x:c>
      <x:c r="N53" s="106" t="str">
        <x:v>2265cfda54193ae194e530e9101576d9955245a4ad2c5808bc8b3df48a190606</x:v>
      </x:c>
      <x:c r="O53" s="113"/>
      <x:c r="P53" s="106" t="str">
        <x:v>pending</x:v>
      </x:c>
      <x:c r="Q53" s="106" t="str">
        <x:v>否</x:v>
      </x:c>
      <x:c r="R53" s="106" t="str">
        <x:v>由本地 Agent 同步</x:v>
      </x:c>
      <x:c r="S53" s="86"/>
      <x:c r="T53" s="86"/>
      <x:c r="U53" s="86"/>
      <x:c r="V53" s="86"/>
      <x:c r="W53" s="86"/>
      <x:c r="X53" s="86"/>
      <x:c r="Y53" s="86"/>
      <x:c r="Z53" s="86"/>
    </x:row>
    <x:row r="54">
      <x:c r="A54" s="106" t="str">
        <x:v>b57b66f5-7127-4618-85b5-e48181b104ed</x:v>
      </x:c>
      <x:c r="B54" s="106" t="str">
        <x:v>000333</x:v>
      </x:c>
      <x:c r="C54" s="106" t="str">
        <x:v>net_margin</x:v>
      </x:c>
      <x:c r="D54" s="106" t="str">
        <x:v>2026-06-30</x:v>
      </x:c>
      <x:c r="E54" s="106" t="n">
        <x:v>10.2225</x:v>
      </x:c>
      <x:c r="F54" s="106" t="str">
        <x:v>percent</x:v>
      </x:c>
      <x:c r="G54" s="106" t="str">
        <x:v>AkShare / Sina financial indicators</x:v>
      </x:c>
      <x:c r="H54" s="106" t="str">
        <x:v>https://money.finance.sina.com.cn/corp/go.php/vFD_FinancialGuideLine/stockid/000333/ctrl/2026/displaytype/4.phtml</x:v>
      </x:c>
      <x:c r="I54" s="106"/>
      <x:c r="J54" s="106"/>
      <x:c r="K54" s="121" t="str">
        <x:v>2026-09-01 15:02:21.471439+00:00</x:v>
      </x:c>
      <x:c r="L54" s="121"/>
      <x:c r="M54" s="106" t="str">
        <x:v>akshare-financial-v1-sina</x:v>
      </x:c>
      <x:c r="N54" s="106" t="str">
        <x:v>2265cfda54193ae194e530e9101576d9955245a4ad2c5808bc8b3df48a190606</x:v>
      </x:c>
      <x:c r="O54" s="113"/>
      <x:c r="P54" s="106" t="str">
        <x:v>pending</x:v>
      </x:c>
      <x:c r="Q54" s="106" t="str">
        <x:v>否</x:v>
      </x:c>
      <x:c r="R54" s="106" t="str">
        <x:v>由本地 Agent 同步</x:v>
      </x:c>
      <x:c r="S54" s="86"/>
      <x:c r="T54" s="86"/>
      <x:c r="U54" s="86"/>
      <x:c r="V54" s="86"/>
      <x:c r="W54" s="86"/>
      <x:c r="X54" s="86"/>
      <x:c r="Y54" s="86"/>
      <x:c r="Z54" s="86"/>
    </x:row>
    <x:row r="55">
      <x:c r="A55" s="106" t="str">
        <x:v>b57b66f5-7127-4618-85b5-e48181b104ed</x:v>
      </x:c>
      <x:c r="B55" s="106" t="str">
        <x:v>000333</x:v>
      </x:c>
      <x:c r="C55" s="106" t="str">
        <x:v>roe</x:v>
      </x:c>
      <x:c r="D55" s="106" t="str">
        <x:v>2026-06-30</x:v>
      </x:c>
      <x:c r="E55" s="106" t="n">
        <x:v>12.42</x:v>
      </x:c>
      <x:c r="F55" s="106" t="str">
        <x:v>percent</x:v>
      </x:c>
      <x:c r="G55" s="106" t="str">
        <x:v>AkShare / Sina financial indicators</x:v>
      </x:c>
      <x:c r="H55" s="106" t="str">
        <x:v>https://money.finance.sina.com.cn/corp/go.php/vFD_FinancialGuideLine/stockid/000333/ctrl/2026/displaytype/4.phtml</x:v>
      </x:c>
      <x:c r="I55" s="106"/>
      <x:c r="J55" s="106"/>
      <x:c r="K55" s="121" t="str">
        <x:v>2026-09-01 15:02:21.471439+00:00</x:v>
      </x:c>
      <x:c r="L55" s="121"/>
      <x:c r="M55" s="106" t="str">
        <x:v>akshare-financial-v1-sina</x:v>
      </x:c>
      <x:c r="N55" s="106" t="str">
        <x:v>2265cfda54193ae194e530e9101576d9955245a4ad2c5808bc8b3df48a190606</x:v>
      </x:c>
      <x:c r="O55" s="113"/>
      <x:c r="P55" s="106" t="str">
        <x:v>pending</x:v>
      </x:c>
      <x:c r="Q55" s="106" t="str">
        <x:v>否</x:v>
      </x:c>
      <x:c r="R55" s="106" t="str">
        <x:v>由本地 Agent 同步</x:v>
      </x:c>
      <x:c r="S55" s="86"/>
      <x:c r="T55" s="86"/>
      <x:c r="U55" s="86"/>
      <x:c r="V55" s="86"/>
      <x:c r="W55" s="86"/>
      <x:c r="X55" s="86"/>
      <x:c r="Y55" s="86"/>
      <x:c r="Z55" s="86"/>
    </x:row>
    <x:row r="56">
      <x:c r="A56" s="106" t="str">
        <x:v>b57b66f5-7127-4618-85b5-e48181b104ed</x:v>
      </x:c>
      <x:c r="B56" s="106" t="str">
        <x:v>000333</x:v>
      </x:c>
      <x:c r="C56" s="106" t="str">
        <x:v>bvps</x:v>
      </x:c>
      <x:c r="D56" s="106" t="str">
        <x:v>2026-06-30</x:v>
      </x:c>
      <x:c r="E56" s="106" t="n">
        <x:v>29.6572</x:v>
      </x:c>
      <x:c r="F56" s="106" t="str">
        <x:v>CNY/share</x:v>
      </x:c>
      <x:c r="G56" s="106" t="str">
        <x:v>AkShare / Sina financial indicators</x:v>
      </x:c>
      <x:c r="H56" s="106" t="str">
        <x:v>https://money.finance.sina.com.cn/corp/go.php/vFD_FinancialGuideLine/stockid/000333/ctrl/2026/displaytype/4.phtml</x:v>
      </x:c>
      <x:c r="I56" s="106"/>
      <x:c r="J56" s="106"/>
      <x:c r="K56" s="121" t="str">
        <x:v>2026-09-01 15:02:21.471439+00:00</x:v>
      </x:c>
      <x:c r="L56" s="121"/>
      <x:c r="M56" s="106" t="str">
        <x:v>akshare-financial-v1-sina</x:v>
      </x:c>
      <x:c r="N56" s="106" t="str">
        <x:v>2265cfda54193ae194e530e9101576d9955245a4ad2c5808bc8b3df48a190606</x:v>
      </x:c>
      <x:c r="O56" s="113"/>
      <x:c r="P56" s="106" t="str">
        <x:v>pending</x:v>
      </x:c>
      <x:c r="Q56" s="106" t="str">
        <x:v>否</x:v>
      </x:c>
      <x:c r="R56" s="106" t="str">
        <x:v>由本地 Agent 同步</x:v>
      </x:c>
      <x:c r="S56" s="86"/>
      <x:c r="T56" s="86"/>
      <x:c r="U56" s="86"/>
      <x:c r="V56" s="86"/>
      <x:c r="W56" s="86"/>
      <x:c r="X56" s="86"/>
      <x:c r="Y56" s="86"/>
      <x:c r="Z56" s="86"/>
    </x:row>
    <x:row r="57">
      <x:c r="A57" s="106" t="str">
        <x:v>b57b66f5-7127-4618-85b5-e48181b104ed</x:v>
      </x:c>
      <x:c r="B57" s="106" t="str">
        <x:v>000333</x:v>
      </x:c>
      <x:c r="C57" s="106" t="str">
        <x:v>eps_ttm</x:v>
      </x:c>
      <x:c r="D57" s="106" t="str">
        <x:v>2026-06-30</x:v>
      </x:c>
      <x:c r="E57" s="106" t="n">
        <x:v>3.4916</x:v>
      </x:c>
      <x:c r="F57" s="106" t="str">
        <x:v>CNY/share</x:v>
      </x:c>
      <x:c r="G57" s="106" t="str">
        <x:v>AkShare / Sina financial indicators</x:v>
      </x:c>
      <x:c r="H57" s="106" t="str">
        <x:v>https://money.finance.sina.com.cn/corp/go.php/vFD_FinancialGuideLine/stockid/000333/ctrl/2026/displaytype/4.phtml</x:v>
      </x:c>
      <x:c r="I57" s="106"/>
      <x:c r="J57" s="106"/>
      <x:c r="K57" s="121" t="str">
        <x:v>2026-09-01 15:02:21.471439+00:00</x:v>
      </x:c>
      <x:c r="L57" s="121"/>
      <x:c r="M57" s="106" t="str">
        <x:v>akshare-financial-v1-sina</x:v>
      </x:c>
      <x:c r="N57" s="106" t="str">
        <x:v>2265cfda54193ae194e530e9101576d9955245a4ad2c5808bc8b3df48a190606</x:v>
      </x:c>
      <x:c r="O57" s="113"/>
      <x:c r="P57" s="106" t="str">
        <x:v>pending</x:v>
      </x:c>
      <x:c r="Q57" s="106" t="str">
        <x:v>否</x:v>
      </x:c>
      <x:c r="R57" s="106" t="str">
        <x:v>由本地 Agent 同步</x:v>
      </x:c>
      <x:c r="S57" s="86"/>
      <x:c r="T57" s="86"/>
      <x:c r="U57" s="86"/>
      <x:c r="V57" s="86"/>
      <x:c r="W57" s="86"/>
      <x:c r="X57" s="86"/>
      <x:c r="Y57" s="86"/>
      <x:c r="Z57" s="86"/>
    </x:row>
    <x:row r="58">
      <x:c r="A58" s="106" t="str">
        <x:v>337b06da-cefa-49bc-b821-a5f0e77172f1</x:v>
      </x:c>
      <x:c r="B58" s="106" t="str">
        <x:v>600519</x:v>
      </x:c>
      <x:c r="C58" s="106" t="str">
        <x:v>operating_cash_flow_to_net_income</x:v>
      </x:c>
      <x:c r="D58" s="106" t="str">
        <x:v>2026-06-30</x:v>
      </x:c>
      <x:c r="E58" s="106" t="n">
        <x:v>1.5356</x:v>
      </x:c>
      <x:c r="F58" s="106" t="str">
        <x:v>percent</x:v>
      </x:c>
      <x:c r="G58" s="106" t="str">
        <x:v>AkShare / Sina financial indicators</x:v>
      </x:c>
      <x:c r="H58" s="106" t="str">
        <x:v>https://money.finance.sina.com.cn/corp/go.php/vFD_FinancialGuideLine/stockid/600519/ctrl/2026/displaytype/4.phtml</x:v>
      </x:c>
      <x:c r="I58" s="106"/>
      <x:c r="J58" s="106"/>
      <x:c r="K58" s="121" t="str">
        <x:v>2026-09-01 15:02:21.471439+00:00</x:v>
      </x:c>
      <x:c r="L58" s="121"/>
      <x:c r="M58" s="106" t="str">
        <x:v>akshare-financial-v1-sina</x:v>
      </x:c>
      <x:c r="N58" s="106" t="str">
        <x:v>afc84f3d7a43e3c9a3040800b50dbc862df17247a5a086ec2e4a5ef3712543e3</x:v>
      </x:c>
      <x:c r="O58" s="113"/>
      <x:c r="P58" s="106" t="str">
        <x:v>pending</x:v>
      </x:c>
      <x:c r="Q58" s="106" t="str">
        <x:v>否</x:v>
      </x:c>
      <x:c r="R58" s="106" t="str">
        <x:v>由本地 Agent 同步</x:v>
      </x:c>
      <x:c r="S58" s="86"/>
      <x:c r="T58" s="86"/>
      <x:c r="U58" s="86"/>
      <x:c r="V58" s="86"/>
      <x:c r="W58" s="86"/>
      <x:c r="X58" s="86"/>
      <x:c r="Y58" s="86"/>
      <x:c r="Z58" s="86"/>
    </x:row>
    <x:row r="59">
      <x:c r="A59" s="106" t="str">
        <x:v>337b06da-cefa-49bc-b821-a5f0e77172f1</x:v>
      </x:c>
      <x:c r="B59" s="106" t="str">
        <x:v>600519</x:v>
      </x:c>
      <x:c r="C59" s="106" t="str">
        <x:v>debt_ratio</x:v>
      </x:c>
      <x:c r="D59" s="106" t="str">
        <x:v>2026-06-30</x:v>
      </x:c>
      <x:c r="E59" s="106" t="n">
        <x:v>15.1931</x:v>
      </x:c>
      <x:c r="F59" s="106" t="str">
        <x:v>percent</x:v>
      </x:c>
      <x:c r="G59" s="106" t="str">
        <x:v>AkShare / Sina financial indicators</x:v>
      </x:c>
      <x:c r="H59" s="106" t="str">
        <x:v>https://money.finance.sina.com.cn/corp/go.php/vFD_FinancialGuideLine/stockid/600519/ctrl/2026/displaytype/4.phtml</x:v>
      </x:c>
      <x:c r="I59" s="106"/>
      <x:c r="J59" s="106"/>
      <x:c r="K59" s="121" t="str">
        <x:v>2026-09-01 15:02:21.471439+00:00</x:v>
      </x:c>
      <x:c r="L59" s="121"/>
      <x:c r="M59" s="106" t="str">
        <x:v>akshare-financial-v1-sina</x:v>
      </x:c>
      <x:c r="N59" s="106" t="str">
        <x:v>afc84f3d7a43e3c9a3040800b50dbc862df17247a5a086ec2e4a5ef3712543e3</x:v>
      </x:c>
      <x:c r="O59" s="113"/>
      <x:c r="P59" s="106" t="str">
        <x:v>pending</x:v>
      </x:c>
      <x:c r="Q59" s="106" t="str">
        <x:v>否</x:v>
      </x:c>
      <x:c r="R59" s="106" t="str">
        <x:v>由本地 Agent 同步</x:v>
      </x:c>
      <x:c r="S59" s="86"/>
      <x:c r="T59" s="86"/>
      <x:c r="U59" s="86"/>
      <x:c r="V59" s="86"/>
      <x:c r="W59" s="86"/>
      <x:c r="X59" s="86"/>
      <x:c r="Y59" s="86"/>
      <x:c r="Z59" s="86"/>
    </x:row>
    <x:row r="60">
      <x:c r="A60" s="106" t="str">
        <x:v>337b06da-cefa-49bc-b821-a5f0e77172f1</x:v>
      </x:c>
      <x:c r="B60" s="106" t="str">
        <x:v>600519</x:v>
      </x:c>
      <x:c r="C60" s="106" t="str">
        <x:v>net_income_yoy</x:v>
      </x:c>
      <x:c r="D60" s="106" t="str">
        <x:v>2026-06-30</x:v>
      </x:c>
      <x:c r="E60" s="106" t="n">
        <x:v>-2.029</x:v>
      </x:c>
      <x:c r="F60" s="106" t="str">
        <x:v>percent</x:v>
      </x:c>
      <x:c r="G60" s="106" t="str">
        <x:v>AkShare / Sina financial indicators</x:v>
      </x:c>
      <x:c r="H60" s="106" t="str">
        <x:v>https://money.finance.sina.com.cn/corp/go.php/vFD_FinancialGuideLine/stockid/600519/ctrl/2026/displaytype/4.phtml</x:v>
      </x:c>
      <x:c r="I60" s="106"/>
      <x:c r="J60" s="106"/>
      <x:c r="K60" s="121" t="str">
        <x:v>2026-09-01 15:02:21.471439+00:00</x:v>
      </x:c>
      <x:c r="L60" s="121"/>
      <x:c r="M60" s="106" t="str">
        <x:v>akshare-financial-v1-sina</x:v>
      </x:c>
      <x:c r="N60" s="106" t="str">
        <x:v>afc84f3d7a43e3c9a3040800b50dbc862df17247a5a086ec2e4a5ef3712543e3</x:v>
      </x:c>
      <x:c r="O60" s="113"/>
      <x:c r="P60" s="106" t="str">
        <x:v>pending</x:v>
      </x:c>
      <x:c r="Q60" s="106" t="str">
        <x:v>否</x:v>
      </x:c>
      <x:c r="R60" s="106" t="str">
        <x:v>由本地 Agent 同步</x:v>
      </x:c>
      <x:c r="S60" s="86"/>
      <x:c r="T60" s="86"/>
      <x:c r="U60" s="86"/>
      <x:c r="V60" s="86"/>
      <x:c r="W60" s="86"/>
      <x:c r="X60" s="86"/>
      <x:c r="Y60" s="86"/>
      <x:c r="Z60" s="86"/>
    </x:row>
    <x:row r="61">
      <x:c r="A61" s="106" t="str">
        <x:v>337b06da-cefa-49bc-b821-a5f0e77172f1</x:v>
      </x:c>
      <x:c r="B61" s="106" t="str">
        <x:v>600519</x:v>
      </x:c>
      <x:c r="C61" s="106" t="str">
        <x:v>revenue_yoy</x:v>
      </x:c>
      <x:c r="D61" s="106" t="str">
        <x:v>2026-06-30</x:v>
      </x:c>
      <x:c r="E61" s="106" t="n">
        <x:v>1.4699</x:v>
      </x:c>
      <x:c r="F61" s="106" t="str">
        <x:v>percent</x:v>
      </x:c>
      <x:c r="G61" s="106" t="str">
        <x:v>AkShare / Sina financial indicators</x:v>
      </x:c>
      <x:c r="H61" s="106" t="str">
        <x:v>https://money.finance.sina.com.cn/corp/go.php/vFD_FinancialGuideLine/stockid/600519/ctrl/2026/displaytype/4.phtml</x:v>
      </x:c>
      <x:c r="I61" s="106"/>
      <x:c r="J61" s="106"/>
      <x:c r="K61" s="121" t="str">
        <x:v>2026-09-01 15:02:21.471439+00:00</x:v>
      </x:c>
      <x:c r="L61" s="121"/>
      <x:c r="M61" s="106" t="str">
        <x:v>akshare-financial-v1-sina</x:v>
      </x:c>
      <x:c r="N61" s="106" t="str">
        <x:v>afc84f3d7a43e3c9a3040800b50dbc862df17247a5a086ec2e4a5ef3712543e3</x:v>
      </x:c>
      <x:c r="O61" s="113"/>
      <x:c r="P61" s="106" t="str">
        <x:v>pending</x:v>
      </x:c>
      <x:c r="Q61" s="106" t="str">
        <x:v>否</x:v>
      </x:c>
      <x:c r="R61" s="106" t="str">
        <x:v>由本地 Agent 同步</x:v>
      </x:c>
      <x:c r="S61" s="86"/>
      <x:c r="T61" s="86"/>
      <x:c r="U61" s="86"/>
      <x:c r="V61" s="86"/>
      <x:c r="W61" s="86"/>
      <x:c r="X61" s="86"/>
      <x:c r="Y61" s="86"/>
      <x:c r="Z61" s="86"/>
    </x:row>
    <x:row r="62">
      <x:c r="A62" s="106" t="str">
        <x:v>337b06da-cefa-49bc-b821-a5f0e77172f1</x:v>
      </x:c>
      <x:c r="B62" s="106" t="str">
        <x:v>600519</x:v>
      </x:c>
      <x:c r="C62" s="106" t="str">
        <x:v>net_margin</x:v>
      </x:c>
      <x:c r="D62" s="106" t="str">
        <x:v>2026-06-30</x:v>
      </x:c>
      <x:c r="E62" s="106" t="n">
        <x:v>50.7516</x:v>
      </x:c>
      <x:c r="F62" s="106" t="str">
        <x:v>percent</x:v>
      </x:c>
      <x:c r="G62" s="106" t="str">
        <x:v>AkShare / Sina financial indicators</x:v>
      </x:c>
      <x:c r="H62" s="106" t="str">
        <x:v>https://money.finance.sina.com.cn/corp/go.php/vFD_FinancialGuideLine/stockid/600519/ctrl/2026/displaytype/4.phtml</x:v>
      </x:c>
      <x:c r="I62" s="106"/>
      <x:c r="J62" s="106"/>
      <x:c r="K62" s="121" t="str">
        <x:v>2026-09-01 15:02:21.471439+00:00</x:v>
      </x:c>
      <x:c r="L62" s="121"/>
      <x:c r="M62" s="106" t="str">
        <x:v>akshare-financial-v1-sina</x:v>
      </x:c>
      <x:c r="N62" s="106" t="str">
        <x:v>afc84f3d7a43e3c9a3040800b50dbc862df17247a5a086ec2e4a5ef3712543e3</x:v>
      </x:c>
      <x:c r="O62" s="113"/>
      <x:c r="P62" s="106" t="str">
        <x:v>pending</x:v>
      </x:c>
      <x:c r="Q62" s="106" t="str">
        <x:v>否</x:v>
      </x:c>
      <x:c r="R62" s="106" t="str">
        <x:v>由本地 Agent 同步</x:v>
      </x:c>
      <x:c r="S62" s="86"/>
      <x:c r="T62" s="86"/>
      <x:c r="U62" s="86"/>
      <x:c r="V62" s="86"/>
      <x:c r="W62" s="86"/>
      <x:c r="X62" s="86"/>
      <x:c r="Y62" s="86"/>
      <x:c r="Z62" s="86"/>
    </x:row>
    <x:row r="63">
      <x:c r="A63" s="106" t="str">
        <x:v>337b06da-cefa-49bc-b821-a5f0e77172f1</x:v>
      </x:c>
      <x:c r="B63" s="106" t="str">
        <x:v>600519</x:v>
      </x:c>
      <x:c r="C63" s="106" t="str">
        <x:v>roe</x:v>
      </x:c>
      <x:c r="D63" s="106" t="str">
        <x:v>2026-06-30</x:v>
      </x:c>
      <x:c r="E63" s="106" t="n">
        <x:v>17.72</x:v>
      </x:c>
      <x:c r="F63" s="106" t="str">
        <x:v>percent</x:v>
      </x:c>
      <x:c r="G63" s="106" t="str">
        <x:v>AkShare / Sina financial indicators</x:v>
      </x:c>
      <x:c r="H63" s="106" t="str">
        <x:v>https://money.finance.sina.com.cn/corp/go.php/vFD_FinancialGuideLine/stockid/600519/ctrl/2026/displaytype/4.phtml</x:v>
      </x:c>
      <x:c r="I63" s="106"/>
      <x:c r="J63" s="106"/>
      <x:c r="K63" s="121" t="str">
        <x:v>2026-09-01 15:02:21.471439+00:00</x:v>
      </x:c>
      <x:c r="L63" s="121"/>
      <x:c r="M63" s="106" t="str">
        <x:v>akshare-financial-v1-sina</x:v>
      </x:c>
      <x:c r="N63" s="106" t="str">
        <x:v>afc84f3d7a43e3c9a3040800b50dbc862df17247a5a086ec2e4a5ef3712543e3</x:v>
      </x:c>
      <x:c r="O63" s="113"/>
      <x:c r="P63" s="106" t="str">
        <x:v>pending</x:v>
      </x:c>
      <x:c r="Q63" s="106" t="str">
        <x:v>否</x:v>
      </x:c>
      <x:c r="R63" s="106" t="str">
        <x:v>由本地 Agent 同步</x:v>
      </x:c>
      <x:c r="S63" s="86"/>
      <x:c r="T63" s="86"/>
      <x:c r="U63" s="86"/>
      <x:c r="V63" s="86"/>
      <x:c r="W63" s="86"/>
      <x:c r="X63" s="86"/>
      <x:c r="Y63" s="86"/>
      <x:c r="Z63" s="86"/>
    </x:row>
    <x:row r="64">
      <x:c r="A64" s="106" t="str">
        <x:v>337b06da-cefa-49bc-b821-a5f0e77172f1</x:v>
      </x:c>
      <x:c r="B64" s="106" t="str">
        <x:v>600519</x:v>
      </x:c>
      <x:c r="C64" s="106" t="str">
        <x:v>bvps</x:v>
      </x:c>
      <x:c r="D64" s="106" t="str">
        <x:v>2026-06-30</x:v>
      </x:c>
      <x:c r="E64" s="106" t="n">
        <x:v>209.6634</x:v>
      </x:c>
      <x:c r="F64" s="106" t="str">
        <x:v>CNY/share</x:v>
      </x:c>
      <x:c r="G64" s="106" t="str">
        <x:v>AkShare / Sina financial indicators</x:v>
      </x:c>
      <x:c r="H64" s="106" t="str">
        <x:v>https://money.finance.sina.com.cn/corp/go.php/vFD_FinancialGuideLine/stockid/600519/ctrl/2026/displaytype/4.phtml</x:v>
      </x:c>
      <x:c r="I64" s="106"/>
      <x:c r="J64" s="106"/>
      <x:c r="K64" s="121" t="str">
        <x:v>2026-09-01 15:02:21.471439+00:00</x:v>
      </x:c>
      <x:c r="L64" s="121"/>
      <x:c r="M64" s="106" t="str">
        <x:v>akshare-financial-v1-sina</x:v>
      </x:c>
      <x:c r="N64" s="106" t="str">
        <x:v>afc84f3d7a43e3c9a3040800b50dbc862df17247a5a086ec2e4a5ef3712543e3</x:v>
      </x:c>
      <x:c r="O64" s="113"/>
      <x:c r="P64" s="106" t="str">
        <x:v>pending</x:v>
      </x:c>
      <x:c r="Q64" s="106" t="str">
        <x:v>否</x:v>
      </x:c>
      <x:c r="R64" s="106" t="str">
        <x:v>由本地 Agent 同步</x:v>
      </x:c>
      <x:c r="S64" s="86"/>
      <x:c r="T64" s="86"/>
      <x:c r="U64" s="86"/>
      <x:c r="V64" s="86"/>
      <x:c r="W64" s="86"/>
      <x:c r="X64" s="86"/>
      <x:c r="Y64" s="86"/>
      <x:c r="Z64" s="86"/>
    </x:row>
    <x:row r="65">
      <x:c r="A65" s="106" t="str">
        <x:v>337b06da-cefa-49bc-b821-a5f0e77172f1</x:v>
      </x:c>
      <x:c r="B65" s="106" t="str">
        <x:v>600519</x:v>
      </x:c>
      <x:c r="C65" s="106" t="str">
        <x:v>eps_ttm</x:v>
      </x:c>
      <x:c r="D65" s="106" t="str">
        <x:v>2026-06-30</x:v>
      </x:c>
      <x:c r="E65" s="106" t="n">
        <x:v>36.8243</x:v>
      </x:c>
      <x:c r="F65" s="106" t="str">
        <x:v>CNY/share</x:v>
      </x:c>
      <x:c r="G65" s="106" t="str">
        <x:v>AkShare / Sina financial indicators</x:v>
      </x:c>
      <x:c r="H65" s="106" t="str">
        <x:v>https://money.finance.sina.com.cn/corp/go.php/vFD_FinancialGuideLine/stockid/600519/ctrl/2026/displaytype/4.phtml</x:v>
      </x:c>
      <x:c r="I65" s="106"/>
      <x:c r="J65" s="106"/>
      <x:c r="K65" s="121" t="str">
        <x:v>2026-09-01 15:02:21.471439+00:00</x:v>
      </x:c>
      <x:c r="L65" s="121"/>
      <x:c r="M65" s="106" t="str">
        <x:v>akshare-financial-v1-sina</x:v>
      </x:c>
      <x:c r="N65" s="106" t="str">
        <x:v>afc84f3d7a43e3c9a3040800b50dbc862df17247a5a086ec2e4a5ef3712543e3</x:v>
      </x:c>
      <x:c r="O65" s="113"/>
      <x:c r="P65" s="106" t="str">
        <x:v>pending</x:v>
      </x:c>
      <x:c r="Q65" s="106" t="str">
        <x:v>否</x:v>
      </x:c>
      <x:c r="R65" s="106" t="str">
        <x:v>由本地 Agent 同步</x:v>
      </x:c>
      <x:c r="S65" s="86"/>
      <x:c r="T65" s="86"/>
      <x:c r="U65" s="86"/>
      <x:c r="V65" s="86"/>
      <x:c r="W65" s="86"/>
      <x:c r="X65" s="86"/>
      <x:c r="Y65" s="86"/>
      <x:c r="Z65" s="86"/>
    </x:row>
    <x:row r="66">
      <x:c r="A66" s="106" t="str">
        <x:v>4545803d-74b8-4b59-9698-ef00b509a22b</x:v>
      </x:c>
      <x:c r="B66" s="106" t="str">
        <x:v>600900</x:v>
      </x:c>
      <x:c r="C66" s="106" t="str">
        <x:v>operating_cash_flow_to_net_income</x:v>
      </x:c>
      <x:c r="D66" s="106" t="str">
        <x:v>2026-06-30</x:v>
      </x:c>
      <x:c r="E66" s="106" t="n">
        <x:v>1.605</x:v>
      </x:c>
      <x:c r="F66" s="106" t="str">
        <x:v>percent</x:v>
      </x:c>
      <x:c r="G66" s="106" t="str">
        <x:v>AkShare / Sina financial indicators</x:v>
      </x:c>
      <x:c r="H66" s="106" t="str">
        <x:v>https://money.finance.sina.com.cn/corp/go.php/vFD_FinancialGuideLine/stockid/600900/ctrl/2026/displaytype/4.phtml</x:v>
      </x:c>
      <x:c r="I66" s="106"/>
      <x:c r="J66" s="106"/>
      <x:c r="K66" s="121" t="str">
        <x:v>2026-09-01 15:02:21.471439+00:00</x:v>
      </x:c>
      <x:c r="L66" s="121"/>
      <x:c r="M66" s="106" t="str">
        <x:v>akshare-financial-v1-sina</x:v>
      </x:c>
      <x:c r="N66" s="106" t="str">
        <x:v>e1f0a2fe5fc489e25febd299b1d71738057de5ad5e2745c16f3ca8118b689a50</x:v>
      </x:c>
      <x:c r="O66" s="113"/>
      <x:c r="P66" s="106" t="str">
        <x:v>pending</x:v>
      </x:c>
      <x:c r="Q66" s="106" t="str">
        <x:v>否</x:v>
      </x:c>
      <x:c r="R66" s="106" t="str">
        <x:v>由本地 Agent 同步</x:v>
      </x:c>
      <x:c r="S66" s="86"/>
      <x:c r="T66" s="86"/>
      <x:c r="U66" s="86"/>
      <x:c r="V66" s="86"/>
      <x:c r="W66" s="86"/>
      <x:c r="X66" s="86"/>
      <x:c r="Y66" s="86"/>
      <x:c r="Z66" s="86"/>
    </x:row>
    <x:row r="67">
      <x:c r="A67" s="106" t="str">
        <x:v>4545803d-74b8-4b59-9698-ef00b509a22b</x:v>
      </x:c>
      <x:c r="B67" s="106" t="str">
        <x:v>600900</x:v>
      </x:c>
      <x:c r="C67" s="106" t="str">
        <x:v>debt_ratio</x:v>
      </x:c>
      <x:c r="D67" s="106" t="str">
        <x:v>2026-06-30</x:v>
      </x:c>
      <x:c r="E67" s="106" t="n">
        <x:v>59.3635</x:v>
      </x:c>
      <x:c r="F67" s="106" t="str">
        <x:v>percent</x:v>
      </x:c>
      <x:c r="G67" s="106" t="str">
        <x:v>AkShare / Sina financial indicators</x:v>
      </x:c>
      <x:c r="H67" s="106" t="str">
        <x:v>https://money.finance.sina.com.cn/corp/go.php/vFD_FinancialGuideLine/stockid/600900/ctrl/2026/displaytype/4.phtml</x:v>
      </x:c>
      <x:c r="I67" s="106"/>
      <x:c r="J67" s="106"/>
      <x:c r="K67" s="121" t="str">
        <x:v>2026-09-01 15:02:21.471439+00:00</x:v>
      </x:c>
      <x:c r="L67" s="121"/>
      <x:c r="M67" s="106" t="str">
        <x:v>akshare-financial-v1-sina</x:v>
      </x:c>
      <x:c r="N67" s="106" t="str">
        <x:v>e1f0a2fe5fc489e25febd299b1d71738057de5ad5e2745c16f3ca8118b689a50</x:v>
      </x:c>
      <x:c r="O67" s="113"/>
      <x:c r="P67" s="106" t="str">
        <x:v>pending</x:v>
      </x:c>
      <x:c r="Q67" s="106" t="str">
        <x:v>否</x:v>
      </x:c>
      <x:c r="R67" s="106" t="str">
        <x:v>由本地 Agent 同步</x:v>
      </x:c>
      <x:c r="S67" s="86"/>
      <x:c r="T67" s="86"/>
      <x:c r="U67" s="86"/>
      <x:c r="V67" s="86"/>
      <x:c r="W67" s="86"/>
      <x:c r="X67" s="86"/>
      <x:c r="Y67" s="86"/>
      <x:c r="Z67" s="86"/>
    </x:row>
    <x:row r="68">
      <x:c r="A68" s="106" t="str">
        <x:v>4545803d-74b8-4b59-9698-ef00b509a22b</x:v>
      </x:c>
      <x:c r="B68" s="106" t="str">
        <x:v>600900</x:v>
      </x:c>
      <x:c r="C68" s="106" t="str">
        <x:v>net_income_yoy</x:v>
      </x:c>
      <x:c r="D68" s="106" t="str">
        <x:v>2026-06-30</x:v>
      </x:c>
      <x:c r="E68" s="106" t="n">
        <x:v>13.1819</x:v>
      </x:c>
      <x:c r="F68" s="106" t="str">
        <x:v>percent</x:v>
      </x:c>
      <x:c r="G68" s="106" t="str">
        <x:v>AkShare / Sina financial indicators</x:v>
      </x:c>
      <x:c r="H68" s="106" t="str">
        <x:v>https://money.finance.sina.com.cn/corp/go.php/vFD_FinancialGuideLine/stockid/600900/ctrl/2026/displaytype/4.phtml</x:v>
      </x:c>
      <x:c r="I68" s="106"/>
      <x:c r="J68" s="106"/>
      <x:c r="K68" s="121" t="str">
        <x:v>2026-09-01 15:02:21.471439+00:00</x:v>
      </x:c>
      <x:c r="L68" s="121"/>
      <x:c r="M68" s="106" t="str">
        <x:v>akshare-financial-v1-sina</x:v>
      </x:c>
      <x:c r="N68" s="106" t="str">
        <x:v>e1f0a2fe5fc489e25febd299b1d71738057de5ad5e2745c16f3ca8118b689a50</x:v>
      </x:c>
      <x:c r="O68" s="113"/>
      <x:c r="P68" s="106" t="str">
        <x:v>pending</x:v>
      </x:c>
      <x:c r="Q68" s="106" t="str">
        <x:v>否</x:v>
      </x:c>
      <x:c r="R68" s="106" t="str">
        <x:v>由本地 Agent 同步</x:v>
      </x:c>
      <x:c r="S68" s="86"/>
      <x:c r="T68" s="86"/>
      <x:c r="U68" s="86"/>
      <x:c r="V68" s="86"/>
      <x:c r="W68" s="86"/>
      <x:c r="X68" s="86"/>
      <x:c r="Y68" s="86"/>
      <x:c r="Z68" s="86"/>
    </x:row>
    <x:row r="69">
      <x:c r="A69" s="106" t="str">
        <x:v>4545803d-74b8-4b59-9698-ef00b509a22b</x:v>
      </x:c>
      <x:c r="B69" s="106" t="str">
        <x:v>600900</x:v>
      </x:c>
      <x:c r="C69" s="106" t="str">
        <x:v>revenue_yoy</x:v>
      </x:c>
      <x:c r="D69" s="106" t="str">
        <x:v>2026-06-30</x:v>
      </x:c>
      <x:c r="E69" s="106" t="n">
        <x:v>3.3562</x:v>
      </x:c>
      <x:c r="F69" s="106" t="str">
        <x:v>percent</x:v>
      </x:c>
      <x:c r="G69" s="106" t="str">
        <x:v>AkShare / Sina financial indicators</x:v>
      </x:c>
      <x:c r="H69" s="106" t="str">
        <x:v>https://money.finance.sina.com.cn/corp/go.php/vFD_FinancialGuideLine/stockid/600900/ctrl/2026/displaytype/4.phtml</x:v>
      </x:c>
      <x:c r="I69" s="106"/>
      <x:c r="J69" s="106"/>
      <x:c r="K69" s="121" t="str">
        <x:v>2026-09-01 15:02:21.471439+00:00</x:v>
      </x:c>
      <x:c r="L69" s="121"/>
      <x:c r="M69" s="106" t="str">
        <x:v>akshare-financial-v1-sina</x:v>
      </x:c>
      <x:c r="N69" s="106" t="str">
        <x:v>e1f0a2fe5fc489e25febd299b1d71738057de5ad5e2745c16f3ca8118b689a50</x:v>
      </x:c>
      <x:c r="O69" s="113"/>
      <x:c r="P69" s="106" t="str">
        <x:v>pending</x:v>
      </x:c>
      <x:c r="Q69" s="106" t="str">
        <x:v>否</x:v>
      </x:c>
      <x:c r="R69" s="106" t="str">
        <x:v>由本地 Agent 同步</x:v>
      </x:c>
      <x:c r="S69" s="86"/>
      <x:c r="T69" s="86"/>
      <x:c r="U69" s="86"/>
      <x:c r="V69" s="86"/>
      <x:c r="W69" s="86"/>
      <x:c r="X69" s="86"/>
      <x:c r="Y69" s="86"/>
      <x:c r="Z69" s="86"/>
    </x:row>
    <x:row r="70">
      <x:c r="A70" s="106" t="str">
        <x:v>4545803d-74b8-4b59-9698-ef00b509a22b</x:v>
      </x:c>
      <x:c r="B70" s="106" t="str">
        <x:v>600900</x:v>
      </x:c>
      <x:c r="C70" s="106" t="str">
        <x:v>net_margin</x:v>
      </x:c>
      <x:c r="D70" s="106" t="str">
        <x:v>2026-06-30</x:v>
      </x:c>
      <x:c r="E70" s="106" t="n">
        <x:v>39.6357</x:v>
      </x:c>
      <x:c r="F70" s="106" t="str">
        <x:v>percent</x:v>
      </x:c>
      <x:c r="G70" s="106" t="str">
        <x:v>AkShare / Sina financial indicators</x:v>
      </x:c>
      <x:c r="H70" s="106" t="str">
        <x:v>https://money.finance.sina.com.cn/corp/go.php/vFD_FinancialGuideLine/stockid/600900/ctrl/2026/displaytype/4.phtml</x:v>
      </x:c>
      <x:c r="I70" s="106"/>
      <x:c r="J70" s="106"/>
      <x:c r="K70" s="121" t="str">
        <x:v>2026-09-01 15:02:21.471439+00:00</x:v>
      </x:c>
      <x:c r="L70" s="121"/>
      <x:c r="M70" s="106" t="str">
        <x:v>akshare-financial-v1-sina</x:v>
      </x:c>
      <x:c r="N70" s="106" t="str">
        <x:v>e1f0a2fe5fc489e25febd299b1d71738057de5ad5e2745c16f3ca8118b689a50</x:v>
      </x:c>
      <x:c r="O70" s="113"/>
      <x:c r="P70" s="106" t="str">
        <x:v>pending</x:v>
      </x:c>
      <x:c r="Q70" s="106" t="str">
        <x:v>否</x:v>
      </x:c>
      <x:c r="R70" s="106" t="str">
        <x:v>由本地 Agent 同步</x:v>
      </x:c>
      <x:c r="S70" s="86"/>
      <x:c r="T70" s="86"/>
      <x:c r="U70" s="86"/>
      <x:c r="V70" s="86"/>
      <x:c r="W70" s="86"/>
      <x:c r="X70" s="86"/>
      <x:c r="Y70" s="86"/>
      <x:c r="Z70" s="86"/>
    </x:row>
    <x:row r="71">
      <x:c r="A71" s="106" t="str">
        <x:v>4545803d-74b8-4b59-9698-ef00b509a22b</x:v>
      </x:c>
      <x:c r="B71" s="106" t="str">
        <x:v>600900</x:v>
      </x:c>
      <x:c r="C71" s="106" t="str">
        <x:v>roe</x:v>
      </x:c>
      <x:c r="D71" s="106" t="str">
        <x:v>2026-06-30</x:v>
      </x:c>
      <x:c r="E71" s="106" t="n">
        <x:v>6.83</x:v>
      </x:c>
      <x:c r="F71" s="106" t="str">
        <x:v>percent</x:v>
      </x:c>
      <x:c r="G71" s="106" t="str">
        <x:v>AkShare / Sina financial indicators</x:v>
      </x:c>
      <x:c r="H71" s="106" t="str">
        <x:v>https://money.finance.sina.com.cn/corp/go.php/vFD_FinancialGuideLine/stockid/600900/ctrl/2026/displaytype/4.phtml</x:v>
      </x:c>
      <x:c r="I71" s="106"/>
      <x:c r="J71" s="106"/>
      <x:c r="K71" s="121" t="str">
        <x:v>2026-09-01 15:02:21.471439+00:00</x:v>
      </x:c>
      <x:c r="L71" s="121"/>
      <x:c r="M71" s="106" t="str">
        <x:v>akshare-financial-v1-sina</x:v>
      </x:c>
      <x:c r="N71" s="106" t="str">
        <x:v>e1f0a2fe5fc489e25febd299b1d71738057de5ad5e2745c16f3ca8118b689a50</x:v>
      </x:c>
      <x:c r="O71" s="113"/>
      <x:c r="P71" s="106" t="str">
        <x:v>pending</x:v>
      </x:c>
      <x:c r="Q71" s="106" t="str">
        <x:v>否</x:v>
      </x:c>
      <x:c r="R71" s="106" t="str">
        <x:v>由本地 Agent 同步</x:v>
      </x:c>
      <x:c r="S71" s="86"/>
      <x:c r="T71" s="86"/>
      <x:c r="U71" s="86"/>
      <x:c r="V71" s="86"/>
      <x:c r="W71" s="86"/>
      <x:c r="X71" s="86"/>
      <x:c r="Y71" s="86"/>
      <x:c r="Z71" s="86"/>
    </x:row>
    <x:row r="72">
      <x:c r="A72" s="106" t="str">
        <x:v>4545803d-74b8-4b59-9698-ef00b509a22b</x:v>
      </x:c>
      <x:c r="B72" s="106" t="str">
        <x:v>600900</x:v>
      </x:c>
      <x:c r="C72" s="106" t="str">
        <x:v>bvps</x:v>
      </x:c>
      <x:c r="D72" s="106" t="str">
        <x:v>2026-06-30</x:v>
      </x:c>
      <x:c r="E72" s="106" t="n">
        <x:v>9.3229</x:v>
      </x:c>
      <x:c r="F72" s="106" t="str">
        <x:v>CNY/share</x:v>
      </x:c>
      <x:c r="G72" s="106" t="str">
        <x:v>AkShare / Sina financial indicators</x:v>
      </x:c>
      <x:c r="H72" s="106" t="str">
        <x:v>https://money.finance.sina.com.cn/corp/go.php/vFD_FinancialGuideLine/stockid/600900/ctrl/2026/displaytype/4.phtml</x:v>
      </x:c>
      <x:c r="I72" s="106"/>
      <x:c r="J72" s="106"/>
      <x:c r="K72" s="121" t="str">
        <x:v>2026-09-01 15:02:21.471439+00:00</x:v>
      </x:c>
      <x:c r="L72" s="121"/>
      <x:c r="M72" s="106" t="str">
        <x:v>akshare-financial-v1-sina</x:v>
      </x:c>
      <x:c r="N72" s="106" t="str">
        <x:v>e1f0a2fe5fc489e25febd299b1d71738057de5ad5e2745c16f3ca8118b689a50</x:v>
      </x:c>
      <x:c r="O72" s="113"/>
      <x:c r="P72" s="106" t="str">
        <x:v>pending</x:v>
      </x:c>
      <x:c r="Q72" s="106" t="str">
        <x:v>否</x:v>
      </x:c>
      <x:c r="R72" s="106" t="str">
        <x:v>由本地 Agent 同步</x:v>
      </x:c>
      <x:c r="S72" s="86"/>
      <x:c r="T72" s="86"/>
      <x:c r="U72" s="86"/>
      <x:c r="V72" s="86"/>
      <x:c r="W72" s="86"/>
      <x:c r="X72" s="86"/>
      <x:c r="Y72" s="86"/>
      <x:c r="Z72" s="86"/>
    </x:row>
    <x:row r="73">
      <x:c r="A73" s="106" t="str">
        <x:v>4545803d-74b8-4b59-9698-ef00b509a22b</x:v>
      </x:c>
      <x:c r="B73" s="106" t="str">
        <x:v>600900</x:v>
      </x:c>
      <x:c r="C73" s="106" t="str">
        <x:v>eps_ttm</x:v>
      </x:c>
      <x:c r="D73" s="106" t="str">
        <x:v>2026-06-30</x:v>
      </x:c>
      <x:c r="E73" s="106" t="n">
        <x:v>0.6144</x:v>
      </x:c>
      <x:c r="F73" s="106" t="str">
        <x:v>CNY/share</x:v>
      </x:c>
      <x:c r="G73" s="106" t="str">
        <x:v>AkShare / Sina financial indicators</x:v>
      </x:c>
      <x:c r="H73" s="106" t="str">
        <x:v>https://money.finance.sina.com.cn/corp/go.php/vFD_FinancialGuideLine/stockid/600900/ctrl/2026/displaytype/4.phtml</x:v>
      </x:c>
      <x:c r="I73" s="106"/>
      <x:c r="J73" s="106"/>
      <x:c r="K73" s="121" t="str">
        <x:v>2026-09-01 15:02:21.471439+00:00</x:v>
      </x:c>
      <x:c r="L73" s="121"/>
      <x:c r="M73" s="106" t="str">
        <x:v>akshare-financial-v1-sina</x:v>
      </x:c>
      <x:c r="N73" s="106" t="str">
        <x:v>e1f0a2fe5fc489e25febd299b1d71738057de5ad5e2745c16f3ca8118b689a50</x:v>
      </x:c>
      <x:c r="O73" s="113"/>
      <x:c r="P73" s="106" t="str">
        <x:v>pending</x:v>
      </x:c>
      <x:c r="Q73" s="106" t="str">
        <x:v>否</x:v>
      </x:c>
      <x:c r="R73" s="106" t="str">
        <x:v>由本地 Agent 同步</x:v>
      </x:c>
      <x:c r="S73" s="86"/>
      <x:c r="T73" s="86"/>
      <x:c r="U73" s="86"/>
      <x:c r="V73" s="86"/>
      <x:c r="W73" s="86"/>
      <x:c r="X73" s="86"/>
      <x:c r="Y73" s="86"/>
      <x:c r="Z73" s="86"/>
    </x:row>
    <x:row r="74">
      <x:c r="A74" s="106" t="str">
        <x:v>fe54cd65-1e6f-46f2-97bc-8984d2dc9c0c</x:v>
      </x:c>
      <x:c r="B74" s="106" t="str">
        <x:v>600941</x:v>
      </x:c>
      <x:c r="C74" s="106" t="str">
        <x:v>operating_cash_flow_to_net_income</x:v>
      </x:c>
      <x:c r="D74" s="106" t="str">
        <x:v>2026-06-30</x:v>
      </x:c>
      <x:c r="E74" s="106" t="n">
        <x:v>1.4537</x:v>
      </x:c>
      <x:c r="F74" s="106" t="str">
        <x:v>percent</x:v>
      </x:c>
      <x:c r="G74" s="106" t="str">
        <x:v>AkShare / Sina financial indicators</x:v>
      </x:c>
      <x:c r="H74" s="106" t="str">
        <x:v>https://money.finance.sina.com.cn/corp/go.php/vFD_FinancialGuideLine/stockid/600941/ctrl/2026/displaytype/4.phtml</x:v>
      </x:c>
      <x:c r="I74" s="106"/>
      <x:c r="J74" s="106"/>
      <x:c r="K74" s="121" t="str">
        <x:v>2026-09-01 15:02:21.471439+00:00</x:v>
      </x:c>
      <x:c r="L74" s="121"/>
      <x:c r="M74" s="106" t="str">
        <x:v>akshare-financial-v1-sina</x:v>
      </x:c>
      <x:c r="N74" s="106" t="str">
        <x:v>6ac05ad26080001a2bf57376a6c031f9c8d88184b5d3ab0f5944b5eb44b58d04</x:v>
      </x:c>
      <x:c r="O74" s="113"/>
      <x:c r="P74" s="106" t="str">
        <x:v>pending</x:v>
      </x:c>
      <x:c r="Q74" s="106" t="str">
        <x:v>否</x:v>
      </x:c>
      <x:c r="R74" s="106" t="str">
        <x:v>由本地 Agent 同步</x:v>
      </x:c>
      <x:c r="S74" s="86"/>
      <x:c r="T74" s="86"/>
      <x:c r="U74" s="86"/>
      <x:c r="V74" s="86"/>
      <x:c r="W74" s="86"/>
      <x:c r="X74" s="86"/>
      <x:c r="Y74" s="86"/>
      <x:c r="Z74" s="86"/>
    </x:row>
    <x:row r="75">
      <x:c r="A75" s="106" t="str">
        <x:v>fe54cd65-1e6f-46f2-97bc-8984d2dc9c0c</x:v>
      </x:c>
      <x:c r="B75" s="106" t="str">
        <x:v>600941</x:v>
      </x:c>
      <x:c r="C75" s="106" t="str">
        <x:v>debt_ratio</x:v>
      </x:c>
      <x:c r="D75" s="106" t="str">
        <x:v>2026-06-30</x:v>
      </x:c>
      <x:c r="E75" s="106" t="n">
        <x:v>32.7858</x:v>
      </x:c>
      <x:c r="F75" s="106" t="str">
        <x:v>percent</x:v>
      </x:c>
      <x:c r="G75" s="106" t="str">
        <x:v>AkShare / Sina financial indicators</x:v>
      </x:c>
      <x:c r="H75" s="106" t="str">
        <x:v>https://money.finance.sina.com.cn/corp/go.php/vFD_FinancialGuideLine/stockid/600941/ctrl/2026/displaytype/4.phtml</x:v>
      </x:c>
      <x:c r="I75" s="106"/>
      <x:c r="J75" s="106"/>
      <x:c r="K75" s="121" t="str">
        <x:v>2026-09-01 15:02:21.471439+00:00</x:v>
      </x:c>
      <x:c r="L75" s="121"/>
      <x:c r="M75" s="106" t="str">
        <x:v>akshare-financial-v1-sina</x:v>
      </x:c>
      <x:c r="N75" s="106" t="str">
        <x:v>6ac05ad26080001a2bf57376a6c031f9c8d88184b5d3ab0f5944b5eb44b58d04</x:v>
      </x:c>
      <x:c r="O75" s="113"/>
      <x:c r="P75" s="106" t="str">
        <x:v>pending</x:v>
      </x:c>
      <x:c r="Q75" s="106" t="str">
        <x:v>否</x:v>
      </x:c>
      <x:c r="R75" s="106" t="str">
        <x:v>由本地 Agent 同步</x:v>
      </x:c>
      <x:c r="S75" s="86"/>
      <x:c r="T75" s="86"/>
      <x:c r="U75" s="86"/>
      <x:c r="V75" s="86"/>
      <x:c r="W75" s="86"/>
      <x:c r="X75" s="86"/>
      <x:c r="Y75" s="86"/>
      <x:c r="Z75" s="86"/>
    </x:row>
    <x:row r="76">
      <x:c r="A76" s="106" t="str">
        <x:v>fe54cd65-1e6f-46f2-97bc-8984d2dc9c0c</x:v>
      </x:c>
      <x:c r="B76" s="106" t="str">
        <x:v>600941</x:v>
      </x:c>
      <x:c r="C76" s="106" t="str">
        <x:v>net_income_yoy</x:v>
      </x:c>
      <x:c r="D76" s="106" t="str">
        <x:v>2026-06-30</x:v>
      </x:c>
      <x:c r="E76" s="106" t="n">
        <x:v>-6.2452</x:v>
      </x:c>
      <x:c r="F76" s="106" t="str">
        <x:v>percent</x:v>
      </x:c>
      <x:c r="G76" s="106" t="str">
        <x:v>AkShare / Sina financial indicators</x:v>
      </x:c>
      <x:c r="H76" s="106" t="str">
        <x:v>https://money.finance.sina.com.cn/corp/go.php/vFD_FinancialGuideLine/stockid/600941/ctrl/2026/displaytype/4.phtml</x:v>
      </x:c>
      <x:c r="I76" s="106"/>
      <x:c r="J76" s="106"/>
      <x:c r="K76" s="121" t="str">
        <x:v>2026-09-01 15:02:21.471439+00:00</x:v>
      </x:c>
      <x:c r="L76" s="121"/>
      <x:c r="M76" s="106" t="str">
        <x:v>akshare-financial-v1-sina</x:v>
      </x:c>
      <x:c r="N76" s="106" t="str">
        <x:v>6ac05ad26080001a2bf57376a6c031f9c8d88184b5d3ab0f5944b5eb44b58d04</x:v>
      </x:c>
      <x:c r="O76" s="113"/>
      <x:c r="P76" s="106" t="str">
        <x:v>pending</x:v>
      </x:c>
      <x:c r="Q76" s="106" t="str">
        <x:v>否</x:v>
      </x:c>
      <x:c r="R76" s="106" t="str">
        <x:v>由本地 Agent 同步</x:v>
      </x:c>
      <x:c r="S76" s="86"/>
      <x:c r="T76" s="86"/>
      <x:c r="U76" s="86"/>
      <x:c r="V76" s="86"/>
      <x:c r="W76" s="86"/>
      <x:c r="X76" s="86"/>
      <x:c r="Y76" s="86"/>
      <x:c r="Z76" s="86"/>
    </x:row>
    <x:row r="77">
      <x:c r="A77" s="106" t="str">
        <x:v>fe54cd65-1e6f-46f2-97bc-8984d2dc9c0c</x:v>
      </x:c>
      <x:c r="B77" s="106" t="str">
        <x:v>600941</x:v>
      </x:c>
      <x:c r="C77" s="106" t="str">
        <x:v>revenue_yoy</x:v>
      </x:c>
      <x:c r="D77" s="106" t="str">
        <x:v>2026-06-30</x:v>
      </x:c>
      <x:c r="E77" s="106" t="n">
        <x:v>-1.0545</x:v>
      </x:c>
      <x:c r="F77" s="106" t="str">
        <x:v>percent</x:v>
      </x:c>
      <x:c r="G77" s="106" t="str">
        <x:v>AkShare / Sina financial indicators</x:v>
      </x:c>
      <x:c r="H77" s="106" t="str">
        <x:v>https://money.finance.sina.com.cn/corp/go.php/vFD_FinancialGuideLine/stockid/600941/ctrl/2026/displaytype/4.phtml</x:v>
      </x:c>
      <x:c r="I77" s="106"/>
      <x:c r="J77" s="106"/>
      <x:c r="K77" s="121" t="str">
        <x:v>2026-09-01 15:02:21.471439+00:00</x:v>
      </x:c>
      <x:c r="L77" s="121"/>
      <x:c r="M77" s="106" t="str">
        <x:v>akshare-financial-v1-sina</x:v>
      </x:c>
      <x:c r="N77" s="106" t="str">
        <x:v>6ac05ad26080001a2bf57376a6c031f9c8d88184b5d3ab0f5944b5eb44b58d04</x:v>
      </x:c>
      <x:c r="O77" s="113"/>
      <x:c r="P77" s="106" t="str">
        <x:v>pending</x:v>
      </x:c>
      <x:c r="Q77" s="106" t="str">
        <x:v>否</x:v>
      </x:c>
      <x:c r="R77" s="106" t="str">
        <x:v>由本地 Agent 同步</x:v>
      </x:c>
      <x:c r="S77" s="86"/>
      <x:c r="T77" s="86"/>
      <x:c r="U77" s="86"/>
      <x:c r="V77" s="86"/>
      <x:c r="W77" s="86"/>
      <x:c r="X77" s="86"/>
      <x:c r="Y77" s="86"/>
      <x:c r="Z77" s="86"/>
    </x:row>
    <x:row r="78">
      <x:c r="A78" s="106" t="str">
        <x:v>fe54cd65-1e6f-46f2-97bc-8984d2dc9c0c</x:v>
      </x:c>
      <x:c r="B78" s="106" t="str">
        <x:v>600941</x:v>
      </x:c>
      <x:c r="C78" s="106" t="str">
        <x:v>net_margin</x:v>
      </x:c>
      <x:c r="D78" s="106" t="str">
        <x:v>2026-06-30</x:v>
      </x:c>
      <x:c r="E78" s="106" t="n">
        <x:v>14.6849</x:v>
      </x:c>
      <x:c r="F78" s="106" t="str">
        <x:v>percent</x:v>
      </x:c>
      <x:c r="G78" s="106" t="str">
        <x:v>AkShare / Sina financial indicators</x:v>
      </x:c>
      <x:c r="H78" s="106" t="str">
        <x:v>https://money.finance.sina.com.cn/corp/go.php/vFD_FinancialGuideLine/stockid/600941/ctrl/2026/displaytype/4.phtml</x:v>
      </x:c>
      <x:c r="I78" s="106"/>
      <x:c r="J78" s="106"/>
      <x:c r="K78" s="121" t="str">
        <x:v>2026-09-01 15:02:21.471439+00:00</x:v>
      </x:c>
      <x:c r="L78" s="121"/>
      <x:c r="M78" s="106" t="str">
        <x:v>akshare-financial-v1-sina</x:v>
      </x:c>
      <x:c r="N78" s="106" t="str">
        <x:v>6ac05ad26080001a2bf57376a6c031f9c8d88184b5d3ab0f5944b5eb44b58d04</x:v>
      </x:c>
      <x:c r="O78" s="113"/>
      <x:c r="P78" s="106" t="str">
        <x:v>pending</x:v>
      </x:c>
      <x:c r="Q78" s="106" t="str">
        <x:v>否</x:v>
      </x:c>
      <x:c r="R78" s="106" t="str">
        <x:v>由本地 Agent 同步</x:v>
      </x:c>
      <x:c r="S78" s="86"/>
      <x:c r="T78" s="86"/>
      <x:c r="U78" s="86"/>
      <x:c r="V78" s="86"/>
      <x:c r="W78" s="86"/>
      <x:c r="X78" s="86"/>
      <x:c r="Y78" s="86"/>
      <x:c r="Z78" s="86"/>
    </x:row>
    <x:row r="79">
      <x:c r="A79" s="106" t="str">
        <x:v>fe54cd65-1e6f-46f2-97bc-8984d2dc9c0c</x:v>
      </x:c>
      <x:c r="B79" s="106" t="str">
        <x:v>600941</x:v>
      </x:c>
      <x:c r="C79" s="106" t="str">
        <x:v>roe</x:v>
      </x:c>
      <x:c r="D79" s="106" t="str">
        <x:v>2026-06-30</x:v>
      </x:c>
      <x:c r="E79" s="106" t="n">
        <x:v>5.55</x:v>
      </x:c>
      <x:c r="F79" s="106" t="str">
        <x:v>percent</x:v>
      </x:c>
      <x:c r="G79" s="106" t="str">
        <x:v>AkShare / Sina financial indicators</x:v>
      </x:c>
      <x:c r="H79" s="106" t="str">
        <x:v>https://money.finance.sina.com.cn/corp/go.php/vFD_FinancialGuideLine/stockid/600941/ctrl/2026/displaytype/4.phtml</x:v>
      </x:c>
      <x:c r="I79" s="106"/>
      <x:c r="J79" s="106"/>
      <x:c r="K79" s="121" t="str">
        <x:v>2026-09-01 15:02:21.471439+00:00</x:v>
      </x:c>
      <x:c r="L79" s="121"/>
      <x:c r="M79" s="106" t="str">
        <x:v>akshare-financial-v1-sina</x:v>
      </x:c>
      <x:c r="N79" s="106" t="str">
        <x:v>6ac05ad26080001a2bf57376a6c031f9c8d88184b5d3ab0f5944b5eb44b58d04</x:v>
      </x:c>
      <x:c r="O79" s="113"/>
      <x:c r="P79" s="106" t="str">
        <x:v>pending</x:v>
      </x:c>
      <x:c r="Q79" s="106" t="str">
        <x:v>否</x:v>
      </x:c>
      <x:c r="R79" s="106" t="str">
        <x:v>由本地 Agent 同步</x:v>
      </x:c>
      <x:c r="S79" s="86"/>
      <x:c r="T79" s="86"/>
      <x:c r="U79" s="86"/>
      <x:c r="V79" s="86"/>
      <x:c r="W79" s="86"/>
      <x:c r="X79" s="86"/>
      <x:c r="Y79" s="86"/>
      <x:c r="Z79" s="86"/>
    </x:row>
    <x:row r="80">
      <x:c r="A80" s="106" t="str">
        <x:v>fe54cd65-1e6f-46f2-97bc-8984d2dc9c0c</x:v>
      </x:c>
      <x:c r="B80" s="106" t="str">
        <x:v>600941</x:v>
      </x:c>
      <x:c r="C80" s="106" t="str">
        <x:v>bvps</x:v>
      </x:c>
      <x:c r="D80" s="106" t="str">
        <x:v>2026-06-30</x:v>
      </x:c>
      <x:c r="E80" s="106" t="n">
        <x:v>65.7615</x:v>
      </x:c>
      <x:c r="F80" s="106" t="str">
        <x:v>CNY/share</x:v>
      </x:c>
      <x:c r="G80" s="106" t="str">
        <x:v>AkShare / Sina financial indicators</x:v>
      </x:c>
      <x:c r="H80" s="106" t="str">
        <x:v>https://money.finance.sina.com.cn/corp/go.php/vFD_FinancialGuideLine/stockid/600941/ctrl/2026/displaytype/4.phtml</x:v>
      </x:c>
      <x:c r="I80" s="106"/>
      <x:c r="J80" s="106"/>
      <x:c r="K80" s="121" t="str">
        <x:v>2026-09-01 15:02:21.471439+00:00</x:v>
      </x:c>
      <x:c r="L80" s="121"/>
      <x:c r="M80" s="106" t="str">
        <x:v>akshare-financial-v1-sina</x:v>
      </x:c>
      <x:c r="N80" s="106" t="str">
        <x:v>6ac05ad26080001a2bf57376a6c031f9c8d88184b5d3ab0f5944b5eb44b58d04</x:v>
      </x:c>
      <x:c r="O80" s="113"/>
      <x:c r="P80" s="106" t="str">
        <x:v>pending</x:v>
      </x:c>
      <x:c r="Q80" s="106" t="str">
        <x:v>否</x:v>
      </x:c>
      <x:c r="R80" s="106" t="str">
        <x:v>由本地 Agent 同步</x:v>
      </x:c>
      <x:c r="S80" s="86"/>
      <x:c r="T80" s="86"/>
      <x:c r="U80" s="86"/>
      <x:c r="V80" s="86"/>
      <x:c r="W80" s="86"/>
      <x:c r="X80" s="86"/>
      <x:c r="Y80" s="86"/>
      <x:c r="Z80" s="86"/>
    </x:row>
    <x:row r="81">
      <x:c r="A81" s="106" t="str">
        <x:v>fe54cd65-1e6f-46f2-97bc-8984d2dc9c0c</x:v>
      </x:c>
      <x:c r="B81" s="106" t="str">
        <x:v>600941</x:v>
      </x:c>
      <x:c r="C81" s="106" t="str">
        <x:v>eps_ttm</x:v>
      </x:c>
      <x:c r="D81" s="106" t="str">
        <x:v>2026-06-30</x:v>
      </x:c>
      <x:c r="E81" s="106" t="n">
        <x:v>3.6438</x:v>
      </x:c>
      <x:c r="F81" s="106" t="str">
        <x:v>CNY/share</x:v>
      </x:c>
      <x:c r="G81" s="106" t="str">
        <x:v>AkShare / Sina financial indicators</x:v>
      </x:c>
      <x:c r="H81" s="106" t="str">
        <x:v>https://money.finance.sina.com.cn/corp/go.php/vFD_FinancialGuideLine/stockid/600941/ctrl/2026/displaytype/4.phtml</x:v>
      </x:c>
      <x:c r="I81" s="106"/>
      <x:c r="J81" s="106"/>
      <x:c r="K81" s="121" t="str">
        <x:v>2026-09-01 15:02:21.471439+00:00</x:v>
      </x:c>
      <x:c r="L81" s="121"/>
      <x:c r="M81" s="106" t="str">
        <x:v>akshare-financial-v1-sina</x:v>
      </x:c>
      <x:c r="N81" s="106" t="str">
        <x:v>6ac05ad26080001a2bf57376a6c031f9c8d88184b5d3ab0f5944b5eb44b58d04</x:v>
      </x:c>
      <x:c r="O81" s="113"/>
      <x:c r="P81" s="106" t="str">
        <x:v>pending</x:v>
      </x:c>
      <x:c r="Q81" s="106" t="str">
        <x:v>否</x:v>
      </x:c>
      <x:c r="R81" s="106" t="str">
        <x:v>由本地 Agent 同步</x:v>
      </x:c>
      <x:c r="S81" s="86"/>
      <x:c r="T81" s="86"/>
      <x:c r="U81" s="86"/>
      <x:c r="V81" s="86"/>
      <x:c r="W81" s="86"/>
      <x:c r="X81" s="86"/>
      <x:c r="Y81" s="86"/>
      <x:c r="Z81" s="86"/>
    </x:row>
    <x:row r="82">
      <x:c r="A82" s="106" t="str">
        <x:v>6944a8c4-7e20-4e13-bfe5-7f9f273e0d07</x:v>
      </x:c>
      <x:c r="B82" s="106" t="str">
        <x:v>600887</x:v>
      </x:c>
      <x:c r="C82" s="106" t="str">
        <x:v>current_price</x:v>
      </x:c>
      <x:c r="D82" s="106" t="str">
        <x:v>2026-09-01 15:02</x:v>
      </x:c>
      <x:c r="E82" s="106" t="n">
        <x:v>26.5</x:v>
      </x:c>
      <x:c r="F82" s="106" t="str">
        <x:v>CNY/share</x:v>
      </x:c>
      <x:c r="G82" s="106" t="str">
        <x:v>AkShare / Sina public historical quotes</x:v>
      </x:c>
      <x:c r="H82" s="106" t="str">
        <x:v>https://akshare.akfamily.xyz/data/stock/stock.html</x:v>
      </x:c>
      <x:c r="I82" s="106"/>
      <x:c r="J82" s="106"/>
      <x:c r="K82" s="121" t="str">
        <x:v>2026-09-01 15:02:16.686427+00:00</x:v>
      </x:c>
      <x:c r="L82" s="121"/>
      <x:c r="M82" s="106" t="str">
        <x:v>akshare-price-v3-sina-history</x:v>
      </x:c>
      <x:c r="N82" s="106" t="str">
        <x:v>7ac64bb6772240aeabfb0fbe3832846fbe676fef55c5b1955be8332684fad75e</x:v>
      </x:c>
      <x:c r="O82" s="113"/>
      <x:c r="P82" s="106" t="str">
        <x:v>pending</x:v>
      </x:c>
      <x:c r="Q82" s="106" t="str">
        <x:v>否</x:v>
      </x:c>
      <x:c r="R82" s="106" t="str">
        <x:v>由本地 Agent 同步</x:v>
      </x:c>
      <x:c r="S82" s="86"/>
      <x:c r="T82" s="86"/>
      <x:c r="U82" s="86"/>
      <x:c r="V82" s="86"/>
      <x:c r="W82" s="86"/>
      <x:c r="X82" s="86"/>
      <x:c r="Y82" s="86"/>
      <x:c r="Z82" s="86"/>
    </x:row>
    <x:row r="83">
      <x:c r="A83" s="106" t="str">
        <x:v>df08cf55-3d75-48f6-8b80-45d0a07787b3</x:v>
      </x:c>
      <x:c r="B83" s="106" t="str">
        <x:v>300750</x:v>
      </x:c>
      <x:c r="C83" s="106" t="str">
        <x:v>current_price</x:v>
      </x:c>
      <x:c r="D83" s="106" t="str">
        <x:v>2026-09-01 15:02</x:v>
      </x:c>
      <x:c r="E83" s="106" t="n">
        <x:v>358.1</x:v>
      </x:c>
      <x:c r="F83" s="106" t="str">
        <x:v>CNY/share</x:v>
      </x:c>
      <x:c r="G83" s="106" t="str">
        <x:v>AkShare / Sina public historical quotes</x:v>
      </x:c>
      <x:c r="H83" s="106" t="str">
        <x:v>https://akshare.akfamily.xyz/data/stock/stock.html</x:v>
      </x:c>
      <x:c r="I83" s="106"/>
      <x:c r="J83" s="106"/>
      <x:c r="K83" s="121" t="str">
        <x:v>2026-09-01 15:02:16.686427+00:00</x:v>
      </x:c>
      <x:c r="L83" s="121"/>
      <x:c r="M83" s="106" t="str">
        <x:v>akshare-price-v3-sina-history</x:v>
      </x:c>
      <x:c r="N83" s="106" t="str">
        <x:v>c219e9ce813c03bc2d5657b1ca221991bdfb9f4a41155fde3be11930ccb1660b</x:v>
      </x:c>
      <x:c r="O83" s="113"/>
      <x:c r="P83" s="106" t="str">
        <x:v>pending</x:v>
      </x:c>
      <x:c r="Q83" s="106" t="str">
        <x:v>否</x:v>
      </x:c>
      <x:c r="R83" s="106" t="str">
        <x:v>由本地 Agent 同步</x:v>
      </x:c>
      <x:c r="S83" s="86"/>
      <x:c r="T83" s="86"/>
      <x:c r="U83" s="86"/>
      <x:c r="V83" s="86"/>
      <x:c r="W83" s="86"/>
      <x:c r="X83" s="86"/>
      <x:c r="Y83" s="86"/>
      <x:c r="Z83" s="86"/>
    </x:row>
    <x:row r="84">
      <x:c r="A84" s="106" t="str">
        <x:v>39ea0620-de2b-46e5-8657-a92bc547df77</x:v>
      </x:c>
      <x:c r="B84" s="106" t="str">
        <x:v>600690</x:v>
      </x:c>
      <x:c r="C84" s="106" t="str">
        <x:v>current_price</x:v>
      </x:c>
      <x:c r="D84" s="106" t="str">
        <x:v>2026-09-01 15:02</x:v>
      </x:c>
      <x:c r="E84" s="106" t="n">
        <x:v>21.42</x:v>
      </x:c>
      <x:c r="F84" s="106" t="str">
        <x:v>CNY/share</x:v>
      </x:c>
      <x:c r="G84" s="106" t="str">
        <x:v>AkShare / Sina public historical quotes</x:v>
      </x:c>
      <x:c r="H84" s="106" t="str">
        <x:v>https://akshare.akfamily.xyz/data/stock/stock.html</x:v>
      </x:c>
      <x:c r="I84" s="106"/>
      <x:c r="J84" s="106"/>
      <x:c r="K84" s="121" t="str">
        <x:v>2026-09-01 15:02:16.686427+00:00</x:v>
      </x:c>
      <x:c r="L84" s="121"/>
      <x:c r="M84" s="106" t="str">
        <x:v>akshare-price-v3-sina-history</x:v>
      </x:c>
      <x:c r="N84" s="106" t="str">
        <x:v>6ac17d3ae284a628996b4a22756afd8c76c7509b809313f0ae68a9618d865c09</x:v>
      </x:c>
      <x:c r="O84" s="113"/>
      <x:c r="P84" s="106" t="str">
        <x:v>pending</x:v>
      </x:c>
      <x:c r="Q84" s="106" t="str">
        <x:v>否</x:v>
      </x:c>
      <x:c r="R84" s="106" t="str">
        <x:v>由本地 Agent 同步</x:v>
      </x:c>
      <x:c r="S84" s="86"/>
      <x:c r="T84" s="86"/>
      <x:c r="U84" s="86"/>
      <x:c r="V84" s="86"/>
      <x:c r="W84" s="86"/>
      <x:c r="X84" s="86"/>
      <x:c r="Y84" s="86"/>
      <x:c r="Z84" s="86"/>
    </x:row>
    <x:row r="85">
      <x:c r="A85" s="106" t="str">
        <x:v>59bad70d-3a23-4591-8805-d2bc5b6106c3</x:v>
      </x:c>
      <x:c r="B85" s="106" t="str">
        <x:v>601088</x:v>
      </x:c>
      <x:c r="C85" s="106" t="str">
        <x:v>current_price</x:v>
      </x:c>
      <x:c r="D85" s="106" t="str">
        <x:v>2026-09-01 15:02</x:v>
      </x:c>
      <x:c r="E85" s="106" t="n">
        <x:v>48.3</x:v>
      </x:c>
      <x:c r="F85" s="106" t="str">
        <x:v>CNY/share</x:v>
      </x:c>
      <x:c r="G85" s="106" t="str">
        <x:v>AkShare / Sina public historical quotes</x:v>
      </x:c>
      <x:c r="H85" s="106" t="str">
        <x:v>https://akshare.akfamily.xyz/data/stock/stock.html</x:v>
      </x:c>
      <x:c r="I85" s="106"/>
      <x:c r="J85" s="106"/>
      <x:c r="K85" s="121" t="str">
        <x:v>2026-09-01 15:02:16.686427+00:00</x:v>
      </x:c>
      <x:c r="L85" s="121"/>
      <x:c r="M85" s="106" t="str">
        <x:v>akshare-price-v3-sina-history</x:v>
      </x:c>
      <x:c r="N85" s="106" t="str">
        <x:v>786803a38a8094da69b08ab60affce538140d0fe55d3d0c1901d9b2ba721054f</x:v>
      </x:c>
      <x:c r="O85" s="113"/>
      <x:c r="P85" s="106" t="str">
        <x:v>pending</x:v>
      </x:c>
      <x:c r="Q85" s="106" t="str">
        <x:v>否</x:v>
      </x:c>
      <x:c r="R85" s="106" t="str">
        <x:v>由本地 Agent 同步</x:v>
      </x:c>
      <x:c r="S85" s="86"/>
      <x:c r="T85" s="86"/>
      <x:c r="U85" s="86"/>
      <x:c r="V85" s="86"/>
      <x:c r="W85" s="86"/>
      <x:c r="X85" s="86"/>
      <x:c r="Y85" s="86"/>
      <x:c r="Z85" s="86"/>
    </x:row>
    <x:row r="86">
      <x:c r="A86" s="106" t="str">
        <x:v>c022774c-9705-431c-b13e-059527782a69</x:v>
      </x:c>
      <x:c r="B86" s="106" t="str">
        <x:v>601288</x:v>
      </x:c>
      <x:c r="C86" s="106" t="str">
        <x:v>current_price</x:v>
      </x:c>
      <x:c r="D86" s="106" t="str">
        <x:v>2026-09-01 15:02</x:v>
      </x:c>
      <x:c r="E86" s="106" t="n">
        <x:v>7.05</x:v>
      </x:c>
      <x:c r="F86" s="106" t="str">
        <x:v>CNY/share</x:v>
      </x:c>
      <x:c r="G86" s="106" t="str">
        <x:v>AkShare / Sina public historical quotes</x:v>
      </x:c>
      <x:c r="H86" s="106" t="str">
        <x:v>https://akshare.akfamily.xyz/data/stock/stock.html</x:v>
      </x:c>
      <x:c r="I86" s="106"/>
      <x:c r="J86" s="106"/>
      <x:c r="K86" s="121" t="str">
        <x:v>2026-09-01 15:02:16.686427+00:00</x:v>
      </x:c>
      <x:c r="L86" s="121"/>
      <x:c r="M86" s="106" t="str">
        <x:v>akshare-price-v3-sina-history</x:v>
      </x:c>
      <x:c r="N86" s="106" t="str">
        <x:v>0d1533d6d369a2097b66e8a5137030a6199b85a03b244714d562088824fea03a</x:v>
      </x:c>
      <x:c r="O86" s="113"/>
      <x:c r="P86" s="106" t="str">
        <x:v>pending</x:v>
      </x:c>
      <x:c r="Q86" s="106" t="str">
        <x:v>否</x:v>
      </x:c>
      <x:c r="R86" s="106" t="str">
        <x:v>由本地 Agent 同步</x:v>
      </x:c>
      <x:c r="S86" s="86"/>
      <x:c r="T86" s="86"/>
      <x:c r="U86" s="86"/>
      <x:c r="V86" s="86"/>
      <x:c r="W86" s="86"/>
      <x:c r="X86" s="86"/>
      <x:c r="Y86" s="86"/>
      <x:c r="Z86" s="86"/>
    </x:row>
    <x:row r="87">
      <x:c r="A87" s="106" t="str">
        <x:v>1a535135-1d55-444c-bf07-61d09a84bc60</x:v>
      </x:c>
      <x:c r="B87" s="106" t="str">
        <x:v>600036</x:v>
      </x:c>
      <x:c r="C87" s="106" t="str">
        <x:v>current_price</x:v>
      </x:c>
      <x:c r="D87" s="106" t="str">
        <x:v>2026-09-01 15:02</x:v>
      </x:c>
      <x:c r="E87" s="106" t="n">
        <x:v>40.86</x:v>
      </x:c>
      <x:c r="F87" s="106" t="str">
        <x:v>CNY/share</x:v>
      </x:c>
      <x:c r="G87" s="106" t="str">
        <x:v>AkShare / Sina public historical quotes</x:v>
      </x:c>
      <x:c r="H87" s="106" t="str">
        <x:v>https://akshare.akfamily.xyz/data/stock/stock.html</x:v>
      </x:c>
      <x:c r="I87" s="106"/>
      <x:c r="J87" s="106"/>
      <x:c r="K87" s="121" t="str">
        <x:v>2026-09-01 15:02:16.686427+00:00</x:v>
      </x:c>
      <x:c r="L87" s="121"/>
      <x:c r="M87" s="106" t="str">
        <x:v>akshare-price-v3-sina-history</x:v>
      </x:c>
      <x:c r="N87" s="106" t="str">
        <x:v>2e55014a1df9c91d4e725e8328ff0176844fefa9145d77523c7a502795bec42d</x:v>
      </x:c>
      <x:c r="O87" s="113"/>
      <x:c r="P87" s="106" t="str">
        <x:v>pending</x:v>
      </x:c>
      <x:c r="Q87" s="106" t="str">
        <x:v>否</x:v>
      </x:c>
      <x:c r="R87" s="106" t="str">
        <x:v>由本地 Agent 同步</x:v>
      </x:c>
      <x:c r="S87" s="86"/>
      <x:c r="T87" s="86"/>
      <x:c r="U87" s="86"/>
      <x:c r="V87" s="86"/>
      <x:c r="W87" s="86"/>
      <x:c r="X87" s="86"/>
      <x:c r="Y87" s="86"/>
      <x:c r="Z87" s="86"/>
    </x:row>
    <x:row r="88">
      <x:c r="A88" s="106" t="str">
        <x:v>7a688c6a-7fe5-4989-b28f-d7d3c8d11ce1</x:v>
      </x:c>
      <x:c r="B88" s="106" t="str">
        <x:v>000333</x:v>
      </x:c>
      <x:c r="C88" s="106" t="str">
        <x:v>current_price</x:v>
      </x:c>
      <x:c r="D88" s="106" t="str">
        <x:v>2026-09-01 15:02</x:v>
      </x:c>
      <x:c r="E88" s="106" t="n">
        <x:v>87.49</x:v>
      </x:c>
      <x:c r="F88" s="106" t="str">
        <x:v>CNY/share</x:v>
      </x:c>
      <x:c r="G88" s="106" t="str">
        <x:v>AkShare / Sina public historical quotes</x:v>
      </x:c>
      <x:c r="H88" s="106" t="str">
        <x:v>https://akshare.akfamily.xyz/data/stock/stock.html</x:v>
      </x:c>
      <x:c r="I88" s="106"/>
      <x:c r="J88" s="106"/>
      <x:c r="K88" s="121" t="str">
        <x:v>2026-09-01 15:02:16.686427+00:00</x:v>
      </x:c>
      <x:c r="L88" s="121"/>
      <x:c r="M88" s="106" t="str">
        <x:v>akshare-price-v3-sina-history</x:v>
      </x:c>
      <x:c r="N88" s="106" t="str">
        <x:v>e4d3aa5683e1dbbb56ba55d0d80b9c7ba0fe2f05cd2782aeb6ea3b3192c959f9</x:v>
      </x:c>
      <x:c r="O88" s="113"/>
      <x:c r="P88" s="106" t="str">
        <x:v>pending</x:v>
      </x:c>
      <x:c r="Q88" s="106" t="str">
        <x:v>否</x:v>
      </x:c>
      <x:c r="R88" s="106" t="str">
        <x:v>由本地 Agent 同步</x:v>
      </x:c>
      <x:c r="S88" s="86"/>
      <x:c r="T88" s="86"/>
      <x:c r="U88" s="86"/>
      <x:c r="V88" s="86"/>
      <x:c r="W88" s="86"/>
      <x:c r="X88" s="86"/>
      <x:c r="Y88" s="86"/>
      <x:c r="Z88" s="86"/>
    </x:row>
    <x:row r="89">
      <x:c r="A89" s="106" t="str">
        <x:v>484a51b1-cf08-4ecc-be6e-b4ed787bb0cd</x:v>
      </x:c>
      <x:c r="B89" s="106" t="str">
        <x:v>600519</x:v>
      </x:c>
      <x:c r="C89" s="106" t="str">
        <x:v>current_price</x:v>
      </x:c>
      <x:c r="D89" s="106" t="str">
        <x:v>2026-09-01 15:02</x:v>
      </x:c>
      <x:c r="E89" s="106" t="n">
        <x:v>1299.56</x:v>
      </x:c>
      <x:c r="F89" s="106" t="str">
        <x:v>CNY/share</x:v>
      </x:c>
      <x:c r="G89" s="106" t="str">
        <x:v>AkShare / Sina public historical quotes</x:v>
      </x:c>
      <x:c r="H89" s="106" t="str">
        <x:v>https://akshare.akfamily.xyz/data/stock/stock.html</x:v>
      </x:c>
      <x:c r="I89" s="106"/>
      <x:c r="J89" s="106"/>
      <x:c r="K89" s="121" t="str">
        <x:v>2026-09-01 15:02:16.686427+00:00</x:v>
      </x:c>
      <x:c r="L89" s="121"/>
      <x:c r="M89" s="106" t="str">
        <x:v>akshare-price-v3-sina-history</x:v>
      </x:c>
      <x:c r="N89" s="106" t="str">
        <x:v>954915d8d904f3dd7fbaa07d14265367567d88697da146771ea5df6bff0bef17</x:v>
      </x:c>
      <x:c r="O89" s="113"/>
      <x:c r="P89" s="106" t="str">
        <x:v>pending</x:v>
      </x:c>
      <x:c r="Q89" s="106" t="str">
        <x:v>否</x:v>
      </x:c>
      <x:c r="R89" s="106" t="str">
        <x:v>由本地 Agent 同步</x:v>
      </x:c>
      <x:c r="S89" s="86"/>
      <x:c r="T89" s="86"/>
      <x:c r="U89" s="86"/>
      <x:c r="V89" s="86"/>
      <x:c r="W89" s="86"/>
      <x:c r="X89" s="86"/>
      <x:c r="Y89" s="86"/>
      <x:c r="Z89" s="86"/>
    </x:row>
    <x:row r="90">
      <x:c r="A90" s="106" t="str">
        <x:v>9738d8d2-e0da-46d0-b259-edc47ecd543c</x:v>
      </x:c>
      <x:c r="B90" s="106" t="str">
        <x:v>600900</x:v>
      </x:c>
      <x:c r="C90" s="106" t="str">
        <x:v>current_price</x:v>
      </x:c>
      <x:c r="D90" s="106" t="str">
        <x:v>2026-09-01 15:02</x:v>
      </x:c>
      <x:c r="E90" s="106" t="n">
        <x:v>28.4</x:v>
      </x:c>
      <x:c r="F90" s="106" t="str">
        <x:v>CNY/share</x:v>
      </x:c>
      <x:c r="G90" s="106" t="str">
        <x:v>AkShare / Sina public historical quotes</x:v>
      </x:c>
      <x:c r="H90" s="106" t="str">
        <x:v>https://akshare.akfamily.xyz/data/stock/stock.html</x:v>
      </x:c>
      <x:c r="I90" s="106"/>
      <x:c r="J90" s="106"/>
      <x:c r="K90" s="121" t="str">
        <x:v>2026-09-01 15:02:16.686427+00:00</x:v>
      </x:c>
      <x:c r="L90" s="121"/>
      <x:c r="M90" s="106" t="str">
        <x:v>akshare-price-v3-sina-history</x:v>
      </x:c>
      <x:c r="N90" s="106" t="str">
        <x:v>9f0f476bfe12ebd012dda3565f04bd4a8b6bb467f5b7773428dee6d153cf4063</x:v>
      </x:c>
      <x:c r="O90" s="113"/>
      <x:c r="P90" s="106" t="str">
        <x:v>pending</x:v>
      </x:c>
      <x:c r="Q90" s="106" t="str">
        <x:v>否</x:v>
      </x:c>
      <x:c r="R90" s="106" t="str">
        <x:v>由本地 Agent 同步</x:v>
      </x:c>
      <x:c r="S90" s="86"/>
      <x:c r="T90" s="86"/>
      <x:c r="U90" s="86"/>
      <x:c r="V90" s="86"/>
      <x:c r="W90" s="86"/>
      <x:c r="X90" s="86"/>
      <x:c r="Y90" s="86"/>
      <x:c r="Z90" s="86"/>
    </x:row>
    <x:row r="91">
      <x:c r="A91" s="106" t="str">
        <x:v>117ee410-3e88-4500-b962-63d04110062f</x:v>
      </x:c>
      <x:c r="B91" s="106" t="str">
        <x:v>600941</x:v>
      </x:c>
      <x:c r="C91" s="106" t="str">
        <x:v>current_price</x:v>
      </x:c>
      <x:c r="D91" s="106" t="str">
        <x:v>2026-09-01 15:02</x:v>
      </x:c>
      <x:c r="E91" s="106" t="n">
        <x:v>99.89</x:v>
      </x:c>
      <x:c r="F91" s="106" t="str">
        <x:v>CNY/share</x:v>
      </x:c>
      <x:c r="G91" s="106" t="str">
        <x:v>AkShare / Sina public historical quotes</x:v>
      </x:c>
      <x:c r="H91" s="106" t="str">
        <x:v>https://akshare.akfamily.xyz/data/stock/stock.html</x:v>
      </x:c>
      <x:c r="I91" s="106"/>
      <x:c r="J91" s="106"/>
      <x:c r="K91" s="121" t="str">
        <x:v>2026-09-01 15:02:16.686427+00:00</x:v>
      </x:c>
      <x:c r="L91" s="121"/>
      <x:c r="M91" s="106" t="str">
        <x:v>akshare-price-v3-sina-history</x:v>
      </x:c>
      <x:c r="N91" s="106" t="str">
        <x:v>9d625cbcd6ab1e4f25e742f11a6421416e2b5d6ca873fa19411c16257016bf20</x:v>
      </x:c>
      <x:c r="O91" s="113"/>
      <x:c r="P91" s="106" t="str">
        <x:v>pending</x:v>
      </x:c>
      <x:c r="Q91" s="106" t="str">
        <x:v>否</x:v>
      </x:c>
      <x:c r="R91" s="106" t="str">
        <x:v>由本地 Agent 同步</x:v>
      </x:c>
      <x:c r="S91" s="86"/>
      <x:c r="T91" s="86"/>
      <x:c r="U91" s="86"/>
      <x:c r="V91" s="86"/>
      <x:c r="W91" s="86"/>
      <x:c r="X91" s="86"/>
      <x:c r="Y91" s="86"/>
      <x:c r="Z91" s="86"/>
    </x:row>
    <x:row r="92">
      <x:c r="A92" s="106" t="str">
        <x:v>9738d8d2-e0da-46d0-b259-edc47ecd543c</x:v>
      </x:c>
      <x:c r="B92" s="106" t="str">
        <x:v>600900</x:v>
      </x:c>
      <x:c r="C92" s="106" t="str">
        <x:v>current_price</x:v>
      </x:c>
      <x:c r="D92" s="106" t="str">
        <x:v>2026-09-01 14:55</x:v>
      </x:c>
      <x:c r="E92" s="106" t="n">
        <x:v>28.4</x:v>
      </x:c>
      <x:c r="F92" s="106" t="str">
        <x:v>CNY/share</x:v>
      </x:c>
      <x:c r="G92" s="106" t="str">
        <x:v>AkShare / Sina public historical quotes</x:v>
      </x:c>
      <x:c r="H92" s="106" t="str">
        <x:v>https://akshare.akfamily.xyz/data/stock/stock.html</x:v>
      </x:c>
      <x:c r="I92" s="106"/>
      <x:c r="J92" s="106"/>
      <x:c r="K92" s="121" t="str">
        <x:v>2026-09-01 15:02:16.686427+00:00</x:v>
      </x:c>
      <x:c r="L92" s="121"/>
      <x:c r="M92" s="106" t="str">
        <x:v>akshare-price-v3-sina-history</x:v>
      </x:c>
      <x:c r="N92" s="106" t="str">
        <x:v>9f0f476bfe12ebd012dda3565f04bd4a8b6bb467f5b7773428dee6d153cf4063</x:v>
      </x:c>
      <x:c r="O92" s="113"/>
      <x:c r="P92" s="106" t="str">
        <x:v>pending</x:v>
      </x:c>
      <x:c r="Q92" s="106" t="str">
        <x:v>否</x:v>
      </x:c>
      <x:c r="R92" s="106" t="str">
        <x:v>由本地 Agent 同步</x:v>
      </x:c>
      <x:c r="S92" s="86"/>
      <x:c r="T92" s="86"/>
      <x:c r="U92" s="86"/>
      <x:c r="V92" s="86"/>
      <x:c r="W92" s="86"/>
      <x:c r="X92" s="86"/>
      <x:c r="Y92" s="86"/>
      <x:c r="Z92" s="86"/>
    </x:row>
    <x:row r="93">
      <x:c r="A93" s="106" t="str">
        <x:v>117ee410-3e88-4500-b962-63d04110062f</x:v>
      </x:c>
      <x:c r="B93" s="106" t="str">
        <x:v>600941</x:v>
      </x:c>
      <x:c r="C93" s="106" t="str">
        <x:v>current_price</x:v>
      </x:c>
      <x:c r="D93" s="106" t="str">
        <x:v>2026-09-01 14:55</x:v>
      </x:c>
      <x:c r="E93" s="106" t="n">
        <x:v>99.89</x:v>
      </x:c>
      <x:c r="F93" s="106" t="str">
        <x:v>CNY/share</x:v>
      </x:c>
      <x:c r="G93" s="106" t="str">
        <x:v>AkShare / Sina public historical quotes</x:v>
      </x:c>
      <x:c r="H93" s="106" t="str">
        <x:v>https://akshare.akfamily.xyz/data/stock/stock.html</x:v>
      </x:c>
      <x:c r="I93" s="106"/>
      <x:c r="J93" s="106"/>
      <x:c r="K93" s="121" t="str">
        <x:v>2026-09-01 15:02:16.686427+00:00</x:v>
      </x:c>
      <x:c r="L93" s="121"/>
      <x:c r="M93" s="106" t="str">
        <x:v>akshare-price-v3-sina-history</x:v>
      </x:c>
      <x:c r="N93" s="106" t="str">
        <x:v>9d625cbcd6ab1e4f25e742f11a6421416e2b5d6ca873fa19411c16257016bf20</x:v>
      </x:c>
      <x:c r="O93" s="113"/>
      <x:c r="P93" s="106" t="str">
        <x:v>pending</x:v>
      </x:c>
      <x:c r="Q93" s="106" t="str">
        <x:v>否</x:v>
      </x:c>
      <x:c r="R93" s="106" t="str">
        <x:v>由本地 Agent 同步</x:v>
      </x:c>
      <x:c r="S93" s="86"/>
      <x:c r="T93" s="86"/>
      <x:c r="U93" s="86"/>
      <x:c r="V93" s="86"/>
      <x:c r="W93" s="86"/>
      <x:c r="X93" s="86"/>
      <x:c r="Y93" s="86"/>
      <x:c r="Z93" s="86"/>
    </x:row>
    <x:row r="94">
      <x:c r="A94" s="106" t="str">
        <x:v>6944a8c4-7e20-4e13-bfe5-7f9f273e0d07</x:v>
      </x:c>
      <x:c r="B94" s="106" t="str">
        <x:v>600887</x:v>
      </x:c>
      <x:c r="C94" s="106" t="str">
        <x:v>current_price</x:v>
      </x:c>
      <x:c r="D94" s="106" t="str">
        <x:v>2026-09-01 14:55</x:v>
      </x:c>
      <x:c r="E94" s="106" t="n">
        <x:v>26.5</x:v>
      </x:c>
      <x:c r="F94" s="106" t="str">
        <x:v>CNY/share</x:v>
      </x:c>
      <x:c r="G94" s="106" t="str">
        <x:v>AkShare / Sina public historical quotes</x:v>
      </x:c>
      <x:c r="H94" s="106" t="str">
        <x:v>https://akshare.akfamily.xyz/data/stock/stock.html</x:v>
      </x:c>
      <x:c r="I94" s="106"/>
      <x:c r="J94" s="106"/>
      <x:c r="K94" s="121" t="str">
        <x:v>2026-09-01 15:02:16.686427+00:00</x:v>
      </x:c>
      <x:c r="L94" s="121"/>
      <x:c r="M94" s="106" t="str">
        <x:v>akshare-price-v3-sina-history</x:v>
      </x:c>
      <x:c r="N94" s="106" t="str">
        <x:v>7ac64bb6772240aeabfb0fbe3832846fbe676fef55c5b1955be8332684fad75e</x:v>
      </x:c>
      <x:c r="O94" s="113"/>
      <x:c r="P94" s="106" t="str">
        <x:v>pending</x:v>
      </x:c>
      <x:c r="Q94" s="106" t="str">
        <x:v>否</x:v>
      </x:c>
      <x:c r="R94" s="106" t="str">
        <x:v>由本地 Agent 同步</x:v>
      </x:c>
      <x:c r="S94" s="86"/>
      <x:c r="T94" s="86"/>
      <x:c r="U94" s="86"/>
      <x:c r="V94" s="86"/>
      <x:c r="W94" s="86"/>
      <x:c r="X94" s="86"/>
      <x:c r="Y94" s="86"/>
      <x:c r="Z94" s="86"/>
    </x:row>
    <x:row r="95">
      <x:c r="A95" s="106" t="str">
        <x:v>df08cf55-3d75-48f6-8b80-45d0a07787b3</x:v>
      </x:c>
      <x:c r="B95" s="106" t="str">
        <x:v>300750</x:v>
      </x:c>
      <x:c r="C95" s="106" t="str">
        <x:v>current_price</x:v>
      </x:c>
      <x:c r="D95" s="106" t="str">
        <x:v>2026-09-01 14:55</x:v>
      </x:c>
      <x:c r="E95" s="106" t="n">
        <x:v>358.1</x:v>
      </x:c>
      <x:c r="F95" s="106" t="str">
        <x:v>CNY/share</x:v>
      </x:c>
      <x:c r="G95" s="106" t="str">
        <x:v>AkShare / Sina public historical quotes</x:v>
      </x:c>
      <x:c r="H95" s="106" t="str">
        <x:v>https://akshare.akfamily.xyz/data/stock/stock.html</x:v>
      </x:c>
      <x:c r="I95" s="106"/>
      <x:c r="J95" s="106"/>
      <x:c r="K95" s="121" t="str">
        <x:v>2026-09-01 15:02:16.686427+00:00</x:v>
      </x:c>
      <x:c r="L95" s="121"/>
      <x:c r="M95" s="106" t="str">
        <x:v>akshare-price-v3-sina-history</x:v>
      </x:c>
      <x:c r="N95" s="106" t="str">
        <x:v>c219e9ce813c03bc2d5657b1ca221991bdfb9f4a41155fde3be11930ccb1660b</x:v>
      </x:c>
      <x:c r="O95" s="113"/>
      <x:c r="P95" s="106" t="str">
        <x:v>pending</x:v>
      </x:c>
      <x:c r="Q95" s="106" t="str">
        <x:v>否</x:v>
      </x:c>
      <x:c r="R95" s="106" t="str">
        <x:v>由本地 Agent 同步</x:v>
      </x:c>
      <x:c r="S95" s="86"/>
      <x:c r="T95" s="86"/>
      <x:c r="U95" s="86"/>
      <x:c r="V95" s="86"/>
      <x:c r="W95" s="86"/>
      <x:c r="X95" s="86"/>
      <x:c r="Y95" s="86"/>
      <x:c r="Z95" s="86"/>
    </x:row>
    <x:row r="96">
      <x:c r="A96" s="106" t="str">
        <x:v>39ea0620-de2b-46e5-8657-a92bc547df77</x:v>
      </x:c>
      <x:c r="B96" s="106" t="str">
        <x:v>600690</x:v>
      </x:c>
      <x:c r="C96" s="106" t="str">
        <x:v>current_price</x:v>
      </x:c>
      <x:c r="D96" s="106" t="str">
        <x:v>2026-09-01 14:55</x:v>
      </x:c>
      <x:c r="E96" s="106" t="n">
        <x:v>21.42</x:v>
      </x:c>
      <x:c r="F96" s="106" t="str">
        <x:v>CNY/share</x:v>
      </x:c>
      <x:c r="G96" s="106" t="str">
        <x:v>AkShare / Sina public historical quotes</x:v>
      </x:c>
      <x:c r="H96" s="106" t="str">
        <x:v>https://akshare.akfamily.xyz/data/stock/stock.html</x:v>
      </x:c>
      <x:c r="I96" s="106"/>
      <x:c r="J96" s="106"/>
      <x:c r="K96" s="121" t="str">
        <x:v>2026-09-01 15:02:16.686427+00:00</x:v>
      </x:c>
      <x:c r="L96" s="121"/>
      <x:c r="M96" s="106" t="str">
        <x:v>akshare-price-v3-sina-history</x:v>
      </x:c>
      <x:c r="N96" s="106" t="str">
        <x:v>6ac17d3ae284a628996b4a22756afd8c76c7509b809313f0ae68a9618d865c09</x:v>
      </x:c>
      <x:c r="O96" s="113"/>
      <x:c r="P96" s="106" t="str">
        <x:v>pending</x:v>
      </x:c>
      <x:c r="Q96" s="106" t="str">
        <x:v>否</x:v>
      </x:c>
      <x:c r="R96" s="106" t="str">
        <x:v>由本地 Agent 同步</x:v>
      </x:c>
      <x:c r="S96" s="86"/>
      <x:c r="T96" s="86"/>
      <x:c r="U96" s="86"/>
      <x:c r="V96" s="86"/>
      <x:c r="W96" s="86"/>
      <x:c r="X96" s="86"/>
      <x:c r="Y96" s="86"/>
      <x:c r="Z96" s="86"/>
    </x:row>
    <x:row r="97">
      <x:c r="A97" s="106" t="str">
        <x:v>59bad70d-3a23-4591-8805-d2bc5b6106c3</x:v>
      </x:c>
      <x:c r="B97" s="106" t="str">
        <x:v>601088</x:v>
      </x:c>
      <x:c r="C97" s="106" t="str">
        <x:v>current_price</x:v>
      </x:c>
      <x:c r="D97" s="106" t="str">
        <x:v>2026-09-01 14:55</x:v>
      </x:c>
      <x:c r="E97" s="106" t="n">
        <x:v>48.3</x:v>
      </x:c>
      <x:c r="F97" s="106" t="str">
        <x:v>CNY/share</x:v>
      </x:c>
      <x:c r="G97" s="106" t="str">
        <x:v>AkShare / Sina public historical quotes</x:v>
      </x:c>
      <x:c r="H97" s="106" t="str">
        <x:v>https://akshare.akfamily.xyz/data/stock/stock.html</x:v>
      </x:c>
      <x:c r="I97" s="106"/>
      <x:c r="J97" s="106"/>
      <x:c r="K97" s="121" t="str">
        <x:v>2026-09-01 15:02:16.686427+00:00</x:v>
      </x:c>
      <x:c r="L97" s="121"/>
      <x:c r="M97" s="106" t="str">
        <x:v>akshare-price-v3-sina-history</x:v>
      </x:c>
      <x:c r="N97" s="106" t="str">
        <x:v>786803a38a8094da69b08ab60affce538140d0fe55d3d0c1901d9b2ba721054f</x:v>
      </x:c>
      <x:c r="O97" s="113"/>
      <x:c r="P97" s="106" t="str">
        <x:v>pending</x:v>
      </x:c>
      <x:c r="Q97" s="106" t="str">
        <x:v>否</x:v>
      </x:c>
      <x:c r="R97" s="106" t="str">
        <x:v>由本地 Agent 同步</x:v>
      </x:c>
      <x:c r="S97" s="86"/>
      <x:c r="T97" s="86"/>
      <x:c r="U97" s="86"/>
      <x:c r="V97" s="86"/>
      <x:c r="W97" s="86"/>
      <x:c r="X97" s="86"/>
      <x:c r="Y97" s="86"/>
      <x:c r="Z97" s="86"/>
    </x:row>
    <x:row r="98">
      <x:c r="A98" s="106" t="str">
        <x:v>c022774c-9705-431c-b13e-059527782a69</x:v>
      </x:c>
      <x:c r="B98" s="106" t="str">
        <x:v>601288</x:v>
      </x:c>
      <x:c r="C98" s="106" t="str">
        <x:v>current_price</x:v>
      </x:c>
      <x:c r="D98" s="106" t="str">
        <x:v>2026-09-01 14:55</x:v>
      </x:c>
      <x:c r="E98" s="106" t="n">
        <x:v>7.05</x:v>
      </x:c>
      <x:c r="F98" s="106" t="str">
        <x:v>CNY/share</x:v>
      </x:c>
      <x:c r="G98" s="106" t="str">
        <x:v>AkShare / Sina public historical quotes</x:v>
      </x:c>
      <x:c r="H98" s="106" t="str">
        <x:v>https://akshare.akfamily.xyz/data/stock/stock.html</x:v>
      </x:c>
      <x:c r="I98" s="106"/>
      <x:c r="J98" s="106"/>
      <x:c r="K98" s="121" t="str">
        <x:v>2026-09-01 15:02:16.686427+00:00</x:v>
      </x:c>
      <x:c r="L98" s="121"/>
      <x:c r="M98" s="106" t="str">
        <x:v>akshare-price-v3-sina-history</x:v>
      </x:c>
      <x:c r="N98" s="106" t="str">
        <x:v>0d1533d6d369a2097b66e8a5137030a6199b85a03b244714d562088824fea03a</x:v>
      </x:c>
      <x:c r="O98" s="113"/>
      <x:c r="P98" s="106" t="str">
        <x:v>pending</x:v>
      </x:c>
      <x:c r="Q98" s="106" t="str">
        <x:v>否</x:v>
      </x:c>
      <x:c r="R98" s="106" t="str">
        <x:v>由本地 Agent 同步</x:v>
      </x:c>
      <x:c r="S98" s="86"/>
      <x:c r="T98" s="86"/>
      <x:c r="U98" s="86"/>
      <x:c r="V98" s="86"/>
      <x:c r="W98" s="86"/>
      <x:c r="X98" s="86"/>
      <x:c r="Y98" s="86"/>
      <x:c r="Z98" s="86"/>
    </x:row>
    <x:row r="99">
      <x:c r="A99" s="106" t="str">
        <x:v>1a535135-1d55-444c-bf07-61d09a84bc60</x:v>
      </x:c>
      <x:c r="B99" s="106" t="str">
        <x:v>600036</x:v>
      </x:c>
      <x:c r="C99" s="106" t="str">
        <x:v>current_price</x:v>
      </x:c>
      <x:c r="D99" s="106" t="str">
        <x:v>2026-09-01 14:55</x:v>
      </x:c>
      <x:c r="E99" s="106" t="n">
        <x:v>40.86</x:v>
      </x:c>
      <x:c r="F99" s="106" t="str">
        <x:v>CNY/share</x:v>
      </x:c>
      <x:c r="G99" s="106" t="str">
        <x:v>AkShare / Sina public historical quotes</x:v>
      </x:c>
      <x:c r="H99" s="106" t="str">
        <x:v>https://akshare.akfamily.xyz/data/stock/stock.html</x:v>
      </x:c>
      <x:c r="I99" s="106"/>
      <x:c r="J99" s="106"/>
      <x:c r="K99" s="121" t="str">
        <x:v>2026-09-01 15:02:16.686427+00:00</x:v>
      </x:c>
      <x:c r="L99" s="121"/>
      <x:c r="M99" s="106" t="str">
        <x:v>akshare-price-v3-sina-history</x:v>
      </x:c>
      <x:c r="N99" s="106" t="str">
        <x:v>2e55014a1df9c91d4e725e8328ff0176844fefa9145d77523c7a502795bec42d</x:v>
      </x:c>
      <x:c r="O99" s="113"/>
      <x:c r="P99" s="106" t="str">
        <x:v>pending</x:v>
      </x:c>
      <x:c r="Q99" s="106" t="str">
        <x:v>否</x:v>
      </x:c>
      <x:c r="R99" s="106" t="str">
        <x:v>由本地 Agent 同步</x:v>
      </x:c>
      <x:c r="S99" s="86"/>
      <x:c r="T99" s="86"/>
      <x:c r="U99" s="86"/>
      <x:c r="V99" s="86"/>
      <x:c r="W99" s="86"/>
      <x:c r="X99" s="86"/>
      <x:c r="Y99" s="86"/>
      <x:c r="Z99" s="86"/>
    </x:row>
    <x:row r="100">
      <x:c r="A100" s="106" t="str">
        <x:v>7a688c6a-7fe5-4989-b28f-d7d3c8d11ce1</x:v>
      </x:c>
      <x:c r="B100" s="106" t="str">
        <x:v>000333</x:v>
      </x:c>
      <x:c r="C100" s="106" t="str">
        <x:v>current_price</x:v>
      </x:c>
      <x:c r="D100" s="106" t="str">
        <x:v>2026-09-01 14:55</x:v>
      </x:c>
      <x:c r="E100" s="106" t="n">
        <x:v>87.49</x:v>
      </x:c>
      <x:c r="F100" s="106" t="str">
        <x:v>CNY/share</x:v>
      </x:c>
      <x:c r="G100" s="106" t="str">
        <x:v>AkShare / Sina public historical quotes</x:v>
      </x:c>
      <x:c r="H100" s="106" t="str">
        <x:v>https://akshare.akfamily.xyz/data/stock/stock.html</x:v>
      </x:c>
      <x:c r="I100" s="106"/>
      <x:c r="J100" s="106"/>
      <x:c r="K100" s="121" t="str">
        <x:v>2026-09-01 15:02:16.686427+00:00</x:v>
      </x:c>
      <x:c r="L100" s="121"/>
      <x:c r="M100" s="106" t="str">
        <x:v>akshare-price-v3-sina-history</x:v>
      </x:c>
      <x:c r="N100" s="106" t="str">
        <x:v>e4d3aa5683e1dbbb56ba55d0d80b9c7ba0fe2f05cd2782aeb6ea3b3192c959f9</x:v>
      </x:c>
      <x:c r="O100" s="113"/>
      <x:c r="P100" s="106" t="str">
        <x:v>pending</x:v>
      </x:c>
      <x:c r="Q100" s="106" t="str">
        <x:v>否</x:v>
      </x:c>
      <x:c r="R100" s="106" t="str">
        <x:v>由本地 Agent 同步</x:v>
      </x:c>
      <x:c r="S100" s="86"/>
      <x:c r="T100" s="86"/>
      <x:c r="U100" s="86"/>
      <x:c r="V100" s="86"/>
      <x:c r="W100" s="86"/>
      <x:c r="X100" s="86"/>
      <x:c r="Y100" s="86"/>
      <x:c r="Z100" s="86"/>
    </x:row>
    <x:row r="101">
      <x:c r="A101" s="106" t="str">
        <x:v>484a51b1-cf08-4ecc-be6e-b4ed787bb0cd</x:v>
      </x:c>
      <x:c r="B101" s="106" t="str">
        <x:v>600519</x:v>
      </x:c>
      <x:c r="C101" s="106" t="str">
        <x:v>current_price</x:v>
      </x:c>
      <x:c r="D101" s="106" t="str">
        <x:v>2026-09-01 14:55</x:v>
      </x:c>
      <x:c r="E101" s="106" t="n">
        <x:v>1299.56</x:v>
      </x:c>
      <x:c r="F101" s="106" t="str">
        <x:v>CNY/share</x:v>
      </x:c>
      <x:c r="G101" s="106" t="str">
        <x:v>AkShare / Sina public historical quotes</x:v>
      </x:c>
      <x:c r="H101" s="106" t="str">
        <x:v>https://akshare.akfamily.xyz/data/stock/stock.html</x:v>
      </x:c>
      <x:c r="I101" s="106"/>
      <x:c r="J101" s="106"/>
      <x:c r="K101" s="121" t="str">
        <x:v>2026-09-01 15:02:16.686427+00:00</x:v>
      </x:c>
      <x:c r="L101" s="121"/>
      <x:c r="M101" s="106" t="str">
        <x:v>akshare-price-v3-sina-history</x:v>
      </x:c>
      <x:c r="N101" s="106" t="str">
        <x:v>954915d8d904f3dd7fbaa07d14265367567d88697da146771ea5df6bff0bef17</x:v>
      </x:c>
      <x:c r="O101" s="113"/>
      <x:c r="P101" s="106" t="str">
        <x:v>pending</x:v>
      </x:c>
      <x:c r="Q101" s="106" t="str">
        <x:v>否</x:v>
      </x:c>
      <x:c r="R101" s="106" t="str">
        <x:v>由本地 Agent 同步</x:v>
      </x:c>
      <x:c r="S101" s="86"/>
      <x:c r="T101" s="86"/>
      <x:c r="U101" s="86"/>
      <x:c r="V101" s="86"/>
      <x:c r="W101" s="86"/>
      <x:c r="X101" s="86"/>
      <x:c r="Y101" s="86"/>
      <x:c r="Z101" s="86"/>
    </x:row>
    <x:row r="102">
      <x:c r="A102" s="106" t="str">
        <x:v>67daa08d-3b1e-4f10-8424-c2247a7e8b75</x:v>
      </x:c>
      <x:c r="B102" s="106" t="str">
        <x:v>600036</x:v>
      </x:c>
      <x:c r="C102" s="106" t="str">
        <x:v>eps_ttm</x:v>
      </x:c>
      <x:c r="D102" s="106" t="str">
        <x:v>2024-03-31</x:v>
      </x:c>
      <x:c r="E102" s="106" t="n">
        <x:v>1.5243</x:v>
      </x:c>
      <x:c r="F102" s="106" t="str">
        <x:v>CNY/share</x:v>
      </x:c>
      <x:c r="G102" s="106" t="str">
        <x:v>AkShare / Sina financial indicators</x:v>
      </x:c>
      <x:c r="H102" s="106" t="str">
        <x:v>https://money.finance.sina.com.cn/corp/go.php/vFD_FinancialGuideLine/stockid/600036/ctrl/2024/displaytype/4.phtml</x:v>
      </x:c>
      <x:c r="I102" s="106"/>
      <x:c r="J102" s="106"/>
      <x:c r="K102" s="121" t="str">
        <x:v>2026-09-01 14:51:55.727557+00:00</x:v>
      </x:c>
      <x:c r="L102" s="121" t="str">
        <x:v>2024-03-31 00:00:00+00:00</x:v>
      </x:c>
      <x:c r="M102" s="106" t="str">
        <x:v>akshare-financial-v1-sina</x:v>
      </x:c>
      <x:c r="N102" s="106" t="str">
        <x:v>83344f6632f471870d596a4935b63e1186bb4d47b6a0ca09f01d67a2bc9cc118</x:v>
      </x:c>
      <x:c r="O102" s="113"/>
      <x:c r="P102" s="106" t="str">
        <x:v>pending</x:v>
      </x:c>
      <x:c r="Q102" s="106" t="str">
        <x:v>否</x:v>
      </x:c>
      <x:c r="R102" s="106" t="str">
        <x:v>由本地 Agent 同步</x:v>
      </x:c>
      <x:c r="S102" s="86"/>
      <x:c r="T102" s="86"/>
      <x:c r="U102" s="86"/>
      <x:c r="V102" s="86"/>
      <x:c r="W102" s="86"/>
      <x:c r="X102" s="86"/>
      <x:c r="Y102" s="86"/>
      <x:c r="Z102" s="86"/>
    </x:row>
    <x:row r="103">
      <x:c r="A103" s="106" t="str">
        <x:v>dc4405b3-2bb7-4094-a53e-b22b9b72ca06</x:v>
      </x:c>
      <x:c r="B103" s="106" t="str">
        <x:v>300750</x:v>
      </x:c>
      <x:c r="C103" s="106" t="str">
        <x:v>debt_ratio</x:v>
      </x:c>
      <x:c r="D103" s="106" t="str">
        <x:v>2024-03-31</x:v>
      </x:c>
      <x:c r="E103" s="106" t="n">
        <x:v>68.4845</x:v>
      </x:c>
      <x:c r="F103" s="106" t="str">
        <x:v>percent</x:v>
      </x:c>
      <x:c r="G103" s="106" t="str">
        <x:v>AkShare / Sina financial indicators</x:v>
      </x:c>
      <x:c r="H103" s="106" t="str">
        <x:v>https://money.finance.sina.com.cn/corp/go.php/vFD_FinancialGuideLine/stockid/300750/ctrl/2024/displaytype/4.phtml</x:v>
      </x:c>
      <x:c r="I103" s="106"/>
      <x:c r="J103" s="106"/>
      <x:c r="K103" s="121" t="str">
        <x:v>2026-09-01 14:51:55.727557+00:00</x:v>
      </x:c>
      <x:c r="L103" s="121" t="str">
        <x:v>2024-03-31 00:00:00+00:00</x:v>
      </x:c>
      <x:c r="M103" s="106" t="str">
        <x:v>akshare-financial-v1-sina</x:v>
      </x:c>
      <x:c r="N103" s="106" t="str">
        <x:v>c839822b7e51f67caf58beaecfd2801aca064939219a8496c4ff93c8fbafcfe7</x:v>
      </x:c>
      <x:c r="O103" s="113"/>
      <x:c r="P103" s="106" t="str">
        <x:v>pending</x:v>
      </x:c>
      <x:c r="Q103" s="106" t="str">
        <x:v>否</x:v>
      </x:c>
      <x:c r="R103" s="106" t="str">
        <x:v>由本地 Agent 同步</x:v>
      </x:c>
      <x:c r="S103" s="86"/>
      <x:c r="T103" s="86"/>
      <x:c r="U103" s="86"/>
      <x:c r="V103" s="86"/>
      <x:c r="W103" s="86"/>
      <x:c r="X103" s="86"/>
      <x:c r="Y103" s="86"/>
      <x:c r="Z103" s="86"/>
    </x:row>
    <x:row r="104">
      <x:c r="A104" s="106" t="str">
        <x:v>dc4405b3-2bb7-4094-a53e-b22b9b72ca06</x:v>
      </x:c>
      <x:c r="B104" s="106" t="str">
        <x:v>300750</x:v>
      </x:c>
      <x:c r="C104" s="106" t="str">
        <x:v>net_income_yoy</x:v>
      </x:c>
      <x:c r="D104" s="106" t="str">
        <x:v>2024-03-31</x:v>
      </x:c>
      <x:c r="E104" s="106" t="n">
        <x:v>11.0612</x:v>
      </x:c>
      <x:c r="F104" s="106" t="str">
        <x:v>percent</x:v>
      </x:c>
      <x:c r="G104" s="106" t="str">
        <x:v>AkShare / Sina financial indicators</x:v>
      </x:c>
      <x:c r="H104" s="106" t="str">
        <x:v>https://money.finance.sina.com.cn/corp/go.php/vFD_FinancialGuideLine/stockid/300750/ctrl/2024/displaytype/4.phtml</x:v>
      </x:c>
      <x:c r="I104" s="106"/>
      <x:c r="J104" s="106"/>
      <x:c r="K104" s="121" t="str">
        <x:v>2026-09-01 14:51:55.727557+00:00</x:v>
      </x:c>
      <x:c r="L104" s="121" t="str">
        <x:v>2024-03-31 00:00:00+00:00</x:v>
      </x:c>
      <x:c r="M104" s="106" t="str">
        <x:v>akshare-financial-v1-sina</x:v>
      </x:c>
      <x:c r="N104" s="106" t="str">
        <x:v>c839822b7e51f67caf58beaecfd2801aca064939219a8496c4ff93c8fbafcfe7</x:v>
      </x:c>
      <x:c r="O104" s="113"/>
      <x:c r="P104" s="106" t="str">
        <x:v>pending</x:v>
      </x:c>
      <x:c r="Q104" s="106" t="str">
        <x:v>否</x:v>
      </x:c>
      <x:c r="R104" s="106" t="str">
        <x:v>由本地 Agent 同步</x:v>
      </x:c>
      <x:c r="S104" s="86"/>
      <x:c r="T104" s="86"/>
      <x:c r="U104" s="86"/>
      <x:c r="V104" s="86"/>
      <x:c r="W104" s="86"/>
      <x:c r="X104" s="86"/>
      <x:c r="Y104" s="86"/>
      <x:c r="Z104" s="86"/>
    </x:row>
    <x:row r="105">
      <x:c r="A105" s="106" t="str">
        <x:v>dc4405b3-2bb7-4094-a53e-b22b9b72ca06</x:v>
      </x:c>
      <x:c r="B105" s="106" t="str">
        <x:v>300750</x:v>
      </x:c>
      <x:c r="C105" s="106" t="str">
        <x:v>revenue_yoy</x:v>
      </x:c>
      <x:c r="D105" s="106" t="str">
        <x:v>2024-03-31</x:v>
      </x:c>
      <x:c r="E105" s="106" t="n">
        <x:v>-10.4086</x:v>
      </x:c>
      <x:c r="F105" s="106" t="str">
        <x:v>percent</x:v>
      </x:c>
      <x:c r="G105" s="106" t="str">
        <x:v>AkShare / Sina financial indicators</x:v>
      </x:c>
      <x:c r="H105" s="106" t="str">
        <x:v>https://money.finance.sina.com.cn/corp/go.php/vFD_FinancialGuideLine/stockid/300750/ctrl/2024/displaytype/4.phtml</x:v>
      </x:c>
      <x:c r="I105" s="106"/>
      <x:c r="J105" s="106"/>
      <x:c r="K105" s="121" t="str">
        <x:v>2026-09-01 14:51:55.727557+00:00</x:v>
      </x:c>
      <x:c r="L105" s="121" t="str">
        <x:v>2024-03-31 00:00:00+00:00</x:v>
      </x:c>
      <x:c r="M105" s="106" t="str">
        <x:v>akshare-financial-v1-sina</x:v>
      </x:c>
      <x:c r="N105" s="106" t="str">
        <x:v>c839822b7e51f67caf58beaecfd2801aca064939219a8496c4ff93c8fbafcfe7</x:v>
      </x:c>
      <x:c r="O105" s="113"/>
      <x:c r="P105" s="106" t="str">
        <x:v>pending</x:v>
      </x:c>
      <x:c r="Q105" s="106" t="str">
        <x:v>否</x:v>
      </x:c>
      <x:c r="R105" s="106" t="str">
        <x:v>由本地 Agent 同步</x:v>
      </x:c>
      <x:c r="S105" s="86"/>
      <x:c r="T105" s="86"/>
      <x:c r="U105" s="86"/>
      <x:c r="V105" s="86"/>
      <x:c r="W105" s="86"/>
      <x:c r="X105" s="86"/>
      <x:c r="Y105" s="86"/>
      <x:c r="Z105" s="86"/>
    </x:row>
    <x:row r="106">
      <x:c r="A106" s="106" t="str">
        <x:v>dc4405b3-2bb7-4094-a53e-b22b9b72ca06</x:v>
      </x:c>
      <x:c r="B106" s="106" t="str">
        <x:v>300750</x:v>
      </x:c>
      <x:c r="C106" s="106" t="str">
        <x:v>net_margin</x:v>
      </x:c>
      <x:c r="D106" s="106" t="str">
        <x:v>2024-03-31</x:v>
      </x:c>
      <x:c r="E106" s="106" t="n">
        <x:v>14.0348</x:v>
      </x:c>
      <x:c r="F106" s="106" t="str">
        <x:v>percent</x:v>
      </x:c>
      <x:c r="G106" s="106" t="str">
        <x:v>AkShare / Sina financial indicators</x:v>
      </x:c>
      <x:c r="H106" s="106" t="str">
        <x:v>https://money.finance.sina.com.cn/corp/go.php/vFD_FinancialGuideLine/stockid/300750/ctrl/2024/displaytype/4.phtml</x:v>
      </x:c>
      <x:c r="I106" s="106"/>
      <x:c r="J106" s="106"/>
      <x:c r="K106" s="121" t="str">
        <x:v>2026-09-01 14:51:55.727557+00:00</x:v>
      </x:c>
      <x:c r="L106" s="121" t="str">
        <x:v>2024-03-31 00:00:00+00:00</x:v>
      </x:c>
      <x:c r="M106" s="106" t="str">
        <x:v>akshare-financial-v1-sina</x:v>
      </x:c>
      <x:c r="N106" s="106" t="str">
        <x:v>c839822b7e51f67caf58beaecfd2801aca064939219a8496c4ff93c8fbafcfe7</x:v>
      </x:c>
      <x:c r="O106" s="113"/>
      <x:c r="P106" s="106" t="str">
        <x:v>pending</x:v>
      </x:c>
      <x:c r="Q106" s="106" t="str">
        <x:v>否</x:v>
      </x:c>
      <x:c r="R106" s="106" t="str">
        <x:v>由本地 Agent 同步</x:v>
      </x:c>
      <x:c r="S106" s="86"/>
      <x:c r="T106" s="86"/>
      <x:c r="U106" s="86"/>
      <x:c r="V106" s="86"/>
      <x:c r="W106" s="86"/>
      <x:c r="X106" s="86"/>
      <x:c r="Y106" s="86"/>
      <x:c r="Z106" s="86"/>
    </x:row>
    <x:row r="107">
      <x:c r="A107" s="106" t="str">
        <x:v>dc4405b3-2bb7-4094-a53e-b22b9b72ca06</x:v>
      </x:c>
      <x:c r="B107" s="106" t="str">
        <x:v>300750</x:v>
      </x:c>
      <x:c r="C107" s="106" t="str">
        <x:v>roe</x:v>
      </x:c>
      <x:c r="D107" s="106" t="str">
        <x:v>2024-03-31</x:v>
      </x:c>
      <x:c r="E107" s="106" t="n">
        <x:v>5.06</x:v>
      </x:c>
      <x:c r="F107" s="106" t="str">
        <x:v>percent</x:v>
      </x:c>
      <x:c r="G107" s="106" t="str">
        <x:v>AkShare / Sina financial indicators</x:v>
      </x:c>
      <x:c r="H107" s="106" t="str">
        <x:v>https://money.finance.sina.com.cn/corp/go.php/vFD_FinancialGuideLine/stockid/300750/ctrl/2024/displaytype/4.phtml</x:v>
      </x:c>
      <x:c r="I107" s="106"/>
      <x:c r="J107" s="106"/>
      <x:c r="K107" s="121" t="str">
        <x:v>2026-09-01 14:51:55.727557+00:00</x:v>
      </x:c>
      <x:c r="L107" s="121" t="str">
        <x:v>2024-03-31 00:00:00+00:00</x:v>
      </x:c>
      <x:c r="M107" s="106" t="str">
        <x:v>akshare-financial-v1-sina</x:v>
      </x:c>
      <x:c r="N107" s="106" t="str">
        <x:v>c839822b7e51f67caf58beaecfd2801aca064939219a8496c4ff93c8fbafcfe7</x:v>
      </x:c>
      <x:c r="O107" s="113"/>
      <x:c r="P107" s="106" t="str">
        <x:v>pending</x:v>
      </x:c>
      <x:c r="Q107" s="106" t="str">
        <x:v>否</x:v>
      </x:c>
      <x:c r="R107" s="106" t="str">
        <x:v>由本地 Agent 同步</x:v>
      </x:c>
      <x:c r="S107" s="86"/>
      <x:c r="T107" s="86"/>
      <x:c r="U107" s="86"/>
      <x:c r="V107" s="86"/>
      <x:c r="W107" s="86"/>
      <x:c r="X107" s="86"/>
      <x:c r="Y107" s="86"/>
      <x:c r="Z107" s="86"/>
    </x:row>
    <x:row r="108">
      <x:c r="A108" s="106" t="str">
        <x:v>dc4405b3-2bb7-4094-a53e-b22b9b72ca06</x:v>
      </x:c>
      <x:c r="B108" s="106" t="str">
        <x:v>300750</x:v>
      </x:c>
      <x:c r="C108" s="106" t="str">
        <x:v>bvps</x:v>
      </x:c>
      <x:c r="D108" s="106" t="str">
        <x:v>2024-03-31</x:v>
      </x:c>
      <x:c r="E108" s="106" t="n">
        <x:v>52.3906</x:v>
      </x:c>
      <x:c r="F108" s="106" t="str">
        <x:v>CNY/share</x:v>
      </x:c>
      <x:c r="G108" s="106" t="str">
        <x:v>AkShare / Sina financial indicators</x:v>
      </x:c>
      <x:c r="H108" s="106" t="str">
        <x:v>https://money.finance.sina.com.cn/corp/go.php/vFD_FinancialGuideLine/stockid/300750/ctrl/2024/displaytype/4.phtml</x:v>
      </x:c>
      <x:c r="I108" s="106"/>
      <x:c r="J108" s="106"/>
      <x:c r="K108" s="121" t="str">
        <x:v>2026-09-01 14:51:55.727557+00:00</x:v>
      </x:c>
      <x:c r="L108" s="121" t="str">
        <x:v>2024-03-31 00:00:00+00:00</x:v>
      </x:c>
      <x:c r="M108" s="106" t="str">
        <x:v>akshare-financial-v1-sina</x:v>
      </x:c>
      <x:c r="N108" s="106" t="str">
        <x:v>c839822b7e51f67caf58beaecfd2801aca064939219a8496c4ff93c8fbafcfe7</x:v>
      </x:c>
      <x:c r="O108" s="113"/>
      <x:c r="P108" s="106" t="str">
        <x:v>pending</x:v>
      </x:c>
      <x:c r="Q108" s="106" t="str">
        <x:v>否</x:v>
      </x:c>
      <x:c r="R108" s="106" t="str">
        <x:v>由本地 Agent 同步</x:v>
      </x:c>
      <x:c r="S108" s="86"/>
      <x:c r="T108" s="86"/>
      <x:c r="U108" s="86"/>
      <x:c r="V108" s="86"/>
      <x:c r="W108" s="86"/>
      <x:c r="X108" s="86"/>
      <x:c r="Y108" s="86"/>
      <x:c r="Z108" s="86"/>
    </x:row>
    <x:row r="109">
      <x:c r="A109" s="106" t="str">
        <x:v>dc4405b3-2bb7-4094-a53e-b22b9b72ca06</x:v>
      </x:c>
      <x:c r="B109" s="106" t="str">
        <x:v>300750</x:v>
      </x:c>
      <x:c r="C109" s="106" t="str">
        <x:v>eps_ttm</x:v>
      </x:c>
      <x:c r="D109" s="106" t="str">
        <x:v>2024-03-31</x:v>
      </x:c>
      <x:c r="E109" s="106" t="n">
        <x:v>2.545</x:v>
      </x:c>
      <x:c r="F109" s="106" t="str">
        <x:v>CNY/share</x:v>
      </x:c>
      <x:c r="G109" s="106" t="str">
        <x:v>AkShare / Sina financial indicators</x:v>
      </x:c>
      <x:c r="H109" s="106" t="str">
        <x:v>https://money.finance.sina.com.cn/corp/go.php/vFD_FinancialGuideLine/stockid/300750/ctrl/2024/displaytype/4.phtml</x:v>
      </x:c>
      <x:c r="I109" s="106"/>
      <x:c r="J109" s="106"/>
      <x:c r="K109" s="121" t="str">
        <x:v>2026-09-01 14:51:55.727557+00:00</x:v>
      </x:c>
      <x:c r="L109" s="121" t="str">
        <x:v>2024-03-31 00:00:00+00:00</x:v>
      </x:c>
      <x:c r="M109" s="106" t="str">
        <x:v>akshare-financial-v1-sina</x:v>
      </x:c>
      <x:c r="N109" s="106" t="str">
        <x:v>c839822b7e51f67caf58beaecfd2801aca064939219a8496c4ff93c8fbafcfe7</x:v>
      </x:c>
      <x:c r="O109" s="113"/>
      <x:c r="P109" s="106" t="str">
        <x:v>pending</x:v>
      </x:c>
      <x:c r="Q109" s="106" t="str">
        <x:v>否</x:v>
      </x:c>
      <x:c r="R109" s="106" t="str">
        <x:v>由本地 Agent 同步</x:v>
      </x:c>
      <x:c r="S109" s="86"/>
      <x:c r="T109" s="86"/>
      <x:c r="U109" s="86"/>
      <x:c r="V109" s="86"/>
      <x:c r="W109" s="86"/>
      <x:c r="X109" s="86"/>
      <x:c r="Y109" s="86"/>
      <x:c r="Z109" s="86"/>
    </x:row>
    <x:row r="110">
      <x:c r="A110" s="106" t="str">
        <x:v>0dbe7f7e-dd22-4839-bacb-251907b0281e</x:v>
      </x:c>
      <x:c r="B110" s="106" t="str">
        <x:v>600690</x:v>
      </x:c>
      <x:c r="C110" s="106" t="str">
        <x:v>operating_cash_flow_to_net_income</x:v>
      </x:c>
      <x:c r="D110" s="106" t="str">
        <x:v>2024-03-31</x:v>
      </x:c>
      <x:c r="E110" s="106" t="n">
        <x:v>0.3553</x:v>
      </x:c>
      <x:c r="F110" s="106" t="str">
        <x:v>percent</x:v>
      </x:c>
      <x:c r="G110" s="106" t="str">
        <x:v>AkShare / Sina financial indicators</x:v>
      </x:c>
      <x:c r="H110" s="106" t="str">
        <x:v>https://money.finance.sina.com.cn/corp/go.php/vFD_FinancialGuideLine/stockid/600690/ctrl/2024/displaytype/4.phtml</x:v>
      </x:c>
      <x:c r="I110" s="106"/>
      <x:c r="J110" s="106"/>
      <x:c r="K110" s="121" t="str">
        <x:v>2026-09-01 14:51:55.727557+00:00</x:v>
      </x:c>
      <x:c r="L110" s="121" t="str">
        <x:v>2024-03-31 00:00:00+00:00</x:v>
      </x:c>
      <x:c r="M110" s="106" t="str">
        <x:v>akshare-financial-v1-sina</x:v>
      </x:c>
      <x:c r="N110" s="106" t="str">
        <x:v>1d6a1cd82b3fc7028f902dd3be2b2df52b56c2afea27102a21eedbe4a29f4a89</x:v>
      </x:c>
      <x:c r="O110" s="113"/>
      <x:c r="P110" s="106" t="str">
        <x:v>pending</x:v>
      </x:c>
      <x:c r="Q110" s="106" t="str">
        <x:v>否</x:v>
      </x:c>
      <x:c r="R110" s="106" t="str">
        <x:v>由本地 Agent 同步</x:v>
      </x:c>
      <x:c r="S110" s="86"/>
      <x:c r="T110" s="86"/>
      <x:c r="U110" s="86"/>
      <x:c r="V110" s="86"/>
      <x:c r="W110" s="86"/>
      <x:c r="X110" s="86"/>
      <x:c r="Y110" s="86"/>
      <x:c r="Z110" s="86"/>
    </x:row>
    <x:row r="111">
      <x:c r="A111" s="106" t="str">
        <x:v>0dbe7f7e-dd22-4839-bacb-251907b0281e</x:v>
      </x:c>
      <x:c r="B111" s="106" t="str">
        <x:v>600690</x:v>
      </x:c>
      <x:c r="C111" s="106" t="str">
        <x:v>debt_ratio</x:v>
      </x:c>
      <x:c r="D111" s="106" t="str">
        <x:v>2024-03-31</x:v>
      </x:c>
      <x:c r="E111" s="106" t="n">
        <x:v>57.3365</x:v>
      </x:c>
      <x:c r="F111" s="106" t="str">
        <x:v>percent</x:v>
      </x:c>
      <x:c r="G111" s="106" t="str">
        <x:v>AkShare / Sina financial indicators</x:v>
      </x:c>
      <x:c r="H111" s="106" t="str">
        <x:v>https://money.finance.sina.com.cn/corp/go.php/vFD_FinancialGuideLine/stockid/600690/ctrl/2024/displaytype/4.phtml</x:v>
      </x:c>
      <x:c r="I111" s="106"/>
      <x:c r="J111" s="106"/>
      <x:c r="K111" s="121" t="str">
        <x:v>2026-09-01 14:51:55.727557+00:00</x:v>
      </x:c>
      <x:c r="L111" s="121" t="str">
        <x:v>2024-03-31 00:00:00+00:00</x:v>
      </x:c>
      <x:c r="M111" s="106" t="str">
        <x:v>akshare-financial-v1-sina</x:v>
      </x:c>
      <x:c r="N111" s="106" t="str">
        <x:v>1d6a1cd82b3fc7028f902dd3be2b2df52b56c2afea27102a21eedbe4a29f4a89</x:v>
      </x:c>
      <x:c r="O111" s="113"/>
      <x:c r="P111" s="106" t="str">
        <x:v>pending</x:v>
      </x:c>
      <x:c r="Q111" s="106" t="str">
        <x:v>否</x:v>
      </x:c>
      <x:c r="R111" s="106" t="str">
        <x:v>由本地 Agent 同步</x:v>
      </x:c>
      <x:c r="S111" s="86"/>
      <x:c r="T111" s="86"/>
      <x:c r="U111" s="86"/>
      <x:c r="V111" s="86"/>
      <x:c r="W111" s="86"/>
      <x:c r="X111" s="86"/>
      <x:c r="Y111" s="86"/>
      <x:c r="Z111" s="86"/>
    </x:row>
    <x:row r="112">
      <x:c r="A112" s="106" t="str">
        <x:v>0dbe7f7e-dd22-4839-bacb-251907b0281e</x:v>
      </x:c>
      <x:c r="B112" s="106" t="str">
        <x:v>600690</x:v>
      </x:c>
      <x:c r="C112" s="106" t="str">
        <x:v>net_income_yoy</x:v>
      </x:c>
      <x:c r="D112" s="106" t="str">
        <x:v>2024-03-31</x:v>
      </x:c>
      <x:c r="E112" s="106" t="n">
        <x:v>20.4921</x:v>
      </x:c>
      <x:c r="F112" s="106" t="str">
        <x:v>percent</x:v>
      </x:c>
      <x:c r="G112" s="106" t="str">
        <x:v>AkShare / Sina financial indicators</x:v>
      </x:c>
      <x:c r="H112" s="106" t="str">
        <x:v>https://money.finance.sina.com.cn/corp/go.php/vFD_FinancialGuideLine/stockid/600690/ctrl/2024/displaytype/4.phtml</x:v>
      </x:c>
      <x:c r="I112" s="106"/>
      <x:c r="J112" s="106"/>
      <x:c r="K112" s="121" t="str">
        <x:v>2026-09-01 14:51:55.727557+00:00</x:v>
      </x:c>
      <x:c r="L112" s="121" t="str">
        <x:v>2024-03-31 00:00:00+00:00</x:v>
      </x:c>
      <x:c r="M112" s="106" t="str">
        <x:v>akshare-financial-v1-sina</x:v>
      </x:c>
      <x:c r="N112" s="106" t="str">
        <x:v>1d6a1cd82b3fc7028f902dd3be2b2df52b56c2afea27102a21eedbe4a29f4a89</x:v>
      </x:c>
      <x:c r="O112" s="113"/>
      <x:c r="P112" s="106" t="str">
        <x:v>pending</x:v>
      </x:c>
      <x:c r="Q112" s="106" t="str">
        <x:v>否</x:v>
      </x:c>
      <x:c r="R112" s="106" t="str">
        <x:v>由本地 Agent 同步</x:v>
      </x:c>
      <x:c r="S112" s="86"/>
      <x:c r="T112" s="86"/>
      <x:c r="U112" s="86"/>
      <x:c r="V112" s="86"/>
      <x:c r="W112" s="86"/>
      <x:c r="X112" s="86"/>
      <x:c r="Y112" s="86"/>
      <x:c r="Z112" s="86"/>
    </x:row>
    <x:row r="113">
      <x:c r="A113" s="106" t="str">
        <x:v>0dbe7f7e-dd22-4839-bacb-251907b0281e</x:v>
      </x:c>
      <x:c r="B113" s="106" t="str">
        <x:v>600690</x:v>
      </x:c>
      <x:c r="C113" s="106" t="str">
        <x:v>revenue_yoy</x:v>
      </x:c>
      <x:c r="D113" s="106" t="str">
        <x:v>2024-03-31</x:v>
      </x:c>
      <x:c r="E113" s="106" t="n">
        <x:v>6.0108</x:v>
      </x:c>
      <x:c r="F113" s="106" t="str">
        <x:v>percent</x:v>
      </x:c>
      <x:c r="G113" s="106" t="str">
        <x:v>AkShare / Sina financial indicators</x:v>
      </x:c>
      <x:c r="H113" s="106" t="str">
        <x:v>https://money.finance.sina.com.cn/corp/go.php/vFD_FinancialGuideLine/stockid/600690/ctrl/2024/displaytype/4.phtml</x:v>
      </x:c>
      <x:c r="I113" s="106"/>
      <x:c r="J113" s="106"/>
      <x:c r="K113" s="121" t="str">
        <x:v>2026-09-01 14:51:55.727557+00:00</x:v>
      </x:c>
      <x:c r="L113" s="121" t="str">
        <x:v>2024-03-31 00:00:00+00:00</x:v>
      </x:c>
      <x:c r="M113" s="106" t="str">
        <x:v>akshare-financial-v1-sina</x:v>
      </x:c>
      <x:c r="N113" s="106" t="str">
        <x:v>1d6a1cd82b3fc7028f902dd3be2b2df52b56c2afea27102a21eedbe4a29f4a89</x:v>
      </x:c>
      <x:c r="O113" s="113"/>
      <x:c r="P113" s="106" t="str">
        <x:v>pending</x:v>
      </x:c>
      <x:c r="Q113" s="106" t="str">
        <x:v>否</x:v>
      </x:c>
      <x:c r="R113" s="106" t="str">
        <x:v>由本地 Agent 同步</x:v>
      </x:c>
      <x:c r="S113" s="86"/>
      <x:c r="T113" s="86"/>
      <x:c r="U113" s="86"/>
      <x:c r="V113" s="86"/>
      <x:c r="W113" s="86"/>
      <x:c r="X113" s="86"/>
      <x:c r="Y113" s="86"/>
      <x:c r="Z113" s="86"/>
    </x:row>
    <x:row r="114">
      <x:c r="A114" s="106" t="str">
        <x:v>0dbe7f7e-dd22-4839-bacb-251907b0281e</x:v>
      </x:c>
      <x:c r="B114" s="106" t="str">
        <x:v>600690</x:v>
      </x:c>
      <x:c r="C114" s="106" t="str">
        <x:v>net_margin</x:v>
      </x:c>
      <x:c r="D114" s="106" t="str">
        <x:v>2024-03-31</x:v>
      </x:c>
      <x:c r="E114" s="106" t="n">
        <x:v>7.0374</x:v>
      </x:c>
      <x:c r="F114" s="106" t="str">
        <x:v>percent</x:v>
      </x:c>
      <x:c r="G114" s="106" t="str">
        <x:v>AkShare / Sina financial indicators</x:v>
      </x:c>
      <x:c r="H114" s="106" t="str">
        <x:v>https://money.finance.sina.com.cn/corp/go.php/vFD_FinancialGuideLine/stockid/600690/ctrl/2024/displaytype/4.phtml</x:v>
      </x:c>
      <x:c r="I114" s="106"/>
      <x:c r="J114" s="106"/>
      <x:c r="K114" s="121" t="str">
        <x:v>2026-09-01 14:51:55.727557+00:00</x:v>
      </x:c>
      <x:c r="L114" s="121" t="str">
        <x:v>2024-03-31 00:00:00+00:00</x:v>
      </x:c>
      <x:c r="M114" s="106" t="str">
        <x:v>akshare-financial-v1-sina</x:v>
      </x:c>
      <x:c r="N114" s="106" t="str">
        <x:v>1d6a1cd82b3fc7028f902dd3be2b2df52b56c2afea27102a21eedbe4a29f4a89</x:v>
      </x:c>
      <x:c r="O114" s="113"/>
      <x:c r="P114" s="106" t="str">
        <x:v>pending</x:v>
      </x:c>
      <x:c r="Q114" s="106" t="str">
        <x:v>否</x:v>
      </x:c>
      <x:c r="R114" s="106" t="str">
        <x:v>由本地 Agent 同步</x:v>
      </x:c>
      <x:c r="S114" s="86"/>
      <x:c r="T114" s="86"/>
      <x:c r="U114" s="86"/>
      <x:c r="V114" s="86"/>
      <x:c r="W114" s="86"/>
      <x:c r="X114" s="86"/>
      <x:c r="Y114" s="86"/>
      <x:c r="Z114" s="86"/>
    </x:row>
    <x:row r="115">
      <x:c r="A115" s="106" t="str">
        <x:v>0dbe7f7e-dd22-4839-bacb-251907b0281e</x:v>
      </x:c>
      <x:c r="B115" s="106" t="str">
        <x:v>600690</x:v>
      </x:c>
      <x:c r="C115" s="106" t="str">
        <x:v>roe</x:v>
      </x:c>
      <x:c r="D115" s="106" t="str">
        <x:v>2024-03-31</x:v>
      </x:c>
      <x:c r="E115" s="106" t="n">
        <x:v>4.45</x:v>
      </x:c>
      <x:c r="F115" s="106" t="str">
        <x:v>percent</x:v>
      </x:c>
      <x:c r="G115" s="106" t="str">
        <x:v>AkShare / Sina financial indicators</x:v>
      </x:c>
      <x:c r="H115" s="106" t="str">
        <x:v>https://money.finance.sina.com.cn/corp/go.php/vFD_FinancialGuideLine/stockid/600690/ctrl/2024/displaytype/4.phtml</x:v>
      </x:c>
      <x:c r="I115" s="106"/>
      <x:c r="J115" s="106"/>
      <x:c r="K115" s="121" t="str">
        <x:v>2026-09-01 14:51:55.727557+00:00</x:v>
      </x:c>
      <x:c r="L115" s="121" t="str">
        <x:v>2024-03-31 00:00:00+00:00</x:v>
      </x:c>
      <x:c r="M115" s="106" t="str">
        <x:v>akshare-financial-v1-sina</x:v>
      </x:c>
      <x:c r="N115" s="106" t="str">
        <x:v>1d6a1cd82b3fc7028f902dd3be2b2df52b56c2afea27102a21eedbe4a29f4a89</x:v>
      </x:c>
      <x:c r="O115" s="113"/>
      <x:c r="P115" s="106" t="str">
        <x:v>pending</x:v>
      </x:c>
      <x:c r="Q115" s="106" t="str">
        <x:v>否</x:v>
      </x:c>
      <x:c r="R115" s="106" t="str">
        <x:v>由本地 Agent 同步</x:v>
      </x:c>
      <x:c r="S115" s="86"/>
      <x:c r="T115" s="86"/>
      <x:c r="U115" s="86"/>
      <x:c r="V115" s="86"/>
      <x:c r="W115" s="86"/>
      <x:c r="X115" s="86"/>
      <x:c r="Y115" s="86"/>
      <x:c r="Z115" s="86"/>
    </x:row>
    <x:row r="116">
      <x:c r="A116" s="106" t="str">
        <x:v>0dbe7f7e-dd22-4839-bacb-251907b0281e</x:v>
      </x:c>
      <x:c r="B116" s="106" t="str">
        <x:v>600690</x:v>
      </x:c>
      <x:c r="C116" s="106" t="str">
        <x:v>bvps</x:v>
      </x:c>
      <x:c r="D116" s="106" t="str">
        <x:v>2024-03-31</x:v>
      </x:c>
      <x:c r="E116" s="106" t="n">
        <x:v>11.6561</x:v>
      </x:c>
      <x:c r="F116" s="106" t="str">
        <x:v>CNY/share</x:v>
      </x:c>
      <x:c r="G116" s="106" t="str">
        <x:v>AkShare / Sina financial indicators</x:v>
      </x:c>
      <x:c r="H116" s="106" t="str">
        <x:v>https://money.finance.sina.com.cn/corp/go.php/vFD_FinancialGuideLine/stockid/600690/ctrl/2024/displaytype/4.phtml</x:v>
      </x:c>
      <x:c r="I116" s="106"/>
      <x:c r="J116" s="106"/>
      <x:c r="K116" s="121" t="str">
        <x:v>2026-09-01 14:51:55.727557+00:00</x:v>
      </x:c>
      <x:c r="L116" s="121" t="str">
        <x:v>2024-03-31 00:00:00+00:00</x:v>
      </x:c>
      <x:c r="M116" s="106" t="str">
        <x:v>akshare-financial-v1-sina</x:v>
      </x:c>
      <x:c r="N116" s="106" t="str">
        <x:v>1d6a1cd82b3fc7028f902dd3be2b2df52b56c2afea27102a21eedbe4a29f4a89</x:v>
      </x:c>
      <x:c r="O116" s="113"/>
      <x:c r="P116" s="106" t="str">
        <x:v>pending</x:v>
      </x:c>
      <x:c r="Q116" s="106" t="str">
        <x:v>否</x:v>
      </x:c>
      <x:c r="R116" s="106" t="str">
        <x:v>由本地 Agent 同步</x:v>
      </x:c>
      <x:c r="S116" s="86"/>
      <x:c r="T116" s="86"/>
      <x:c r="U116" s="86"/>
      <x:c r="V116" s="86"/>
      <x:c r="W116" s="86"/>
      <x:c r="X116" s="86"/>
      <x:c r="Y116" s="86"/>
      <x:c r="Z116" s="86"/>
    </x:row>
    <x:row r="117">
      <x:c r="A117" s="106" t="str">
        <x:v>0dbe7f7e-dd22-4839-bacb-251907b0281e</x:v>
      </x:c>
      <x:c r="B117" s="106" t="str">
        <x:v>600690</x:v>
      </x:c>
      <x:c r="C117" s="106" t="str">
        <x:v>eps_ttm</x:v>
      </x:c>
      <x:c r="D117" s="106" t="str">
        <x:v>2024-03-31</x:v>
      </x:c>
      <x:c r="E117" s="106" t="n">
        <x:v>0.5143</x:v>
      </x:c>
      <x:c r="F117" s="106" t="str">
        <x:v>CNY/share</x:v>
      </x:c>
      <x:c r="G117" s="106" t="str">
        <x:v>AkShare / Sina financial indicators</x:v>
      </x:c>
      <x:c r="H117" s="106" t="str">
        <x:v>https://money.finance.sina.com.cn/corp/go.php/vFD_FinancialGuideLine/stockid/600690/ctrl/2024/displaytype/4.phtml</x:v>
      </x:c>
      <x:c r="I117" s="106"/>
      <x:c r="J117" s="106"/>
      <x:c r="K117" s="121" t="str">
        <x:v>2026-09-01 14:51:55.727557+00:00</x:v>
      </x:c>
      <x:c r="L117" s="121" t="str">
        <x:v>2024-03-31 00:00:00+00:00</x:v>
      </x:c>
      <x:c r="M117" s="106" t="str">
        <x:v>akshare-financial-v1-sina</x:v>
      </x:c>
      <x:c r="N117" s="106" t="str">
        <x:v>1d6a1cd82b3fc7028f902dd3be2b2df52b56c2afea27102a21eedbe4a29f4a89</x:v>
      </x:c>
      <x:c r="O117" s="113"/>
      <x:c r="P117" s="106" t="str">
        <x:v>pending</x:v>
      </x:c>
      <x:c r="Q117" s="106" t="str">
        <x:v>否</x:v>
      </x:c>
      <x:c r="R117" s="106" t="str">
        <x:v>由本地 Agent 同步</x:v>
      </x:c>
      <x:c r="S117" s="86"/>
      <x:c r="T117" s="86"/>
      <x:c r="U117" s="86"/>
      <x:c r="V117" s="86"/>
      <x:c r="W117" s="86"/>
      <x:c r="X117" s="86"/>
      <x:c r="Y117" s="86"/>
      <x:c r="Z117" s="86"/>
    </x:row>
    <x:row r="118">
      <x:c r="A118" s="106" t="str">
        <x:v>f8fbb2c8-8f27-4875-ae71-4cdd5ef865ac</x:v>
      </x:c>
      <x:c r="B118" s="106" t="str">
        <x:v>601088</x:v>
      </x:c>
      <x:c r="C118" s="106" t="str">
        <x:v>operating_cash_flow_to_net_income</x:v>
      </x:c>
      <x:c r="D118" s="106" t="str">
        <x:v>2024-03-31</x:v>
      </x:c>
      <x:c r="E118" s="106" t="n">
        <x:v>1.5335</x:v>
      </x:c>
      <x:c r="F118" s="106" t="str">
        <x:v>percent</x:v>
      </x:c>
      <x:c r="G118" s="106" t="str">
        <x:v>AkShare / Sina financial indicators</x:v>
      </x:c>
      <x:c r="H118" s="106" t="str">
        <x:v>https://money.finance.sina.com.cn/corp/go.php/vFD_FinancialGuideLine/stockid/601088/ctrl/2024/displaytype/4.phtml</x:v>
      </x:c>
      <x:c r="I118" s="106"/>
      <x:c r="J118" s="106"/>
      <x:c r="K118" s="121" t="str">
        <x:v>2026-09-01 14:51:55.727557+00:00</x:v>
      </x:c>
      <x:c r="L118" s="121" t="str">
        <x:v>2024-03-31 00:00:00+00:00</x:v>
      </x:c>
      <x:c r="M118" s="106" t="str">
        <x:v>akshare-financial-v1-sina</x:v>
      </x:c>
      <x:c r="N118" s="106" t="str">
        <x:v>29b1b2f2541540dcb5ef1e8a319d379192eba9af3136fadabafd7f097b11e15b</x:v>
      </x:c>
      <x:c r="O118" s="113"/>
      <x:c r="P118" s="106" t="str">
        <x:v>pending</x:v>
      </x:c>
      <x:c r="Q118" s="106" t="str">
        <x:v>否</x:v>
      </x:c>
      <x:c r="R118" s="106" t="str">
        <x:v>由本地 Agent 同步</x:v>
      </x:c>
      <x:c r="S118" s="86"/>
      <x:c r="T118" s="86"/>
      <x:c r="U118" s="86"/>
      <x:c r="V118" s="86"/>
      <x:c r="W118" s="86"/>
      <x:c r="X118" s="86"/>
      <x:c r="Y118" s="86"/>
      <x:c r="Z118" s="86"/>
    </x:row>
    <x:row r="119">
      <x:c r="A119" s="106" t="str">
        <x:v>f8fbb2c8-8f27-4875-ae71-4cdd5ef865ac</x:v>
      </x:c>
      <x:c r="B119" s="106" t="str">
        <x:v>601088</x:v>
      </x:c>
      <x:c r="C119" s="106" t="str">
        <x:v>debt_ratio</x:v>
      </x:c>
      <x:c r="D119" s="106" t="str">
        <x:v>2024-03-31</x:v>
      </x:c>
      <x:c r="E119" s="106" t="n">
        <x:v>23.5681</x:v>
      </x:c>
      <x:c r="F119" s="106" t="str">
        <x:v>percent</x:v>
      </x:c>
      <x:c r="G119" s="106" t="str">
        <x:v>AkShare / Sina financial indicators</x:v>
      </x:c>
      <x:c r="H119" s="106" t="str">
        <x:v>https://money.finance.sina.com.cn/corp/go.php/vFD_FinancialGuideLine/stockid/601088/ctrl/2024/displaytype/4.phtml</x:v>
      </x:c>
      <x:c r="I119" s="106"/>
      <x:c r="J119" s="106"/>
      <x:c r="K119" s="121" t="str">
        <x:v>2026-09-01 14:51:55.727557+00:00</x:v>
      </x:c>
      <x:c r="L119" s="121" t="str">
        <x:v>2024-03-31 00:00:00+00:00</x:v>
      </x:c>
      <x:c r="M119" s="106" t="str">
        <x:v>akshare-financial-v1-sina</x:v>
      </x:c>
      <x:c r="N119" s="106" t="str">
        <x:v>29b1b2f2541540dcb5ef1e8a319d379192eba9af3136fadabafd7f097b11e15b</x:v>
      </x:c>
      <x:c r="O119" s="113"/>
      <x:c r="P119" s="106" t="str">
        <x:v>pending</x:v>
      </x:c>
      <x:c r="Q119" s="106" t="str">
        <x:v>否</x:v>
      </x:c>
      <x:c r="R119" s="106" t="str">
        <x:v>由本地 Agent 同步</x:v>
      </x:c>
      <x:c r="S119" s="86"/>
      <x:c r="T119" s="86"/>
      <x:c r="U119" s="86"/>
      <x:c r="V119" s="86"/>
      <x:c r="W119" s="86"/>
      <x:c r="X119" s="86"/>
      <x:c r="Y119" s="86"/>
      <x:c r="Z119" s="86"/>
    </x:row>
    <x:row r="120">
      <x:c r="A120" s="106" t="str">
        <x:v>f8fbb2c8-8f27-4875-ae71-4cdd5ef865ac</x:v>
      </x:c>
      <x:c r="B120" s="106" t="str">
        <x:v>601088</x:v>
      </x:c>
      <x:c r="C120" s="106" t="str">
        <x:v>net_income_yoy</x:v>
      </x:c>
      <x:c r="D120" s="106" t="str">
        <x:v>2024-03-31</x:v>
      </x:c>
      <x:c r="E120" s="106" t="n">
        <x:v>-12.43</x:v>
      </x:c>
      <x:c r="F120" s="106" t="str">
        <x:v>percent</x:v>
      </x:c>
      <x:c r="G120" s="106" t="str">
        <x:v>AkShare / Sina financial indicators</x:v>
      </x:c>
      <x:c r="H120" s="106" t="str">
        <x:v>https://money.finance.sina.com.cn/corp/go.php/vFD_FinancialGuideLine/stockid/601088/ctrl/2024/displaytype/4.phtml</x:v>
      </x:c>
      <x:c r="I120" s="106"/>
      <x:c r="J120" s="106"/>
      <x:c r="K120" s="121" t="str">
        <x:v>2026-09-01 14:51:55.727557+00:00</x:v>
      </x:c>
      <x:c r="L120" s="121" t="str">
        <x:v>2024-03-31 00:00:00+00:00</x:v>
      </x:c>
      <x:c r="M120" s="106" t="str">
        <x:v>akshare-financial-v1-sina</x:v>
      </x:c>
      <x:c r="N120" s="106" t="str">
        <x:v>29b1b2f2541540dcb5ef1e8a319d379192eba9af3136fadabafd7f097b11e15b</x:v>
      </x:c>
      <x:c r="O120" s="113"/>
      <x:c r="P120" s="106" t="str">
        <x:v>pending</x:v>
      </x:c>
      <x:c r="Q120" s="106" t="str">
        <x:v>否</x:v>
      </x:c>
      <x:c r="R120" s="106" t="str">
        <x:v>由本地 Agent 同步</x:v>
      </x:c>
      <x:c r="S120" s="86"/>
      <x:c r="T120" s="86"/>
      <x:c r="U120" s="86"/>
      <x:c r="V120" s="86"/>
      <x:c r="W120" s="86"/>
      <x:c r="X120" s="86"/>
      <x:c r="Y120" s="86"/>
      <x:c r="Z120" s="86"/>
    </x:row>
    <x:row r="121">
      <x:c r="A121" s="106" t="str">
        <x:v>f8fbb2c8-8f27-4875-ae71-4cdd5ef865ac</x:v>
      </x:c>
      <x:c r="B121" s="106" t="str">
        <x:v>601088</x:v>
      </x:c>
      <x:c r="C121" s="106" t="str">
        <x:v>revenue_yoy</x:v>
      </x:c>
      <x:c r="D121" s="106" t="str">
        <x:v>2024-03-31</x:v>
      </x:c>
      <x:c r="E121" s="106" t="n">
        <x:v>0.6951</x:v>
      </x:c>
      <x:c r="F121" s="106" t="str">
        <x:v>percent</x:v>
      </x:c>
      <x:c r="G121" s="106" t="str">
        <x:v>AkShare / Sina financial indicators</x:v>
      </x:c>
      <x:c r="H121" s="106" t="str">
        <x:v>https://money.finance.sina.com.cn/corp/go.php/vFD_FinancialGuideLine/stockid/601088/ctrl/2024/displaytype/4.phtml</x:v>
      </x:c>
      <x:c r="I121" s="106"/>
      <x:c r="J121" s="106"/>
      <x:c r="K121" s="121" t="str">
        <x:v>2026-09-01 14:51:55.727557+00:00</x:v>
      </x:c>
      <x:c r="L121" s="121" t="str">
        <x:v>2024-03-31 00:00:00+00:00</x:v>
      </x:c>
      <x:c r="M121" s="106" t="str">
        <x:v>akshare-financial-v1-sina</x:v>
      </x:c>
      <x:c r="N121" s="106" t="str">
        <x:v>29b1b2f2541540dcb5ef1e8a319d379192eba9af3136fadabafd7f097b11e15b</x:v>
      </x:c>
      <x:c r="O121" s="113"/>
      <x:c r="P121" s="106" t="str">
        <x:v>pending</x:v>
      </x:c>
      <x:c r="Q121" s="106" t="str">
        <x:v>否</x:v>
      </x:c>
      <x:c r="R121" s="106" t="str">
        <x:v>由本地 Agent 同步</x:v>
      </x:c>
      <x:c r="S121" s="86"/>
      <x:c r="T121" s="86"/>
      <x:c r="U121" s="86"/>
      <x:c r="V121" s="86"/>
      <x:c r="W121" s="86"/>
      <x:c r="X121" s="86"/>
      <x:c r="Y121" s="86"/>
      <x:c r="Z121" s="86"/>
    </x:row>
    <x:row r="122">
      <x:c r="A122" s="106" t="str">
        <x:v>f8fbb2c8-8f27-4875-ae71-4cdd5ef865ac</x:v>
      </x:c>
      <x:c r="B122" s="106" t="str">
        <x:v>601088</x:v>
      </x:c>
      <x:c r="C122" s="106" t="str">
        <x:v>net_margin</x:v>
      </x:c>
      <x:c r="D122" s="106" t="str">
        <x:v>2024-03-31</x:v>
      </x:c>
      <x:c r="E122" s="106" t="n">
        <x:v>21.2443</x:v>
      </x:c>
      <x:c r="F122" s="106" t="str">
        <x:v>percent</x:v>
      </x:c>
      <x:c r="G122" s="106" t="str">
        <x:v>AkShare / Sina financial indicators</x:v>
      </x:c>
      <x:c r="H122" s="106" t="str">
        <x:v>https://money.finance.sina.com.cn/corp/go.php/vFD_FinancialGuideLine/stockid/601088/ctrl/2024/displaytype/4.phtml</x:v>
      </x:c>
      <x:c r="I122" s="106"/>
      <x:c r="J122" s="106"/>
      <x:c r="K122" s="121" t="str">
        <x:v>2026-09-01 14:51:55.727557+00:00</x:v>
      </x:c>
      <x:c r="L122" s="121" t="str">
        <x:v>2024-03-31 00:00:00+00:00</x:v>
      </x:c>
      <x:c r="M122" s="106" t="str">
        <x:v>akshare-financial-v1-sina</x:v>
      </x:c>
      <x:c r="N122" s="106" t="str">
        <x:v>29b1b2f2541540dcb5ef1e8a319d379192eba9af3136fadabafd7f097b11e15b</x:v>
      </x:c>
      <x:c r="O122" s="113"/>
      <x:c r="P122" s="106" t="str">
        <x:v>pending</x:v>
      </x:c>
      <x:c r="Q122" s="106" t="str">
        <x:v>否</x:v>
      </x:c>
      <x:c r="R122" s="106" t="str">
        <x:v>由本地 Agent 同步</x:v>
      </x:c>
      <x:c r="S122" s="86"/>
      <x:c r="T122" s="86"/>
      <x:c r="U122" s="86"/>
      <x:c r="V122" s="86"/>
      <x:c r="W122" s="86"/>
      <x:c r="X122" s="86"/>
      <x:c r="Y122" s="86"/>
      <x:c r="Z122" s="86"/>
    </x:row>
    <x:row r="123">
      <x:c r="A123" s="106" t="str">
        <x:v>f8fbb2c8-8f27-4875-ae71-4cdd5ef865ac</x:v>
      </x:c>
      <x:c r="B123" s="106" t="str">
        <x:v>601088</x:v>
      </x:c>
      <x:c r="C123" s="106" t="str">
        <x:v>roe</x:v>
      </x:c>
      <x:c r="D123" s="106" t="str">
        <x:v>2024-03-31</x:v>
      </x:c>
      <x:c r="E123" s="106" t="n">
        <x:v>3.73</x:v>
      </x:c>
      <x:c r="F123" s="106" t="str">
        <x:v>percent</x:v>
      </x:c>
      <x:c r="G123" s="106" t="str">
        <x:v>AkShare / Sina financial indicators</x:v>
      </x:c>
      <x:c r="H123" s="106" t="str">
        <x:v>https://money.finance.sina.com.cn/corp/go.php/vFD_FinancialGuideLine/stockid/601088/ctrl/2024/displaytype/4.phtml</x:v>
      </x:c>
      <x:c r="I123" s="106"/>
      <x:c r="J123" s="106"/>
      <x:c r="K123" s="121" t="str">
        <x:v>2026-09-01 14:51:55.727557+00:00</x:v>
      </x:c>
      <x:c r="L123" s="121" t="str">
        <x:v>2024-03-31 00:00:00+00:00</x:v>
      </x:c>
      <x:c r="M123" s="106" t="str">
        <x:v>akshare-financial-v1-sina</x:v>
      </x:c>
      <x:c r="N123" s="106" t="str">
        <x:v>29b1b2f2541540dcb5ef1e8a319d379192eba9af3136fadabafd7f097b11e15b</x:v>
      </x:c>
      <x:c r="O123" s="113"/>
      <x:c r="P123" s="106" t="str">
        <x:v>pending</x:v>
      </x:c>
      <x:c r="Q123" s="106" t="str">
        <x:v>否</x:v>
      </x:c>
      <x:c r="R123" s="106" t="str">
        <x:v>由本地 Agent 同步</x:v>
      </x:c>
      <x:c r="S123" s="86"/>
      <x:c r="T123" s="86"/>
      <x:c r="U123" s="86"/>
      <x:c r="V123" s="86"/>
      <x:c r="W123" s="86"/>
      <x:c r="X123" s="86"/>
      <x:c r="Y123" s="86"/>
      <x:c r="Z123" s="86"/>
    </x:row>
    <x:row r="124">
      <x:c r="A124" s="106" t="str">
        <x:v>f8fbb2c8-8f27-4875-ae71-4cdd5ef865ac</x:v>
      </x:c>
      <x:c r="B124" s="106" t="str">
        <x:v>601088</x:v>
      </x:c>
      <x:c r="C124" s="106" t="str">
        <x:v>bvps</x:v>
      </x:c>
      <x:c r="D124" s="106" t="str">
        <x:v>2024-03-31</x:v>
      </x:c>
      <x:c r="E124" s="106" t="n">
        <x:v>25.1359</x:v>
      </x:c>
      <x:c r="F124" s="106" t="str">
        <x:v>CNY/share</x:v>
      </x:c>
      <x:c r="G124" s="106" t="str">
        <x:v>AkShare / Sina financial indicators</x:v>
      </x:c>
      <x:c r="H124" s="106" t="str">
        <x:v>https://money.finance.sina.com.cn/corp/go.php/vFD_FinancialGuideLine/stockid/601088/ctrl/2024/displaytype/4.phtml</x:v>
      </x:c>
      <x:c r="I124" s="106"/>
      <x:c r="J124" s="106"/>
      <x:c r="K124" s="121" t="str">
        <x:v>2026-09-01 14:51:55.727557+00:00</x:v>
      </x:c>
      <x:c r="L124" s="121" t="str">
        <x:v>2024-03-31 00:00:00+00:00</x:v>
      </x:c>
      <x:c r="M124" s="106" t="str">
        <x:v>akshare-financial-v1-sina</x:v>
      </x:c>
      <x:c r="N124" s="106" t="str">
        <x:v>29b1b2f2541540dcb5ef1e8a319d379192eba9af3136fadabafd7f097b11e15b</x:v>
      </x:c>
      <x:c r="O124" s="113"/>
      <x:c r="P124" s="106" t="str">
        <x:v>pending</x:v>
      </x:c>
      <x:c r="Q124" s="106" t="str">
        <x:v>否</x:v>
      </x:c>
      <x:c r="R124" s="106" t="str">
        <x:v>由本地 Agent 同步</x:v>
      </x:c>
      <x:c r="S124" s="86"/>
      <x:c r="T124" s="86"/>
      <x:c r="U124" s="86"/>
      <x:c r="V124" s="86"/>
      <x:c r="W124" s="86"/>
      <x:c r="X124" s="86"/>
      <x:c r="Y124" s="86"/>
      <x:c r="Z124" s="86"/>
    </x:row>
    <x:row r="125">
      <x:c r="A125" s="106" t="str">
        <x:v>f8fbb2c8-8f27-4875-ae71-4cdd5ef865ac</x:v>
      </x:c>
      <x:c r="B125" s="106" t="str">
        <x:v>601088</x:v>
      </x:c>
      <x:c r="C125" s="106" t="str">
        <x:v>eps_ttm</x:v>
      </x:c>
      <x:c r="D125" s="106" t="str">
        <x:v>2024-03-31</x:v>
      </x:c>
      <x:c r="E125" s="106" t="n">
        <x:v>0.9372</x:v>
      </x:c>
      <x:c r="F125" s="106" t="str">
        <x:v>CNY/share</x:v>
      </x:c>
      <x:c r="G125" s="106" t="str">
        <x:v>AkShare / Sina financial indicators</x:v>
      </x:c>
      <x:c r="H125" s="106" t="str">
        <x:v>https://money.finance.sina.com.cn/corp/go.php/vFD_FinancialGuideLine/stockid/601088/ctrl/2024/displaytype/4.phtml</x:v>
      </x:c>
      <x:c r="I125" s="106"/>
      <x:c r="J125" s="106"/>
      <x:c r="K125" s="121" t="str">
        <x:v>2026-09-01 14:51:55.727557+00:00</x:v>
      </x:c>
      <x:c r="L125" s="121" t="str">
        <x:v>2024-03-31 00:00:00+00:00</x:v>
      </x:c>
      <x:c r="M125" s="106" t="str">
        <x:v>akshare-financial-v1-sina</x:v>
      </x:c>
      <x:c r="N125" s="106" t="str">
        <x:v>29b1b2f2541540dcb5ef1e8a319d379192eba9af3136fadabafd7f097b11e15b</x:v>
      </x:c>
      <x:c r="O125" s="113"/>
      <x:c r="P125" s="106" t="str">
        <x:v>pending</x:v>
      </x:c>
      <x:c r="Q125" s="106" t="str">
        <x:v>否</x:v>
      </x:c>
      <x:c r="R125" s="106" t="str">
        <x:v>由本地 Agent 同步</x:v>
      </x:c>
      <x:c r="S125" s="86"/>
      <x:c r="T125" s="86"/>
      <x:c r="U125" s="86"/>
      <x:c r="V125" s="86"/>
      <x:c r="W125" s="86"/>
      <x:c r="X125" s="86"/>
      <x:c r="Y125" s="86"/>
      <x:c r="Z125" s="86"/>
    </x:row>
    <x:row r="126">
      <x:c r="A126" s="106" t="str">
        <x:v>e441fc0d-aaa9-47d5-857e-3149d24126e9</x:v>
      </x:c>
      <x:c r="B126" s="106" t="str">
        <x:v>601288</x:v>
      </x:c>
      <x:c r="C126" s="106" t="str">
        <x:v>operating_cash_flow_to_net_income</x:v>
      </x:c>
      <x:c r="D126" s="106" t="str">
        <x:v>2024-03-31</x:v>
      </x:c>
      <x:c r="E126" s="106" t="n">
        <x:v>11.0612</x:v>
      </x:c>
      <x:c r="F126" s="106" t="str">
        <x:v>percent</x:v>
      </x:c>
      <x:c r="G126" s="106" t="str">
        <x:v>AkShare / Sina financial indicators</x:v>
      </x:c>
      <x:c r="H126" s="106" t="str">
        <x:v>https://money.finance.sina.com.cn/corp/go.php/vFD_FinancialGuideLine/stockid/601288/ctrl/2024/displaytype/4.phtml</x:v>
      </x:c>
      <x:c r="I126" s="106"/>
      <x:c r="J126" s="106"/>
      <x:c r="K126" s="121" t="str">
        <x:v>2026-09-01 14:51:55.727557+00:00</x:v>
      </x:c>
      <x:c r="L126" s="121" t="str">
        <x:v>2024-03-31 00:00:00+00:00</x:v>
      </x:c>
      <x:c r="M126" s="106" t="str">
        <x:v>akshare-financial-v1-sina</x:v>
      </x:c>
      <x:c r="N126" s="106" t="str">
        <x:v>6a30865bea5dcd7fa3c700ad855e2e6998a5669ebf35e5cb06ef19d383cc7276</x:v>
      </x:c>
      <x:c r="O126" s="113"/>
      <x:c r="P126" s="106" t="str">
        <x:v>pending</x:v>
      </x:c>
      <x:c r="Q126" s="106" t="str">
        <x:v>否</x:v>
      </x:c>
      <x:c r="R126" s="106" t="str">
        <x:v>由本地 Agent 同步</x:v>
      </x:c>
      <x:c r="S126" s="86"/>
      <x:c r="T126" s="86"/>
      <x:c r="U126" s="86"/>
      <x:c r="V126" s="86"/>
      <x:c r="W126" s="86"/>
      <x:c r="X126" s="86"/>
      <x:c r="Y126" s="86"/>
      <x:c r="Z126" s="86"/>
    </x:row>
    <x:row r="127">
      <x:c r="A127" s="106" t="str">
        <x:v>e441fc0d-aaa9-47d5-857e-3149d24126e9</x:v>
      </x:c>
      <x:c r="B127" s="106" t="str">
        <x:v>601288</x:v>
      </x:c>
      <x:c r="C127" s="106" t="str">
        <x:v>debt_ratio</x:v>
      </x:c>
      <x:c r="D127" s="106" t="str">
        <x:v>2024-03-31</x:v>
      </x:c>
      <x:c r="E127" s="106" t="n">
        <x:v>92.8856</x:v>
      </x:c>
      <x:c r="F127" s="106" t="str">
        <x:v>percent</x:v>
      </x:c>
      <x:c r="G127" s="106" t="str">
        <x:v>AkShare / Sina financial indicators</x:v>
      </x:c>
      <x:c r="H127" s="106" t="str">
        <x:v>https://money.finance.sina.com.cn/corp/go.php/vFD_FinancialGuideLine/stockid/601288/ctrl/2024/displaytype/4.phtml</x:v>
      </x:c>
      <x:c r="I127" s="106"/>
      <x:c r="J127" s="106"/>
      <x:c r="K127" s="121" t="str">
        <x:v>2026-09-01 14:51:55.727557+00:00</x:v>
      </x:c>
      <x:c r="L127" s="121" t="str">
        <x:v>2024-03-31 00:00:00+00:00</x:v>
      </x:c>
      <x:c r="M127" s="106" t="str">
        <x:v>akshare-financial-v1-sina</x:v>
      </x:c>
      <x:c r="N127" s="106" t="str">
        <x:v>6a30865bea5dcd7fa3c700ad855e2e6998a5669ebf35e5cb06ef19d383cc7276</x:v>
      </x:c>
      <x:c r="O127" s="113"/>
      <x:c r="P127" s="106" t="str">
        <x:v>pending</x:v>
      </x:c>
      <x:c r="Q127" s="106" t="str">
        <x:v>否</x:v>
      </x:c>
      <x:c r="R127" s="106" t="str">
        <x:v>由本地 Agent 同步</x:v>
      </x:c>
      <x:c r="S127" s="86"/>
      <x:c r="T127" s="86"/>
      <x:c r="U127" s="86"/>
      <x:c r="V127" s="86"/>
      <x:c r="W127" s="86"/>
      <x:c r="X127" s="86"/>
      <x:c r="Y127" s="86"/>
      <x:c r="Z127" s="86"/>
    </x:row>
    <x:row r="128">
      <x:c r="A128" s="106" t="str">
        <x:v>e441fc0d-aaa9-47d5-857e-3149d24126e9</x:v>
      </x:c>
      <x:c r="B128" s="106" t="str">
        <x:v>601288</x:v>
      </x:c>
      <x:c r="C128" s="106" t="str">
        <x:v>net_income_yoy</x:v>
      </x:c>
      <x:c r="D128" s="106" t="str">
        <x:v>2024-03-31</x:v>
      </x:c>
      <x:c r="E128" s="106" t="n">
        <x:v>-1.7694</x:v>
      </x:c>
      <x:c r="F128" s="106" t="str">
        <x:v>percent</x:v>
      </x:c>
      <x:c r="G128" s="106" t="str">
        <x:v>AkShare / Sina financial indicators</x:v>
      </x:c>
      <x:c r="H128" s="106" t="str">
        <x:v>https://money.finance.sina.com.cn/corp/go.php/vFD_FinancialGuideLine/stockid/601288/ctrl/2024/displaytype/4.phtml</x:v>
      </x:c>
      <x:c r="I128" s="106"/>
      <x:c r="J128" s="106"/>
      <x:c r="K128" s="121" t="str">
        <x:v>2026-09-01 14:51:55.727557+00:00</x:v>
      </x:c>
      <x:c r="L128" s="121" t="str">
        <x:v>2024-03-31 00:00:00+00:00</x:v>
      </x:c>
      <x:c r="M128" s="106" t="str">
        <x:v>akshare-financial-v1-sina</x:v>
      </x:c>
      <x:c r="N128" s="106" t="str">
        <x:v>6a30865bea5dcd7fa3c700ad855e2e6998a5669ebf35e5cb06ef19d383cc7276</x:v>
      </x:c>
      <x:c r="O128" s="113"/>
      <x:c r="P128" s="106" t="str">
        <x:v>pending</x:v>
      </x:c>
      <x:c r="Q128" s="106" t="str">
        <x:v>否</x:v>
      </x:c>
      <x:c r="R128" s="106" t="str">
        <x:v>由本地 Agent 同步</x:v>
      </x:c>
      <x:c r="S128" s="86"/>
      <x:c r="T128" s="86"/>
      <x:c r="U128" s="86"/>
      <x:c r="V128" s="86"/>
      <x:c r="W128" s="86"/>
      <x:c r="X128" s="86"/>
      <x:c r="Y128" s="86"/>
      <x:c r="Z128" s="86"/>
    </x:row>
    <x:row r="129">
      <x:c r="A129" s="106" t="str">
        <x:v>e441fc0d-aaa9-47d5-857e-3149d24126e9</x:v>
      </x:c>
      <x:c r="B129" s="106" t="str">
        <x:v>601288</x:v>
      </x:c>
      <x:c r="C129" s="106" t="str">
        <x:v>roe</x:v>
      </x:c>
      <x:c r="D129" s="106" t="str">
        <x:v>2024-03-31</x:v>
      </x:c>
      <x:c r="E129" s="106" t="n">
        <x:v>2.35</x:v>
      </x:c>
      <x:c r="F129" s="106" t="str">
        <x:v>percent</x:v>
      </x:c>
      <x:c r="G129" s="106" t="str">
        <x:v>AkShare / Sina financial indicators</x:v>
      </x:c>
      <x:c r="H129" s="106" t="str">
        <x:v>https://money.finance.sina.com.cn/corp/go.php/vFD_FinancialGuideLine/stockid/601288/ctrl/2024/displaytype/4.phtml</x:v>
      </x:c>
      <x:c r="I129" s="106"/>
      <x:c r="J129" s="106"/>
      <x:c r="K129" s="121" t="str">
        <x:v>2026-09-01 14:51:55.727557+00:00</x:v>
      </x:c>
      <x:c r="L129" s="121" t="str">
        <x:v>2024-03-31 00:00:00+00:00</x:v>
      </x:c>
      <x:c r="M129" s="106" t="str">
        <x:v>akshare-financial-v1-sina</x:v>
      </x:c>
      <x:c r="N129" s="106" t="str">
        <x:v>6a30865bea5dcd7fa3c700ad855e2e6998a5669ebf35e5cb06ef19d383cc7276</x:v>
      </x:c>
      <x:c r="O129" s="113"/>
      <x:c r="P129" s="106" t="str">
        <x:v>pending</x:v>
      </x:c>
      <x:c r="Q129" s="106" t="str">
        <x:v>否</x:v>
      </x:c>
      <x:c r="R129" s="106" t="str">
        <x:v>由本地 Agent 同步</x:v>
      </x:c>
      <x:c r="S129" s="86"/>
      <x:c r="T129" s="86"/>
      <x:c r="U129" s="86"/>
      <x:c r="V129" s="86"/>
      <x:c r="W129" s="86"/>
      <x:c r="X129" s="86"/>
      <x:c r="Y129" s="86"/>
      <x:c r="Z129" s="86"/>
    </x:row>
    <x:row r="130">
      <x:c r="A130" s="106" t="str">
        <x:v>e441fc0d-aaa9-47d5-857e-3149d24126e9</x:v>
      </x:c>
      <x:c r="B130" s="106" t="str">
        <x:v>601288</x:v>
      </x:c>
      <x:c r="C130" s="106" t="str">
        <x:v>bvps</x:v>
      </x:c>
      <x:c r="D130" s="106" t="str">
        <x:v>2024-03-31</x:v>
      </x:c>
      <x:c r="E130" s="106" t="n">
        <x:v>8.5696</x:v>
      </x:c>
      <x:c r="F130" s="106" t="str">
        <x:v>CNY/share</x:v>
      </x:c>
      <x:c r="G130" s="106" t="str">
        <x:v>AkShare / Sina financial indicators</x:v>
      </x:c>
      <x:c r="H130" s="106" t="str">
        <x:v>https://money.finance.sina.com.cn/corp/go.php/vFD_FinancialGuideLine/stockid/601288/ctrl/2024/displaytype/4.phtml</x:v>
      </x:c>
      <x:c r="I130" s="106"/>
      <x:c r="J130" s="106"/>
      <x:c r="K130" s="121" t="str">
        <x:v>2026-09-01 14:51:55.727557+00:00</x:v>
      </x:c>
      <x:c r="L130" s="121" t="str">
        <x:v>2024-03-31 00:00:00+00:00</x:v>
      </x:c>
      <x:c r="M130" s="106" t="str">
        <x:v>akshare-financial-v1-sina</x:v>
      </x:c>
      <x:c r="N130" s="106" t="str">
        <x:v>6a30865bea5dcd7fa3c700ad855e2e6998a5669ebf35e5cb06ef19d383cc7276</x:v>
      </x:c>
      <x:c r="O130" s="113"/>
      <x:c r="P130" s="106" t="str">
        <x:v>pending</x:v>
      </x:c>
      <x:c r="Q130" s="106" t="str">
        <x:v>否</x:v>
      </x:c>
      <x:c r="R130" s="106" t="str">
        <x:v>由本地 Agent 同步</x:v>
      </x:c>
      <x:c r="S130" s="86"/>
      <x:c r="T130" s="86"/>
      <x:c r="U130" s="86"/>
      <x:c r="V130" s="86"/>
      <x:c r="W130" s="86"/>
      <x:c r="X130" s="86"/>
      <x:c r="Y130" s="86"/>
      <x:c r="Z130" s="86"/>
    </x:row>
    <x:row r="131">
      <x:c r="A131" s="106" t="str">
        <x:v>e441fc0d-aaa9-47d5-857e-3149d24126e9</x:v>
      </x:c>
      <x:c r="B131" s="106" t="str">
        <x:v>601288</x:v>
      </x:c>
      <x:c r="C131" s="106" t="str">
        <x:v>eps_ttm</x:v>
      </x:c>
      <x:c r="D131" s="106" t="str">
        <x:v>2024-03-31</x:v>
      </x:c>
      <x:c r="E131" s="106" t="n">
        <x:v>0.2024</x:v>
      </x:c>
      <x:c r="F131" s="106" t="str">
        <x:v>CNY/share</x:v>
      </x:c>
      <x:c r="G131" s="106" t="str">
        <x:v>AkShare / Sina financial indicators</x:v>
      </x:c>
      <x:c r="H131" s="106" t="str">
        <x:v>https://money.finance.sina.com.cn/corp/go.php/vFD_FinancialGuideLine/stockid/601288/ctrl/2024/displaytype/4.phtml</x:v>
      </x:c>
      <x:c r="I131" s="106"/>
      <x:c r="J131" s="106"/>
      <x:c r="K131" s="121" t="str">
        <x:v>2026-09-01 14:51:55.727557+00:00</x:v>
      </x:c>
      <x:c r="L131" s="121" t="str">
        <x:v>2024-03-31 00:00:00+00:00</x:v>
      </x:c>
      <x:c r="M131" s="106" t="str">
        <x:v>akshare-financial-v1-sina</x:v>
      </x:c>
      <x:c r="N131" s="106" t="str">
        <x:v>6a30865bea5dcd7fa3c700ad855e2e6998a5669ebf35e5cb06ef19d383cc7276</x:v>
      </x:c>
      <x:c r="O131" s="113"/>
      <x:c r="P131" s="106" t="str">
        <x:v>pending</x:v>
      </x:c>
      <x:c r="Q131" s="106" t="str">
        <x:v>否</x:v>
      </x:c>
      <x:c r="R131" s="106" t="str">
        <x:v>由本地 Agent 同步</x:v>
      </x:c>
      <x:c r="S131" s="86"/>
      <x:c r="T131" s="86"/>
      <x:c r="U131" s="86"/>
      <x:c r="V131" s="86"/>
      <x:c r="W131" s="86"/>
      <x:c r="X131" s="86"/>
      <x:c r="Y131" s="86"/>
      <x:c r="Z131" s="86"/>
    </x:row>
    <x:row r="132">
      <x:c r="A132" s="106" t="str">
        <x:v>67daa08d-3b1e-4f10-8424-c2247a7e8b75</x:v>
      </x:c>
      <x:c r="B132" s="106" t="str">
        <x:v>600036</x:v>
      </x:c>
      <x:c r="C132" s="106" t="str">
        <x:v>operating_cash_flow_to_net_income</x:v>
      </x:c>
      <x:c r="D132" s="106" t="str">
        <x:v>2024-03-31</x:v>
      </x:c>
      <x:c r="E132" s="106" t="n">
        <x:v>-0.0314</x:v>
      </x:c>
      <x:c r="F132" s="106" t="str">
        <x:v>percent</x:v>
      </x:c>
      <x:c r="G132" s="106" t="str">
        <x:v>AkShare / Sina financial indicators</x:v>
      </x:c>
      <x:c r="H132" s="106" t="str">
        <x:v>https://money.finance.sina.com.cn/corp/go.php/vFD_FinancialGuideLine/stockid/600036/ctrl/2024/displaytype/4.phtml</x:v>
      </x:c>
      <x:c r="I132" s="106"/>
      <x:c r="J132" s="106"/>
      <x:c r="K132" s="121" t="str">
        <x:v>2026-09-01 14:51:55.727557+00:00</x:v>
      </x:c>
      <x:c r="L132" s="121" t="str">
        <x:v>2024-03-31 00:00:00+00:00</x:v>
      </x:c>
      <x:c r="M132" s="106" t="str">
        <x:v>akshare-financial-v1-sina</x:v>
      </x:c>
      <x:c r="N132" s="106" t="str">
        <x:v>83344f6632f471870d596a4935b63e1186bb4d47b6a0ca09f01d67a2bc9cc118</x:v>
      </x:c>
      <x:c r="O132" s="113"/>
      <x:c r="P132" s="106" t="str">
        <x:v>pending</x:v>
      </x:c>
      <x:c r="Q132" s="106" t="str">
        <x:v>否</x:v>
      </x:c>
      <x:c r="R132" s="106" t="str">
        <x:v>由本地 Agent 同步</x:v>
      </x:c>
      <x:c r="S132" s="86"/>
      <x:c r="T132" s="86"/>
      <x:c r="U132" s="86"/>
      <x:c r="V132" s="86"/>
      <x:c r="W132" s="86"/>
      <x:c r="X132" s="86"/>
      <x:c r="Y132" s="86"/>
      <x:c r="Z132" s="86"/>
    </x:row>
    <x:row r="133">
      <x:c r="A133" s="106" t="str">
        <x:v>67daa08d-3b1e-4f10-8424-c2247a7e8b75</x:v>
      </x:c>
      <x:c r="B133" s="106" t="str">
        <x:v>600036</x:v>
      </x:c>
      <x:c r="C133" s="106" t="str">
        <x:v>debt_ratio</x:v>
      </x:c>
      <x:c r="D133" s="106" t="str">
        <x:v>2024-03-31</x:v>
      </x:c>
      <x:c r="E133" s="106" t="n">
        <x:v>90.2303</x:v>
      </x:c>
      <x:c r="F133" s="106" t="str">
        <x:v>percent</x:v>
      </x:c>
      <x:c r="G133" s="106" t="str">
        <x:v>AkShare / Sina financial indicators</x:v>
      </x:c>
      <x:c r="H133" s="106" t="str">
        <x:v>https://money.finance.sina.com.cn/corp/go.php/vFD_FinancialGuideLine/stockid/600036/ctrl/2024/displaytype/4.phtml</x:v>
      </x:c>
      <x:c r="I133" s="106"/>
      <x:c r="J133" s="106"/>
      <x:c r="K133" s="121" t="str">
        <x:v>2026-09-01 14:51:55.727557+00:00</x:v>
      </x:c>
      <x:c r="L133" s="121" t="str">
        <x:v>2024-03-31 00:00:00+00:00</x:v>
      </x:c>
      <x:c r="M133" s="106" t="str">
        <x:v>akshare-financial-v1-sina</x:v>
      </x:c>
      <x:c r="N133" s="106" t="str">
        <x:v>83344f6632f471870d596a4935b63e1186bb4d47b6a0ca09f01d67a2bc9cc118</x:v>
      </x:c>
      <x:c r="O133" s="113"/>
      <x:c r="P133" s="106" t="str">
        <x:v>pending</x:v>
      </x:c>
      <x:c r="Q133" s="106" t="str">
        <x:v>否</x:v>
      </x:c>
      <x:c r="R133" s="106" t="str">
        <x:v>由本地 Agent 同步</x:v>
      </x:c>
      <x:c r="S133" s="86"/>
      <x:c r="T133" s="86"/>
      <x:c r="U133" s="86"/>
      <x:c r="V133" s="86"/>
      <x:c r="W133" s="86"/>
      <x:c r="X133" s="86"/>
      <x:c r="Y133" s="86"/>
      <x:c r="Z133" s="86"/>
    </x:row>
    <x:row r="134">
      <x:c r="A134" s="106" t="str">
        <x:v>67daa08d-3b1e-4f10-8424-c2247a7e8b75</x:v>
      </x:c>
      <x:c r="B134" s="106" t="str">
        <x:v>600036</x:v>
      </x:c>
      <x:c r="C134" s="106" t="str">
        <x:v>net_income_yoy</x:v>
      </x:c>
      <x:c r="D134" s="106" t="str">
        <x:v>2024-03-31</x:v>
      </x:c>
      <x:c r="E134" s="106" t="n">
        <x:v>-1.9987</x:v>
      </x:c>
      <x:c r="F134" s="106" t="str">
        <x:v>percent</x:v>
      </x:c>
      <x:c r="G134" s="106" t="str">
        <x:v>AkShare / Sina financial indicators</x:v>
      </x:c>
      <x:c r="H134" s="106" t="str">
        <x:v>https://money.finance.sina.com.cn/corp/go.php/vFD_FinancialGuideLine/stockid/600036/ctrl/2024/displaytype/4.phtml</x:v>
      </x:c>
      <x:c r="I134" s="106"/>
      <x:c r="J134" s="106"/>
      <x:c r="K134" s="121" t="str">
        <x:v>2026-09-01 14:51:55.727557+00:00</x:v>
      </x:c>
      <x:c r="L134" s="121" t="str">
        <x:v>2024-03-31 00:00:00+00:00</x:v>
      </x:c>
      <x:c r="M134" s="106" t="str">
        <x:v>akshare-financial-v1-sina</x:v>
      </x:c>
      <x:c r="N134" s="106" t="str">
        <x:v>83344f6632f471870d596a4935b63e1186bb4d47b6a0ca09f01d67a2bc9cc118</x:v>
      </x:c>
      <x:c r="O134" s="113"/>
      <x:c r="P134" s="106" t="str">
        <x:v>pending</x:v>
      </x:c>
      <x:c r="Q134" s="106" t="str">
        <x:v>否</x:v>
      </x:c>
      <x:c r="R134" s="106" t="str">
        <x:v>由本地 Agent 同步</x:v>
      </x:c>
      <x:c r="S134" s="86"/>
      <x:c r="T134" s="86"/>
      <x:c r="U134" s="86"/>
      <x:c r="V134" s="86"/>
      <x:c r="W134" s="86"/>
      <x:c r="X134" s="86"/>
      <x:c r="Y134" s="86"/>
      <x:c r="Z134" s="86"/>
    </x:row>
    <x:row r="135">
      <x:c r="A135" s="106" t="str">
        <x:v>67daa08d-3b1e-4f10-8424-c2247a7e8b75</x:v>
      </x:c>
      <x:c r="B135" s="106" t="str">
        <x:v>600036</x:v>
      </x:c>
      <x:c r="C135" s="106" t="str">
        <x:v>roe</x:v>
      </x:c>
      <x:c r="D135" s="106" t="str">
        <x:v>2024-03-31</x:v>
      </x:c>
      <x:c r="E135" s="106" t="n">
        <x:v>3.4</x:v>
      </x:c>
      <x:c r="F135" s="106" t="str">
        <x:v>percent</x:v>
      </x:c>
      <x:c r="G135" s="106" t="str">
        <x:v>AkShare / Sina financial indicators</x:v>
      </x:c>
      <x:c r="H135" s="106" t="str">
        <x:v>https://money.finance.sina.com.cn/corp/go.php/vFD_FinancialGuideLine/stockid/600036/ctrl/2024/displaytype/4.phtml</x:v>
      </x:c>
      <x:c r="I135" s="106"/>
      <x:c r="J135" s="106"/>
      <x:c r="K135" s="121" t="str">
        <x:v>2026-09-01 14:51:55.727557+00:00</x:v>
      </x:c>
      <x:c r="L135" s="121" t="str">
        <x:v>2024-03-31 00:00:00+00:00</x:v>
      </x:c>
      <x:c r="M135" s="106" t="str">
        <x:v>akshare-financial-v1-sina</x:v>
      </x:c>
      <x:c r="N135" s="106" t="str">
        <x:v>83344f6632f471870d596a4935b63e1186bb4d47b6a0ca09f01d67a2bc9cc118</x:v>
      </x:c>
      <x:c r="O135" s="113"/>
      <x:c r="P135" s="106" t="str">
        <x:v>pending</x:v>
      </x:c>
      <x:c r="Q135" s="106" t="str">
        <x:v>否</x:v>
      </x:c>
      <x:c r="R135" s="106" t="str">
        <x:v>由本地 Agent 同步</x:v>
      </x:c>
      <x:c r="S135" s="86"/>
      <x:c r="T135" s="86"/>
      <x:c r="U135" s="86"/>
      <x:c r="V135" s="86"/>
      <x:c r="W135" s="86"/>
      <x:c r="X135" s="86"/>
      <x:c r="Y135" s="86"/>
      <x:c r="Z135" s="86"/>
    </x:row>
    <x:row r="136">
      <x:c r="A136" s="106" t="str">
        <x:v>67daa08d-3b1e-4f10-8424-c2247a7e8b75</x:v>
      </x:c>
      <x:c r="B136" s="106" t="str">
        <x:v>600036</x:v>
      </x:c>
      <x:c r="C136" s="106" t="str">
        <x:v>bvps</x:v>
      </x:c>
      <x:c r="D136" s="106" t="str">
        <x:v>2024-03-31</x:v>
      </x:c>
      <x:c r="E136" s="106" t="n">
        <x:v>44.6272</x:v>
      </x:c>
      <x:c r="F136" s="106" t="str">
        <x:v>CNY/share</x:v>
      </x:c>
      <x:c r="G136" s="106" t="str">
        <x:v>AkShare / Sina financial indicators</x:v>
      </x:c>
      <x:c r="H136" s="106" t="str">
        <x:v>https://money.finance.sina.com.cn/corp/go.php/vFD_FinancialGuideLine/stockid/600036/ctrl/2024/displaytype/4.phtml</x:v>
      </x:c>
      <x:c r="I136" s="106"/>
      <x:c r="J136" s="106"/>
      <x:c r="K136" s="121" t="str">
        <x:v>2026-09-01 14:51:55.727557+00:00</x:v>
      </x:c>
      <x:c r="L136" s="121" t="str">
        <x:v>2024-03-31 00:00:00+00:00</x:v>
      </x:c>
      <x:c r="M136" s="106" t="str">
        <x:v>akshare-financial-v1-sina</x:v>
      </x:c>
      <x:c r="N136" s="106" t="str">
        <x:v>83344f6632f471870d596a4935b63e1186bb4d47b6a0ca09f01d67a2bc9cc118</x:v>
      </x:c>
      <x:c r="O136" s="113"/>
      <x:c r="P136" s="106" t="str">
        <x:v>pending</x:v>
      </x:c>
      <x:c r="Q136" s="106" t="str">
        <x:v>否</x:v>
      </x:c>
      <x:c r="R136" s="106" t="str">
        <x:v>由本地 Agent 同步</x:v>
      </x:c>
      <x:c r="S136" s="86"/>
      <x:c r="T136" s="86"/>
      <x:c r="U136" s="86"/>
      <x:c r="V136" s="86"/>
      <x:c r="W136" s="86"/>
      <x:c r="X136" s="86"/>
      <x:c r="Y136" s="86"/>
      <x:c r="Z136" s="86"/>
    </x:row>
    <x:row r="137">
      <x:c r="A137" s="106" t="str">
        <x:v>077d3719-38b9-4df5-9611-d2cff55c1a38</x:v>
      </x:c>
      <x:c r="B137" s="106" t="str">
        <x:v>000333</x:v>
      </x:c>
      <x:c r="C137" s="106" t="str">
        <x:v>operating_cash_flow_to_net_income</x:v>
      </x:c>
      <x:c r="D137" s="106" t="str">
        <x:v>2024-03-31</x:v>
      </x:c>
      <x:c r="E137" s="106" t="n">
        <x:v>1.5414</x:v>
      </x:c>
      <x:c r="F137" s="106" t="str">
        <x:v>percent</x:v>
      </x:c>
      <x:c r="G137" s="106" t="str">
        <x:v>AkShare / Sina financial indicators</x:v>
      </x:c>
      <x:c r="H137" s="106" t="str">
        <x:v>https://money.finance.sina.com.cn/corp/go.php/vFD_FinancialGuideLine/stockid/000333/ctrl/2024/displaytype/4.phtml</x:v>
      </x:c>
      <x:c r="I137" s="106"/>
      <x:c r="J137" s="106"/>
      <x:c r="K137" s="121" t="str">
        <x:v>2026-09-01 14:51:55.727557+00:00</x:v>
      </x:c>
      <x:c r="L137" s="121" t="str">
        <x:v>2024-03-31 00:00:00+00:00</x:v>
      </x:c>
      <x:c r="M137" s="106" t="str">
        <x:v>akshare-financial-v1-sina</x:v>
      </x:c>
      <x:c r="N137" s="106" t="str">
        <x:v>f89fb834710698e4f733dcfc1aeca88a3912852a547103c12f9974cdc46cea39</x:v>
      </x:c>
      <x:c r="O137" s="113"/>
      <x:c r="P137" s="106" t="str">
        <x:v>pending</x:v>
      </x:c>
      <x:c r="Q137" s="106" t="str">
        <x:v>否</x:v>
      </x:c>
      <x:c r="R137" s="106" t="str">
        <x:v>由本地 Agent 同步</x:v>
      </x:c>
      <x:c r="S137" s="86"/>
      <x:c r="T137" s="86"/>
      <x:c r="U137" s="86"/>
      <x:c r="V137" s="86"/>
      <x:c r="W137" s="86"/>
      <x:c r="X137" s="86"/>
      <x:c r="Y137" s="86"/>
      <x:c r="Z137" s="86"/>
    </x:row>
    <x:row r="138">
      <x:c r="A138" s="106" t="str">
        <x:v>077d3719-38b9-4df5-9611-d2cff55c1a38</x:v>
      </x:c>
      <x:c r="B138" s="106" t="str">
        <x:v>000333</x:v>
      </x:c>
      <x:c r="C138" s="106" t="str">
        <x:v>debt_ratio</x:v>
      </x:c>
      <x:c r="D138" s="106" t="str">
        <x:v>2024-03-31</x:v>
      </x:c>
      <x:c r="E138" s="106" t="n">
        <x:v>63.0765</x:v>
      </x:c>
      <x:c r="F138" s="106" t="str">
        <x:v>percent</x:v>
      </x:c>
      <x:c r="G138" s="106" t="str">
        <x:v>AkShare / Sina financial indicators</x:v>
      </x:c>
      <x:c r="H138" s="106" t="str">
        <x:v>https://money.finance.sina.com.cn/corp/go.php/vFD_FinancialGuideLine/stockid/000333/ctrl/2024/displaytype/4.phtml</x:v>
      </x:c>
      <x:c r="I138" s="106"/>
      <x:c r="J138" s="106"/>
      <x:c r="K138" s="121" t="str">
        <x:v>2026-09-01 14:51:55.727557+00:00</x:v>
      </x:c>
      <x:c r="L138" s="121" t="str">
        <x:v>2024-03-31 00:00:00+00:00</x:v>
      </x:c>
      <x:c r="M138" s="106" t="str">
        <x:v>akshare-financial-v1-sina</x:v>
      </x:c>
      <x:c r="N138" s="106" t="str">
        <x:v>f89fb834710698e4f733dcfc1aeca88a3912852a547103c12f9974cdc46cea39</x:v>
      </x:c>
      <x:c r="O138" s="113"/>
      <x:c r="P138" s="106" t="str">
        <x:v>pending</x:v>
      </x:c>
      <x:c r="Q138" s="106" t="str">
        <x:v>否</x:v>
      </x:c>
      <x:c r="R138" s="106" t="str">
        <x:v>由本地 Agent 同步</x:v>
      </x:c>
      <x:c r="S138" s="86"/>
      <x:c r="T138" s="86"/>
      <x:c r="U138" s="86"/>
      <x:c r="V138" s="86"/>
      <x:c r="W138" s="86"/>
      <x:c r="X138" s="86"/>
      <x:c r="Y138" s="86"/>
      <x:c r="Z138" s="86"/>
    </x:row>
    <x:row r="139">
      <x:c r="A139" s="106" t="str">
        <x:v>077d3719-38b9-4df5-9611-d2cff55c1a38</x:v>
      </x:c>
      <x:c r="B139" s="106" t="str">
        <x:v>000333</x:v>
      </x:c>
      <x:c r="C139" s="106" t="str">
        <x:v>net_income_yoy</x:v>
      </x:c>
      <x:c r="D139" s="106" t="str">
        <x:v>2024-03-31</x:v>
      </x:c>
      <x:c r="E139" s="106" t="n">
        <x:v>10.9332</x:v>
      </x:c>
      <x:c r="F139" s="106" t="str">
        <x:v>percent</x:v>
      </x:c>
      <x:c r="G139" s="106" t="str">
        <x:v>AkShare / Sina financial indicators</x:v>
      </x:c>
      <x:c r="H139" s="106" t="str">
        <x:v>https://money.finance.sina.com.cn/corp/go.php/vFD_FinancialGuideLine/stockid/000333/ctrl/2024/displaytype/4.phtml</x:v>
      </x:c>
      <x:c r="I139" s="106"/>
      <x:c r="J139" s="106"/>
      <x:c r="K139" s="121" t="str">
        <x:v>2026-09-01 14:51:55.727557+00:00</x:v>
      </x:c>
      <x:c r="L139" s="121" t="str">
        <x:v>2024-03-31 00:00:00+00:00</x:v>
      </x:c>
      <x:c r="M139" s="106" t="str">
        <x:v>akshare-financial-v1-sina</x:v>
      </x:c>
      <x:c r="N139" s="106" t="str">
        <x:v>f89fb834710698e4f733dcfc1aeca88a3912852a547103c12f9974cdc46cea39</x:v>
      </x:c>
      <x:c r="O139" s="113"/>
      <x:c r="P139" s="106" t="str">
        <x:v>pending</x:v>
      </x:c>
      <x:c r="Q139" s="106" t="str">
        <x:v>否</x:v>
      </x:c>
      <x:c r="R139" s="106" t="str">
        <x:v>由本地 Agent 同步</x:v>
      </x:c>
      <x:c r="S139" s="86"/>
      <x:c r="T139" s="86"/>
      <x:c r="U139" s="86"/>
      <x:c r="V139" s="86"/>
      <x:c r="W139" s="86"/>
      <x:c r="X139" s="86"/>
      <x:c r="Y139" s="86"/>
      <x:c r="Z139" s="86"/>
    </x:row>
    <x:row r="140">
      <x:c r="A140" s="106" t="str">
        <x:v>077d3719-38b9-4df5-9611-d2cff55c1a38</x:v>
      </x:c>
      <x:c r="B140" s="106" t="str">
        <x:v>000333</x:v>
      </x:c>
      <x:c r="C140" s="106" t="str">
        <x:v>revenue_yoy</x:v>
      </x:c>
      <x:c r="D140" s="106" t="str">
        <x:v>2024-03-31</x:v>
      </x:c>
      <x:c r="E140" s="106" t="n">
        <x:v>10.2206</x:v>
      </x:c>
      <x:c r="F140" s="106" t="str">
        <x:v>percent</x:v>
      </x:c>
      <x:c r="G140" s="106" t="str">
        <x:v>AkShare / Sina financial indicators</x:v>
      </x:c>
      <x:c r="H140" s="106" t="str">
        <x:v>https://money.finance.sina.com.cn/corp/go.php/vFD_FinancialGuideLine/stockid/000333/ctrl/2024/displaytype/4.phtml</x:v>
      </x:c>
      <x:c r="I140" s="106"/>
      <x:c r="J140" s="106"/>
      <x:c r="K140" s="121" t="str">
        <x:v>2026-09-01 14:51:55.727557+00:00</x:v>
      </x:c>
      <x:c r="L140" s="121" t="str">
        <x:v>2024-03-31 00:00:00+00:00</x:v>
      </x:c>
      <x:c r="M140" s="106" t="str">
        <x:v>akshare-financial-v1-sina</x:v>
      </x:c>
      <x:c r="N140" s="106" t="str">
        <x:v>f89fb834710698e4f733dcfc1aeca88a3912852a547103c12f9974cdc46cea39</x:v>
      </x:c>
      <x:c r="O140" s="113"/>
      <x:c r="P140" s="106" t="str">
        <x:v>pending</x:v>
      </x:c>
      <x:c r="Q140" s="106" t="str">
        <x:v>否</x:v>
      </x:c>
      <x:c r="R140" s="106" t="str">
        <x:v>由本地 Agent 同步</x:v>
      </x:c>
      <x:c r="S140" s="86"/>
      <x:c r="T140" s="86"/>
      <x:c r="U140" s="86"/>
      <x:c r="V140" s="86"/>
      <x:c r="W140" s="86"/>
      <x:c r="X140" s="86"/>
      <x:c r="Y140" s="86"/>
      <x:c r="Z140" s="86"/>
    </x:row>
    <x:row r="141">
      <x:c r="A141" s="106" t="str">
        <x:v>077d3719-38b9-4df5-9611-d2cff55c1a38</x:v>
      </x:c>
      <x:c r="B141" s="106" t="str">
        <x:v>000333</x:v>
      </x:c>
      <x:c r="C141" s="106" t="str">
        <x:v>net_margin</x:v>
      </x:c>
      <x:c r="D141" s="106" t="str">
        <x:v>2024-03-31</x:v>
      </x:c>
      <x:c r="E141" s="106" t="n">
        <x:v>8.5167</x:v>
      </x:c>
      <x:c r="F141" s="106" t="str">
        <x:v>percent</x:v>
      </x:c>
      <x:c r="G141" s="106" t="str">
        <x:v>AkShare / Sina financial indicators</x:v>
      </x:c>
      <x:c r="H141" s="106" t="str">
        <x:v>https://money.finance.sina.com.cn/corp/go.php/vFD_FinancialGuideLine/stockid/000333/ctrl/2024/displaytype/4.phtml</x:v>
      </x:c>
      <x:c r="I141" s="106"/>
      <x:c r="J141" s="106"/>
      <x:c r="K141" s="121" t="str">
        <x:v>2026-09-01 14:51:55.727557+00:00</x:v>
      </x:c>
      <x:c r="L141" s="121" t="str">
        <x:v>2024-03-31 00:00:00+00:00</x:v>
      </x:c>
      <x:c r="M141" s="106" t="str">
        <x:v>akshare-financial-v1-sina</x:v>
      </x:c>
      <x:c r="N141" s="106" t="str">
        <x:v>f89fb834710698e4f733dcfc1aeca88a3912852a547103c12f9974cdc46cea39</x:v>
      </x:c>
      <x:c r="O141" s="113"/>
      <x:c r="P141" s="106" t="str">
        <x:v>pending</x:v>
      </x:c>
      <x:c r="Q141" s="106" t="str">
        <x:v>否</x:v>
      </x:c>
      <x:c r="R141" s="106" t="str">
        <x:v>由本地 Agent 同步</x:v>
      </x:c>
      <x:c r="S141" s="86"/>
      <x:c r="T141" s="86"/>
      <x:c r="U141" s="86"/>
      <x:c r="V141" s="86"/>
      <x:c r="W141" s="86"/>
      <x:c r="X141" s="86"/>
      <x:c r="Y141" s="86"/>
      <x:c r="Z141" s="86"/>
    </x:row>
    <x:row r="142">
      <x:c r="A142" s="106" t="str">
        <x:v>077d3719-38b9-4df5-9611-d2cff55c1a38</x:v>
      </x:c>
      <x:c r="B142" s="106" t="str">
        <x:v>000333</x:v>
      </x:c>
      <x:c r="C142" s="106" t="str">
        <x:v>roe</x:v>
      </x:c>
      <x:c r="D142" s="106" t="str">
        <x:v>2024-03-31</x:v>
      </x:c>
      <x:c r="E142" s="106" t="n">
        <x:v>5.22</x:v>
      </x:c>
      <x:c r="F142" s="106" t="str">
        <x:v>percent</x:v>
      </x:c>
      <x:c r="G142" s="106" t="str">
        <x:v>AkShare / Sina financial indicators</x:v>
      </x:c>
      <x:c r="H142" s="106" t="str">
        <x:v>https://money.finance.sina.com.cn/corp/go.php/vFD_FinancialGuideLine/stockid/000333/ctrl/2024/displaytype/4.phtml</x:v>
      </x:c>
      <x:c r="I142" s="106"/>
      <x:c r="J142" s="106"/>
      <x:c r="K142" s="121" t="str">
        <x:v>2026-09-01 14:51:55.727557+00:00</x:v>
      </x:c>
      <x:c r="L142" s="121" t="str">
        <x:v>2024-03-31 00:00:00+00:00</x:v>
      </x:c>
      <x:c r="M142" s="106" t="str">
        <x:v>akshare-financial-v1-sina</x:v>
      </x:c>
      <x:c r="N142" s="106" t="str">
        <x:v>f89fb834710698e4f733dcfc1aeca88a3912852a547103c12f9974cdc46cea39</x:v>
      </x:c>
      <x:c r="O142" s="113"/>
      <x:c r="P142" s="106" t="str">
        <x:v>pending</x:v>
      </x:c>
      <x:c r="Q142" s="106" t="str">
        <x:v>否</x:v>
      </x:c>
      <x:c r="R142" s="106" t="str">
        <x:v>由本地 Agent 同步</x:v>
      </x:c>
      <x:c r="S142" s="86"/>
      <x:c r="T142" s="86"/>
      <x:c r="U142" s="86"/>
      <x:c r="V142" s="86"/>
      <x:c r="W142" s="86"/>
      <x:c r="X142" s="86"/>
      <x:c r="Y142" s="86"/>
      <x:c r="Z142" s="86"/>
    </x:row>
    <x:row r="143">
      <x:c r="A143" s="106" t="str">
        <x:v>077d3719-38b9-4df5-9611-d2cff55c1a38</x:v>
      </x:c>
      <x:c r="B143" s="106" t="str">
        <x:v>000333</x:v>
      </x:c>
      <x:c r="C143" s="106" t="str">
        <x:v>bvps</x:v>
      </x:c>
      <x:c r="D143" s="106" t="str">
        <x:v>2024-03-31</x:v>
      </x:c>
      <x:c r="E143" s="106" t="n">
        <x:v>26.3838</x:v>
      </x:c>
      <x:c r="F143" s="106" t="str">
        <x:v>CNY/share</x:v>
      </x:c>
      <x:c r="G143" s="106" t="str">
        <x:v>AkShare / Sina financial indicators</x:v>
      </x:c>
      <x:c r="H143" s="106" t="str">
        <x:v>https://money.finance.sina.com.cn/corp/go.php/vFD_FinancialGuideLine/stockid/000333/ctrl/2024/displaytype/4.phtml</x:v>
      </x:c>
      <x:c r="I143" s="106"/>
      <x:c r="J143" s="106"/>
      <x:c r="K143" s="121" t="str">
        <x:v>2026-09-01 14:51:55.727557+00:00</x:v>
      </x:c>
      <x:c r="L143" s="121" t="str">
        <x:v>2024-03-31 00:00:00+00:00</x:v>
      </x:c>
      <x:c r="M143" s="106" t="str">
        <x:v>akshare-financial-v1-sina</x:v>
      </x:c>
      <x:c r="N143" s="106" t="str">
        <x:v>f89fb834710698e4f733dcfc1aeca88a3912852a547103c12f9974cdc46cea39</x:v>
      </x:c>
      <x:c r="O143" s="113"/>
      <x:c r="P143" s="106" t="str">
        <x:v>pending</x:v>
      </x:c>
      <x:c r="Q143" s="106" t="str">
        <x:v>否</x:v>
      </x:c>
      <x:c r="R143" s="106" t="str">
        <x:v>由本地 Agent 同步</x:v>
      </x:c>
      <x:c r="S143" s="86"/>
      <x:c r="T143" s="86"/>
      <x:c r="U143" s="86"/>
      <x:c r="V143" s="86"/>
      <x:c r="W143" s="86"/>
      <x:c r="X143" s="86"/>
      <x:c r="Y143" s="86"/>
      <x:c r="Z143" s="86"/>
    </x:row>
    <x:row r="144">
      <x:c r="A144" s="106" t="str">
        <x:v>077d3719-38b9-4df5-9611-d2cff55c1a38</x:v>
      </x:c>
      <x:c r="B144" s="106" t="str">
        <x:v>000333</x:v>
      </x:c>
      <x:c r="C144" s="106" t="str">
        <x:v>eps_ttm</x:v>
      </x:c>
      <x:c r="D144" s="106" t="str">
        <x:v>2024-03-31</x:v>
      </x:c>
      <x:c r="E144" s="106" t="n">
        <x:v>1.2967</x:v>
      </x:c>
      <x:c r="F144" s="106" t="str">
        <x:v>CNY/share</x:v>
      </x:c>
      <x:c r="G144" s="106" t="str">
        <x:v>AkShare / Sina financial indicators</x:v>
      </x:c>
      <x:c r="H144" s="106" t="str">
        <x:v>https://money.finance.sina.com.cn/corp/go.php/vFD_FinancialGuideLine/stockid/000333/ctrl/2024/displaytype/4.phtml</x:v>
      </x:c>
      <x:c r="I144" s="106"/>
      <x:c r="J144" s="106"/>
      <x:c r="K144" s="121" t="str">
        <x:v>2026-09-01 14:51:55.727557+00:00</x:v>
      </x:c>
      <x:c r="L144" s="121" t="str">
        <x:v>2024-03-31 00:00:00+00:00</x:v>
      </x:c>
      <x:c r="M144" s="106" t="str">
        <x:v>akshare-financial-v1-sina</x:v>
      </x:c>
      <x:c r="N144" s="106" t="str">
        <x:v>f89fb834710698e4f733dcfc1aeca88a3912852a547103c12f9974cdc46cea39</x:v>
      </x:c>
      <x:c r="O144" s="113"/>
      <x:c r="P144" s="106" t="str">
        <x:v>pending</x:v>
      </x:c>
      <x:c r="Q144" s="106" t="str">
        <x:v>否</x:v>
      </x:c>
      <x:c r="R144" s="106" t="str">
        <x:v>由本地 Agent 同步</x:v>
      </x:c>
      <x:c r="S144" s="86"/>
      <x:c r="T144" s="86"/>
      <x:c r="U144" s="86"/>
      <x:c r="V144" s="86"/>
      <x:c r="W144" s="86"/>
      <x:c r="X144" s="86"/>
      <x:c r="Y144" s="86"/>
      <x:c r="Z144" s="86"/>
    </x:row>
    <x:row r="145">
      <x:c r="A145" s="106" t="str">
        <x:v>1ecc901f-edfc-4bf3-a83f-8aa5eb145352</x:v>
      </x:c>
      <x:c r="B145" s="106" t="str">
        <x:v>600519</x:v>
      </x:c>
      <x:c r="C145" s="106" t="str">
        <x:v>operating_cash_flow_to_net_income</x:v>
      </x:c>
      <x:c r="D145" s="106" t="str">
        <x:v>2024-03-31</x:v>
      </x:c>
      <x:c r="E145" s="106" t="n">
        <x:v>0.3692</x:v>
      </x:c>
      <x:c r="F145" s="106" t="str">
        <x:v>percent</x:v>
      </x:c>
      <x:c r="G145" s="106" t="str">
        <x:v>AkShare / Sina financial indicators</x:v>
      </x:c>
      <x:c r="H145" s="106" t="str">
        <x:v>https://money.finance.sina.com.cn/corp/go.php/vFD_FinancialGuideLine/stockid/600519/ctrl/2024/displaytype/4.phtml</x:v>
      </x:c>
      <x:c r="I145" s="106"/>
      <x:c r="J145" s="106"/>
      <x:c r="K145" s="121" t="str">
        <x:v>2026-09-01 14:51:55.727557+00:00</x:v>
      </x:c>
      <x:c r="L145" s="121" t="str">
        <x:v>2024-03-31 00:00:00+00:00</x:v>
      </x:c>
      <x:c r="M145" s="106" t="str">
        <x:v>akshare-financial-v1-sina</x:v>
      </x:c>
      <x:c r="N145" s="106" t="str">
        <x:v>33df292ec773e8a6707b83e7cf7198252e29452ae880e5568c8693d4206d8bf3</x:v>
      </x:c>
      <x:c r="O145" s="113"/>
      <x:c r="P145" s="106" t="str">
        <x:v>pending</x:v>
      </x:c>
      <x:c r="Q145" s="106" t="str">
        <x:v>否</x:v>
      </x:c>
      <x:c r="R145" s="106" t="str">
        <x:v>由本地 Agent 同步</x:v>
      </x:c>
      <x:c r="S145" s="86"/>
      <x:c r="T145" s="86"/>
      <x:c r="U145" s="86"/>
      <x:c r="V145" s="86"/>
      <x:c r="W145" s="86"/>
      <x:c r="X145" s="86"/>
      <x:c r="Y145" s="86"/>
      <x:c r="Z145" s="86"/>
    </x:row>
    <x:row r="146">
      <x:c r="A146" s="106" t="str">
        <x:v>1ecc901f-edfc-4bf3-a83f-8aa5eb145352</x:v>
      </x:c>
      <x:c r="B146" s="106" t="str">
        <x:v>600519</x:v>
      </x:c>
      <x:c r="C146" s="106" t="str">
        <x:v>debt_ratio</x:v>
      </x:c>
      <x:c r="D146" s="106" t="str">
        <x:v>2024-03-31</x:v>
      </x:c>
      <x:c r="E146" s="106" t="n">
        <x:v>12.9543</x:v>
      </x:c>
      <x:c r="F146" s="106" t="str">
        <x:v>percent</x:v>
      </x:c>
      <x:c r="G146" s="106" t="str">
        <x:v>AkShare / Sina financial indicators</x:v>
      </x:c>
      <x:c r="H146" s="106" t="str">
        <x:v>https://money.finance.sina.com.cn/corp/go.php/vFD_FinancialGuideLine/stockid/600519/ctrl/2024/displaytype/4.phtml</x:v>
      </x:c>
      <x:c r="I146" s="106"/>
      <x:c r="J146" s="106"/>
      <x:c r="K146" s="121" t="str">
        <x:v>2026-09-01 14:51:55.727557+00:00</x:v>
      </x:c>
      <x:c r="L146" s="121" t="str">
        <x:v>2024-03-31 00:00:00+00:00</x:v>
      </x:c>
      <x:c r="M146" s="106" t="str">
        <x:v>akshare-financial-v1-sina</x:v>
      </x:c>
      <x:c r="N146" s="106" t="str">
        <x:v>33df292ec773e8a6707b83e7cf7198252e29452ae880e5568c8693d4206d8bf3</x:v>
      </x:c>
      <x:c r="O146" s="113"/>
      <x:c r="P146" s="106" t="str">
        <x:v>pending</x:v>
      </x:c>
      <x:c r="Q146" s="106" t="str">
        <x:v>否</x:v>
      </x:c>
      <x:c r="R146" s="106" t="str">
        <x:v>由本地 Agent 同步</x:v>
      </x:c>
      <x:c r="S146" s="86"/>
      <x:c r="T146" s="86"/>
      <x:c r="U146" s="86"/>
      <x:c r="V146" s="86"/>
      <x:c r="W146" s="86"/>
      <x:c r="X146" s="86"/>
      <x:c r="Y146" s="86"/>
      <x:c r="Z146" s="86"/>
    </x:row>
    <x:row r="147">
      <x:c r="A147" s="106" t="str">
        <x:v>1ecc901f-edfc-4bf3-a83f-8aa5eb145352</x:v>
      </x:c>
      <x:c r="B147" s="106" t="str">
        <x:v>600519</x:v>
      </x:c>
      <x:c r="C147" s="106" t="str">
        <x:v>net_income_yoy</x:v>
      </x:c>
      <x:c r="D147" s="106" t="str">
        <x:v>2024-03-31</x:v>
      </x:c>
      <x:c r="E147" s="106" t="n">
        <x:v>15.5989</x:v>
      </x:c>
      <x:c r="F147" s="106" t="str">
        <x:v>percent</x:v>
      </x:c>
      <x:c r="G147" s="106" t="str">
        <x:v>AkShare / Sina financial indicators</x:v>
      </x:c>
      <x:c r="H147" s="106" t="str">
        <x:v>https://money.finance.sina.com.cn/corp/go.php/vFD_FinancialGuideLine/stockid/600519/ctrl/2024/displaytype/4.phtml</x:v>
      </x:c>
      <x:c r="I147" s="106"/>
      <x:c r="J147" s="106"/>
      <x:c r="K147" s="121" t="str">
        <x:v>2026-09-01 14:51:55.727557+00:00</x:v>
      </x:c>
      <x:c r="L147" s="121" t="str">
        <x:v>2024-03-31 00:00:00+00:00</x:v>
      </x:c>
      <x:c r="M147" s="106" t="str">
        <x:v>akshare-financial-v1-sina</x:v>
      </x:c>
      <x:c r="N147" s="106" t="str">
        <x:v>33df292ec773e8a6707b83e7cf7198252e29452ae880e5568c8693d4206d8bf3</x:v>
      </x:c>
      <x:c r="O147" s="113"/>
      <x:c r="P147" s="106" t="str">
        <x:v>pending</x:v>
      </x:c>
      <x:c r="Q147" s="106" t="str">
        <x:v>否</x:v>
      </x:c>
      <x:c r="R147" s="106" t="str">
        <x:v>由本地 Agent 同步</x:v>
      </x:c>
      <x:c r="S147" s="86"/>
      <x:c r="T147" s="86"/>
      <x:c r="U147" s="86"/>
      <x:c r="V147" s="86"/>
      <x:c r="W147" s="86"/>
      <x:c r="X147" s="86"/>
      <x:c r="Y147" s="86"/>
      <x:c r="Z147" s="86"/>
    </x:row>
    <x:row r="148">
      <x:c r="A148" s="106" t="str">
        <x:v>1ecc901f-edfc-4bf3-a83f-8aa5eb145352</x:v>
      </x:c>
      <x:c r="B148" s="106" t="str">
        <x:v>600519</x:v>
      </x:c>
      <x:c r="C148" s="106" t="str">
        <x:v>revenue_yoy</x:v>
      </x:c>
      <x:c r="D148" s="106" t="str">
        <x:v>2024-03-31</x:v>
      </x:c>
      <x:c r="E148" s="106" t="n">
        <x:v>18.1127</x:v>
      </x:c>
      <x:c r="F148" s="106" t="str">
        <x:v>percent</x:v>
      </x:c>
      <x:c r="G148" s="106" t="str">
        <x:v>AkShare / Sina financial indicators</x:v>
      </x:c>
      <x:c r="H148" s="106" t="str">
        <x:v>https://money.finance.sina.com.cn/corp/go.php/vFD_FinancialGuideLine/stockid/600519/ctrl/2024/displaytype/4.phtml</x:v>
      </x:c>
      <x:c r="I148" s="106"/>
      <x:c r="J148" s="106"/>
      <x:c r="K148" s="121" t="str">
        <x:v>2026-09-01 14:51:55.727557+00:00</x:v>
      </x:c>
      <x:c r="L148" s="121" t="str">
        <x:v>2024-03-31 00:00:00+00:00</x:v>
      </x:c>
      <x:c r="M148" s="106" t="str">
        <x:v>akshare-financial-v1-sina</x:v>
      </x:c>
      <x:c r="N148" s="106" t="str">
        <x:v>33df292ec773e8a6707b83e7cf7198252e29452ae880e5568c8693d4206d8bf3</x:v>
      </x:c>
      <x:c r="O148" s="113"/>
      <x:c r="P148" s="106" t="str">
        <x:v>pending</x:v>
      </x:c>
      <x:c r="Q148" s="106" t="str">
        <x:v>否</x:v>
      </x:c>
      <x:c r="R148" s="106" t="str">
        <x:v>由本地 Agent 同步</x:v>
      </x:c>
      <x:c r="S148" s="86"/>
      <x:c r="T148" s="86"/>
      <x:c r="U148" s="86"/>
      <x:c r="V148" s="86"/>
      <x:c r="W148" s="86"/>
      <x:c r="X148" s="86"/>
      <x:c r="Y148" s="86"/>
      <x:c r="Z148" s="86"/>
    </x:row>
    <x:row r="149">
      <x:c r="A149" s="106" t="str">
        <x:v>1ecc901f-edfc-4bf3-a83f-8aa5eb145352</x:v>
      </x:c>
      <x:c r="B149" s="106" t="str">
        <x:v>600519</x:v>
      </x:c>
      <x:c r="C149" s="106" t="str">
        <x:v>net_margin</x:v>
      </x:c>
      <x:c r="D149" s="106" t="str">
        <x:v>2024-03-31</x:v>
      </x:c>
      <x:c r="E149" s="106" t="n">
        <x:v>54.3573</x:v>
      </x:c>
      <x:c r="F149" s="106" t="str">
        <x:v>percent</x:v>
      </x:c>
      <x:c r="G149" s="106" t="str">
        <x:v>AkShare / Sina financial indicators</x:v>
      </x:c>
      <x:c r="H149" s="106" t="str">
        <x:v>https://money.finance.sina.com.cn/corp/go.php/vFD_FinancialGuideLine/stockid/600519/ctrl/2024/displaytype/4.phtml</x:v>
      </x:c>
      <x:c r="I149" s="106"/>
      <x:c r="J149" s="106"/>
      <x:c r="K149" s="121" t="str">
        <x:v>2026-09-01 14:51:55.727557+00:00</x:v>
      </x:c>
      <x:c r="L149" s="121" t="str">
        <x:v>2024-03-31 00:00:00+00:00</x:v>
      </x:c>
      <x:c r="M149" s="106" t="str">
        <x:v>akshare-financial-v1-sina</x:v>
      </x:c>
      <x:c r="N149" s="106" t="str">
        <x:v>33df292ec773e8a6707b83e7cf7198252e29452ae880e5568c8693d4206d8bf3</x:v>
      </x:c>
      <x:c r="O149" s="113"/>
      <x:c r="P149" s="106" t="str">
        <x:v>pending</x:v>
      </x:c>
      <x:c r="Q149" s="106" t="str">
        <x:v>否</x:v>
      </x:c>
      <x:c r="R149" s="106" t="str">
        <x:v>由本地 Agent 同步</x:v>
      </x:c>
      <x:c r="S149" s="86"/>
      <x:c r="T149" s="86"/>
      <x:c r="U149" s="86"/>
      <x:c r="V149" s="86"/>
      <x:c r="W149" s="86"/>
      <x:c r="X149" s="86"/>
      <x:c r="Y149" s="86"/>
      <x:c r="Z149" s="86"/>
    </x:row>
    <x:row r="150">
      <x:c r="A150" s="106" t="str">
        <x:v>1ecc901f-edfc-4bf3-a83f-8aa5eb145352</x:v>
      </x:c>
      <x:c r="B150" s="106" t="str">
        <x:v>600519</x:v>
      </x:c>
      <x:c r="C150" s="106" t="str">
        <x:v>roe</x:v>
      </x:c>
      <x:c r="D150" s="106" t="str">
        <x:v>2024-03-31</x:v>
      </x:c>
      <x:c r="E150" s="106" t="n">
        <x:v>10.04</x:v>
      </x:c>
      <x:c r="F150" s="106" t="str">
        <x:v>percent</x:v>
      </x:c>
      <x:c r="G150" s="106" t="str">
        <x:v>AkShare / Sina financial indicators</x:v>
      </x:c>
      <x:c r="H150" s="106" t="str">
        <x:v>https://money.finance.sina.com.cn/corp/go.php/vFD_FinancialGuideLine/stockid/600519/ctrl/2024/displaytype/4.phtml</x:v>
      </x:c>
      <x:c r="I150" s="106"/>
      <x:c r="J150" s="106"/>
      <x:c r="K150" s="121" t="str">
        <x:v>2026-09-01 14:51:55.727557+00:00</x:v>
      </x:c>
      <x:c r="L150" s="121" t="str">
        <x:v>2024-03-31 00:00:00+00:00</x:v>
      </x:c>
      <x:c r="M150" s="106" t="str">
        <x:v>akshare-financial-v1-sina</x:v>
      </x:c>
      <x:c r="N150" s="106" t="str">
        <x:v>33df292ec773e8a6707b83e7cf7198252e29452ae880e5568c8693d4206d8bf3</x:v>
      </x:c>
      <x:c r="O150" s="113"/>
      <x:c r="P150" s="106" t="str">
        <x:v>pending</x:v>
      </x:c>
      <x:c r="Q150" s="106" t="str">
        <x:v>否</x:v>
      </x:c>
      <x:c r="R150" s="106" t="str">
        <x:v>由本地 Agent 同步</x:v>
      </x:c>
      <x:c r="S150" s="86"/>
      <x:c r="T150" s="86"/>
      <x:c r="U150" s="86"/>
      <x:c r="V150" s="86"/>
      <x:c r="W150" s="86"/>
      <x:c r="X150" s="86"/>
      <x:c r="Y150" s="86"/>
      <x:c r="Z150" s="86"/>
    </x:row>
    <x:row r="151">
      <x:c r="A151" s="106" t="str">
        <x:v>1ecc901f-edfc-4bf3-a83f-8aa5eb145352</x:v>
      </x:c>
      <x:c r="B151" s="106" t="str">
        <x:v>600519</x:v>
      </x:c>
      <x:c r="C151" s="106" t="str">
        <x:v>bvps</x:v>
      </x:c>
      <x:c r="D151" s="106" t="str">
        <x:v>2024-03-31</x:v>
      </x:c>
      <x:c r="E151" s="106" t="n">
        <x:v>197.8484</x:v>
      </x:c>
      <x:c r="F151" s="106" t="str">
        <x:v>CNY/share</x:v>
      </x:c>
      <x:c r="G151" s="106" t="str">
        <x:v>AkShare / Sina financial indicators</x:v>
      </x:c>
      <x:c r="H151" s="106" t="str">
        <x:v>https://money.finance.sina.com.cn/corp/go.php/vFD_FinancialGuideLine/stockid/600519/ctrl/2024/displaytype/4.phtml</x:v>
      </x:c>
      <x:c r="I151" s="106"/>
      <x:c r="J151" s="106"/>
      <x:c r="K151" s="121" t="str">
        <x:v>2026-09-01 14:51:55.727557+00:00</x:v>
      </x:c>
      <x:c r="L151" s="121" t="str">
        <x:v>2024-03-31 00:00:00+00:00</x:v>
      </x:c>
      <x:c r="M151" s="106" t="str">
        <x:v>akshare-financial-v1-sina</x:v>
      </x:c>
      <x:c r="N151" s="106" t="str">
        <x:v>33df292ec773e8a6707b83e7cf7198252e29452ae880e5568c8693d4206d8bf3</x:v>
      </x:c>
      <x:c r="O151" s="113"/>
      <x:c r="P151" s="106" t="str">
        <x:v>pending</x:v>
      </x:c>
      <x:c r="Q151" s="106" t="str">
        <x:v>否</x:v>
      </x:c>
      <x:c r="R151" s="106" t="str">
        <x:v>由本地 Agent 同步</x:v>
      </x:c>
      <x:c r="S151" s="86"/>
      <x:c r="T151" s="86"/>
      <x:c r="U151" s="86"/>
      <x:c r="V151" s="86"/>
      <x:c r="W151" s="86"/>
      <x:c r="X151" s="86"/>
      <x:c r="Y151" s="86"/>
      <x:c r="Z151" s="86"/>
    </x:row>
    <x:row r="152">
      <x:c r="A152" s="106" t="str">
        <x:v>1ecc901f-edfc-4bf3-a83f-8aa5eb145352</x:v>
      </x:c>
      <x:c r="B152" s="106" t="str">
        <x:v>600519</x:v>
      </x:c>
      <x:c r="C152" s="106" t="str">
        <x:v>eps_ttm</x:v>
      </x:c>
      <x:c r="D152" s="106" t="str">
        <x:v>2024-03-31</x:v>
      </x:c>
      <x:c r="E152" s="106" t="n">
        <x:v>19.8077</x:v>
      </x:c>
      <x:c r="F152" s="106" t="str">
        <x:v>CNY/share</x:v>
      </x:c>
      <x:c r="G152" s="106" t="str">
        <x:v>AkShare / Sina financial indicators</x:v>
      </x:c>
      <x:c r="H152" s="106" t="str">
        <x:v>https://money.finance.sina.com.cn/corp/go.php/vFD_FinancialGuideLine/stockid/600519/ctrl/2024/displaytype/4.phtml</x:v>
      </x:c>
      <x:c r="I152" s="106"/>
      <x:c r="J152" s="106"/>
      <x:c r="K152" s="121" t="str">
        <x:v>2026-09-01 14:51:55.727557+00:00</x:v>
      </x:c>
      <x:c r="L152" s="121" t="str">
        <x:v>2024-03-31 00:00:00+00:00</x:v>
      </x:c>
      <x:c r="M152" s="106" t="str">
        <x:v>akshare-financial-v1-sina</x:v>
      </x:c>
      <x:c r="N152" s="106" t="str">
        <x:v>33df292ec773e8a6707b83e7cf7198252e29452ae880e5568c8693d4206d8bf3</x:v>
      </x:c>
      <x:c r="O152" s="113"/>
      <x:c r="P152" s="106" t="str">
        <x:v>pending</x:v>
      </x:c>
      <x:c r="Q152" s="106" t="str">
        <x:v>否</x:v>
      </x:c>
      <x:c r="R152" s="106" t="str">
        <x:v>由本地 Agent 同步</x:v>
      </x:c>
      <x:c r="S152" s="86"/>
      <x:c r="T152" s="86"/>
      <x:c r="U152" s="86"/>
      <x:c r="V152" s="86"/>
      <x:c r="W152" s="86"/>
      <x:c r="X152" s="86"/>
      <x:c r="Y152" s="86"/>
      <x:c r="Z152" s="86"/>
    </x:row>
    <x:row r="153">
      <x:c r="A153" s="106" t="str">
        <x:v>3cb93487-d916-4bbf-b9af-2c035470cafe</x:v>
      </x:c>
      <x:c r="B153" s="106" t="str">
        <x:v>600900</x:v>
      </x:c>
      <x:c r="C153" s="106" t="str">
        <x:v>operating_cash_flow_to_net_income</x:v>
      </x:c>
      <x:c r="D153" s="106" t="str">
        <x:v>2024-03-31</x:v>
      </x:c>
      <x:c r="E153" s="106" t="n">
        <x:v>2.9668</x:v>
      </x:c>
      <x:c r="F153" s="106" t="str">
        <x:v>percent</x:v>
      </x:c>
      <x:c r="G153" s="106" t="str">
        <x:v>AkShare / Sina financial indicators</x:v>
      </x:c>
      <x:c r="H153" s="106" t="str">
        <x:v>https://money.finance.sina.com.cn/corp/go.php/vFD_FinancialGuideLine/stockid/600900/ctrl/2024/displaytype/4.phtml</x:v>
      </x:c>
      <x:c r="I153" s="106"/>
      <x:c r="J153" s="106"/>
      <x:c r="K153" s="121" t="str">
        <x:v>2026-09-01 14:51:55.727557+00:00</x:v>
      </x:c>
      <x:c r="L153" s="121" t="str">
        <x:v>2024-03-31 00:00:00+00:00</x:v>
      </x:c>
      <x:c r="M153" s="106" t="str">
        <x:v>akshare-financial-v1-sina</x:v>
      </x:c>
      <x:c r="N153" s="106" t="str">
        <x:v>220e662e25d250b4bfd16fb8a8212d80e34faebcc36a9e99d2915bdd89cfd21f</x:v>
      </x:c>
      <x:c r="O153" s="113"/>
      <x:c r="P153" s="106" t="str">
        <x:v>pending</x:v>
      </x:c>
      <x:c r="Q153" s="106" t="str">
        <x:v>否</x:v>
      </x:c>
      <x:c r="R153" s="106" t="str">
        <x:v>由本地 Agent 同步</x:v>
      </x:c>
      <x:c r="S153" s="86"/>
      <x:c r="T153" s="86"/>
      <x:c r="U153" s="86"/>
      <x:c r="V153" s="86"/>
      <x:c r="W153" s="86"/>
      <x:c r="X153" s="86"/>
      <x:c r="Y153" s="86"/>
      <x:c r="Z153" s="86"/>
    </x:row>
    <x:row r="154">
      <x:c r="A154" s="106" t="str">
        <x:v>3cb93487-d916-4bbf-b9af-2c035470cafe</x:v>
      </x:c>
      <x:c r="B154" s="106" t="str">
        <x:v>600900</x:v>
      </x:c>
      <x:c r="C154" s="106" t="str">
        <x:v>debt_ratio</x:v>
      </x:c>
      <x:c r="D154" s="106" t="str">
        <x:v>2024-03-31</x:v>
      </x:c>
      <x:c r="E154" s="106" t="n">
        <x:v>61.8913</x:v>
      </x:c>
      <x:c r="F154" s="106" t="str">
        <x:v>percent</x:v>
      </x:c>
      <x:c r="G154" s="106" t="str">
        <x:v>AkShare / Sina financial indicators</x:v>
      </x:c>
      <x:c r="H154" s="106" t="str">
        <x:v>https://money.finance.sina.com.cn/corp/go.php/vFD_FinancialGuideLine/stockid/600900/ctrl/2024/displaytype/4.phtml</x:v>
      </x:c>
      <x:c r="I154" s="106"/>
      <x:c r="J154" s="106"/>
      <x:c r="K154" s="121" t="str">
        <x:v>2026-09-01 14:51:55.727557+00:00</x:v>
      </x:c>
      <x:c r="L154" s="121" t="str">
        <x:v>2024-03-31 00:00:00+00:00</x:v>
      </x:c>
      <x:c r="M154" s="106" t="str">
        <x:v>akshare-financial-v1-sina</x:v>
      </x:c>
      <x:c r="N154" s="106" t="str">
        <x:v>220e662e25d250b4bfd16fb8a8212d80e34faebcc36a9e99d2915bdd89cfd21f</x:v>
      </x:c>
      <x:c r="O154" s="113"/>
      <x:c r="P154" s="106" t="str">
        <x:v>pending</x:v>
      </x:c>
      <x:c r="Q154" s="106" t="str">
        <x:v>否</x:v>
      </x:c>
      <x:c r="R154" s="106" t="str">
        <x:v>由本地 Agent 同步</x:v>
      </x:c>
      <x:c r="S154" s="86"/>
      <x:c r="T154" s="86"/>
      <x:c r="U154" s="86"/>
      <x:c r="V154" s="86"/>
      <x:c r="W154" s="86"/>
      <x:c r="X154" s="86"/>
      <x:c r="Y154" s="86"/>
      <x:c r="Z154" s="86"/>
    </x:row>
    <x:row r="155">
      <x:c r="A155" s="106" t="str">
        <x:v>3cb93487-d916-4bbf-b9af-2c035470cafe</x:v>
      </x:c>
      <x:c r="B155" s="106" t="str">
        <x:v>600900</x:v>
      </x:c>
      <x:c r="C155" s="106" t="str">
        <x:v>net_income_yoy</x:v>
      </x:c>
      <x:c r="D155" s="106" t="str">
        <x:v>2024-03-31</x:v>
      </x:c>
      <x:c r="E155" s="106" t="n">
        <x:v>9.0658</x:v>
      </x:c>
      <x:c r="F155" s="106" t="str">
        <x:v>percent</x:v>
      </x:c>
      <x:c r="G155" s="106" t="str">
        <x:v>AkShare / Sina financial indicators</x:v>
      </x:c>
      <x:c r="H155" s="106" t="str">
        <x:v>https://money.finance.sina.com.cn/corp/go.php/vFD_FinancialGuideLine/stockid/600900/ctrl/2024/displaytype/4.phtml</x:v>
      </x:c>
      <x:c r="I155" s="106"/>
      <x:c r="J155" s="106"/>
      <x:c r="K155" s="121" t="str">
        <x:v>2026-09-01 14:51:55.727557+00:00</x:v>
      </x:c>
      <x:c r="L155" s="121" t="str">
        <x:v>2024-03-31 00:00:00+00:00</x:v>
      </x:c>
      <x:c r="M155" s="106" t="str">
        <x:v>akshare-financial-v1-sina</x:v>
      </x:c>
      <x:c r="N155" s="106" t="str">
        <x:v>220e662e25d250b4bfd16fb8a8212d80e34faebcc36a9e99d2915bdd89cfd21f</x:v>
      </x:c>
      <x:c r="O155" s="113"/>
      <x:c r="P155" s="106" t="str">
        <x:v>pending</x:v>
      </x:c>
      <x:c r="Q155" s="106" t="str">
        <x:v>否</x:v>
      </x:c>
      <x:c r="R155" s="106" t="str">
        <x:v>由本地 Agent 同步</x:v>
      </x:c>
      <x:c r="S155" s="86"/>
      <x:c r="T155" s="86"/>
      <x:c r="U155" s="86"/>
      <x:c r="V155" s="86"/>
      <x:c r="W155" s="86"/>
      <x:c r="X155" s="86"/>
      <x:c r="Y155" s="86"/>
      <x:c r="Z155" s="86"/>
    </x:row>
    <x:row r="156">
      <x:c r="A156" s="106" t="str">
        <x:v>3cb93487-d916-4bbf-b9af-2c035470cafe</x:v>
      </x:c>
      <x:c r="B156" s="106" t="str">
        <x:v>600900</x:v>
      </x:c>
      <x:c r="C156" s="106" t="str">
        <x:v>revenue_yoy</x:v>
      </x:c>
      <x:c r="D156" s="106" t="str">
        <x:v>2024-03-31</x:v>
      </x:c>
      <x:c r="E156" s="106" t="n">
        <x:v>1.581</x:v>
      </x:c>
      <x:c r="F156" s="106" t="str">
        <x:v>percent</x:v>
      </x:c>
      <x:c r="G156" s="106" t="str">
        <x:v>AkShare / Sina financial indicators</x:v>
      </x:c>
      <x:c r="H156" s="106" t="str">
        <x:v>https://money.finance.sina.com.cn/corp/go.php/vFD_FinancialGuideLine/stockid/600900/ctrl/2024/displaytype/4.phtml</x:v>
      </x:c>
      <x:c r="I156" s="106"/>
      <x:c r="J156" s="106"/>
      <x:c r="K156" s="121" t="str">
        <x:v>2026-09-01 14:51:55.727557+00:00</x:v>
      </x:c>
      <x:c r="L156" s="121" t="str">
        <x:v>2024-03-31 00:00:00+00:00</x:v>
      </x:c>
      <x:c r="M156" s="106" t="str">
        <x:v>akshare-financial-v1-sina</x:v>
      </x:c>
      <x:c r="N156" s="106" t="str">
        <x:v>220e662e25d250b4bfd16fb8a8212d80e34faebcc36a9e99d2915bdd89cfd21f</x:v>
      </x:c>
      <x:c r="O156" s="113"/>
      <x:c r="P156" s="106" t="str">
        <x:v>pending</x:v>
      </x:c>
      <x:c r="Q156" s="106" t="str">
        <x:v>否</x:v>
      </x:c>
      <x:c r="R156" s="106" t="str">
        <x:v>由本地 Agent 同步</x:v>
      </x:c>
      <x:c r="S156" s="86"/>
      <x:c r="T156" s="86"/>
      <x:c r="U156" s="86"/>
      <x:c r="V156" s="86"/>
      <x:c r="W156" s="86"/>
      <x:c r="X156" s="86"/>
      <x:c r="Y156" s="86"/>
      <x:c r="Z156" s="86"/>
    </x:row>
    <x:row r="157">
      <x:c r="A157" s="106" t="str">
        <x:v>3cb93487-d916-4bbf-b9af-2c035470cafe</x:v>
      </x:c>
      <x:c r="B157" s="106" t="str">
        <x:v>600900</x:v>
      </x:c>
      <x:c r="C157" s="106" t="str">
        <x:v>net_margin</x:v>
      </x:c>
      <x:c r="D157" s="106" t="str">
        <x:v>2024-03-31</x:v>
      </x:c>
      <x:c r="E157" s="106" t="n">
        <x:v>26.0611</x:v>
      </x:c>
      <x:c r="F157" s="106" t="str">
        <x:v>percent</x:v>
      </x:c>
      <x:c r="G157" s="106" t="str">
        <x:v>AkShare / Sina financial indicators</x:v>
      </x:c>
      <x:c r="H157" s="106" t="str">
        <x:v>https://money.finance.sina.com.cn/corp/go.php/vFD_FinancialGuideLine/stockid/600900/ctrl/2024/displaytype/4.phtml</x:v>
      </x:c>
      <x:c r="I157" s="106"/>
      <x:c r="J157" s="106"/>
      <x:c r="K157" s="121" t="str">
        <x:v>2026-09-01 14:51:55.727557+00:00</x:v>
      </x:c>
      <x:c r="L157" s="121" t="str">
        <x:v>2024-03-31 00:00:00+00:00</x:v>
      </x:c>
      <x:c r="M157" s="106" t="str">
        <x:v>akshare-financial-v1-sina</x:v>
      </x:c>
      <x:c r="N157" s="106" t="str">
        <x:v>220e662e25d250b4bfd16fb8a8212d80e34faebcc36a9e99d2915bdd89cfd21f</x:v>
      </x:c>
      <x:c r="O157" s="113"/>
      <x:c r="P157" s="106" t="str">
        <x:v>pending</x:v>
      </x:c>
      <x:c r="Q157" s="106" t="str">
        <x:v>否</x:v>
      </x:c>
      <x:c r="R157" s="106" t="str">
        <x:v>由本地 Agent 同步</x:v>
      </x:c>
      <x:c r="S157" s="86"/>
      <x:c r="T157" s="86"/>
      <x:c r="U157" s="86"/>
      <x:c r="V157" s="86"/>
      <x:c r="W157" s="86"/>
      <x:c r="X157" s="86"/>
      <x:c r="Y157" s="86"/>
      <x:c r="Z157" s="86"/>
    </x:row>
    <x:row r="158">
      <x:c r="A158" s="106" t="str">
        <x:v>3cb93487-d916-4bbf-b9af-2c035470cafe</x:v>
      </x:c>
      <x:c r="B158" s="106" t="str">
        <x:v>600900</x:v>
      </x:c>
      <x:c r="C158" s="106" t="str">
        <x:v>roe</x:v>
      </x:c>
      <x:c r="D158" s="106" t="str">
        <x:v>2024-03-31</x:v>
      </x:c>
      <x:c r="E158" s="106" t="n">
        <x:v>1.93</x:v>
      </x:c>
      <x:c r="F158" s="106" t="str">
        <x:v>percent</x:v>
      </x:c>
      <x:c r="G158" s="106" t="str">
        <x:v>AkShare / Sina financial indicators</x:v>
      </x:c>
      <x:c r="H158" s="106" t="str">
        <x:v>https://money.finance.sina.com.cn/corp/go.php/vFD_FinancialGuideLine/stockid/600900/ctrl/2024/displaytype/4.phtml</x:v>
      </x:c>
      <x:c r="I158" s="106"/>
      <x:c r="J158" s="106"/>
      <x:c r="K158" s="121" t="str">
        <x:v>2026-09-01 14:51:55.727557+00:00</x:v>
      </x:c>
      <x:c r="L158" s="121" t="str">
        <x:v>2024-03-31 00:00:00+00:00</x:v>
      </x:c>
      <x:c r="M158" s="106" t="str">
        <x:v>akshare-financial-v1-sina</x:v>
      </x:c>
      <x:c r="N158" s="106" t="str">
        <x:v>220e662e25d250b4bfd16fb8a8212d80e34faebcc36a9e99d2915bdd89cfd21f</x:v>
      </x:c>
      <x:c r="O158" s="113"/>
      <x:c r="P158" s="106" t="str">
        <x:v>pending</x:v>
      </x:c>
      <x:c r="Q158" s="106" t="str">
        <x:v>否</x:v>
      </x:c>
      <x:c r="R158" s="106" t="str">
        <x:v>由本地 Agent 同步</x:v>
      </x:c>
      <x:c r="S158" s="86"/>
      <x:c r="T158" s="86"/>
      <x:c r="U158" s="86"/>
      <x:c r="V158" s="86"/>
      <x:c r="W158" s="86"/>
      <x:c r="X158" s="86"/>
      <x:c r="Y158" s="86"/>
      <x:c r="Z158" s="86"/>
    </x:row>
    <x:row r="159">
      <x:c r="A159" s="106" t="str">
        <x:v>3cb93487-d916-4bbf-b9af-2c035470cafe</x:v>
      </x:c>
      <x:c r="B159" s="106" t="str">
        <x:v>600900</x:v>
      </x:c>
      <x:c r="C159" s="106" t="str">
        <x:v>bvps</x:v>
      </x:c>
      <x:c r="D159" s="106" t="str">
        <x:v>2024-03-31</x:v>
      </x:c>
      <x:c r="E159" s="106" t="n">
        <x:v>8.8569</x:v>
      </x:c>
      <x:c r="F159" s="106" t="str">
        <x:v>CNY/share</x:v>
      </x:c>
      <x:c r="G159" s="106" t="str">
        <x:v>AkShare / Sina financial indicators</x:v>
      </x:c>
      <x:c r="H159" s="106" t="str">
        <x:v>https://money.finance.sina.com.cn/corp/go.php/vFD_FinancialGuideLine/stockid/600900/ctrl/2024/displaytype/4.phtml</x:v>
      </x:c>
      <x:c r="I159" s="106"/>
      <x:c r="J159" s="106"/>
      <x:c r="K159" s="121" t="str">
        <x:v>2026-09-01 14:51:55.727557+00:00</x:v>
      </x:c>
      <x:c r="L159" s="121" t="str">
        <x:v>2024-03-31 00:00:00+00:00</x:v>
      </x:c>
      <x:c r="M159" s="106" t="str">
        <x:v>akshare-financial-v1-sina</x:v>
      </x:c>
      <x:c r="N159" s="106" t="str">
        <x:v>220e662e25d250b4bfd16fb8a8212d80e34faebcc36a9e99d2915bdd89cfd21f</x:v>
      </x:c>
      <x:c r="O159" s="113"/>
      <x:c r="P159" s="106" t="str">
        <x:v>pending</x:v>
      </x:c>
      <x:c r="Q159" s="106" t="str">
        <x:v>否</x:v>
      </x:c>
      <x:c r="R159" s="106" t="str">
        <x:v>由本地 Agent 同步</x:v>
      </x:c>
      <x:c r="S159" s="86"/>
      <x:c r="T159" s="86"/>
      <x:c r="U159" s="86"/>
      <x:c r="V159" s="86"/>
      <x:c r="W159" s="86"/>
      <x:c r="X159" s="86"/>
      <x:c r="Y159" s="86"/>
      <x:c r="Z159" s="86"/>
    </x:row>
    <x:row r="160">
      <x:c r="A160" s="106" t="str">
        <x:v>3cb93487-d916-4bbf-b9af-2c035470cafe</x:v>
      </x:c>
      <x:c r="B160" s="106" t="str">
        <x:v>600900</x:v>
      </x:c>
      <x:c r="C160" s="106" t="str">
        <x:v>eps_ttm</x:v>
      </x:c>
      <x:c r="D160" s="106" t="str">
        <x:v>2024-03-31</x:v>
      </x:c>
      <x:c r="E160" s="106" t="n">
        <x:v>0.1666</x:v>
      </x:c>
      <x:c r="F160" s="106" t="str">
        <x:v>CNY/share</x:v>
      </x:c>
      <x:c r="G160" s="106" t="str">
        <x:v>AkShare / Sina financial indicators</x:v>
      </x:c>
      <x:c r="H160" s="106" t="str">
        <x:v>https://money.finance.sina.com.cn/corp/go.php/vFD_FinancialGuideLine/stockid/600900/ctrl/2024/displaytype/4.phtml</x:v>
      </x:c>
      <x:c r="I160" s="106"/>
      <x:c r="J160" s="106"/>
      <x:c r="K160" s="121" t="str">
        <x:v>2026-09-01 14:51:55.727557+00:00</x:v>
      </x:c>
      <x:c r="L160" s="121" t="str">
        <x:v>2024-03-31 00:00:00+00:00</x:v>
      </x:c>
      <x:c r="M160" s="106" t="str">
        <x:v>akshare-financial-v1-sina</x:v>
      </x:c>
      <x:c r="N160" s="106" t="str">
        <x:v>220e662e25d250b4bfd16fb8a8212d80e34faebcc36a9e99d2915bdd89cfd21f</x:v>
      </x:c>
      <x:c r="O160" s="113"/>
      <x:c r="P160" s="106" t="str">
        <x:v>pending</x:v>
      </x:c>
      <x:c r="Q160" s="106" t="str">
        <x:v>否</x:v>
      </x:c>
      <x:c r="R160" s="106" t="str">
        <x:v>由本地 Agent 同步</x:v>
      </x:c>
      <x:c r="S160" s="86"/>
      <x:c r="T160" s="86"/>
      <x:c r="U160" s="86"/>
      <x:c r="V160" s="86"/>
      <x:c r="W160" s="86"/>
      <x:c r="X160" s="86"/>
      <x:c r="Y160" s="86"/>
      <x:c r="Z160" s="86"/>
    </x:row>
    <x:row r="161">
      <x:c r="A161" s="106" t="str">
        <x:v>3242b259-8100-4d17-a680-fd726513955a</x:v>
      </x:c>
      <x:c r="B161" s="106" t="str">
        <x:v>600941</x:v>
      </x:c>
      <x:c r="C161" s="106" t="str">
        <x:v>operating_cash_flow_to_net_income</x:v>
      </x:c>
      <x:c r="D161" s="106" t="str">
        <x:v>2024-03-31</x:v>
      </x:c>
      <x:c r="E161" s="106" t="n">
        <x:v>1.9206</x:v>
      </x:c>
      <x:c r="F161" s="106" t="str">
        <x:v>percent</x:v>
      </x:c>
      <x:c r="G161" s="106" t="str">
        <x:v>AkShare / Sina financial indicators</x:v>
      </x:c>
      <x:c r="H161" s="106" t="str">
        <x:v>https://money.finance.sina.com.cn/corp/go.php/vFD_FinancialGuideLine/stockid/600941/ctrl/2024/displaytype/4.phtml</x:v>
      </x:c>
      <x:c r="I161" s="106"/>
      <x:c r="J161" s="106"/>
      <x:c r="K161" s="121" t="str">
        <x:v>2026-09-01 14:51:55.727557+00:00</x:v>
      </x:c>
      <x:c r="L161" s="121" t="str">
        <x:v>2024-03-31 00:00:00+00:00</x:v>
      </x:c>
      <x:c r="M161" s="106" t="str">
        <x:v>akshare-financial-v1-sina</x:v>
      </x:c>
      <x:c r="N161" s="106" t="str">
        <x:v>b0db0e61a303822f01f208488576d1f001cdbb233eaf2b7dd0903dcf3411fcca</x:v>
      </x:c>
      <x:c r="O161" s="113"/>
      <x:c r="P161" s="106" t="str">
        <x:v>pending</x:v>
      </x:c>
      <x:c r="Q161" s="106" t="str">
        <x:v>否</x:v>
      </x:c>
      <x:c r="R161" s="106" t="str">
        <x:v>由本地 Agent 同步</x:v>
      </x:c>
      <x:c r="S161" s="86"/>
      <x:c r="T161" s="86"/>
      <x:c r="U161" s="86"/>
      <x:c r="V161" s="86"/>
      <x:c r="W161" s="86"/>
      <x:c r="X161" s="86"/>
      <x:c r="Y161" s="86"/>
      <x:c r="Z161" s="86"/>
    </x:row>
    <x:row r="162">
      <x:c r="A162" s="106" t="str">
        <x:v>3242b259-8100-4d17-a680-fd726513955a</x:v>
      </x:c>
      <x:c r="B162" s="106" t="str">
        <x:v>600941</x:v>
      </x:c>
      <x:c r="C162" s="106" t="str">
        <x:v>debt_ratio</x:v>
      </x:c>
      <x:c r="D162" s="106" t="str">
        <x:v>2024-03-31</x:v>
      </x:c>
      <x:c r="E162" s="106" t="n">
        <x:v>32.7606</x:v>
      </x:c>
      <x:c r="F162" s="106" t="str">
        <x:v>percent</x:v>
      </x:c>
      <x:c r="G162" s="106" t="str">
        <x:v>AkShare / Sina financial indicators</x:v>
      </x:c>
      <x:c r="H162" s="106" t="str">
        <x:v>https://money.finance.sina.com.cn/corp/go.php/vFD_FinancialGuideLine/stockid/600941/ctrl/2024/displaytype/4.phtml</x:v>
      </x:c>
      <x:c r="I162" s="106"/>
      <x:c r="J162" s="106"/>
      <x:c r="K162" s="121" t="str">
        <x:v>2026-09-01 14:51:55.727557+00:00</x:v>
      </x:c>
      <x:c r="L162" s="121" t="str">
        <x:v>2024-03-31 00:00:00+00:00</x:v>
      </x:c>
      <x:c r="M162" s="106" t="str">
        <x:v>akshare-financial-v1-sina</x:v>
      </x:c>
      <x:c r="N162" s="106" t="str">
        <x:v>b0db0e61a303822f01f208488576d1f001cdbb233eaf2b7dd0903dcf3411fcca</x:v>
      </x:c>
      <x:c r="O162" s="113"/>
      <x:c r="P162" s="106" t="str">
        <x:v>pending</x:v>
      </x:c>
      <x:c r="Q162" s="106" t="str">
        <x:v>否</x:v>
      </x:c>
      <x:c r="R162" s="106" t="str">
        <x:v>由本地 Agent 同步</x:v>
      </x:c>
      <x:c r="S162" s="86"/>
      <x:c r="T162" s="86"/>
      <x:c r="U162" s="86"/>
      <x:c r="V162" s="86"/>
      <x:c r="W162" s="86"/>
      <x:c r="X162" s="86"/>
      <x:c r="Y162" s="86"/>
      <x:c r="Z162" s="86"/>
    </x:row>
    <x:row r="163">
      <x:c r="A163" s="106" t="str">
        <x:v>3242b259-8100-4d17-a680-fd726513955a</x:v>
      </x:c>
      <x:c r="B163" s="106" t="str">
        <x:v>600941</x:v>
      </x:c>
      <x:c r="C163" s="106" t="str">
        <x:v>net_income_yoy</x:v>
      </x:c>
      <x:c r="D163" s="106" t="str">
        <x:v>2024-03-31</x:v>
      </x:c>
      <x:c r="E163" s="106" t="n">
        <x:v>5.5051</x:v>
      </x:c>
      <x:c r="F163" s="106" t="str">
        <x:v>percent</x:v>
      </x:c>
      <x:c r="G163" s="106" t="str">
        <x:v>AkShare / Sina financial indicators</x:v>
      </x:c>
      <x:c r="H163" s="106" t="str">
        <x:v>https://money.finance.sina.com.cn/corp/go.php/vFD_FinancialGuideLine/stockid/600941/ctrl/2024/displaytype/4.phtml</x:v>
      </x:c>
      <x:c r="I163" s="106"/>
      <x:c r="J163" s="106"/>
      <x:c r="K163" s="121" t="str">
        <x:v>2026-09-01 14:51:55.727557+00:00</x:v>
      </x:c>
      <x:c r="L163" s="121" t="str">
        <x:v>2024-03-31 00:00:00+00:00</x:v>
      </x:c>
      <x:c r="M163" s="106" t="str">
        <x:v>akshare-financial-v1-sina</x:v>
      </x:c>
      <x:c r="N163" s="106" t="str">
        <x:v>b0db0e61a303822f01f208488576d1f001cdbb233eaf2b7dd0903dcf3411fcca</x:v>
      </x:c>
      <x:c r="O163" s="113"/>
      <x:c r="P163" s="106" t="str">
        <x:v>pending</x:v>
      </x:c>
      <x:c r="Q163" s="106" t="str">
        <x:v>否</x:v>
      </x:c>
      <x:c r="R163" s="106" t="str">
        <x:v>由本地 Agent 同步</x:v>
      </x:c>
      <x:c r="S163" s="86"/>
      <x:c r="T163" s="86"/>
      <x:c r="U163" s="86"/>
      <x:c r="V163" s="86"/>
      <x:c r="W163" s="86"/>
      <x:c r="X163" s="86"/>
      <x:c r="Y163" s="86"/>
      <x:c r="Z163" s="86"/>
    </x:row>
    <x:row r="164">
      <x:c r="A164" s="106" t="str">
        <x:v>3242b259-8100-4d17-a680-fd726513955a</x:v>
      </x:c>
      <x:c r="B164" s="106" t="str">
        <x:v>600941</x:v>
      </x:c>
      <x:c r="C164" s="106" t="str">
        <x:v>revenue_yoy</x:v>
      </x:c>
      <x:c r="D164" s="106" t="str">
        <x:v>2024-03-31</x:v>
      </x:c>
      <x:c r="E164" s="106" t="n">
        <x:v>5.169</x:v>
      </x:c>
      <x:c r="F164" s="106" t="str">
        <x:v>percent</x:v>
      </x:c>
      <x:c r="G164" s="106" t="str">
        <x:v>AkShare / Sina financial indicators</x:v>
      </x:c>
      <x:c r="H164" s="106" t="str">
        <x:v>https://money.finance.sina.com.cn/corp/go.php/vFD_FinancialGuideLine/stockid/600941/ctrl/2024/displaytype/4.phtml</x:v>
      </x:c>
      <x:c r="I164" s="106"/>
      <x:c r="J164" s="106"/>
      <x:c r="K164" s="121" t="str">
        <x:v>2026-09-01 14:51:55.727557+00:00</x:v>
      </x:c>
      <x:c r="L164" s="121" t="str">
        <x:v>2024-03-31 00:00:00+00:00</x:v>
      </x:c>
      <x:c r="M164" s="106" t="str">
        <x:v>akshare-financial-v1-sina</x:v>
      </x:c>
      <x:c r="N164" s="106" t="str">
        <x:v>b0db0e61a303822f01f208488576d1f001cdbb233eaf2b7dd0903dcf3411fcca</x:v>
      </x:c>
      <x:c r="O164" s="113"/>
      <x:c r="P164" s="106" t="str">
        <x:v>pending</x:v>
      </x:c>
      <x:c r="Q164" s="106" t="str">
        <x:v>否</x:v>
      </x:c>
      <x:c r="R164" s="106" t="str">
        <x:v>由本地 Agent 同步</x:v>
      </x:c>
      <x:c r="S164" s="86"/>
      <x:c r="T164" s="86"/>
      <x:c r="U164" s="86"/>
      <x:c r="V164" s="86"/>
      <x:c r="W164" s="86"/>
      <x:c r="X164" s="86"/>
      <x:c r="Y164" s="86"/>
      <x:c r="Z164" s="86"/>
    </x:row>
    <x:row r="165">
      <x:c r="A165" s="106" t="str">
        <x:v>3242b259-8100-4d17-a680-fd726513955a</x:v>
      </x:c>
      <x:c r="B165" s="106" t="str">
        <x:v>600941</x:v>
      </x:c>
      <x:c r="C165" s="106" t="str">
        <x:v>net_margin</x:v>
      </x:c>
      <x:c r="D165" s="106" t="str">
        <x:v>2024-03-31</x:v>
      </x:c>
      <x:c r="E165" s="106" t="n">
        <x:v>11.2356</x:v>
      </x:c>
      <x:c r="F165" s="106" t="str">
        <x:v>percent</x:v>
      </x:c>
      <x:c r="G165" s="106" t="str">
        <x:v>AkShare / Sina financial indicators</x:v>
      </x:c>
      <x:c r="H165" s="106" t="str">
        <x:v>https://money.finance.sina.com.cn/corp/go.php/vFD_FinancialGuideLine/stockid/600941/ctrl/2024/displaytype/4.phtml</x:v>
      </x:c>
      <x:c r="I165" s="106"/>
      <x:c r="J165" s="106"/>
      <x:c r="K165" s="121" t="str">
        <x:v>2026-09-01 14:51:55.727557+00:00</x:v>
      </x:c>
      <x:c r="L165" s="121" t="str">
        <x:v>2024-03-31 00:00:00+00:00</x:v>
      </x:c>
      <x:c r="M165" s="106" t="str">
        <x:v>akshare-financial-v1-sina</x:v>
      </x:c>
      <x:c r="N165" s="106" t="str">
        <x:v>b0db0e61a303822f01f208488576d1f001cdbb233eaf2b7dd0903dcf3411fcca</x:v>
      </x:c>
      <x:c r="O165" s="113"/>
      <x:c r="P165" s="106" t="str">
        <x:v>pending</x:v>
      </x:c>
      <x:c r="Q165" s="106" t="str">
        <x:v>否</x:v>
      </x:c>
      <x:c r="R165" s="106" t="str">
        <x:v>由本地 Agent 同步</x:v>
      </x:c>
      <x:c r="S165" s="86"/>
      <x:c r="T165" s="86"/>
      <x:c r="U165" s="86"/>
      <x:c r="V165" s="86"/>
      <x:c r="W165" s="86"/>
      <x:c r="X165" s="86"/>
      <x:c r="Y165" s="86"/>
      <x:c r="Z165" s="86"/>
    </x:row>
    <x:row r="166">
      <x:c r="A166" s="106" t="str">
        <x:v>3242b259-8100-4d17-a680-fd726513955a</x:v>
      </x:c>
      <x:c r="B166" s="106" t="str">
        <x:v>600941</x:v>
      </x:c>
      <x:c r="C166" s="106" t="str">
        <x:v>roe</x:v>
      </x:c>
      <x:c r="D166" s="106" t="str">
        <x:v>2024-03-31</x:v>
      </x:c>
      <x:c r="E166" s="106" t="n">
        <x:v>2.21</x:v>
      </x:c>
      <x:c r="F166" s="106" t="str">
        <x:v>percent</x:v>
      </x:c>
      <x:c r="G166" s="106" t="str">
        <x:v>AkShare / Sina financial indicators</x:v>
      </x:c>
      <x:c r="H166" s="106" t="str">
        <x:v>https://money.finance.sina.com.cn/corp/go.php/vFD_FinancialGuideLine/stockid/600941/ctrl/2024/displaytype/4.phtml</x:v>
      </x:c>
      <x:c r="I166" s="106"/>
      <x:c r="J166" s="106"/>
      <x:c r="K166" s="121" t="str">
        <x:v>2026-09-01 14:51:55.727557+00:00</x:v>
      </x:c>
      <x:c r="L166" s="121" t="str">
        <x:v>2024-03-31 00:00:00+00:00</x:v>
      </x:c>
      <x:c r="M166" s="106" t="str">
        <x:v>akshare-financial-v1-sina</x:v>
      </x:c>
      <x:c r="N166" s="106" t="str">
        <x:v>b0db0e61a303822f01f208488576d1f001cdbb233eaf2b7dd0903dcf3411fcca</x:v>
      </x:c>
      <x:c r="O166" s="113"/>
      <x:c r="P166" s="106" t="str">
        <x:v>pending</x:v>
      </x:c>
      <x:c r="Q166" s="106" t="str">
        <x:v>否</x:v>
      </x:c>
      <x:c r="R166" s="106" t="str">
        <x:v>由本地 Agent 同步</x:v>
      </x:c>
      <x:c r="S166" s="86"/>
      <x:c r="T166" s="86"/>
      <x:c r="U166" s="86"/>
      <x:c r="V166" s="86"/>
      <x:c r="W166" s="86"/>
      <x:c r="X166" s="86"/>
      <x:c r="Y166" s="86"/>
      <x:c r="Z166" s="86"/>
    </x:row>
    <x:row r="167">
      <x:c r="A167" s="106" t="str">
        <x:v>3242b259-8100-4d17-a680-fd726513955a</x:v>
      </x:c>
      <x:c r="B167" s="106" t="str">
        <x:v>600941</x:v>
      </x:c>
      <x:c r="C167" s="106" t="str">
        <x:v>bvps</x:v>
      </x:c>
      <x:c r="D167" s="106" t="str">
        <x:v>2024-03-31</x:v>
      </x:c>
      <x:c r="E167" s="106" t="n">
        <x:v>62.7039</x:v>
      </x:c>
      <x:c r="F167" s="106" t="str">
        <x:v>CNY/share</x:v>
      </x:c>
      <x:c r="G167" s="106" t="str">
        <x:v>AkShare / Sina financial indicators</x:v>
      </x:c>
      <x:c r="H167" s="106" t="str">
        <x:v>https://money.finance.sina.com.cn/corp/go.php/vFD_FinancialGuideLine/stockid/600941/ctrl/2024/displaytype/4.phtml</x:v>
      </x:c>
      <x:c r="I167" s="106"/>
      <x:c r="J167" s="106"/>
      <x:c r="K167" s="121" t="str">
        <x:v>2026-09-01 14:51:55.727557+00:00</x:v>
      </x:c>
      <x:c r="L167" s="121" t="str">
        <x:v>2024-03-31 00:00:00+00:00</x:v>
      </x:c>
      <x:c r="M167" s="106" t="str">
        <x:v>akshare-financial-v1-sina</x:v>
      </x:c>
      <x:c r="N167" s="106" t="str">
        <x:v>b0db0e61a303822f01f208488576d1f001cdbb233eaf2b7dd0903dcf3411fcca</x:v>
      </x:c>
      <x:c r="O167" s="113"/>
      <x:c r="P167" s="106" t="str">
        <x:v>pending</x:v>
      </x:c>
      <x:c r="Q167" s="106" t="str">
        <x:v>否</x:v>
      </x:c>
      <x:c r="R167" s="106" t="str">
        <x:v>由本地 Agent 同步</x:v>
      </x:c>
      <x:c r="S167" s="86"/>
      <x:c r="T167" s="86"/>
      <x:c r="U167" s="86"/>
      <x:c r="V167" s="86"/>
      <x:c r="W167" s="86"/>
      <x:c r="X167" s="86"/>
      <x:c r="Y167" s="86"/>
      <x:c r="Z167" s="86"/>
    </x:row>
    <x:row r="168">
      <x:c r="A168" s="106" t="str">
        <x:v>3242b259-8100-4d17-a680-fd726513955a</x:v>
      </x:c>
      <x:c r="B168" s="106" t="str">
        <x:v>600941</x:v>
      </x:c>
      <x:c r="C168" s="106" t="str">
        <x:v>eps_ttm</x:v>
      </x:c>
      <x:c r="D168" s="106" t="str">
        <x:v>2024-03-31</x:v>
      </x:c>
      <x:c r="E168" s="106" t="n">
        <x:v>1.3846</x:v>
      </x:c>
      <x:c r="F168" s="106" t="str">
        <x:v>CNY/share</x:v>
      </x:c>
      <x:c r="G168" s="106" t="str">
        <x:v>AkShare / Sina financial indicators</x:v>
      </x:c>
      <x:c r="H168" s="106" t="str">
        <x:v>https://money.finance.sina.com.cn/corp/go.php/vFD_FinancialGuideLine/stockid/600941/ctrl/2024/displaytype/4.phtml</x:v>
      </x:c>
      <x:c r="I168" s="106"/>
      <x:c r="J168" s="106"/>
      <x:c r="K168" s="121" t="str">
        <x:v>2026-09-01 14:51:55.727557+00:00</x:v>
      </x:c>
      <x:c r="L168" s="121" t="str">
        <x:v>2024-03-31 00:00:00+00:00</x:v>
      </x:c>
      <x:c r="M168" s="106" t="str">
        <x:v>akshare-financial-v1-sina</x:v>
      </x:c>
      <x:c r="N168" s="106" t="str">
        <x:v>b0db0e61a303822f01f208488576d1f001cdbb233eaf2b7dd0903dcf3411fcca</x:v>
      </x:c>
      <x:c r="O168" s="113"/>
      <x:c r="P168" s="106" t="str">
        <x:v>pending</x:v>
      </x:c>
      <x:c r="Q168" s="106" t="str">
        <x:v>否</x:v>
      </x:c>
      <x:c r="R168" s="106" t="str">
        <x:v>由本地 Agent 同步</x:v>
      </x:c>
      <x:c r="S168" s="86"/>
      <x:c r="T168" s="86"/>
      <x:c r="U168" s="86"/>
      <x:c r="V168" s="86"/>
      <x:c r="W168" s="86"/>
      <x:c r="X168" s="86"/>
      <x:c r="Y168" s="86"/>
      <x:c r="Z168" s="86"/>
    </x:row>
    <x:row r="169">
      <x:c r="A169" s="106" t="str">
        <x:v>6944a8c4-7e20-4e13-bfe5-7f9f273e0d07</x:v>
      </x:c>
      <x:c r="B169" s="106" t="str">
        <x:v>600887</x:v>
      </x:c>
      <x:c r="C169" s="106" t="str">
        <x:v>current_price</x:v>
      </x:c>
      <x:c r="D169" s="106" t="str">
        <x:v>2026-09-01 14:51</x:v>
      </x:c>
      <x:c r="E169" s="106" t="n">
        <x:v>26.5</x:v>
      </x:c>
      <x:c r="F169" s="106" t="str">
        <x:v>CNY/share</x:v>
      </x:c>
      <x:c r="G169" s="106" t="str">
        <x:v>AkShare / Sina public historical quotes</x:v>
      </x:c>
      <x:c r="H169" s="106" t="str">
        <x:v>https://akshare.akfamily.xyz/data/stock/stock.html</x:v>
      </x:c>
      <x:c r="I169" s="106"/>
      <x:c r="J169" s="106"/>
      <x:c r="K169" s="121" t="str">
        <x:v>2026-09-01 15:02:16.686427+00:00</x:v>
      </x:c>
      <x:c r="L169" s="121"/>
      <x:c r="M169" s="106" t="str">
        <x:v>akshare-price-v3-sina-history</x:v>
      </x:c>
      <x:c r="N169" s="106" t="str">
        <x:v>7ac64bb6772240aeabfb0fbe3832846fbe676fef55c5b1955be8332684fad75e</x:v>
      </x:c>
      <x:c r="O169" s="113"/>
      <x:c r="P169" s="106" t="str">
        <x:v>pending</x:v>
      </x:c>
      <x:c r="Q169" s="106" t="str">
        <x:v>否</x:v>
      </x:c>
      <x:c r="R169" s="106" t="str">
        <x:v>由本地 Agent 同步</x:v>
      </x:c>
      <x:c r="S169" s="86"/>
      <x:c r="T169" s="86"/>
      <x:c r="U169" s="86"/>
      <x:c r="V169" s="86"/>
      <x:c r="W169" s="86"/>
      <x:c r="X169" s="86"/>
      <x:c r="Y169" s="86"/>
      <x:c r="Z169" s="86"/>
    </x:row>
    <x:row r="170">
      <x:c r="A170" s="106" t="str">
        <x:v>df08cf55-3d75-48f6-8b80-45d0a07787b3</x:v>
      </x:c>
      <x:c r="B170" s="106" t="str">
        <x:v>300750</x:v>
      </x:c>
      <x:c r="C170" s="106" t="str">
        <x:v>current_price</x:v>
      </x:c>
      <x:c r="D170" s="106" t="str">
        <x:v>2026-09-01 14:51</x:v>
      </x:c>
      <x:c r="E170" s="106" t="n">
        <x:v>358.1</x:v>
      </x:c>
      <x:c r="F170" s="106" t="str">
        <x:v>CNY/share</x:v>
      </x:c>
      <x:c r="G170" s="106" t="str">
        <x:v>AkShare / Sina public historical quotes</x:v>
      </x:c>
      <x:c r="H170" s="106" t="str">
        <x:v>https://akshare.akfamily.xyz/data/stock/stock.html</x:v>
      </x:c>
      <x:c r="I170" s="106"/>
      <x:c r="J170" s="106"/>
      <x:c r="K170" s="121" t="str">
        <x:v>2026-09-01 15:02:16.686427+00:00</x:v>
      </x:c>
      <x:c r="L170" s="121"/>
      <x:c r="M170" s="106" t="str">
        <x:v>akshare-price-v3-sina-history</x:v>
      </x:c>
      <x:c r="N170" s="106" t="str">
        <x:v>c219e9ce813c03bc2d5657b1ca221991bdfb9f4a41155fde3be11930ccb1660b</x:v>
      </x:c>
      <x:c r="O170" s="113"/>
      <x:c r="P170" s="106" t="str">
        <x:v>pending</x:v>
      </x:c>
      <x:c r="Q170" s="106" t="str">
        <x:v>否</x:v>
      </x:c>
      <x:c r="R170" s="106" t="str">
        <x:v>由本地 Agent 同步</x:v>
      </x:c>
      <x:c r="S170" s="86"/>
      <x:c r="T170" s="86"/>
      <x:c r="U170" s="86"/>
      <x:c r="V170" s="86"/>
      <x:c r="W170" s="86"/>
      <x:c r="X170" s="86"/>
      <x:c r="Y170" s="86"/>
      <x:c r="Z170" s="86"/>
    </x:row>
    <x:row r="171">
      <x:c r="A171" s="106" t="str">
        <x:v>39ea0620-de2b-46e5-8657-a92bc547df77</x:v>
      </x:c>
      <x:c r="B171" s="106" t="str">
        <x:v>600690</x:v>
      </x:c>
      <x:c r="C171" s="106" t="str">
        <x:v>current_price</x:v>
      </x:c>
      <x:c r="D171" s="106" t="str">
        <x:v>2026-09-01 14:51</x:v>
      </x:c>
      <x:c r="E171" s="106" t="n">
        <x:v>21.42</x:v>
      </x:c>
      <x:c r="F171" s="106" t="str">
        <x:v>CNY/share</x:v>
      </x:c>
      <x:c r="G171" s="106" t="str">
        <x:v>AkShare / Sina public historical quotes</x:v>
      </x:c>
      <x:c r="H171" s="106" t="str">
        <x:v>https://akshare.akfamily.xyz/data/stock/stock.html</x:v>
      </x:c>
      <x:c r="I171" s="106"/>
      <x:c r="J171" s="106"/>
      <x:c r="K171" s="121" t="str">
        <x:v>2026-09-01 15:02:16.686427+00:00</x:v>
      </x:c>
      <x:c r="L171" s="121"/>
      <x:c r="M171" s="106" t="str">
        <x:v>akshare-price-v3-sina-history</x:v>
      </x:c>
      <x:c r="N171" s="106" t="str">
        <x:v>6ac17d3ae284a628996b4a22756afd8c76c7509b809313f0ae68a9618d865c09</x:v>
      </x:c>
      <x:c r="O171" s="113"/>
      <x:c r="P171" s="106" t="str">
        <x:v>pending</x:v>
      </x:c>
      <x:c r="Q171" s="106" t="str">
        <x:v>否</x:v>
      </x:c>
      <x:c r="R171" s="106" t="str">
        <x:v>由本地 Agent 同步</x:v>
      </x:c>
      <x:c r="S171" s="86"/>
      <x:c r="T171" s="86"/>
      <x:c r="U171" s="86"/>
      <x:c r="V171" s="86"/>
      <x:c r="W171" s="86"/>
      <x:c r="X171" s="86"/>
      <x:c r="Y171" s="86"/>
      <x:c r="Z171" s="86"/>
    </x:row>
    <x:row r="172">
      <x:c r="A172" s="106" t="str">
        <x:v>59bad70d-3a23-4591-8805-d2bc5b6106c3</x:v>
      </x:c>
      <x:c r="B172" s="106" t="str">
        <x:v>601088</x:v>
      </x:c>
      <x:c r="C172" s="106" t="str">
        <x:v>current_price</x:v>
      </x:c>
      <x:c r="D172" s="106" t="str">
        <x:v>2026-09-01 14:51</x:v>
      </x:c>
      <x:c r="E172" s="106" t="n">
        <x:v>48.3</x:v>
      </x:c>
      <x:c r="F172" s="106" t="str">
        <x:v>CNY/share</x:v>
      </x:c>
      <x:c r="G172" s="106" t="str">
        <x:v>AkShare / Sina public historical quotes</x:v>
      </x:c>
      <x:c r="H172" s="106" t="str">
        <x:v>https://akshare.akfamily.xyz/data/stock/stock.html</x:v>
      </x:c>
      <x:c r="I172" s="106"/>
      <x:c r="J172" s="106"/>
      <x:c r="K172" s="121" t="str">
        <x:v>2026-09-01 15:02:16.686427+00:00</x:v>
      </x:c>
      <x:c r="L172" s="121"/>
      <x:c r="M172" s="106" t="str">
        <x:v>akshare-price-v3-sina-history</x:v>
      </x:c>
      <x:c r="N172" s="106" t="str">
        <x:v>786803a38a8094da69b08ab60affce538140d0fe55d3d0c1901d9b2ba721054f</x:v>
      </x:c>
      <x:c r="O172" s="113"/>
      <x:c r="P172" s="106" t="str">
        <x:v>pending</x:v>
      </x:c>
      <x:c r="Q172" s="106" t="str">
        <x:v>否</x:v>
      </x:c>
      <x:c r="R172" s="106" t="str">
        <x:v>由本地 Agent 同步</x:v>
      </x:c>
      <x:c r="S172" s="86"/>
      <x:c r="T172" s="86"/>
      <x:c r="U172" s="86"/>
      <x:c r="V172" s="86"/>
      <x:c r="W172" s="86"/>
      <x:c r="X172" s="86"/>
      <x:c r="Y172" s="86"/>
      <x:c r="Z172" s="86"/>
    </x:row>
    <x:row r="173">
      <x:c r="A173" s="106" t="str">
        <x:v>c022774c-9705-431c-b13e-059527782a69</x:v>
      </x:c>
      <x:c r="B173" s="106" t="str">
        <x:v>601288</x:v>
      </x:c>
      <x:c r="C173" s="106" t="str">
        <x:v>current_price</x:v>
      </x:c>
      <x:c r="D173" s="106" t="str">
        <x:v>2026-09-01 14:51</x:v>
      </x:c>
      <x:c r="E173" s="106" t="n">
        <x:v>7.05</x:v>
      </x:c>
      <x:c r="F173" s="106" t="str">
        <x:v>CNY/share</x:v>
      </x:c>
      <x:c r="G173" s="106" t="str">
        <x:v>AkShare / Sina public historical quotes</x:v>
      </x:c>
      <x:c r="H173" s="106" t="str">
        <x:v>https://akshare.akfamily.xyz/data/stock/stock.html</x:v>
      </x:c>
      <x:c r="I173" s="106"/>
      <x:c r="J173" s="106"/>
      <x:c r="K173" s="121" t="str">
        <x:v>2026-09-01 15:02:16.686427+00:00</x:v>
      </x:c>
      <x:c r="L173" s="121"/>
      <x:c r="M173" s="106" t="str">
        <x:v>akshare-price-v3-sina-history</x:v>
      </x:c>
      <x:c r="N173" s="106" t="str">
        <x:v>0d1533d6d369a2097b66e8a5137030a6199b85a03b244714d562088824fea03a</x:v>
      </x:c>
      <x:c r="O173" s="113"/>
      <x:c r="P173" s="106" t="str">
        <x:v>pending</x:v>
      </x:c>
      <x:c r="Q173" s="106" t="str">
        <x:v>否</x:v>
      </x:c>
      <x:c r="R173" s="106" t="str">
        <x:v>由本地 Agent 同步</x:v>
      </x:c>
      <x:c r="S173" s="86"/>
      <x:c r="T173" s="86"/>
      <x:c r="U173" s="86"/>
      <x:c r="V173" s="86"/>
      <x:c r="W173" s="86"/>
      <x:c r="X173" s="86"/>
      <x:c r="Y173" s="86"/>
      <x:c r="Z173" s="86"/>
    </x:row>
    <x:row r="174">
      <x:c r="A174" s="106" t="str">
        <x:v>1a535135-1d55-444c-bf07-61d09a84bc60</x:v>
      </x:c>
      <x:c r="B174" s="106" t="str">
        <x:v>600036</x:v>
      </x:c>
      <x:c r="C174" s="106" t="str">
        <x:v>current_price</x:v>
      </x:c>
      <x:c r="D174" s="106" t="str">
        <x:v>2026-09-01 14:51</x:v>
      </x:c>
      <x:c r="E174" s="106" t="n">
        <x:v>40.86</x:v>
      </x:c>
      <x:c r="F174" s="106" t="str">
        <x:v>CNY/share</x:v>
      </x:c>
      <x:c r="G174" s="106" t="str">
        <x:v>AkShare / Sina public historical quotes</x:v>
      </x:c>
      <x:c r="H174" s="106" t="str">
        <x:v>https://akshare.akfamily.xyz/data/stock/stock.html</x:v>
      </x:c>
      <x:c r="I174" s="106"/>
      <x:c r="J174" s="106"/>
      <x:c r="K174" s="121" t="str">
        <x:v>2026-09-01 15:02:16.686427+00:00</x:v>
      </x:c>
      <x:c r="L174" s="121"/>
      <x:c r="M174" s="106" t="str">
        <x:v>akshare-price-v3-sina-history</x:v>
      </x:c>
      <x:c r="N174" s="106" t="str">
        <x:v>2e55014a1df9c91d4e725e8328ff0176844fefa9145d77523c7a502795bec42d</x:v>
      </x:c>
      <x:c r="O174" s="113"/>
      <x:c r="P174" s="106" t="str">
        <x:v>pending</x:v>
      </x:c>
      <x:c r="Q174" s="106" t="str">
        <x:v>否</x:v>
      </x:c>
      <x:c r="R174" s="106" t="str">
        <x:v>由本地 Agent 同步</x:v>
      </x:c>
      <x:c r="S174" s="86"/>
      <x:c r="T174" s="86"/>
      <x:c r="U174" s="86"/>
      <x:c r="V174" s="86"/>
      <x:c r="W174" s="86"/>
      <x:c r="X174" s="86"/>
      <x:c r="Y174" s="86"/>
      <x:c r="Z174" s="86"/>
    </x:row>
    <x:row r="175">
      <x:c r="A175" s="106" t="str">
        <x:v>7a688c6a-7fe5-4989-b28f-d7d3c8d11ce1</x:v>
      </x:c>
      <x:c r="B175" s="106" t="str">
        <x:v>000333</x:v>
      </x:c>
      <x:c r="C175" s="106" t="str">
        <x:v>current_price</x:v>
      </x:c>
      <x:c r="D175" s="106" t="str">
        <x:v>2026-09-01 14:51</x:v>
      </x:c>
      <x:c r="E175" s="106" t="n">
        <x:v>87.49</x:v>
      </x:c>
      <x:c r="F175" s="106" t="str">
        <x:v>CNY/share</x:v>
      </x:c>
      <x:c r="G175" s="106" t="str">
        <x:v>AkShare / Sina public historical quotes</x:v>
      </x:c>
      <x:c r="H175" s="106" t="str">
        <x:v>https://akshare.akfamily.xyz/data/stock/stock.html</x:v>
      </x:c>
      <x:c r="I175" s="106"/>
      <x:c r="J175" s="106"/>
      <x:c r="K175" s="121" t="str">
        <x:v>2026-09-01 15:02:16.686427+00:00</x:v>
      </x:c>
      <x:c r="L175" s="121"/>
      <x:c r="M175" s="106" t="str">
        <x:v>akshare-price-v3-sina-history</x:v>
      </x:c>
      <x:c r="N175" s="106" t="str">
        <x:v>e4d3aa5683e1dbbb56ba55d0d80b9c7ba0fe2f05cd2782aeb6ea3b3192c959f9</x:v>
      </x:c>
      <x:c r="O175" s="113"/>
      <x:c r="P175" s="106" t="str">
        <x:v>pending</x:v>
      </x:c>
      <x:c r="Q175" s="106" t="str">
        <x:v>否</x:v>
      </x:c>
      <x:c r="R175" s="106" t="str">
        <x:v>由本地 Agent 同步</x:v>
      </x:c>
      <x:c r="S175" s="86"/>
      <x:c r="T175" s="86"/>
      <x:c r="U175" s="86"/>
      <x:c r="V175" s="86"/>
      <x:c r="W175" s="86"/>
      <x:c r="X175" s="86"/>
      <x:c r="Y175" s="86"/>
      <x:c r="Z175" s="86"/>
    </x:row>
    <x:row r="176">
      <x:c r="A176" s="106" t="str">
        <x:v>484a51b1-cf08-4ecc-be6e-b4ed787bb0cd</x:v>
      </x:c>
      <x:c r="B176" s="106" t="str">
        <x:v>600519</x:v>
      </x:c>
      <x:c r="C176" s="106" t="str">
        <x:v>current_price</x:v>
      </x:c>
      <x:c r="D176" s="106" t="str">
        <x:v>2026-09-01 14:51</x:v>
      </x:c>
      <x:c r="E176" s="106" t="n">
        <x:v>1299.56</x:v>
      </x:c>
      <x:c r="F176" s="106" t="str">
        <x:v>CNY/share</x:v>
      </x:c>
      <x:c r="G176" s="106" t="str">
        <x:v>AkShare / Sina public historical quotes</x:v>
      </x:c>
      <x:c r="H176" s="106" t="str">
        <x:v>https://akshare.akfamily.xyz/data/stock/stock.html</x:v>
      </x:c>
      <x:c r="I176" s="106"/>
      <x:c r="J176" s="106"/>
      <x:c r="K176" s="121" t="str">
        <x:v>2026-09-01 15:02:16.686427+00:00</x:v>
      </x:c>
      <x:c r="L176" s="121"/>
      <x:c r="M176" s="106" t="str">
        <x:v>akshare-price-v3-sina-history</x:v>
      </x:c>
      <x:c r="N176" s="106" t="str">
        <x:v>954915d8d904f3dd7fbaa07d14265367567d88697da146771ea5df6bff0bef17</x:v>
      </x:c>
      <x:c r="O176" s="113"/>
      <x:c r="P176" s="106" t="str">
        <x:v>pending</x:v>
      </x:c>
      <x:c r="Q176" s="106" t="str">
        <x:v>否</x:v>
      </x:c>
      <x:c r="R176" s="106" t="str">
        <x:v>由本地 Agent 同步</x:v>
      </x:c>
      <x:c r="S176" s="86"/>
      <x:c r="T176" s="86"/>
      <x:c r="U176" s="86"/>
      <x:c r="V176" s="86"/>
      <x:c r="W176" s="86"/>
      <x:c r="X176" s="86"/>
      <x:c r="Y176" s="86"/>
      <x:c r="Z176" s="86"/>
    </x:row>
    <x:row r="177">
      <x:c r="A177" s="106" t="str">
        <x:v>9738d8d2-e0da-46d0-b259-edc47ecd543c</x:v>
      </x:c>
      <x:c r="B177" s="106" t="str">
        <x:v>600900</x:v>
      </x:c>
      <x:c r="C177" s="106" t="str">
        <x:v>current_price</x:v>
      </x:c>
      <x:c r="D177" s="106" t="str">
        <x:v>2026-09-01 14:51</x:v>
      </x:c>
      <x:c r="E177" s="106" t="n">
        <x:v>28.4</x:v>
      </x:c>
      <x:c r="F177" s="106" t="str">
        <x:v>CNY/share</x:v>
      </x:c>
      <x:c r="G177" s="106" t="str">
        <x:v>AkShare / Sina public historical quotes</x:v>
      </x:c>
      <x:c r="H177" s="106" t="str">
        <x:v>https://akshare.akfamily.xyz/data/stock/stock.html</x:v>
      </x:c>
      <x:c r="I177" s="106"/>
      <x:c r="J177" s="106"/>
      <x:c r="K177" s="121" t="str">
        <x:v>2026-09-01 15:02:16.686427+00:00</x:v>
      </x:c>
      <x:c r="L177" s="121"/>
      <x:c r="M177" s="106" t="str">
        <x:v>akshare-price-v3-sina-history</x:v>
      </x:c>
      <x:c r="N177" s="106" t="str">
        <x:v>9f0f476bfe12ebd012dda3565f04bd4a8b6bb467f5b7773428dee6d153cf4063</x:v>
      </x:c>
      <x:c r="O177" s="113"/>
      <x:c r="P177" s="106" t="str">
        <x:v>pending</x:v>
      </x:c>
      <x:c r="Q177" s="106" t="str">
        <x:v>否</x:v>
      </x:c>
      <x:c r="R177" s="106" t="str">
        <x:v>由本地 Agent 同步</x:v>
      </x:c>
      <x:c r="S177" s="86"/>
      <x:c r="T177" s="86"/>
      <x:c r="U177" s="86"/>
      <x:c r="V177" s="86"/>
      <x:c r="W177" s="86"/>
      <x:c r="X177" s="86"/>
      <x:c r="Y177" s="86"/>
      <x:c r="Z177" s="86"/>
    </x:row>
    <x:row r="178">
      <x:c r="A178" s="106" t="str">
        <x:v>117ee410-3e88-4500-b962-63d04110062f</x:v>
      </x:c>
      <x:c r="B178" s="106" t="str">
        <x:v>600941</x:v>
      </x:c>
      <x:c r="C178" s="106" t="str">
        <x:v>current_price</x:v>
      </x:c>
      <x:c r="D178" s="106" t="str">
        <x:v>2026-09-01 14:51</x:v>
      </x:c>
      <x:c r="E178" s="106" t="n">
        <x:v>99.89</x:v>
      </x:c>
      <x:c r="F178" s="106" t="str">
        <x:v>CNY/share</x:v>
      </x:c>
      <x:c r="G178" s="106" t="str">
        <x:v>AkShare / Sina public historical quotes</x:v>
      </x:c>
      <x:c r="H178" s="106" t="str">
        <x:v>https://akshare.akfamily.xyz/data/stock/stock.html</x:v>
      </x:c>
      <x:c r="I178" s="106"/>
      <x:c r="J178" s="106"/>
      <x:c r="K178" s="121" t="str">
        <x:v>2026-09-01 15:02:16.686427+00:00</x:v>
      </x:c>
      <x:c r="L178" s="121"/>
      <x:c r="M178" s="106" t="str">
        <x:v>akshare-price-v3-sina-history</x:v>
      </x:c>
      <x:c r="N178" s="106" t="str">
        <x:v>9d625cbcd6ab1e4f25e742f11a6421416e2b5d6ca873fa19411c16257016bf20</x:v>
      </x:c>
      <x:c r="O178" s="113"/>
      <x:c r="P178" s="106" t="str">
        <x:v>pending</x:v>
      </x:c>
      <x:c r="Q178" s="106" t="str">
        <x:v>否</x:v>
      </x:c>
      <x:c r="R178" s="106" t="str">
        <x:v>由本地 Agent 同步</x:v>
      </x:c>
      <x:c r="S178" s="86"/>
      <x:c r="T178" s="86"/>
      <x:c r="U178" s="86"/>
      <x:c r="V178" s="86"/>
      <x:c r="W178" s="86"/>
      <x:c r="X178" s="86"/>
      <x:c r="Y178" s="86"/>
      <x:c r="Z178" s="86"/>
    </x:row>
    <x:row r="179">
      <x:c r="A179" s="106" t="str">
        <x:v>dc4405b3-2bb7-4094-a53e-b22b9b72ca06</x:v>
      </x:c>
      <x:c r="B179" s="106" t="str">
        <x:v>300750</x:v>
      </x:c>
      <x:c r="C179" s="106" t="str">
        <x:v>operating_cash_flow_to_net_income</x:v>
      </x:c>
      <x:c r="D179" s="106" t="str">
        <x:v>2024-03-31</x:v>
      </x:c>
      <x:c r="E179" s="106" t="n">
        <x:v>2.5329</x:v>
      </x:c>
      <x:c r="F179" s="106" t="str">
        <x:v>percent</x:v>
      </x:c>
      <x:c r="G179" s="106" t="str">
        <x:v>AkShare / Sina financial indicators</x:v>
      </x:c>
      <x:c r="H179" s="106" t="str">
        <x:v>https://money.finance.sina.com.cn/corp/go.php/vFD_FinancialGuideLine/stockid/300750/ctrl/2024/displaytype/4.phtml</x:v>
      </x:c>
      <x:c r="I179" s="106"/>
      <x:c r="J179" s="106"/>
      <x:c r="K179" s="121" t="str">
        <x:v>2026-09-01 14:51:55.727557+00:00</x:v>
      </x:c>
      <x:c r="L179" s="121" t="str">
        <x:v>2024-03-31 00:00:00+00:00</x:v>
      </x:c>
      <x:c r="M179" s="106" t="str">
        <x:v>akshare-financial-v1-sina</x:v>
      </x:c>
      <x:c r="N179" s="106" t="str">
        <x:v>c839822b7e51f67caf58beaecfd2801aca064939219a8496c4ff93c8fbafcfe7</x:v>
      </x:c>
      <x:c r="O179" s="113"/>
      <x:c r="P179" s="106" t="str">
        <x:v>pending</x:v>
      </x:c>
      <x:c r="Q179" s="106" t="str">
        <x:v>否</x:v>
      </x:c>
      <x:c r="R179" s="106" t="str">
        <x:v>由本地 Agent 同步</x:v>
      </x:c>
      <x:c r="S179" s="86"/>
      <x:c r="T179" s="86"/>
      <x:c r="U179" s="86"/>
      <x:c r="V179" s="86"/>
      <x:c r="W179" s="86"/>
      <x:c r="X179" s="86"/>
      <x:c r="Y179" s="86"/>
      <x:c r="Z179" s="86"/>
    </x:row>
    <x:row r="180">
      <x:c r="A180" s="106" t="str">
        <x:v>20cda421-cc3f-4ae5-8391-f8665366efa5</x:v>
      </x:c>
      <x:c r="B180" s="106" t="str">
        <x:v>600887</x:v>
      </x:c>
      <x:c r="C180" s="106" t="str">
        <x:v>eps_ttm</x:v>
      </x:c>
      <x:c r="D180" s="106" t="str">
        <x:v>2024-03-31</x:v>
      </x:c>
      <x:c r="E180" s="106" t="n">
        <x:v>0.9354</x:v>
      </x:c>
      <x:c r="F180" s="106" t="str">
        <x:v>CNY/share</x:v>
      </x:c>
      <x:c r="G180" s="106" t="str">
        <x:v>AkShare / Sina financial indicators</x:v>
      </x:c>
      <x:c r="H180" s="106" t="str">
        <x:v>https://money.finance.sina.com.cn/corp/go.php/vFD_FinancialGuideLine/stockid/600887/ctrl/2024/displaytype/4.phtml</x:v>
      </x:c>
      <x:c r="I180" s="106"/>
      <x:c r="J180" s="106"/>
      <x:c r="K180" s="121" t="str">
        <x:v>2026-09-01 14:51:55.727557+00:00</x:v>
      </x:c>
      <x:c r="L180" s="121" t="str">
        <x:v>2024-03-31 00:00:00+00:00</x:v>
      </x:c>
      <x:c r="M180" s="106" t="str">
        <x:v>akshare-financial-v1-sina</x:v>
      </x:c>
      <x:c r="N180" s="106" t="str">
        <x:v>1ba23ccab283ed094e01765156071d2dc56dc9636c1bfc0c1c9637780ff85b8c</x:v>
      </x:c>
      <x:c r="O180" s="113"/>
      <x:c r="P180" s="106" t="str">
        <x:v>pending</x:v>
      </x:c>
      <x:c r="Q180" s="106" t="str">
        <x:v>否</x:v>
      </x:c>
      <x:c r="R180" s="106" t="str">
        <x:v>由本地 Agent 同步</x:v>
      </x:c>
      <x:c r="S180" s="86"/>
      <x:c r="T180" s="86"/>
      <x:c r="U180" s="86"/>
      <x:c r="V180" s="86"/>
      <x:c r="W180" s="86"/>
      <x:c r="X180" s="86"/>
      <x:c r="Y180" s="86"/>
      <x:c r="Z180" s="86"/>
    </x:row>
    <x:row r="181">
      <x:c r="A181" s="106" t="str">
        <x:v>20cda421-cc3f-4ae5-8391-f8665366efa5</x:v>
      </x:c>
      <x:c r="B181" s="106" t="str">
        <x:v>600887</x:v>
      </x:c>
      <x:c r="C181" s="106" t="str">
        <x:v>bvps</x:v>
      </x:c>
      <x:c r="D181" s="106" t="str">
        <x:v>2024-03-31</x:v>
      </x:c>
      <x:c r="E181" s="106" t="n">
        <x:v>9.8798</x:v>
      </x:c>
      <x:c r="F181" s="106" t="str">
        <x:v>CNY/share</x:v>
      </x:c>
      <x:c r="G181" s="106" t="str">
        <x:v>AkShare / Sina financial indicators</x:v>
      </x:c>
      <x:c r="H181" s="106" t="str">
        <x:v>https://money.finance.sina.com.cn/corp/go.php/vFD_FinancialGuideLine/stockid/600887/ctrl/2024/displaytype/4.phtml</x:v>
      </x:c>
      <x:c r="I181" s="106"/>
      <x:c r="J181" s="106"/>
      <x:c r="K181" s="121" t="str">
        <x:v>2026-09-01 14:51:55.727557+00:00</x:v>
      </x:c>
      <x:c r="L181" s="121" t="str">
        <x:v>2024-03-31 00:00:00+00:00</x:v>
      </x:c>
      <x:c r="M181" s="106" t="str">
        <x:v>akshare-financial-v1-sina</x:v>
      </x:c>
      <x:c r="N181" s="106" t="str">
        <x:v>1ba23ccab283ed094e01765156071d2dc56dc9636c1bfc0c1c9637780ff85b8c</x:v>
      </x:c>
      <x:c r="O181" s="113"/>
      <x:c r="P181" s="106" t="str">
        <x:v>pending</x:v>
      </x:c>
      <x:c r="Q181" s="106" t="str">
        <x:v>否</x:v>
      </x:c>
      <x:c r="R181" s="106" t="str">
        <x:v>由本地 Agent 同步</x:v>
      </x:c>
      <x:c r="S181" s="86"/>
      <x:c r="T181" s="86"/>
      <x:c r="U181" s="86"/>
      <x:c r="V181" s="86"/>
      <x:c r="W181" s="86"/>
      <x:c r="X181" s="86"/>
      <x:c r="Y181" s="86"/>
      <x:c r="Z181" s="86"/>
    </x:row>
    <x:row r="182">
      <x:c r="A182" s="106" t="str">
        <x:v>20cda421-cc3f-4ae5-8391-f8665366efa5</x:v>
      </x:c>
      <x:c r="B182" s="106" t="str">
        <x:v>600887</x:v>
      </x:c>
      <x:c r="C182" s="106" t="str">
        <x:v>roe</x:v>
      </x:c>
      <x:c r="D182" s="106" t="str">
        <x:v>2024-03-31</x:v>
      </x:c>
      <x:c r="E182" s="106" t="n">
        <x:v>10.02</x:v>
      </x:c>
      <x:c r="F182" s="106" t="str">
        <x:v>percent</x:v>
      </x:c>
      <x:c r="G182" s="106" t="str">
        <x:v>AkShare / Sina financial indicators</x:v>
      </x:c>
      <x:c r="H182" s="106" t="str">
        <x:v>https://money.finance.sina.com.cn/corp/go.php/vFD_FinancialGuideLine/stockid/600887/ctrl/2024/displaytype/4.phtml</x:v>
      </x:c>
      <x:c r="I182" s="106"/>
      <x:c r="J182" s="106"/>
      <x:c r="K182" s="121" t="str">
        <x:v>2026-09-01 14:51:55.727557+00:00</x:v>
      </x:c>
      <x:c r="L182" s="121" t="str">
        <x:v>2024-03-31 00:00:00+00:00</x:v>
      </x:c>
      <x:c r="M182" s="106" t="str">
        <x:v>akshare-financial-v1-sina</x:v>
      </x:c>
      <x:c r="N182" s="106" t="str">
        <x:v>1ba23ccab283ed094e01765156071d2dc56dc9636c1bfc0c1c9637780ff85b8c</x:v>
      </x:c>
      <x:c r="O182" s="113"/>
      <x:c r="P182" s="106" t="str">
        <x:v>pending</x:v>
      </x:c>
      <x:c r="Q182" s="106" t="str">
        <x:v>否</x:v>
      </x:c>
      <x:c r="R182" s="106" t="str">
        <x:v>由本地 Agent 同步</x:v>
      </x:c>
      <x:c r="S182" s="86"/>
      <x:c r="T182" s="86"/>
      <x:c r="U182" s="86"/>
      <x:c r="V182" s="86"/>
      <x:c r="W182" s="86"/>
      <x:c r="X182" s="86"/>
      <x:c r="Y182" s="86"/>
      <x:c r="Z182" s="86"/>
    </x:row>
    <x:row r="183">
      <x:c r="A183" s="106" t="str">
        <x:v>20cda421-cc3f-4ae5-8391-f8665366efa5</x:v>
      </x:c>
      <x:c r="B183" s="106" t="str">
        <x:v>600887</x:v>
      </x:c>
      <x:c r="C183" s="106" t="str">
        <x:v>net_margin</x:v>
      </x:c>
      <x:c r="D183" s="106" t="str">
        <x:v>2024-03-31</x:v>
      </x:c>
      <x:c r="E183" s="106" t="n">
        <x:v>18.3436</x:v>
      </x:c>
      <x:c r="F183" s="106" t="str">
        <x:v>percent</x:v>
      </x:c>
      <x:c r="G183" s="106" t="str">
        <x:v>AkShare / Sina financial indicators</x:v>
      </x:c>
      <x:c r="H183" s="106" t="str">
        <x:v>https://money.finance.sina.com.cn/corp/go.php/vFD_FinancialGuideLine/stockid/600887/ctrl/2024/displaytype/4.phtml</x:v>
      </x:c>
      <x:c r="I183" s="106"/>
      <x:c r="J183" s="106"/>
      <x:c r="K183" s="121" t="str">
        <x:v>2026-09-01 14:51:55.727557+00:00</x:v>
      </x:c>
      <x:c r="L183" s="121" t="str">
        <x:v>2024-03-31 00:00:00+00:00</x:v>
      </x:c>
      <x:c r="M183" s="106" t="str">
        <x:v>akshare-financial-v1-sina</x:v>
      </x:c>
      <x:c r="N183" s="106" t="str">
        <x:v>1ba23ccab283ed094e01765156071d2dc56dc9636c1bfc0c1c9637780ff85b8c</x:v>
      </x:c>
      <x:c r="O183" s="113"/>
      <x:c r="P183" s="106" t="str">
        <x:v>pending</x:v>
      </x:c>
      <x:c r="Q183" s="106" t="str">
        <x:v>否</x:v>
      </x:c>
      <x:c r="R183" s="106" t="str">
        <x:v>由本地 Agent 同步</x:v>
      </x:c>
      <x:c r="S183" s="86"/>
      <x:c r="T183" s="86"/>
      <x:c r="U183" s="86"/>
      <x:c r="V183" s="86"/>
      <x:c r="W183" s="86"/>
      <x:c r="X183" s="86"/>
      <x:c r="Y183" s="86"/>
      <x:c r="Z183" s="86"/>
    </x:row>
    <x:row r="184">
      <x:c r="A184" s="106" t="str">
        <x:v>20cda421-cc3f-4ae5-8391-f8665366efa5</x:v>
      </x:c>
      <x:c r="B184" s="106" t="str">
        <x:v>600887</x:v>
      </x:c>
      <x:c r="C184" s="106" t="str">
        <x:v>revenue_yoy</x:v>
      </x:c>
      <x:c r="D184" s="106" t="str">
        <x:v>2024-03-31</x:v>
      </x:c>
      <x:c r="E184" s="106" t="n">
        <x:v>-2.5971</x:v>
      </x:c>
      <x:c r="F184" s="106" t="str">
        <x:v>percent</x:v>
      </x:c>
      <x:c r="G184" s="106" t="str">
        <x:v>AkShare / Sina financial indicators</x:v>
      </x:c>
      <x:c r="H184" s="106" t="str">
        <x:v>https://money.finance.sina.com.cn/corp/go.php/vFD_FinancialGuideLine/stockid/600887/ctrl/2024/displaytype/4.phtml</x:v>
      </x:c>
      <x:c r="I184" s="106"/>
      <x:c r="J184" s="106"/>
      <x:c r="K184" s="121" t="str">
        <x:v>2026-09-01 14:51:55.727557+00:00</x:v>
      </x:c>
      <x:c r="L184" s="121" t="str">
        <x:v>2024-03-31 00:00:00+00:00</x:v>
      </x:c>
      <x:c r="M184" s="106" t="str">
        <x:v>akshare-financial-v1-sina</x:v>
      </x:c>
      <x:c r="N184" s="106" t="str">
        <x:v>1ba23ccab283ed094e01765156071d2dc56dc9636c1bfc0c1c9637780ff85b8c</x:v>
      </x:c>
      <x:c r="O184" s="113"/>
      <x:c r="P184" s="106" t="str">
        <x:v>pending</x:v>
      </x:c>
      <x:c r="Q184" s="106" t="str">
        <x:v>否</x:v>
      </x:c>
      <x:c r="R184" s="106" t="str">
        <x:v>由本地 Agent 同步</x:v>
      </x:c>
      <x:c r="S184" s="86"/>
      <x:c r="T184" s="86"/>
      <x:c r="U184" s="86"/>
      <x:c r="V184" s="86"/>
      <x:c r="W184" s="86"/>
      <x:c r="X184" s="86"/>
      <x:c r="Y184" s="86"/>
      <x:c r="Z184" s="86"/>
    </x:row>
    <x:row r="185">
      <x:c r="A185" s="106" t="str">
        <x:v>20cda421-cc3f-4ae5-8391-f8665366efa5</x:v>
      </x:c>
      <x:c r="B185" s="106" t="str">
        <x:v>600887</x:v>
      </x:c>
      <x:c r="C185" s="106" t="str">
        <x:v>net_income_yoy</x:v>
      </x:c>
      <x:c r="D185" s="106" t="str">
        <x:v>2024-03-31</x:v>
      </x:c>
      <x:c r="E185" s="106" t="n">
        <x:v>64.653</x:v>
      </x:c>
      <x:c r="F185" s="106" t="str">
        <x:v>percent</x:v>
      </x:c>
      <x:c r="G185" s="106" t="str">
        <x:v>AkShare / Sina financial indicators</x:v>
      </x:c>
      <x:c r="H185" s="106" t="str">
        <x:v>https://money.finance.sina.com.cn/corp/go.php/vFD_FinancialGuideLine/stockid/600887/ctrl/2024/displaytype/4.phtml</x:v>
      </x:c>
      <x:c r="I185" s="106"/>
      <x:c r="J185" s="106"/>
      <x:c r="K185" s="121" t="str">
        <x:v>2026-09-01 14:51:55.727557+00:00</x:v>
      </x:c>
      <x:c r="L185" s="121" t="str">
        <x:v>2024-03-31 00:00:00+00:00</x:v>
      </x:c>
      <x:c r="M185" s="106" t="str">
        <x:v>akshare-financial-v1-sina</x:v>
      </x:c>
      <x:c r="N185" s="106" t="str">
        <x:v>1ba23ccab283ed094e01765156071d2dc56dc9636c1bfc0c1c9637780ff85b8c</x:v>
      </x:c>
      <x:c r="O185" s="113"/>
      <x:c r="P185" s="106" t="str">
        <x:v>pending</x:v>
      </x:c>
      <x:c r="Q185" s="106" t="str">
        <x:v>否</x:v>
      </x:c>
      <x:c r="R185" s="106" t="str">
        <x:v>由本地 Agent 同步</x:v>
      </x:c>
      <x:c r="S185" s="86"/>
      <x:c r="T185" s="86"/>
      <x:c r="U185" s="86"/>
      <x:c r="V185" s="86"/>
      <x:c r="W185" s="86"/>
      <x:c r="X185" s="86"/>
      <x:c r="Y185" s="86"/>
      <x:c r="Z185" s="86"/>
    </x:row>
    <x:row r="186">
      <x:c r="A186" s="106" t="str">
        <x:v>20cda421-cc3f-4ae5-8391-f8665366efa5</x:v>
      </x:c>
      <x:c r="B186" s="106" t="str">
        <x:v>600887</x:v>
      </x:c>
      <x:c r="C186" s="106" t="str">
        <x:v>debt_ratio</x:v>
      </x:c>
      <x:c r="D186" s="106" t="str">
        <x:v>2024-03-31</x:v>
      </x:c>
      <x:c r="E186" s="106" t="n">
        <x:v>60.9452</x:v>
      </x:c>
      <x:c r="F186" s="106" t="str">
        <x:v>percent</x:v>
      </x:c>
      <x:c r="G186" s="106" t="str">
        <x:v>AkShare / Sina financial indicators</x:v>
      </x:c>
      <x:c r="H186" s="106" t="str">
        <x:v>https://money.finance.sina.com.cn/corp/go.php/vFD_FinancialGuideLine/stockid/600887/ctrl/2024/displaytype/4.phtml</x:v>
      </x:c>
      <x:c r="I186" s="106"/>
      <x:c r="J186" s="106"/>
      <x:c r="K186" s="121" t="str">
        <x:v>2026-09-01 14:51:55.727557+00:00</x:v>
      </x:c>
      <x:c r="L186" s="121" t="str">
        <x:v>2024-03-31 00:00:00+00:00</x:v>
      </x:c>
      <x:c r="M186" s="106" t="str">
        <x:v>akshare-financial-v1-sina</x:v>
      </x:c>
      <x:c r="N186" s="106" t="str">
        <x:v>1ba23ccab283ed094e01765156071d2dc56dc9636c1bfc0c1c9637780ff85b8c</x:v>
      </x:c>
      <x:c r="O186" s="113"/>
      <x:c r="P186" s="106" t="str">
        <x:v>pending</x:v>
      </x:c>
      <x:c r="Q186" s="106" t="str">
        <x:v>否</x:v>
      </x:c>
      <x:c r="R186" s="106" t="str">
        <x:v>由本地 Agent 同步</x:v>
      </x:c>
      <x:c r="S186" s="86"/>
      <x:c r="T186" s="86"/>
      <x:c r="U186" s="86"/>
      <x:c r="V186" s="86"/>
      <x:c r="W186" s="86"/>
      <x:c r="X186" s="86"/>
      <x:c r="Y186" s="86"/>
      <x:c r="Z186" s="86"/>
    </x:row>
    <x:row r="187">
      <x:c r="A187" s="106" t="str">
        <x:v>20cda421-cc3f-4ae5-8391-f8665366efa5</x:v>
      </x:c>
      <x:c r="B187" s="106" t="str">
        <x:v>600887</x:v>
      </x:c>
      <x:c r="C187" s="106" t="str">
        <x:v>operating_cash_flow_to_net_income</x:v>
      </x:c>
      <x:c r="D187" s="106" t="str">
        <x:v>2024-03-31</x:v>
      </x:c>
      <x:c r="E187" s="106" t="n">
        <x:v>0.3808</x:v>
      </x:c>
      <x:c r="F187" s="106" t="str">
        <x:v>percent</x:v>
      </x:c>
      <x:c r="G187" s="106" t="str">
        <x:v>AkShare / Sina financial indicators</x:v>
      </x:c>
      <x:c r="H187" s="106" t="str">
        <x:v>https://money.finance.sina.com.cn/corp/go.php/vFD_FinancialGuideLine/stockid/600887/ctrl/2024/displaytype/4.phtml</x:v>
      </x:c>
      <x:c r="I187" s="106"/>
      <x:c r="J187" s="106"/>
      <x:c r="K187" s="121" t="str">
        <x:v>2026-09-01 14:51:55.727557+00:00</x:v>
      </x:c>
      <x:c r="L187" s="121" t="str">
        <x:v>2024-03-31 00:00:00+00:00</x:v>
      </x:c>
      <x:c r="M187" s="106" t="str">
        <x:v>akshare-financial-v1-sina</x:v>
      </x:c>
      <x:c r="N187" s="106" t="str">
        <x:v>1ba23ccab283ed094e01765156071d2dc56dc9636c1bfc0c1c9637780ff85b8c</x:v>
      </x:c>
      <x:c r="O187" s="113"/>
      <x:c r="P187" s="106" t="str">
        <x:v>pending</x:v>
      </x:c>
      <x:c r="Q187" s="106" t="str">
        <x:v>否</x:v>
      </x:c>
      <x:c r="R187" s="106" t="str">
        <x:v>由本地 Agent 同步</x:v>
      </x:c>
      <x:c r="S187" s="86"/>
      <x:c r="T187" s="86"/>
      <x:c r="U187" s="86"/>
      <x:c r="V187" s="86"/>
      <x:c r="W187" s="86"/>
      <x:c r="X187" s="86"/>
      <x:c r="Y187" s="86"/>
      <x:c r="Z187" s="86"/>
    </x:row>
    <x:row r="188">
      <x:c r="A188" s="106" t="str">
        <x:v>6944a8c4-7e20-4e13-bfe5-7f9f273e0d07</x:v>
      </x:c>
      <x:c r="B188" s="106" t="str">
        <x:v>600887</x:v>
      </x:c>
      <x:c r="C188" s="106" t="str">
        <x:v>current_price</x:v>
      </x:c>
      <x:c r="D188" s="106" t="str">
        <x:v>2026-09-01 14:36</x:v>
      </x:c>
      <x:c r="E188" s="106" t="n">
        <x:v>26.5</x:v>
      </x:c>
      <x:c r="F188" s="106" t="str">
        <x:v>CNY/share</x:v>
      </x:c>
      <x:c r="G188" s="106" t="str">
        <x:v>AkShare / Sina public historical quotes</x:v>
      </x:c>
      <x:c r="H188" s="106" t="str">
        <x:v>https://akshare.akfamily.xyz/data/stock/stock.html</x:v>
      </x:c>
      <x:c r="I188" s="106"/>
      <x:c r="J188" s="106"/>
      <x:c r="K188" s="121" t="str">
        <x:v>2026-09-01 15:02:16.686427+00:00</x:v>
      </x:c>
      <x:c r="L188" s="121"/>
      <x:c r="M188" s="106" t="str">
        <x:v>akshare-price-v3-sina-history</x:v>
      </x:c>
      <x:c r="N188" s="106" t="str">
        <x:v>7ac64bb6772240aeabfb0fbe3832846fbe676fef55c5b1955be8332684fad75e</x:v>
      </x:c>
      <x:c r="O188" s="113"/>
      <x:c r="P188" s="106" t="str">
        <x:v>pending</x:v>
      </x:c>
      <x:c r="Q188" s="106" t="str">
        <x:v>否</x:v>
      </x:c>
      <x:c r="R188" s="106" t="str">
        <x:v>由本地 Agent 同步</x:v>
      </x:c>
      <x:c r="S188" s="86"/>
      <x:c r="T188" s="86"/>
      <x:c r="U188" s="86"/>
      <x:c r="V188" s="86"/>
      <x:c r="W188" s="86"/>
      <x:c r="X188" s="86"/>
      <x:c r="Y188" s="86"/>
      <x:c r="Z188" s="86"/>
    </x:row>
    <x:row r="189">
      <x:c r="A189" s="106" t="str">
        <x:v>df08cf55-3d75-48f6-8b80-45d0a07787b3</x:v>
      </x:c>
      <x:c r="B189" s="106" t="str">
        <x:v>300750</x:v>
      </x:c>
      <x:c r="C189" s="106" t="str">
        <x:v>current_price</x:v>
      </x:c>
      <x:c r="D189" s="106" t="str">
        <x:v>2026-09-01 14:36</x:v>
      </x:c>
      <x:c r="E189" s="106" t="n">
        <x:v>358.1</x:v>
      </x:c>
      <x:c r="F189" s="106" t="str">
        <x:v>CNY/share</x:v>
      </x:c>
      <x:c r="G189" s="106" t="str">
        <x:v>AkShare / Sina public historical quotes</x:v>
      </x:c>
      <x:c r="H189" s="106" t="str">
        <x:v>https://akshare.akfamily.xyz/data/stock/stock.html</x:v>
      </x:c>
      <x:c r="I189" s="106"/>
      <x:c r="J189" s="106"/>
      <x:c r="K189" s="121" t="str">
        <x:v>2026-09-01 15:02:16.686427+00:00</x:v>
      </x:c>
      <x:c r="L189" s="121"/>
      <x:c r="M189" s="106" t="str">
        <x:v>akshare-price-v3-sina-history</x:v>
      </x:c>
      <x:c r="N189" s="106" t="str">
        <x:v>c219e9ce813c03bc2d5657b1ca221991bdfb9f4a41155fde3be11930ccb1660b</x:v>
      </x:c>
      <x:c r="O189" s="113"/>
      <x:c r="P189" s="106" t="str">
        <x:v>pending</x:v>
      </x:c>
      <x:c r="Q189" s="106" t="str">
        <x:v>否</x:v>
      </x:c>
      <x:c r="R189" s="106" t="str">
        <x:v>由本地 Agent 同步</x:v>
      </x:c>
      <x:c r="S189" s="86"/>
      <x:c r="T189" s="86"/>
      <x:c r="U189" s="86"/>
      <x:c r="V189" s="86"/>
      <x:c r="W189" s="86"/>
      <x:c r="X189" s="86"/>
      <x:c r="Y189" s="86"/>
      <x:c r="Z189" s="86"/>
    </x:row>
    <x:row r="190">
      <x:c r="A190" s="106" t="str">
        <x:v>39ea0620-de2b-46e5-8657-a92bc547df77</x:v>
      </x:c>
      <x:c r="B190" s="106" t="str">
        <x:v>600690</x:v>
      </x:c>
      <x:c r="C190" s="106" t="str">
        <x:v>current_price</x:v>
      </x:c>
      <x:c r="D190" s="106" t="str">
        <x:v>2026-09-01 14:36</x:v>
      </x:c>
      <x:c r="E190" s="106" t="n">
        <x:v>21.42</x:v>
      </x:c>
      <x:c r="F190" s="106" t="str">
        <x:v>CNY/share</x:v>
      </x:c>
      <x:c r="G190" s="106" t="str">
        <x:v>AkShare / Sina public historical quotes</x:v>
      </x:c>
      <x:c r="H190" s="106" t="str">
        <x:v>https://akshare.akfamily.xyz/data/stock/stock.html</x:v>
      </x:c>
      <x:c r="I190" s="106"/>
      <x:c r="J190" s="106"/>
      <x:c r="K190" s="121" t="str">
        <x:v>2026-09-01 15:02:16.686427+00:00</x:v>
      </x:c>
      <x:c r="L190" s="121"/>
      <x:c r="M190" s="106" t="str">
        <x:v>akshare-price-v3-sina-history</x:v>
      </x:c>
      <x:c r="N190" s="106" t="str">
        <x:v>6ac17d3ae284a628996b4a22756afd8c76c7509b809313f0ae68a9618d865c09</x:v>
      </x:c>
      <x:c r="O190" s="113"/>
      <x:c r="P190" s="106" t="str">
        <x:v>pending</x:v>
      </x:c>
      <x:c r="Q190" s="106" t="str">
        <x:v>否</x:v>
      </x:c>
      <x:c r="R190" s="106" t="str">
        <x:v>由本地 Agent 同步</x:v>
      </x:c>
      <x:c r="S190" s="86"/>
      <x:c r="T190" s="86"/>
      <x:c r="U190" s="86"/>
      <x:c r="V190" s="86"/>
      <x:c r="W190" s="86"/>
      <x:c r="X190" s="86"/>
      <x:c r="Y190" s="86"/>
      <x:c r="Z190" s="86"/>
    </x:row>
    <x:row r="191">
      <x:c r="A191" s="106" t="str">
        <x:v>59bad70d-3a23-4591-8805-d2bc5b6106c3</x:v>
      </x:c>
      <x:c r="B191" s="106" t="str">
        <x:v>601088</x:v>
      </x:c>
      <x:c r="C191" s="106" t="str">
        <x:v>current_price</x:v>
      </x:c>
      <x:c r="D191" s="106" t="str">
        <x:v>2026-09-01 14:36</x:v>
      </x:c>
      <x:c r="E191" s="106" t="n">
        <x:v>48.3</x:v>
      </x:c>
      <x:c r="F191" s="106" t="str">
        <x:v>CNY/share</x:v>
      </x:c>
      <x:c r="G191" s="106" t="str">
        <x:v>AkShare / Sina public historical quotes</x:v>
      </x:c>
      <x:c r="H191" s="106" t="str">
        <x:v>https://akshare.akfamily.xyz/data/stock/stock.html</x:v>
      </x:c>
      <x:c r="I191" s="106"/>
      <x:c r="J191" s="106"/>
      <x:c r="K191" s="121" t="str">
        <x:v>2026-09-01 15:02:16.686427+00:00</x:v>
      </x:c>
      <x:c r="L191" s="121"/>
      <x:c r="M191" s="106" t="str">
        <x:v>akshare-price-v3-sina-history</x:v>
      </x:c>
      <x:c r="N191" s="106" t="str">
        <x:v>786803a38a8094da69b08ab60affce538140d0fe55d3d0c1901d9b2ba721054f</x:v>
      </x:c>
      <x:c r="O191" s="113"/>
      <x:c r="P191" s="106" t="str">
        <x:v>pending</x:v>
      </x:c>
      <x:c r="Q191" s="106" t="str">
        <x:v>否</x:v>
      </x:c>
      <x:c r="R191" s="106" t="str">
        <x:v>由本地 Agent 同步</x:v>
      </x:c>
      <x:c r="S191" s="86"/>
      <x:c r="T191" s="86"/>
      <x:c r="U191" s="86"/>
      <x:c r="V191" s="86"/>
      <x:c r="W191" s="86"/>
      <x:c r="X191" s="86"/>
      <x:c r="Y191" s="86"/>
      <x:c r="Z191" s="86"/>
    </x:row>
    <x:row r="192">
      <x:c r="A192" s="106" t="str">
        <x:v>c022774c-9705-431c-b13e-059527782a69</x:v>
      </x:c>
      <x:c r="B192" s="106" t="str">
        <x:v>601288</x:v>
      </x:c>
      <x:c r="C192" s="106" t="str">
        <x:v>current_price</x:v>
      </x:c>
      <x:c r="D192" s="106" t="str">
        <x:v>2026-09-01 14:36</x:v>
      </x:c>
      <x:c r="E192" s="106" t="n">
        <x:v>7.05</x:v>
      </x:c>
      <x:c r="F192" s="106" t="str">
        <x:v>CNY/share</x:v>
      </x:c>
      <x:c r="G192" s="106" t="str">
        <x:v>AkShare / Sina public historical quotes</x:v>
      </x:c>
      <x:c r="H192" s="106" t="str">
        <x:v>https://akshare.akfamily.xyz/data/stock/stock.html</x:v>
      </x:c>
      <x:c r="I192" s="106"/>
      <x:c r="J192" s="106"/>
      <x:c r="K192" s="121" t="str">
        <x:v>2026-09-01 15:02:16.686427+00:00</x:v>
      </x:c>
      <x:c r="L192" s="121"/>
      <x:c r="M192" s="106" t="str">
        <x:v>akshare-price-v3-sina-history</x:v>
      </x:c>
      <x:c r="N192" s="106" t="str">
        <x:v>0d1533d6d369a2097b66e8a5137030a6199b85a03b244714d562088824fea03a</x:v>
      </x:c>
      <x:c r="O192" s="113"/>
      <x:c r="P192" s="106" t="str">
        <x:v>pending</x:v>
      </x:c>
      <x:c r="Q192" s="106" t="str">
        <x:v>否</x:v>
      </x:c>
      <x:c r="R192" s="106" t="str">
        <x:v>由本地 Agent 同步</x:v>
      </x:c>
      <x:c r="S192" s="86"/>
      <x:c r="T192" s="86"/>
      <x:c r="U192" s="86"/>
      <x:c r="V192" s="86"/>
      <x:c r="W192" s="86"/>
      <x:c r="X192" s="86"/>
      <x:c r="Y192" s="86"/>
      <x:c r="Z192" s="86"/>
    </x:row>
    <x:row r="193">
      <x:c r="A193" s="106" t="str">
        <x:v>1a535135-1d55-444c-bf07-61d09a84bc60</x:v>
      </x:c>
      <x:c r="B193" s="106" t="str">
        <x:v>600036</x:v>
      </x:c>
      <x:c r="C193" s="106" t="str">
        <x:v>current_price</x:v>
      </x:c>
      <x:c r="D193" s="106" t="str">
        <x:v>2026-09-01 14:36</x:v>
      </x:c>
      <x:c r="E193" s="106" t="n">
        <x:v>40.86</x:v>
      </x:c>
      <x:c r="F193" s="106" t="str">
        <x:v>CNY/share</x:v>
      </x:c>
      <x:c r="G193" s="106" t="str">
        <x:v>AkShare / Sina public historical quotes</x:v>
      </x:c>
      <x:c r="H193" s="106" t="str">
        <x:v>https://akshare.akfamily.xyz/data/stock/stock.html</x:v>
      </x:c>
      <x:c r="I193" s="106"/>
      <x:c r="J193" s="106"/>
      <x:c r="K193" s="121" t="str">
        <x:v>2026-09-01 15:02:16.686427+00:00</x:v>
      </x:c>
      <x:c r="L193" s="121"/>
      <x:c r="M193" s="106" t="str">
        <x:v>akshare-price-v3-sina-history</x:v>
      </x:c>
      <x:c r="N193" s="106" t="str">
        <x:v>2e55014a1df9c91d4e725e8328ff0176844fefa9145d77523c7a502795bec42d</x:v>
      </x:c>
      <x:c r="O193" s="113"/>
      <x:c r="P193" s="106" t="str">
        <x:v>pending</x:v>
      </x:c>
      <x:c r="Q193" s="106" t="str">
        <x:v>否</x:v>
      </x:c>
      <x:c r="R193" s="106" t="str">
        <x:v>由本地 Agent 同步</x:v>
      </x:c>
      <x:c r="S193" s="86"/>
      <x:c r="T193" s="86"/>
      <x:c r="U193" s="86"/>
      <x:c r="V193" s="86"/>
      <x:c r="W193" s="86"/>
      <x:c r="X193" s="86"/>
      <x:c r="Y193" s="86"/>
      <x:c r="Z193" s="86"/>
    </x:row>
    <x:row r="194">
      <x:c r="A194" s="106" t="str">
        <x:v>7a688c6a-7fe5-4989-b28f-d7d3c8d11ce1</x:v>
      </x:c>
      <x:c r="B194" s="106" t="str">
        <x:v>000333</x:v>
      </x:c>
      <x:c r="C194" s="106" t="str">
        <x:v>current_price</x:v>
      </x:c>
      <x:c r="D194" s="106" t="str">
        <x:v>2026-09-01 14:36</x:v>
      </x:c>
      <x:c r="E194" s="106" t="n">
        <x:v>87.49</x:v>
      </x:c>
      <x:c r="F194" s="106" t="str">
        <x:v>CNY/share</x:v>
      </x:c>
      <x:c r="G194" s="106" t="str">
        <x:v>AkShare / Sina public historical quotes</x:v>
      </x:c>
      <x:c r="H194" s="106" t="str">
        <x:v>https://akshare.akfamily.xyz/data/stock/stock.html</x:v>
      </x:c>
      <x:c r="I194" s="106"/>
      <x:c r="J194" s="106"/>
      <x:c r="K194" s="121" t="str">
        <x:v>2026-09-01 15:02:16.686427+00:00</x:v>
      </x:c>
      <x:c r="L194" s="121"/>
      <x:c r="M194" s="106" t="str">
        <x:v>akshare-price-v3-sina-history</x:v>
      </x:c>
      <x:c r="N194" s="106" t="str">
        <x:v>e4d3aa5683e1dbbb56ba55d0d80b9c7ba0fe2f05cd2782aeb6ea3b3192c959f9</x:v>
      </x:c>
      <x:c r="O194" s="113"/>
      <x:c r="P194" s="106" t="str">
        <x:v>pending</x:v>
      </x:c>
      <x:c r="Q194" s="106" t="str">
        <x:v>否</x:v>
      </x:c>
      <x:c r="R194" s="106" t="str">
        <x:v>由本地 Agent 同步</x:v>
      </x:c>
      <x:c r="S194" s="86"/>
      <x:c r="T194" s="86"/>
      <x:c r="U194" s="86"/>
      <x:c r="V194" s="86"/>
      <x:c r="W194" s="86"/>
      <x:c r="X194" s="86"/>
      <x:c r="Y194" s="86"/>
      <x:c r="Z194" s="86"/>
    </x:row>
    <x:row r="195">
      <x:c r="A195" s="106" t="str">
        <x:v>484a51b1-cf08-4ecc-be6e-b4ed787bb0cd</x:v>
      </x:c>
      <x:c r="B195" s="106" t="str">
        <x:v>600519</x:v>
      </x:c>
      <x:c r="C195" s="106" t="str">
        <x:v>current_price</x:v>
      </x:c>
      <x:c r="D195" s="106" t="str">
        <x:v>2026-09-01 14:36</x:v>
      </x:c>
      <x:c r="E195" s="106" t="n">
        <x:v>1299.56</x:v>
      </x:c>
      <x:c r="F195" s="106" t="str">
        <x:v>CNY/share</x:v>
      </x:c>
      <x:c r="G195" s="106" t="str">
        <x:v>AkShare / Sina public historical quotes</x:v>
      </x:c>
      <x:c r="H195" s="106" t="str">
        <x:v>https://akshare.akfamily.xyz/data/stock/stock.html</x:v>
      </x:c>
      <x:c r="I195" s="106"/>
      <x:c r="J195" s="106"/>
      <x:c r="K195" s="121" t="str">
        <x:v>2026-09-01 15:02:16.686427+00:00</x:v>
      </x:c>
      <x:c r="L195" s="121"/>
      <x:c r="M195" s="106" t="str">
        <x:v>akshare-price-v3-sina-history</x:v>
      </x:c>
      <x:c r="N195" s="106" t="str">
        <x:v>954915d8d904f3dd7fbaa07d14265367567d88697da146771ea5df6bff0bef17</x:v>
      </x:c>
      <x:c r="O195" s="113"/>
      <x:c r="P195" s="106" t="str">
        <x:v>pending</x:v>
      </x:c>
      <x:c r="Q195" s="106" t="str">
        <x:v>否</x:v>
      </x:c>
      <x:c r="R195" s="106" t="str">
        <x:v>由本地 Agent 同步</x:v>
      </x:c>
      <x:c r="S195" s="86"/>
      <x:c r="T195" s="86"/>
      <x:c r="U195" s="86"/>
      <x:c r="V195" s="86"/>
      <x:c r="W195" s="86"/>
      <x:c r="X195" s="86"/>
      <x:c r="Y195" s="86"/>
      <x:c r="Z195" s="86"/>
    </x:row>
    <x:row r="196">
      <x:c r="A196" s="106" t="str">
        <x:v>9738d8d2-e0da-46d0-b259-edc47ecd543c</x:v>
      </x:c>
      <x:c r="B196" s="106" t="str">
        <x:v>600900</x:v>
      </x:c>
      <x:c r="C196" s="106" t="str">
        <x:v>current_price</x:v>
      </x:c>
      <x:c r="D196" s="106" t="str">
        <x:v>2026-09-01 14:36</x:v>
      </x:c>
      <x:c r="E196" s="106" t="n">
        <x:v>28.4</x:v>
      </x:c>
      <x:c r="F196" s="106" t="str">
        <x:v>CNY/share</x:v>
      </x:c>
      <x:c r="G196" s="106" t="str">
        <x:v>AkShare / Sina public historical quotes</x:v>
      </x:c>
      <x:c r="H196" s="106" t="str">
        <x:v>https://akshare.akfamily.xyz/data/stock/stock.html</x:v>
      </x:c>
      <x:c r="I196" s="106"/>
      <x:c r="J196" s="106"/>
      <x:c r="K196" s="121" t="str">
        <x:v>2026-09-01 15:02:16.686427+00:00</x:v>
      </x:c>
      <x:c r="L196" s="121"/>
      <x:c r="M196" s="106" t="str">
        <x:v>akshare-price-v3-sina-history</x:v>
      </x:c>
      <x:c r="N196" s="106" t="str">
        <x:v>9f0f476bfe12ebd012dda3565f04bd4a8b6bb467f5b7773428dee6d153cf4063</x:v>
      </x:c>
      <x:c r="O196" s="113"/>
      <x:c r="P196" s="106" t="str">
        <x:v>pending</x:v>
      </x:c>
      <x:c r="Q196" s="106" t="str">
        <x:v>否</x:v>
      </x:c>
      <x:c r="R196" s="106" t="str">
        <x:v>由本地 Agent 同步</x:v>
      </x:c>
      <x:c r="S196" s="86"/>
      <x:c r="T196" s="86"/>
      <x:c r="U196" s="86"/>
      <x:c r="V196" s="86"/>
      <x:c r="W196" s="86"/>
      <x:c r="X196" s="86"/>
      <x:c r="Y196" s="86"/>
      <x:c r="Z196" s="86"/>
    </x:row>
    <x:row r="197">
      <x:c r="A197" s="106" t="str">
        <x:v>117ee410-3e88-4500-b962-63d04110062f</x:v>
      </x:c>
      <x:c r="B197" s="106" t="str">
        <x:v>600941</x:v>
      </x:c>
      <x:c r="C197" s="106" t="str">
        <x:v>current_price</x:v>
      </x:c>
      <x:c r="D197" s="106" t="str">
        <x:v>2026-09-01 14:36</x:v>
      </x:c>
      <x:c r="E197" s="106" t="n">
        <x:v>99.89</x:v>
      </x:c>
      <x:c r="F197" s="106" t="str">
        <x:v>CNY/share</x:v>
      </x:c>
      <x:c r="G197" s="106" t="str">
        <x:v>AkShare / Sina public historical quotes</x:v>
      </x:c>
      <x:c r="H197" s="106" t="str">
        <x:v>https://akshare.akfamily.xyz/data/stock/stock.html</x:v>
      </x:c>
      <x:c r="I197" s="106"/>
      <x:c r="J197" s="106"/>
      <x:c r="K197" s="121" t="str">
        <x:v>2026-09-01 15:02:16.686427+00:00</x:v>
      </x:c>
      <x:c r="L197" s="121"/>
      <x:c r="M197" s="106" t="str">
        <x:v>akshare-price-v3-sina-history</x:v>
      </x:c>
      <x:c r="N197" s="106" t="str">
        <x:v>9d625cbcd6ab1e4f25e742f11a6421416e2b5d6ca873fa19411c16257016bf20</x:v>
      </x:c>
      <x:c r="O197" s="113"/>
      <x:c r="P197" s="106" t="str">
        <x:v>pending</x:v>
      </x:c>
      <x:c r="Q197" s="106" t="str">
        <x:v>否</x:v>
      </x:c>
      <x:c r="R197" s="106" t="str">
        <x:v>由本地 Agent 同步</x:v>
      </x:c>
      <x:c r="S197" s="86"/>
      <x:c r="T197" s="86"/>
      <x:c r="U197" s="86"/>
      <x:c r="V197" s="86"/>
      <x:c r="W197" s="86"/>
      <x:c r="X197" s="86"/>
      <x:c r="Y197" s="86"/>
      <x:c r="Z197" s="86"/>
    </x:row>
    <x:row r="198">
      <x:c r="A198" s="106" t="str">
        <x:v>6944a8c4-7e20-4e13-bfe5-7f9f273e0d07</x:v>
      </x:c>
      <x:c r="B198" s="106" t="str">
        <x:v>600887</x:v>
      </x:c>
      <x:c r="C198" s="106" t="str">
        <x:v>current_price</x:v>
      </x:c>
      <x:c r="D198" s="106" t="str">
        <x:v>2026-09-01 14:27</x:v>
      </x:c>
      <x:c r="E198" s="106" t="n">
        <x:v>26.5</x:v>
      </x:c>
      <x:c r="F198" s="106" t="str">
        <x:v>CNY/share</x:v>
      </x:c>
      <x:c r="G198" s="106" t="str">
        <x:v>AkShare / Sina public historical quotes</x:v>
      </x:c>
      <x:c r="H198" s="106" t="str">
        <x:v>https://akshare.akfamily.xyz/data/stock/stock.html</x:v>
      </x:c>
      <x:c r="I198" s="106"/>
      <x:c r="J198" s="106"/>
      <x:c r="K198" s="121" t="str">
        <x:v>2026-09-01 15:02:16.686427+00:00</x:v>
      </x:c>
      <x:c r="L198" s="121"/>
      <x:c r="M198" s="106" t="str">
        <x:v>akshare-price-v3-sina-history</x:v>
      </x:c>
      <x:c r="N198" s="106" t="str">
        <x:v>7ac64bb6772240aeabfb0fbe3832846fbe676fef55c5b1955be8332684fad75e</x:v>
      </x:c>
      <x:c r="O198" s="113"/>
      <x:c r="P198" s="106" t="str">
        <x:v>pending</x:v>
      </x:c>
      <x:c r="Q198" s="106" t="str">
        <x:v>否</x:v>
      </x:c>
      <x:c r="R198" s="106" t="str">
        <x:v>由本地 Agent 同步</x:v>
      </x:c>
      <x:c r="S198" s="86"/>
      <x:c r="T198" s="86"/>
      <x:c r="U198" s="86"/>
      <x:c r="V198" s="86"/>
      <x:c r="W198" s="86"/>
      <x:c r="X198" s="86"/>
      <x:c r="Y198" s="86"/>
      <x:c r="Z198" s="86"/>
    </x:row>
    <x:row r="199">
      <x:c r="A199" s="106" t="str">
        <x:v>df08cf55-3d75-48f6-8b80-45d0a07787b3</x:v>
      </x:c>
      <x:c r="B199" s="106" t="str">
        <x:v>300750</x:v>
      </x:c>
      <x:c r="C199" s="106" t="str">
        <x:v>current_price</x:v>
      </x:c>
      <x:c r="D199" s="106" t="str">
        <x:v>2026-09-01 14:27</x:v>
      </x:c>
      <x:c r="E199" s="106" t="n">
        <x:v>358.1</x:v>
      </x:c>
      <x:c r="F199" s="106" t="str">
        <x:v>CNY/share</x:v>
      </x:c>
      <x:c r="G199" s="106" t="str">
        <x:v>AkShare / Sina public historical quotes</x:v>
      </x:c>
      <x:c r="H199" s="106" t="str">
        <x:v>https://akshare.akfamily.xyz/data/stock/stock.html</x:v>
      </x:c>
      <x:c r="I199" s="106"/>
      <x:c r="J199" s="106"/>
      <x:c r="K199" s="121" t="str">
        <x:v>2026-09-01 15:02:16.686427+00:00</x:v>
      </x:c>
      <x:c r="L199" s="121"/>
      <x:c r="M199" s="106" t="str">
        <x:v>akshare-price-v3-sina-history</x:v>
      </x:c>
      <x:c r="N199" s="106" t="str">
        <x:v>c219e9ce813c03bc2d5657b1ca221991bdfb9f4a41155fde3be11930ccb1660b</x:v>
      </x:c>
      <x:c r="O199" s="113"/>
      <x:c r="P199" s="106" t="str">
        <x:v>pending</x:v>
      </x:c>
      <x:c r="Q199" s="106" t="str">
        <x:v>否</x:v>
      </x:c>
      <x:c r="R199" s="106" t="str">
        <x:v>由本地 Agent 同步</x:v>
      </x:c>
      <x:c r="S199" s="86"/>
      <x:c r="T199" s="86"/>
      <x:c r="U199" s="86"/>
      <x:c r="V199" s="86"/>
      <x:c r="W199" s="86"/>
      <x:c r="X199" s="86"/>
      <x:c r="Y199" s="86"/>
      <x:c r="Z199" s="86"/>
    </x:row>
    <x:row r="200">
      <x:c r="A200" s="106" t="str">
        <x:v>39ea0620-de2b-46e5-8657-a92bc547df77</x:v>
      </x:c>
      <x:c r="B200" s="106" t="str">
        <x:v>600690</x:v>
      </x:c>
      <x:c r="C200" s="106" t="str">
        <x:v>current_price</x:v>
      </x:c>
      <x:c r="D200" s="106" t="str">
        <x:v>2026-09-01 14:27</x:v>
      </x:c>
      <x:c r="E200" s="106" t="n">
        <x:v>21.42</x:v>
      </x:c>
      <x:c r="F200" s="106" t="str">
        <x:v>CNY/share</x:v>
      </x:c>
      <x:c r="G200" s="106" t="str">
        <x:v>AkShare / Sina public historical quotes</x:v>
      </x:c>
      <x:c r="H200" s="106" t="str">
        <x:v>https://akshare.akfamily.xyz/data/stock/stock.html</x:v>
      </x:c>
      <x:c r="I200" s="106"/>
      <x:c r="J200" s="106"/>
      <x:c r="K200" s="121" t="str">
        <x:v>2026-09-01 15:02:16.686427+00:00</x:v>
      </x:c>
      <x:c r="L200" s="121"/>
      <x:c r="M200" s="106" t="str">
        <x:v>akshare-price-v3-sina-history</x:v>
      </x:c>
      <x:c r="N200" s="106" t="str">
        <x:v>6ac17d3ae284a628996b4a22756afd8c76c7509b809313f0ae68a9618d865c09</x:v>
      </x:c>
      <x:c r="O200" s="113"/>
      <x:c r="P200" s="106" t="str">
        <x:v>pending</x:v>
      </x:c>
      <x:c r="Q200" s="106" t="str">
        <x:v>否</x:v>
      </x:c>
      <x:c r="R200" s="106" t="str">
        <x:v>由本地 Agent 同步</x:v>
      </x:c>
      <x:c r="S200" s="86"/>
      <x:c r="T200" s="86"/>
      <x:c r="U200" s="86"/>
      <x:c r="V200" s="86"/>
      <x:c r="W200" s="86"/>
      <x:c r="X200" s="86"/>
      <x:c r="Y200" s="86"/>
      <x:c r="Z200" s="86"/>
    </x:row>
    <x:row r="201">
      <x:c r="A201" s="106" t="str">
        <x:v>59bad70d-3a23-4591-8805-d2bc5b6106c3</x:v>
      </x:c>
      <x:c r="B201" s="106" t="str">
        <x:v>601088</x:v>
      </x:c>
      <x:c r="C201" s="106" t="str">
        <x:v>current_price</x:v>
      </x:c>
      <x:c r="D201" s="106" t="str">
        <x:v>2026-09-01 14:27</x:v>
      </x:c>
      <x:c r="E201" s="106" t="n">
        <x:v>48.3</x:v>
      </x:c>
      <x:c r="F201" s="106" t="str">
        <x:v>CNY/share</x:v>
      </x:c>
      <x:c r="G201" s="106" t="str">
        <x:v>AkShare / Sina public historical quotes</x:v>
      </x:c>
      <x:c r="H201" s="106" t="str">
        <x:v>https://akshare.akfamily.xyz/data/stock/stock.html</x:v>
      </x:c>
      <x:c r="I201" s="106"/>
      <x:c r="J201" s="106"/>
      <x:c r="K201" s="121" t="str">
        <x:v>2026-09-01 15:02:16.686427+00:00</x:v>
      </x:c>
      <x:c r="L201" s="121"/>
      <x:c r="M201" s="106" t="str">
        <x:v>akshare-price-v3-sina-history</x:v>
      </x:c>
      <x:c r="N201" s="106" t="str">
        <x:v>786803a38a8094da69b08ab60affce538140d0fe55d3d0c1901d9b2ba721054f</x:v>
      </x:c>
      <x:c r="O201" s="113"/>
      <x:c r="P201" s="106" t="str">
        <x:v>pending</x:v>
      </x:c>
      <x:c r="Q201" s="106" t="str">
        <x:v>否</x:v>
      </x:c>
      <x:c r="R201" s="106" t="str">
        <x:v>由本地 Agent 同步</x:v>
      </x:c>
      <x:c r="S201" s="86"/>
      <x:c r="T201" s="86"/>
      <x:c r="U201" s="86"/>
      <x:c r="V201" s="86"/>
      <x:c r="W201" s="86"/>
      <x:c r="X201" s="86"/>
      <x:c r="Y201" s="86"/>
      <x:c r="Z201" s="86"/>
    </x:row>
    <x:row r="202">
      <x:c r="A202" s="106" t="str">
        <x:v>c022774c-9705-431c-b13e-059527782a69</x:v>
      </x:c>
      <x:c r="B202" s="106" t="str">
        <x:v>601288</x:v>
      </x:c>
      <x:c r="C202" s="106" t="str">
        <x:v>current_price</x:v>
      </x:c>
      <x:c r="D202" s="106" t="str">
        <x:v>2026-09-01 14:27</x:v>
      </x:c>
      <x:c r="E202" s="106" t="n">
        <x:v>7.05</x:v>
      </x:c>
      <x:c r="F202" s="106" t="str">
        <x:v>CNY/share</x:v>
      </x:c>
      <x:c r="G202" s="106" t="str">
        <x:v>AkShare / Sina public historical quotes</x:v>
      </x:c>
      <x:c r="H202" s="106" t="str">
        <x:v>https://akshare.akfamily.xyz/data/stock/stock.html</x:v>
      </x:c>
      <x:c r="I202" s="106"/>
      <x:c r="J202" s="106"/>
      <x:c r="K202" s="121" t="str">
        <x:v>2026-09-01 15:02:16.686427+00:00</x:v>
      </x:c>
      <x:c r="L202" s="121"/>
      <x:c r="M202" s="106" t="str">
        <x:v>akshare-price-v3-sina-history</x:v>
      </x:c>
      <x:c r="N202" s="106" t="str">
        <x:v>0d1533d6d369a2097b66e8a5137030a6199b85a03b244714d562088824fea03a</x:v>
      </x:c>
      <x:c r="O202" s="113"/>
      <x:c r="P202" s="106" t="str">
        <x:v>pending</x:v>
      </x:c>
      <x:c r="Q202" s="106" t="str">
        <x:v>否</x:v>
      </x:c>
      <x:c r="R202" s="106" t="str">
        <x:v>由本地 Agent 同步</x:v>
      </x:c>
      <x:c r="S202" s="86"/>
      <x:c r="T202" s="86"/>
      <x:c r="U202" s="86"/>
      <x:c r="V202" s="86"/>
      <x:c r="W202" s="86"/>
      <x:c r="X202" s="86"/>
      <x:c r="Y202" s="86"/>
      <x:c r="Z202" s="86"/>
    </x:row>
    <x:row r="203">
      <x:c r="A203" s="106" t="str">
        <x:v>1a535135-1d55-444c-bf07-61d09a84bc60</x:v>
      </x:c>
      <x:c r="B203" s="106" t="str">
        <x:v>600036</x:v>
      </x:c>
      <x:c r="C203" s="106" t="str">
        <x:v>current_price</x:v>
      </x:c>
      <x:c r="D203" s="106" t="str">
        <x:v>2026-09-01 14:27</x:v>
      </x:c>
      <x:c r="E203" s="106" t="n">
        <x:v>40.86</x:v>
      </x:c>
      <x:c r="F203" s="106" t="str">
        <x:v>CNY/share</x:v>
      </x:c>
      <x:c r="G203" s="106" t="str">
        <x:v>AkShare / Sina public historical quotes</x:v>
      </x:c>
      <x:c r="H203" s="106" t="str">
        <x:v>https://akshare.akfamily.xyz/data/stock/stock.html</x:v>
      </x:c>
      <x:c r="I203" s="106"/>
      <x:c r="J203" s="106"/>
      <x:c r="K203" s="121" t="str">
        <x:v>2026-09-01 15:02:16.686427+00:00</x:v>
      </x:c>
      <x:c r="L203" s="121"/>
      <x:c r="M203" s="106" t="str">
        <x:v>akshare-price-v3-sina-history</x:v>
      </x:c>
      <x:c r="N203" s="106" t="str">
        <x:v>2e55014a1df9c91d4e725e8328ff0176844fefa9145d77523c7a502795bec42d</x:v>
      </x:c>
      <x:c r="O203" s="113"/>
      <x:c r="P203" s="106" t="str">
        <x:v>pending</x:v>
      </x:c>
      <x:c r="Q203" s="106" t="str">
        <x:v>否</x:v>
      </x:c>
      <x:c r="R203" s="106" t="str">
        <x:v>由本地 Agent 同步</x:v>
      </x:c>
      <x:c r="S203" s="86"/>
      <x:c r="T203" s="86"/>
      <x:c r="U203" s="86"/>
      <x:c r="V203" s="86"/>
      <x:c r="W203" s="86"/>
      <x:c r="X203" s="86"/>
      <x:c r="Y203" s="86"/>
      <x:c r="Z203" s="86"/>
    </x:row>
    <x:row r="204">
      <x:c r="A204" s="106" t="str">
        <x:v>7a688c6a-7fe5-4989-b28f-d7d3c8d11ce1</x:v>
      </x:c>
      <x:c r="B204" s="106" t="str">
        <x:v>000333</x:v>
      </x:c>
      <x:c r="C204" s="106" t="str">
        <x:v>current_price</x:v>
      </x:c>
      <x:c r="D204" s="106" t="str">
        <x:v>2026-09-01 14:27</x:v>
      </x:c>
      <x:c r="E204" s="106" t="n">
        <x:v>87.49</x:v>
      </x:c>
      <x:c r="F204" s="106" t="str">
        <x:v>CNY/share</x:v>
      </x:c>
      <x:c r="G204" s="106" t="str">
        <x:v>AkShare / Sina public historical quotes</x:v>
      </x:c>
      <x:c r="H204" s="106" t="str">
        <x:v>https://akshare.akfamily.xyz/data/stock/stock.html</x:v>
      </x:c>
      <x:c r="I204" s="106"/>
      <x:c r="J204" s="106"/>
      <x:c r="K204" s="121" t="str">
        <x:v>2026-09-01 15:02:16.686427+00:00</x:v>
      </x:c>
      <x:c r="L204" s="121"/>
      <x:c r="M204" s="106" t="str">
        <x:v>akshare-price-v3-sina-history</x:v>
      </x:c>
      <x:c r="N204" s="106" t="str">
        <x:v>e4d3aa5683e1dbbb56ba55d0d80b9c7ba0fe2f05cd2782aeb6ea3b3192c959f9</x:v>
      </x:c>
      <x:c r="O204" s="113"/>
      <x:c r="P204" s="106" t="str">
        <x:v>pending</x:v>
      </x:c>
      <x:c r="Q204" s="106" t="str">
        <x:v>否</x:v>
      </x:c>
      <x:c r="R204" s="106" t="str">
        <x:v>由本地 Agent 同步</x:v>
      </x:c>
      <x:c r="S204" s="86"/>
      <x:c r="T204" s="86"/>
      <x:c r="U204" s="86"/>
      <x:c r="V204" s="86"/>
      <x:c r="W204" s="86"/>
      <x:c r="X204" s="86"/>
      <x:c r="Y204" s="86"/>
      <x:c r="Z204" s="86"/>
    </x:row>
    <x:row r="205">
      <x:c r="A205" s="106" t="str">
        <x:v>484a51b1-cf08-4ecc-be6e-b4ed787bb0cd</x:v>
      </x:c>
      <x:c r="B205" s="106" t="str">
        <x:v>600519</x:v>
      </x:c>
      <x:c r="C205" s="106" t="str">
        <x:v>current_price</x:v>
      </x:c>
      <x:c r="D205" s="106" t="str">
        <x:v>2026-09-01 14:27</x:v>
      </x:c>
      <x:c r="E205" s="106" t="n">
        <x:v>1299.56</x:v>
      </x:c>
      <x:c r="F205" s="106" t="str">
        <x:v>CNY/share</x:v>
      </x:c>
      <x:c r="G205" s="106" t="str">
        <x:v>AkShare / Sina public historical quotes</x:v>
      </x:c>
      <x:c r="H205" s="106" t="str">
        <x:v>https://akshare.akfamily.xyz/data/stock/stock.html</x:v>
      </x:c>
      <x:c r="I205" s="106"/>
      <x:c r="J205" s="106"/>
      <x:c r="K205" s="121" t="str">
        <x:v>2026-09-01 15:02:16.686427+00:00</x:v>
      </x:c>
      <x:c r="L205" s="121"/>
      <x:c r="M205" s="106" t="str">
        <x:v>akshare-price-v3-sina-history</x:v>
      </x:c>
      <x:c r="N205" s="106" t="str">
        <x:v>954915d8d904f3dd7fbaa07d14265367567d88697da146771ea5df6bff0bef17</x:v>
      </x:c>
      <x:c r="O205" s="113"/>
      <x:c r="P205" s="106" t="str">
        <x:v>pending</x:v>
      </x:c>
      <x:c r="Q205" s="106" t="str">
        <x:v>否</x:v>
      </x:c>
      <x:c r="R205" s="106" t="str">
        <x:v>由本地 Agent 同步</x:v>
      </x:c>
      <x:c r="S205" s="86"/>
      <x:c r="T205" s="86"/>
      <x:c r="U205" s="86"/>
      <x:c r="V205" s="86"/>
      <x:c r="W205" s="86"/>
      <x:c r="X205" s="86"/>
      <x:c r="Y205" s="86"/>
      <x:c r="Z205" s="86"/>
    </x:row>
    <x:row r="206">
      <x:c r="A206" s="106" t="str">
        <x:v>9738d8d2-e0da-46d0-b259-edc47ecd543c</x:v>
      </x:c>
      <x:c r="B206" s="106" t="str">
        <x:v>600900</x:v>
      </x:c>
      <x:c r="C206" s="106" t="str">
        <x:v>current_price</x:v>
      </x:c>
      <x:c r="D206" s="106" t="str">
        <x:v>2026-09-01 14:27</x:v>
      </x:c>
      <x:c r="E206" s="106" t="n">
        <x:v>28.4</x:v>
      </x:c>
      <x:c r="F206" s="106" t="str">
        <x:v>CNY/share</x:v>
      </x:c>
      <x:c r="G206" s="106" t="str">
        <x:v>AkShare / Sina public historical quotes</x:v>
      </x:c>
      <x:c r="H206" s="106" t="str">
        <x:v>https://akshare.akfamily.xyz/data/stock/stock.html</x:v>
      </x:c>
      <x:c r="I206" s="106"/>
      <x:c r="J206" s="106"/>
      <x:c r="K206" s="121" t="str">
        <x:v>2026-09-01 15:02:16.686427+00:00</x:v>
      </x:c>
      <x:c r="L206" s="121"/>
      <x:c r="M206" s="106" t="str">
        <x:v>akshare-price-v3-sina-history</x:v>
      </x:c>
      <x:c r="N206" s="106" t="str">
        <x:v>9f0f476bfe12ebd012dda3565f04bd4a8b6bb467f5b7773428dee6d153cf4063</x:v>
      </x:c>
      <x:c r="O206" s="113"/>
      <x:c r="P206" s="106" t="str">
        <x:v>pending</x:v>
      </x:c>
      <x:c r="Q206" s="106" t="str">
        <x:v>否</x:v>
      </x:c>
      <x:c r="R206" s="106" t="str">
        <x:v>由本地 Agent 同步</x:v>
      </x:c>
      <x:c r="S206" s="86"/>
      <x:c r="T206" s="86"/>
      <x:c r="U206" s="86"/>
      <x:c r="V206" s="86"/>
      <x:c r="W206" s="86"/>
      <x:c r="X206" s="86"/>
      <x:c r="Y206" s="86"/>
      <x:c r="Z206" s="86"/>
    </x:row>
    <x:row r="207">
      <x:c r="A207" s="106" t="str">
        <x:v>117ee410-3e88-4500-b962-63d04110062f</x:v>
      </x:c>
      <x:c r="B207" s="106" t="str">
        <x:v>600941</x:v>
      </x:c>
      <x:c r="C207" s="106" t="str">
        <x:v>current_price</x:v>
      </x:c>
      <x:c r="D207" s="106" t="str">
        <x:v>2026-09-01 14:27</x:v>
      </x:c>
      <x:c r="E207" s="106" t="n">
        <x:v>99.89</x:v>
      </x:c>
      <x:c r="F207" s="106" t="str">
        <x:v>CNY/share</x:v>
      </x:c>
      <x:c r="G207" s="106" t="str">
        <x:v>AkShare / Sina public historical quotes</x:v>
      </x:c>
      <x:c r="H207" s="106" t="str">
        <x:v>https://akshare.akfamily.xyz/data/stock/stock.html</x:v>
      </x:c>
      <x:c r="I207" s="106"/>
      <x:c r="J207" s="106"/>
      <x:c r="K207" s="121" t="str">
        <x:v>2026-09-01 15:02:16.686427+00:00</x:v>
      </x:c>
      <x:c r="L207" s="121"/>
      <x:c r="M207" s="106" t="str">
        <x:v>akshare-price-v3-sina-history</x:v>
      </x:c>
      <x:c r="N207" s="106" t="str">
        <x:v>9d625cbcd6ab1e4f25e742f11a6421416e2b5d6ca873fa19411c16257016bf20</x:v>
      </x:c>
      <x:c r="O207" s="113"/>
      <x:c r="P207" s="106" t="str">
        <x:v>pending</x:v>
      </x:c>
      <x:c r="Q207" s="106" t="str">
        <x:v>否</x:v>
      </x:c>
      <x:c r="R207" s="106" t="str">
        <x:v>由本地 Agent 同步</x:v>
      </x:c>
      <x:c r="S207" s="86"/>
      <x:c r="T207" s="86"/>
      <x:c r="U207" s="86"/>
      <x:c r="V207" s="86"/>
      <x:c r="W207" s="86"/>
      <x:c r="X207" s="86"/>
      <x:c r="Y207" s="86"/>
      <x:c r="Z207" s="86"/>
    </x:row>
    <x:row r="208">
      <x:c r="A208" s="106" t="str">
        <x:v>117ee410-3e88-4500-b962-63d04110062f</x:v>
      </x:c>
      <x:c r="B208" s="106" t="str">
        <x:v>600941</x:v>
      </x:c>
      <x:c r="C208" s="106" t="str">
        <x:v>current_price</x:v>
      </x:c>
      <x:c r="D208" s="106" t="str">
        <x:v>2026-09-02 03:03</x:v>
      </x:c>
      <x:c r="E208" s="106" t="n">
        <x:v>99.89</x:v>
      </x:c>
      <x:c r="F208" s="106" t="str">
        <x:v>CNY/share</x:v>
      </x:c>
      <x:c r="G208" s="106" t="str">
        <x:v>AkShare / Sina public historical quotes</x:v>
      </x:c>
      <x:c r="H208" s="106" t="str">
        <x:v>https://akshare.akfamily.xyz/data/stock/stock.html</x:v>
      </x:c>
      <x:c r="I208" s="106"/>
      <x:c r="J208" s="106"/>
      <x:c r="K208" s="121" t="str">
        <x:v>2026-09-02 03:03:15.039786+00:00</x:v>
      </x:c>
      <x:c r="L208" s="121"/>
      <x:c r="M208" s="106" t="str">
        <x:v>akshare-price-v3-sina-history</x:v>
      </x:c>
      <x:c r="N208" s="106" t="str">
        <x:v>9d625cbcd6ab1e4f25e742f11a6421416e2b5d6ca873fa19411c16257016bf20</x:v>
      </x:c>
      <x:c r="O208" s="113"/>
      <x:c r="P208" s="106" t="str">
        <x:v>pending</x:v>
      </x:c>
      <x:c r="Q208" s="106" t="str">
        <x:v>否</x:v>
      </x:c>
      <x:c r="R208" s="106" t="str">
        <x:v>由本地 Agent 同步</x:v>
      </x:c>
      <x:c r="S208" s="86"/>
      <x:c r="T208" s="86"/>
      <x:c r="U208" s="86"/>
      <x:c r="V208" s="86"/>
      <x:c r="W208" s="86"/>
      <x:c r="X208" s="86"/>
      <x:c r="Y208" s="86"/>
      <x:c r="Z208" s="86"/>
    </x:row>
    <x:row r="209">
      <x:c r="A209" s="106" t="str">
        <x:v>6944a8c4-7e20-4e13-bfe5-7f9f273e0d07</x:v>
      </x:c>
      <x:c r="B209" s="106" t="str">
        <x:v>600887</x:v>
      </x:c>
      <x:c r="C209" s="106" t="str">
        <x:v>current_price</x:v>
      </x:c>
      <x:c r="D209" s="106" t="str">
        <x:v>2026-09-02 03:03</x:v>
      </x:c>
      <x:c r="E209" s="106" t="n">
        <x:v>26.5</x:v>
      </x:c>
      <x:c r="F209" s="106" t="str">
        <x:v>CNY/share</x:v>
      </x:c>
      <x:c r="G209" s="106" t="str">
        <x:v>AkShare / Sina public historical quotes</x:v>
      </x:c>
      <x:c r="H209" s="106" t="str">
        <x:v>https://akshare.akfamily.xyz/data/stock/stock.html</x:v>
      </x:c>
      <x:c r="I209" s="106"/>
      <x:c r="J209" s="106"/>
      <x:c r="K209" s="121" t="str">
        <x:v>2026-09-02 03:03:15.039786+00:00</x:v>
      </x:c>
      <x:c r="L209" s="121"/>
      <x:c r="M209" s="106" t="str">
        <x:v>akshare-price-v3-sina-history</x:v>
      </x:c>
      <x:c r="N209" s="106" t="str">
        <x:v>7ac64bb6772240aeabfb0fbe3832846fbe676fef55c5b1955be8332684fad75e</x:v>
      </x:c>
      <x:c r="O209" s="113"/>
      <x:c r="P209" s="106" t="str">
        <x:v>pending</x:v>
      </x:c>
      <x:c r="Q209" s="106" t="str">
        <x:v>否</x:v>
      </x:c>
      <x:c r="R209" s="106" t="str">
        <x:v>由本地 Agent 同步</x:v>
      </x:c>
      <x:c r="S209" s="86"/>
      <x:c r="T209" s="86"/>
      <x:c r="U209" s="86"/>
      <x:c r="V209" s="86"/>
      <x:c r="W209" s="86"/>
      <x:c r="X209" s="86"/>
      <x:c r="Y209" s="86"/>
      <x:c r="Z209" s="86"/>
    </x:row>
    <x:row r="210">
      <x:c r="A210" s="106" t="str">
        <x:v>df08cf55-3d75-48f6-8b80-45d0a07787b3</x:v>
      </x:c>
      <x:c r="B210" s="106" t="str">
        <x:v>300750</x:v>
      </x:c>
      <x:c r="C210" s="106" t="str">
        <x:v>current_price</x:v>
      </x:c>
      <x:c r="D210" s="106" t="str">
        <x:v>2026-09-02 03:03</x:v>
      </x:c>
      <x:c r="E210" s="106" t="n">
        <x:v>358.1</x:v>
      </x:c>
      <x:c r="F210" s="106" t="str">
        <x:v>CNY/share</x:v>
      </x:c>
      <x:c r="G210" s="106" t="str">
        <x:v>AkShare / Sina public historical quotes</x:v>
      </x:c>
      <x:c r="H210" s="106" t="str">
        <x:v>https://akshare.akfamily.xyz/data/stock/stock.html</x:v>
      </x:c>
      <x:c r="I210" s="106"/>
      <x:c r="J210" s="106"/>
      <x:c r="K210" s="121" t="str">
        <x:v>2026-09-02 03:03:15.039786+00:00</x:v>
      </x:c>
      <x:c r="L210" s="121"/>
      <x:c r="M210" s="106" t="str">
        <x:v>akshare-price-v3-sina-history</x:v>
      </x:c>
      <x:c r="N210" s="106" t="str">
        <x:v>c219e9ce813c03bc2d5657b1ca221991bdfb9f4a41155fde3be11930ccb1660b</x:v>
      </x:c>
      <x:c r="O210" s="113"/>
      <x:c r="P210" s="106" t="str">
        <x:v>pending</x:v>
      </x:c>
      <x:c r="Q210" s="106" t="str">
        <x:v>否</x:v>
      </x:c>
      <x:c r="R210" s="106" t="str">
        <x:v>由本地 Agent 同步</x:v>
      </x:c>
      <x:c r="S210" s="86"/>
      <x:c r="T210" s="86"/>
      <x:c r="U210" s="86"/>
      <x:c r="V210" s="86"/>
      <x:c r="W210" s="86"/>
      <x:c r="X210" s="86"/>
      <x:c r="Y210" s="86"/>
      <x:c r="Z210" s="86"/>
    </x:row>
    <x:row r="211">
      <x:c r="A211" s="106" t="str">
        <x:v>39ea0620-de2b-46e5-8657-a92bc547df77</x:v>
      </x:c>
      <x:c r="B211" s="106" t="str">
        <x:v>600690</x:v>
      </x:c>
      <x:c r="C211" s="106" t="str">
        <x:v>current_price</x:v>
      </x:c>
      <x:c r="D211" s="106" t="str">
        <x:v>2026-09-02 03:03</x:v>
      </x:c>
      <x:c r="E211" s="106" t="n">
        <x:v>21.42</x:v>
      </x:c>
      <x:c r="F211" s="106" t="str">
        <x:v>CNY/share</x:v>
      </x:c>
      <x:c r="G211" s="106" t="str">
        <x:v>AkShare / Sina public historical quotes</x:v>
      </x:c>
      <x:c r="H211" s="106" t="str">
        <x:v>https://akshare.akfamily.xyz/data/stock/stock.html</x:v>
      </x:c>
      <x:c r="I211" s="106"/>
      <x:c r="J211" s="106"/>
      <x:c r="K211" s="121" t="str">
        <x:v>2026-09-02 03:03:15.039786+00:00</x:v>
      </x:c>
      <x:c r="L211" s="121"/>
      <x:c r="M211" s="106" t="str">
        <x:v>akshare-price-v3-sina-history</x:v>
      </x:c>
      <x:c r="N211" s="106" t="str">
        <x:v>6ac17d3ae284a628996b4a22756afd8c76c7509b809313f0ae68a9618d865c09</x:v>
      </x:c>
      <x:c r="O211" s="113"/>
      <x:c r="P211" s="106" t="str">
        <x:v>pending</x:v>
      </x:c>
      <x:c r="Q211" s="106" t="str">
        <x:v>否</x:v>
      </x:c>
      <x:c r="R211" s="106" t="str">
        <x:v>由本地 Agent 同步</x:v>
      </x:c>
      <x:c r="S211" s="86"/>
      <x:c r="T211" s="86"/>
      <x:c r="U211" s="86"/>
      <x:c r="V211" s="86"/>
      <x:c r="W211" s="86"/>
      <x:c r="X211" s="86"/>
      <x:c r="Y211" s="86"/>
      <x:c r="Z211" s="86"/>
    </x:row>
    <x:row r="212">
      <x:c r="A212" s="106" t="str">
        <x:v>59bad70d-3a23-4591-8805-d2bc5b6106c3</x:v>
      </x:c>
      <x:c r="B212" s="106" t="str">
        <x:v>601088</x:v>
      </x:c>
      <x:c r="C212" s="106" t="str">
        <x:v>current_price</x:v>
      </x:c>
      <x:c r="D212" s="106" t="str">
        <x:v>2026-09-02 03:03</x:v>
      </x:c>
      <x:c r="E212" s="106" t="n">
        <x:v>48.3</x:v>
      </x:c>
      <x:c r="F212" s="106" t="str">
        <x:v>CNY/share</x:v>
      </x:c>
      <x:c r="G212" s="106" t="str">
        <x:v>AkShare / Sina public historical quotes</x:v>
      </x:c>
      <x:c r="H212" s="106" t="str">
        <x:v>https://akshare.akfamily.xyz/data/stock/stock.html</x:v>
      </x:c>
      <x:c r="I212" s="106"/>
      <x:c r="J212" s="106"/>
      <x:c r="K212" s="121" t="str">
        <x:v>2026-09-02 03:03:15.039786+00:00</x:v>
      </x:c>
      <x:c r="L212" s="121"/>
      <x:c r="M212" s="106" t="str">
        <x:v>akshare-price-v3-sina-history</x:v>
      </x:c>
      <x:c r="N212" s="106" t="str">
        <x:v>786803a38a8094da69b08ab60affce538140d0fe55d3d0c1901d9b2ba721054f</x:v>
      </x:c>
      <x:c r="O212" s="113"/>
      <x:c r="P212" s="106" t="str">
        <x:v>pending</x:v>
      </x:c>
      <x:c r="Q212" s="106" t="str">
        <x:v>否</x:v>
      </x:c>
      <x:c r="R212" s="106" t="str">
        <x:v>由本地 Agent 同步</x:v>
      </x:c>
      <x:c r="S212" s="86"/>
      <x:c r="T212" s="86"/>
      <x:c r="U212" s="86"/>
      <x:c r="V212" s="86"/>
      <x:c r="W212" s="86"/>
      <x:c r="X212" s="86"/>
      <x:c r="Y212" s="86"/>
      <x:c r="Z212" s="86"/>
    </x:row>
    <x:row r="213">
      <x:c r="A213" s="106" t="str">
        <x:v>c022774c-9705-431c-b13e-059527782a69</x:v>
      </x:c>
      <x:c r="B213" s="106" t="str">
        <x:v>601288</x:v>
      </x:c>
      <x:c r="C213" s="106" t="str">
        <x:v>current_price</x:v>
      </x:c>
      <x:c r="D213" s="106" t="str">
        <x:v>2026-09-02 03:03</x:v>
      </x:c>
      <x:c r="E213" s="106" t="n">
        <x:v>7.05</x:v>
      </x:c>
      <x:c r="F213" s="106" t="str">
        <x:v>CNY/share</x:v>
      </x:c>
      <x:c r="G213" s="106" t="str">
        <x:v>AkShare / Sina public historical quotes</x:v>
      </x:c>
      <x:c r="H213" s="106" t="str">
        <x:v>https://akshare.akfamily.xyz/data/stock/stock.html</x:v>
      </x:c>
      <x:c r="I213" s="106"/>
      <x:c r="J213" s="106"/>
      <x:c r="K213" s="121" t="str">
        <x:v>2026-09-02 03:03:15.039786+00:00</x:v>
      </x:c>
      <x:c r="L213" s="121"/>
      <x:c r="M213" s="106" t="str">
        <x:v>akshare-price-v3-sina-history</x:v>
      </x:c>
      <x:c r="N213" s="106" t="str">
        <x:v>0d1533d6d369a2097b66e8a5137030a6199b85a03b244714d562088824fea03a</x:v>
      </x:c>
      <x:c r="O213" s="113"/>
      <x:c r="P213" s="106" t="str">
        <x:v>pending</x:v>
      </x:c>
      <x:c r="Q213" s="106" t="str">
        <x:v>否</x:v>
      </x:c>
      <x:c r="R213" s="106" t="str">
        <x:v>由本地 Agent 同步</x:v>
      </x:c>
      <x:c r="S213" s="86"/>
      <x:c r="T213" s="86"/>
      <x:c r="U213" s="86"/>
      <x:c r="V213" s="86"/>
      <x:c r="W213" s="86"/>
      <x:c r="X213" s="86"/>
      <x:c r="Y213" s="86"/>
      <x:c r="Z213" s="86"/>
    </x:row>
    <x:row r="214">
      <x:c r="A214" s="106" t="str">
        <x:v>1a535135-1d55-444c-bf07-61d09a84bc60</x:v>
      </x:c>
      <x:c r="B214" s="106" t="str">
        <x:v>600036</x:v>
      </x:c>
      <x:c r="C214" s="106" t="str">
        <x:v>current_price</x:v>
      </x:c>
      <x:c r="D214" s="106" t="str">
        <x:v>2026-09-02 03:03</x:v>
      </x:c>
      <x:c r="E214" s="106" t="n">
        <x:v>40.86</x:v>
      </x:c>
      <x:c r="F214" s="106" t="str">
        <x:v>CNY/share</x:v>
      </x:c>
      <x:c r="G214" s="106" t="str">
        <x:v>AkShare / Sina public historical quotes</x:v>
      </x:c>
      <x:c r="H214" s="106" t="str">
        <x:v>https://akshare.akfamily.xyz/data/stock/stock.html</x:v>
      </x:c>
      <x:c r="I214" s="106"/>
      <x:c r="J214" s="106"/>
      <x:c r="K214" s="121" t="str">
        <x:v>2026-09-02 03:03:15.039786+00:00</x:v>
      </x:c>
      <x:c r="L214" s="121"/>
      <x:c r="M214" s="106" t="str">
        <x:v>akshare-price-v3-sina-history</x:v>
      </x:c>
      <x:c r="N214" s="106" t="str">
        <x:v>2e55014a1df9c91d4e725e8328ff0176844fefa9145d77523c7a502795bec42d</x:v>
      </x:c>
      <x:c r="O214" s="113"/>
      <x:c r="P214" s="106" t="str">
        <x:v>pending</x:v>
      </x:c>
      <x:c r="Q214" s="106" t="str">
        <x:v>否</x:v>
      </x:c>
      <x:c r="R214" s="106" t="str">
        <x:v>由本地 Agent 同步</x:v>
      </x:c>
      <x:c r="S214" s="86"/>
      <x:c r="T214" s="86"/>
      <x:c r="U214" s="86"/>
      <x:c r="V214" s="86"/>
      <x:c r="W214" s="86"/>
      <x:c r="X214" s="86"/>
      <x:c r="Y214" s="86"/>
      <x:c r="Z214" s="86"/>
    </x:row>
    <x:row r="215">
      <x:c r="A215" s="106" t="str">
        <x:v>7a688c6a-7fe5-4989-b28f-d7d3c8d11ce1</x:v>
      </x:c>
      <x:c r="B215" s="106" t="str">
        <x:v>000333</x:v>
      </x:c>
      <x:c r="C215" s="106" t="str">
        <x:v>current_price</x:v>
      </x:c>
      <x:c r="D215" s="106" t="str">
        <x:v>2026-09-02 03:03</x:v>
      </x:c>
      <x:c r="E215" s="106" t="n">
        <x:v>87.49</x:v>
      </x:c>
      <x:c r="F215" s="106" t="str">
        <x:v>CNY/share</x:v>
      </x:c>
      <x:c r="G215" s="106" t="str">
        <x:v>AkShare / Sina public historical quotes</x:v>
      </x:c>
      <x:c r="H215" s="106" t="str">
        <x:v>https://akshare.akfamily.xyz/data/stock/stock.html</x:v>
      </x:c>
      <x:c r="I215" s="106"/>
      <x:c r="J215" s="106"/>
      <x:c r="K215" s="121" t="str">
        <x:v>2026-09-02 03:03:15.039786+00:00</x:v>
      </x:c>
      <x:c r="L215" s="121"/>
      <x:c r="M215" s="106" t="str">
        <x:v>akshare-price-v3-sina-history</x:v>
      </x:c>
      <x:c r="N215" s="106" t="str">
        <x:v>e4d3aa5683e1dbbb56ba55d0d80b9c7ba0fe2f05cd2782aeb6ea3b3192c959f9</x:v>
      </x:c>
      <x:c r="O215" s="113"/>
      <x:c r="P215" s="106" t="str">
        <x:v>pending</x:v>
      </x:c>
      <x:c r="Q215" s="106" t="str">
        <x:v>否</x:v>
      </x:c>
      <x:c r="R215" s="106" t="str">
        <x:v>由本地 Agent 同步</x:v>
      </x:c>
      <x:c r="S215" s="86"/>
      <x:c r="T215" s="86"/>
      <x:c r="U215" s="86"/>
      <x:c r="V215" s="86"/>
      <x:c r="W215" s="86"/>
      <x:c r="X215" s="86"/>
      <x:c r="Y215" s="86"/>
      <x:c r="Z215" s="86"/>
    </x:row>
    <x:row r="216">
      <x:c r="A216" s="106" t="str">
        <x:v>484a51b1-cf08-4ecc-be6e-b4ed787bb0cd</x:v>
      </x:c>
      <x:c r="B216" s="106" t="str">
        <x:v>600519</x:v>
      </x:c>
      <x:c r="C216" s="106" t="str">
        <x:v>current_price</x:v>
      </x:c>
      <x:c r="D216" s="106" t="str">
        <x:v>2026-09-02 03:03</x:v>
      </x:c>
      <x:c r="E216" s="106" t="n">
        <x:v>1299.56</x:v>
      </x:c>
      <x:c r="F216" s="106" t="str">
        <x:v>CNY/share</x:v>
      </x:c>
      <x:c r="G216" s="106" t="str">
        <x:v>AkShare / Sina public historical quotes</x:v>
      </x:c>
      <x:c r="H216" s="106" t="str">
        <x:v>https://akshare.akfamily.xyz/data/stock/stock.html</x:v>
      </x:c>
      <x:c r="I216" s="106"/>
      <x:c r="J216" s="106"/>
      <x:c r="K216" s="121" t="str">
        <x:v>2026-09-02 03:03:15.039786+00:00</x:v>
      </x:c>
      <x:c r="L216" s="121"/>
      <x:c r="M216" s="106" t="str">
        <x:v>akshare-price-v3-sina-history</x:v>
      </x:c>
      <x:c r="N216" s="106" t="str">
        <x:v>954915d8d904f3dd7fbaa07d14265367567d88697da146771ea5df6bff0bef17</x:v>
      </x:c>
      <x:c r="O216" s="113"/>
      <x:c r="P216" s="106" t="str">
        <x:v>pending</x:v>
      </x:c>
      <x:c r="Q216" s="106" t="str">
        <x:v>否</x:v>
      </x:c>
      <x:c r="R216" s="106" t="str">
        <x:v>由本地 Agent 同步</x:v>
      </x:c>
      <x:c r="S216" s="86"/>
      <x:c r="T216" s="86"/>
      <x:c r="U216" s="86"/>
      <x:c r="V216" s="86"/>
      <x:c r="W216" s="86"/>
      <x:c r="X216" s="86"/>
      <x:c r="Y216" s="86"/>
      <x:c r="Z216" s="86"/>
    </x:row>
    <x:row r="217">
      <x:c r="A217" s="106" t="str">
        <x:v>9738d8d2-e0da-46d0-b259-edc47ecd543c</x:v>
      </x:c>
      <x:c r="B217" s="106" t="str">
        <x:v>600900</x:v>
      </x:c>
      <x:c r="C217" s="106" t="str">
        <x:v>current_price</x:v>
      </x:c>
      <x:c r="D217" s="106" t="str">
        <x:v>2026-09-02 03:03</x:v>
      </x:c>
      <x:c r="E217" s="106" t="n">
        <x:v>28.4</x:v>
      </x:c>
      <x:c r="F217" s="106" t="str">
        <x:v>CNY/share</x:v>
      </x:c>
      <x:c r="G217" s="106" t="str">
        <x:v>AkShare / Sina public historical quotes</x:v>
      </x:c>
      <x:c r="H217" s="106" t="str">
        <x:v>https://akshare.akfamily.xyz/data/stock/stock.html</x:v>
      </x:c>
      <x:c r="I217" s="106"/>
      <x:c r="J217" s="106"/>
      <x:c r="K217" s="121" t="str">
        <x:v>2026-09-02 03:03:15.039786+00:00</x:v>
      </x:c>
      <x:c r="L217" s="121"/>
      <x:c r="M217" s="106" t="str">
        <x:v>akshare-price-v3-sina-history</x:v>
      </x:c>
      <x:c r="N217" s="106" t="str">
        <x:v>9f0f476bfe12ebd012dda3565f04bd4a8b6bb467f5b7773428dee6d153cf4063</x:v>
      </x:c>
      <x:c r="O217" s="113"/>
      <x:c r="P217" s="106" t="str">
        <x:v>pending</x:v>
      </x:c>
      <x:c r="Q217" s="106" t="str">
        <x:v>否</x:v>
      </x:c>
      <x:c r="R217" s="106" t="str">
        <x:v>由本地 Agent 同步</x:v>
      </x:c>
      <x:c r="S217" s="86"/>
      <x:c r="T217" s="86"/>
      <x:c r="U217" s="86"/>
      <x:c r="V217" s="86"/>
      <x:c r="W217" s="86"/>
      <x:c r="X217" s="86"/>
      <x:c r="Y217" s="86"/>
      <x:c r="Z217" s="86"/>
    </x:row>
    <x:row r="218">
      <x:c r="A218" s="106" t="str">
        <x:v>6944a8c4-7e20-4e13-bfe5-7f9f273e0d07</x:v>
      </x:c>
      <x:c r="B218" s="106" t="str">
        <x:v>600887</x:v>
      </x:c>
      <x:c r="C218" s="106" t="str">
        <x:v>current_price</x:v>
      </x:c>
      <x:c r="D218" s="106" t="str">
        <x:v>2026-09-02 02:57</x:v>
      </x:c>
      <x:c r="E218" s="106" t="n">
        <x:v>26.5</x:v>
      </x:c>
      <x:c r="F218" s="106" t="str">
        <x:v>CNY/share</x:v>
      </x:c>
      <x:c r="G218" s="106" t="str">
        <x:v>AkShare / Sina public historical quotes</x:v>
      </x:c>
      <x:c r="H218" s="106" t="str">
        <x:v>https://akshare.akfamily.xyz/data/stock/stock.html</x:v>
      </x:c>
      <x:c r="I218" s="106"/>
      <x:c r="J218" s="106"/>
      <x:c r="K218" s="121" t="str">
        <x:v>2026-09-02 03:03:15.039786+00:00</x:v>
      </x:c>
      <x:c r="L218" s="121"/>
      <x:c r="M218" s="106" t="str">
        <x:v>akshare-price-v3-sina-history</x:v>
      </x:c>
      <x:c r="N218" s="106" t="str">
        <x:v>7ac64bb6772240aeabfb0fbe3832846fbe676fef55c5b1955be8332684fad75e</x:v>
      </x:c>
      <x:c r="O218" s="113"/>
      <x:c r="P218" s="106" t="str">
        <x:v>pending</x:v>
      </x:c>
      <x:c r="Q218" s="106" t="str">
        <x:v>否</x:v>
      </x:c>
      <x:c r="R218" s="106" t="str">
        <x:v>由本地 Agent 同步</x:v>
      </x:c>
      <x:c r="S218" s="86"/>
      <x:c r="T218" s="86"/>
      <x:c r="U218" s="86"/>
      <x:c r="V218" s="86"/>
      <x:c r="W218" s="86"/>
      <x:c r="X218" s="86"/>
      <x:c r="Y218" s="86"/>
      <x:c r="Z218" s="86"/>
    </x:row>
    <x:row r="219">
      <x:c r="A219" s="106" t="str">
        <x:v>df08cf55-3d75-48f6-8b80-45d0a07787b3</x:v>
      </x:c>
      <x:c r="B219" s="106" t="str">
        <x:v>300750</x:v>
      </x:c>
      <x:c r="C219" s="106" t="str">
        <x:v>current_price</x:v>
      </x:c>
      <x:c r="D219" s="106" t="str">
        <x:v>2026-09-02 02:57</x:v>
      </x:c>
      <x:c r="E219" s="106" t="n">
        <x:v>358.1</x:v>
      </x:c>
      <x:c r="F219" s="106" t="str">
        <x:v>CNY/share</x:v>
      </x:c>
      <x:c r="G219" s="106" t="str">
        <x:v>AkShare / Sina public historical quotes</x:v>
      </x:c>
      <x:c r="H219" s="106" t="str">
        <x:v>https://akshare.akfamily.xyz/data/stock/stock.html</x:v>
      </x:c>
      <x:c r="I219" s="106"/>
      <x:c r="J219" s="106"/>
      <x:c r="K219" s="121" t="str">
        <x:v>2026-09-02 03:03:15.039786+00:00</x:v>
      </x:c>
      <x:c r="L219" s="121"/>
      <x:c r="M219" s="106" t="str">
        <x:v>akshare-price-v3-sina-history</x:v>
      </x:c>
      <x:c r="N219" s="106" t="str">
        <x:v>c219e9ce813c03bc2d5657b1ca221991bdfb9f4a41155fde3be11930ccb1660b</x:v>
      </x:c>
      <x:c r="O219" s="113"/>
      <x:c r="P219" s="106" t="str">
        <x:v>pending</x:v>
      </x:c>
      <x:c r="Q219" s="106" t="str">
        <x:v>否</x:v>
      </x:c>
      <x:c r="R219" s="106" t="str">
        <x:v>由本地 Agent 同步</x:v>
      </x:c>
      <x:c r="S219" s="86"/>
      <x:c r="T219" s="86"/>
      <x:c r="U219" s="86"/>
      <x:c r="V219" s="86"/>
      <x:c r="W219" s="86"/>
      <x:c r="X219" s="86"/>
      <x:c r="Y219" s="86"/>
      <x:c r="Z219" s="86"/>
    </x:row>
    <x:row r="220">
      <x:c r="A220" s="106" t="str">
        <x:v>39ea0620-de2b-46e5-8657-a92bc547df77</x:v>
      </x:c>
      <x:c r="B220" s="106" t="str">
        <x:v>600690</x:v>
      </x:c>
      <x:c r="C220" s="106" t="str">
        <x:v>current_price</x:v>
      </x:c>
      <x:c r="D220" s="106" t="str">
        <x:v>2026-09-02 02:57</x:v>
      </x:c>
      <x:c r="E220" s="106" t="n">
        <x:v>21.42</x:v>
      </x:c>
      <x:c r="F220" s="106" t="str">
        <x:v>CNY/share</x:v>
      </x:c>
      <x:c r="G220" s="106" t="str">
        <x:v>AkShare / Sina public historical quotes</x:v>
      </x:c>
      <x:c r="H220" s="106" t="str">
        <x:v>https://akshare.akfamily.xyz/data/stock/stock.html</x:v>
      </x:c>
      <x:c r="I220" s="106"/>
      <x:c r="J220" s="106"/>
      <x:c r="K220" s="121" t="str">
        <x:v>2026-09-02 03:03:15.039786+00:00</x:v>
      </x:c>
      <x:c r="L220" s="121"/>
      <x:c r="M220" s="106" t="str">
        <x:v>akshare-price-v3-sina-history</x:v>
      </x:c>
      <x:c r="N220" s="106" t="str">
        <x:v>6ac17d3ae284a628996b4a22756afd8c76c7509b809313f0ae68a9618d865c09</x:v>
      </x:c>
      <x:c r="O220" s="113"/>
      <x:c r="P220" s="106" t="str">
        <x:v>pending</x:v>
      </x:c>
      <x:c r="Q220" s="106" t="str">
        <x:v>否</x:v>
      </x:c>
      <x:c r="R220" s="106" t="str">
        <x:v>由本地 Agent 同步</x:v>
      </x:c>
      <x:c r="S220" s="86"/>
      <x:c r="T220" s="86"/>
      <x:c r="U220" s="86"/>
      <x:c r="V220" s="86"/>
      <x:c r="W220" s="86"/>
      <x:c r="X220" s="86"/>
      <x:c r="Y220" s="86"/>
      <x:c r="Z220" s="86"/>
    </x:row>
    <x:row r="221">
      <x:c r="A221" s="106" t="str">
        <x:v>59bad70d-3a23-4591-8805-d2bc5b6106c3</x:v>
      </x:c>
      <x:c r="B221" s="106" t="str">
        <x:v>601088</x:v>
      </x:c>
      <x:c r="C221" s="106" t="str">
        <x:v>current_price</x:v>
      </x:c>
      <x:c r="D221" s="106" t="str">
        <x:v>2026-09-02 02:57</x:v>
      </x:c>
      <x:c r="E221" s="106" t="n">
        <x:v>48.3</x:v>
      </x:c>
      <x:c r="F221" s="106" t="str">
        <x:v>CNY/share</x:v>
      </x:c>
      <x:c r="G221" s="106" t="str">
        <x:v>AkShare / Sina public historical quotes</x:v>
      </x:c>
      <x:c r="H221" s="106" t="str">
        <x:v>https://akshare.akfamily.xyz/data/stock/stock.html</x:v>
      </x:c>
      <x:c r="I221" s="106"/>
      <x:c r="J221" s="106"/>
      <x:c r="K221" s="121" t="str">
        <x:v>2026-09-02 03:03:15.039786+00:00</x:v>
      </x:c>
      <x:c r="L221" s="121"/>
      <x:c r="M221" s="106" t="str">
        <x:v>akshare-price-v3-sina-history</x:v>
      </x:c>
      <x:c r="N221" s="106" t="str">
        <x:v>786803a38a8094da69b08ab60affce538140d0fe55d3d0c1901d9b2ba721054f</x:v>
      </x:c>
      <x:c r="O221" s="113"/>
      <x:c r="P221" s="106" t="str">
        <x:v>pending</x:v>
      </x:c>
      <x:c r="Q221" s="106" t="str">
        <x:v>否</x:v>
      </x:c>
      <x:c r="R221" s="106" t="str">
        <x:v>由本地 Agent 同步</x:v>
      </x:c>
      <x:c r="S221" s="86"/>
      <x:c r="T221" s="86"/>
      <x:c r="U221" s="86"/>
      <x:c r="V221" s="86"/>
      <x:c r="W221" s="86"/>
      <x:c r="X221" s="86"/>
      <x:c r="Y221" s="86"/>
      <x:c r="Z221" s="86"/>
    </x:row>
    <x:row r="222">
      <x:c r="A222" s="106" t="str">
        <x:v>c022774c-9705-431c-b13e-059527782a69</x:v>
      </x:c>
      <x:c r="B222" s="106" t="str">
        <x:v>601288</x:v>
      </x:c>
      <x:c r="C222" s="106" t="str">
        <x:v>current_price</x:v>
      </x:c>
      <x:c r="D222" s="106" t="str">
        <x:v>2026-09-02 02:57</x:v>
      </x:c>
      <x:c r="E222" s="106" t="n">
        <x:v>7.05</x:v>
      </x:c>
      <x:c r="F222" s="106" t="str">
        <x:v>CNY/share</x:v>
      </x:c>
      <x:c r="G222" s="106" t="str">
        <x:v>AkShare / Sina public historical quotes</x:v>
      </x:c>
      <x:c r="H222" s="106" t="str">
        <x:v>https://akshare.akfamily.xyz/data/stock/stock.html</x:v>
      </x:c>
      <x:c r="I222" s="106"/>
      <x:c r="J222" s="106"/>
      <x:c r="K222" s="121" t="str">
        <x:v>2026-09-02 03:03:15.039786+00:00</x:v>
      </x:c>
      <x:c r="L222" s="121"/>
      <x:c r="M222" s="106" t="str">
        <x:v>akshare-price-v3-sina-history</x:v>
      </x:c>
      <x:c r="N222" s="106" t="str">
        <x:v>0d1533d6d369a2097b66e8a5137030a6199b85a03b244714d562088824fea03a</x:v>
      </x:c>
      <x:c r="O222" s="113"/>
      <x:c r="P222" s="106" t="str">
        <x:v>pending</x:v>
      </x:c>
      <x:c r="Q222" s="106" t="str">
        <x:v>否</x:v>
      </x:c>
      <x:c r="R222" s="106" t="str">
        <x:v>由本地 Agent 同步</x:v>
      </x:c>
      <x:c r="S222" s="86"/>
      <x:c r="T222" s="86"/>
      <x:c r="U222" s="86"/>
      <x:c r="V222" s="86"/>
      <x:c r="W222" s="86"/>
      <x:c r="X222" s="86"/>
      <x:c r="Y222" s="86"/>
      <x:c r="Z222" s="86"/>
    </x:row>
    <x:row r="223">
      <x:c r="A223" s="106" t="str">
        <x:v>1a535135-1d55-444c-bf07-61d09a84bc60</x:v>
      </x:c>
      <x:c r="B223" s="106" t="str">
        <x:v>600036</x:v>
      </x:c>
      <x:c r="C223" s="106" t="str">
        <x:v>current_price</x:v>
      </x:c>
      <x:c r="D223" s="106" t="str">
        <x:v>2026-09-02 02:57</x:v>
      </x:c>
      <x:c r="E223" s="106" t="n">
        <x:v>40.86</x:v>
      </x:c>
      <x:c r="F223" s="106" t="str">
        <x:v>CNY/share</x:v>
      </x:c>
      <x:c r="G223" s="106" t="str">
        <x:v>AkShare / Sina public historical quotes</x:v>
      </x:c>
      <x:c r="H223" s="106" t="str">
        <x:v>https://akshare.akfamily.xyz/data/stock/stock.html</x:v>
      </x:c>
      <x:c r="I223" s="106"/>
      <x:c r="J223" s="106"/>
      <x:c r="K223" s="121" t="str">
        <x:v>2026-09-02 03:03:15.039786+00:00</x:v>
      </x:c>
      <x:c r="L223" s="121"/>
      <x:c r="M223" s="106" t="str">
        <x:v>akshare-price-v3-sina-history</x:v>
      </x:c>
      <x:c r="N223" s="106" t="str">
        <x:v>2e55014a1df9c91d4e725e8328ff0176844fefa9145d77523c7a502795bec42d</x:v>
      </x:c>
      <x:c r="O223" s="113"/>
      <x:c r="P223" s="106" t="str">
        <x:v>pending</x:v>
      </x:c>
      <x:c r="Q223" s="106" t="str">
        <x:v>否</x:v>
      </x:c>
      <x:c r="R223" s="106" t="str">
        <x:v>由本地 Agent 同步</x:v>
      </x:c>
      <x:c r="S223" s="86"/>
      <x:c r="T223" s="86"/>
      <x:c r="U223" s="86"/>
      <x:c r="V223" s="86"/>
      <x:c r="W223" s="86"/>
      <x:c r="X223" s="86"/>
      <x:c r="Y223" s="86"/>
      <x:c r="Z223" s="86"/>
    </x:row>
    <x:row r="224">
      <x:c r="A224" s="106" t="str">
        <x:v>7a688c6a-7fe5-4989-b28f-d7d3c8d11ce1</x:v>
      </x:c>
      <x:c r="B224" s="106" t="str">
        <x:v>000333</x:v>
      </x:c>
      <x:c r="C224" s="106" t="str">
        <x:v>current_price</x:v>
      </x:c>
      <x:c r="D224" s="106" t="str">
        <x:v>2026-09-02 02:57</x:v>
      </x:c>
      <x:c r="E224" s="106" t="n">
        <x:v>87.49</x:v>
      </x:c>
      <x:c r="F224" s="106" t="str">
        <x:v>CNY/share</x:v>
      </x:c>
      <x:c r="G224" s="106" t="str">
        <x:v>AkShare / Sina public historical quotes</x:v>
      </x:c>
      <x:c r="H224" s="106" t="str">
        <x:v>https://akshare.akfamily.xyz/data/stock/stock.html</x:v>
      </x:c>
      <x:c r="I224" s="106"/>
      <x:c r="J224" s="106"/>
      <x:c r="K224" s="121" t="str">
        <x:v>2026-09-02 03:03:15.039786+00:00</x:v>
      </x:c>
      <x:c r="L224" s="121"/>
      <x:c r="M224" s="106" t="str">
        <x:v>akshare-price-v3-sina-history</x:v>
      </x:c>
      <x:c r="N224" s="106" t="str">
        <x:v>e4d3aa5683e1dbbb56ba55d0d80b9c7ba0fe2f05cd2782aeb6ea3b3192c959f9</x:v>
      </x:c>
      <x:c r="O224" s="113"/>
      <x:c r="P224" s="106" t="str">
        <x:v>pending</x:v>
      </x:c>
      <x:c r="Q224" s="106" t="str">
        <x:v>否</x:v>
      </x:c>
      <x:c r="R224" s="106" t="str">
        <x:v>由本地 Agent 同步</x:v>
      </x:c>
      <x:c r="S224" s="86"/>
      <x:c r="T224" s="86"/>
      <x:c r="U224" s="86"/>
      <x:c r="V224" s="86"/>
      <x:c r="W224" s="86"/>
      <x:c r="X224" s="86"/>
      <x:c r="Y224" s="86"/>
      <x:c r="Z224" s="86"/>
    </x:row>
    <x:row r="225">
      <x:c r="A225" s="106" t="str">
        <x:v>484a51b1-cf08-4ecc-be6e-b4ed787bb0cd</x:v>
      </x:c>
      <x:c r="B225" s="106" t="str">
        <x:v>600519</x:v>
      </x:c>
      <x:c r="C225" s="106" t="str">
        <x:v>current_price</x:v>
      </x:c>
      <x:c r="D225" s="106" t="str">
        <x:v>2026-09-02 02:57</x:v>
      </x:c>
      <x:c r="E225" s="106" t="n">
        <x:v>1299.56</x:v>
      </x:c>
      <x:c r="F225" s="106" t="str">
        <x:v>CNY/share</x:v>
      </x:c>
      <x:c r="G225" s="106" t="str">
        <x:v>AkShare / Sina public historical quotes</x:v>
      </x:c>
      <x:c r="H225" s="106" t="str">
        <x:v>https://akshare.akfamily.xyz/data/stock/stock.html</x:v>
      </x:c>
      <x:c r="I225" s="106"/>
      <x:c r="J225" s="106"/>
      <x:c r="K225" s="121" t="str">
        <x:v>2026-09-02 03:03:15.039786+00:00</x:v>
      </x:c>
      <x:c r="L225" s="121"/>
      <x:c r="M225" s="106" t="str">
        <x:v>akshare-price-v3-sina-history</x:v>
      </x:c>
      <x:c r="N225" s="106" t="str">
        <x:v>954915d8d904f3dd7fbaa07d14265367567d88697da146771ea5df6bff0bef17</x:v>
      </x:c>
      <x:c r="O225" s="113"/>
      <x:c r="P225" s="106" t="str">
        <x:v>pending</x:v>
      </x:c>
      <x:c r="Q225" s="106" t="str">
        <x:v>否</x:v>
      </x:c>
      <x:c r="R225" s="106" t="str">
        <x:v>由本地 Agent 同步</x:v>
      </x:c>
      <x:c r="S225" s="86"/>
      <x:c r="T225" s="86"/>
      <x:c r="U225" s="86"/>
      <x:c r="V225" s="86"/>
      <x:c r="W225" s="86"/>
      <x:c r="X225" s="86"/>
      <x:c r="Y225" s="86"/>
      <x:c r="Z225" s="86"/>
    </x:row>
    <x:row r="226">
      <x:c r="A226" s="106" t="str">
        <x:v>9738d8d2-e0da-46d0-b259-edc47ecd543c</x:v>
      </x:c>
      <x:c r="B226" s="106" t="str">
        <x:v>600900</x:v>
      </x:c>
      <x:c r="C226" s="106" t="str">
        <x:v>current_price</x:v>
      </x:c>
      <x:c r="D226" s="106" t="str">
        <x:v>2026-09-02 02:57</x:v>
      </x:c>
      <x:c r="E226" s="106" t="n">
        <x:v>28.4</x:v>
      </x:c>
      <x:c r="F226" s="106" t="str">
        <x:v>CNY/share</x:v>
      </x:c>
      <x:c r="G226" s="106" t="str">
        <x:v>AkShare / Sina public historical quotes</x:v>
      </x:c>
      <x:c r="H226" s="106" t="str">
        <x:v>https://akshare.akfamily.xyz/data/stock/stock.html</x:v>
      </x:c>
      <x:c r="I226" s="106"/>
      <x:c r="J226" s="106"/>
      <x:c r="K226" s="121" t="str">
        <x:v>2026-09-02 03:03:15.039786+00:00</x:v>
      </x:c>
      <x:c r="L226" s="121"/>
      <x:c r="M226" s="106" t="str">
        <x:v>akshare-price-v3-sina-history</x:v>
      </x:c>
      <x:c r="N226" s="106" t="str">
        <x:v>9f0f476bfe12ebd012dda3565f04bd4a8b6bb467f5b7773428dee6d153cf4063</x:v>
      </x:c>
      <x:c r="O226" s="113"/>
      <x:c r="P226" s="106" t="str">
        <x:v>pending</x:v>
      </x:c>
      <x:c r="Q226" s="106" t="str">
        <x:v>否</x:v>
      </x:c>
      <x:c r="R226" s="106" t="str">
        <x:v>由本地 Agent 同步</x:v>
      </x:c>
      <x:c r="S226" s="86"/>
      <x:c r="T226" s="86"/>
      <x:c r="U226" s="86"/>
      <x:c r="V226" s="86"/>
      <x:c r="W226" s="86"/>
      <x:c r="X226" s="86"/>
      <x:c r="Y226" s="86"/>
      <x:c r="Z226" s="86"/>
    </x:row>
    <x:row r="227">
      <x:c r="A227" s="106" t="str">
        <x:v>117ee410-3e88-4500-b962-63d04110062f</x:v>
      </x:c>
      <x:c r="B227" s="106" t="str">
        <x:v>600941</x:v>
      </x:c>
      <x:c r="C227" s="106" t="str">
        <x:v>current_price</x:v>
      </x:c>
      <x:c r="D227" s="106" t="str">
        <x:v>2026-09-02 02:57</x:v>
      </x:c>
      <x:c r="E227" s="106" t="n">
        <x:v>99.89</x:v>
      </x:c>
      <x:c r="F227" s="106" t="str">
        <x:v>CNY/share</x:v>
      </x:c>
      <x:c r="G227" s="106" t="str">
        <x:v>AkShare / Sina public historical quotes</x:v>
      </x:c>
      <x:c r="H227" s="106" t="str">
        <x:v>https://akshare.akfamily.xyz/data/stock/stock.html</x:v>
      </x:c>
      <x:c r="I227" s="106"/>
      <x:c r="J227" s="106"/>
      <x:c r="K227" s="121" t="str">
        <x:v>2026-09-02 03:03:15.039786+00:00</x:v>
      </x:c>
      <x:c r="L227" s="121"/>
      <x:c r="M227" s="106" t="str">
        <x:v>akshare-price-v3-sina-history</x:v>
      </x:c>
      <x:c r="N227" s="106" t="str">
        <x:v>9d625cbcd6ab1e4f25e742f11a6421416e2b5d6ca873fa19411c16257016bf20</x:v>
      </x:c>
      <x:c r="O227" s="113"/>
      <x:c r="P227" s="106" t="str">
        <x:v>pending</x:v>
      </x:c>
      <x:c r="Q227" s="106" t="str">
        <x:v>否</x:v>
      </x:c>
      <x:c r="R227" s="106" t="str">
        <x:v>由本地 Agent 同步</x:v>
      </x:c>
      <x:c r="S227" s="86"/>
      <x:c r="T227" s="86"/>
      <x:c r="U227" s="86"/>
      <x:c r="V227" s="86"/>
      <x:c r="W227" s="86"/>
      <x:c r="X227" s="86"/>
      <x:c r="Y227" s="86"/>
      <x:c r="Z227" s="86"/>
    </x:row>
    <x:row r="228">
      <x:c r="A228" s="106" t="str">
        <x:v>117ee410-3e88-4500-b962-63d04110062f</x:v>
      </x:c>
      <x:c r="B228" s="106" t="str">
        <x:v>600941</x:v>
      </x:c>
      <x:c r="C228" s="106" t="str">
        <x:v>current_price</x:v>
      </x:c>
      <x:c r="D228" s="106" t="str">
        <x:v>2026-09-02 08:10</x:v>
      </x:c>
      <x:c r="E228" s="106" t="n">
        <x:v>99.89</x:v>
      </x:c>
      <x:c r="F228" s="106" t="str">
        <x:v>CNY/share</x:v>
      </x:c>
      <x:c r="G228" s="106" t="str">
        <x:v>AkShare / Sina public historical quotes</x:v>
      </x:c>
      <x:c r="H228" s="106" t="str">
        <x:v>https://akshare.akfamily.xyz/data/stock/stock.html</x:v>
      </x:c>
      <x:c r="I228" s="106"/>
      <x:c r="J228" s="106"/>
      <x:c r="K228" s="121" t="str">
        <x:v>2026-09-02 08:10:19.012470+00:00</x:v>
      </x:c>
      <x:c r="L228" s="121"/>
      <x:c r="M228" s="106" t="str">
        <x:v>akshare-price-v3-sina-history</x:v>
      </x:c>
      <x:c r="N228" s="106" t="str">
        <x:v>9d625cbcd6ab1e4f25e742f11a6421416e2b5d6ca873fa19411c16257016bf20</x:v>
      </x:c>
      <x:c r="O228" s="113"/>
      <x:c r="P228" s="106" t="str">
        <x:v>pending</x:v>
      </x:c>
      <x:c r="Q228" s="106" t="str">
        <x:v>否</x:v>
      </x:c>
      <x:c r="R228" s="106" t="str">
        <x:v>由本地 Agent 同步</x:v>
      </x:c>
      <x:c r="S228" s="86"/>
      <x:c r="T228" s="86"/>
      <x:c r="U228" s="86"/>
      <x:c r="V228" s="86"/>
      <x:c r="W228" s="86"/>
      <x:c r="X228" s="86"/>
      <x:c r="Y228" s="86"/>
      <x:c r="Z228" s="86"/>
    </x:row>
    <x:row r="229">
      <x:c r="A229" s="106" t="str">
        <x:v>6944a8c4-7e20-4e13-bfe5-7f9f273e0d07</x:v>
      </x:c>
      <x:c r="B229" s="106" t="str">
        <x:v>600887</x:v>
      </x:c>
      <x:c r="C229" s="106" t="str">
        <x:v>current_price</x:v>
      </x:c>
      <x:c r="D229" s="106" t="str">
        <x:v>2026-09-02 08:10</x:v>
      </x:c>
      <x:c r="E229" s="106" t="n">
        <x:v>26.5</x:v>
      </x:c>
      <x:c r="F229" s="106" t="str">
        <x:v>CNY/share</x:v>
      </x:c>
      <x:c r="G229" s="106" t="str">
        <x:v>AkShare / Sina public historical quotes</x:v>
      </x:c>
      <x:c r="H229" s="106" t="str">
        <x:v>https://akshare.akfamily.xyz/data/stock/stock.html</x:v>
      </x:c>
      <x:c r="I229" s="106"/>
      <x:c r="J229" s="106"/>
      <x:c r="K229" s="121" t="str">
        <x:v>2026-09-02 08:10:19.012470+00:00</x:v>
      </x:c>
      <x:c r="L229" s="121"/>
      <x:c r="M229" s="106" t="str">
        <x:v>akshare-price-v3-sina-history</x:v>
      </x:c>
      <x:c r="N229" s="106" t="str">
        <x:v>7ac64bb6772240aeabfb0fbe3832846fbe676fef55c5b1955be8332684fad75e</x:v>
      </x:c>
      <x:c r="O229" s="113"/>
      <x:c r="P229" s="106" t="str">
        <x:v>pending</x:v>
      </x:c>
      <x:c r="Q229" s="106" t="str">
        <x:v>否</x:v>
      </x:c>
      <x:c r="R229" s="106" t="str">
        <x:v>由本地 Agent 同步</x:v>
      </x:c>
      <x:c r="S229" s="86"/>
      <x:c r="T229" s="86"/>
      <x:c r="U229" s="86"/>
      <x:c r="V229" s="86"/>
      <x:c r="W229" s="86"/>
      <x:c r="X229" s="86"/>
      <x:c r="Y229" s="86"/>
      <x:c r="Z229" s="86"/>
    </x:row>
    <x:row r="230">
      <x:c r="A230" s="106" t="str">
        <x:v>df08cf55-3d75-48f6-8b80-45d0a07787b3</x:v>
      </x:c>
      <x:c r="B230" s="106" t="str">
        <x:v>300750</x:v>
      </x:c>
      <x:c r="C230" s="106" t="str">
        <x:v>current_price</x:v>
      </x:c>
      <x:c r="D230" s="106" t="str">
        <x:v>2026-09-02 08:10</x:v>
      </x:c>
      <x:c r="E230" s="106" t="n">
        <x:v>358.1</x:v>
      </x:c>
      <x:c r="F230" s="106" t="str">
        <x:v>CNY/share</x:v>
      </x:c>
      <x:c r="G230" s="106" t="str">
        <x:v>AkShare / Sina public historical quotes</x:v>
      </x:c>
      <x:c r="H230" s="106" t="str">
        <x:v>https://akshare.akfamily.xyz/data/stock/stock.html</x:v>
      </x:c>
      <x:c r="I230" s="106"/>
      <x:c r="J230" s="106"/>
      <x:c r="K230" s="121" t="str">
        <x:v>2026-09-02 08:10:19.012470+00:00</x:v>
      </x:c>
      <x:c r="L230" s="121"/>
      <x:c r="M230" s="106" t="str">
        <x:v>akshare-price-v3-sina-history</x:v>
      </x:c>
      <x:c r="N230" s="106" t="str">
        <x:v>c219e9ce813c03bc2d5657b1ca221991bdfb9f4a41155fde3be11930ccb1660b</x:v>
      </x:c>
      <x:c r="O230" s="113"/>
      <x:c r="P230" s="106" t="str">
        <x:v>pending</x:v>
      </x:c>
      <x:c r="Q230" s="106" t="str">
        <x:v>否</x:v>
      </x:c>
      <x:c r="R230" s="106" t="str">
        <x:v>由本地 Agent 同步</x:v>
      </x:c>
      <x:c r="S230" s="86"/>
      <x:c r="T230" s="86"/>
      <x:c r="U230" s="86"/>
      <x:c r="V230" s="86"/>
      <x:c r="W230" s="86"/>
      <x:c r="X230" s="86"/>
      <x:c r="Y230" s="86"/>
      <x:c r="Z230" s="86"/>
    </x:row>
    <x:row r="231">
      <x:c r="A231" s="106" t="str">
        <x:v>39ea0620-de2b-46e5-8657-a92bc547df77</x:v>
      </x:c>
      <x:c r="B231" s="106" t="str">
        <x:v>600690</x:v>
      </x:c>
      <x:c r="C231" s="106" t="str">
        <x:v>current_price</x:v>
      </x:c>
      <x:c r="D231" s="106" t="str">
        <x:v>2026-09-02 08:10</x:v>
      </x:c>
      <x:c r="E231" s="106" t="n">
        <x:v>21.42</x:v>
      </x:c>
      <x:c r="F231" s="106" t="str">
        <x:v>CNY/share</x:v>
      </x:c>
      <x:c r="G231" s="106" t="str">
        <x:v>AkShare / Sina public historical quotes</x:v>
      </x:c>
      <x:c r="H231" s="106" t="str">
        <x:v>https://akshare.akfamily.xyz/data/stock/stock.html</x:v>
      </x:c>
      <x:c r="I231" s="106"/>
      <x:c r="J231" s="106"/>
      <x:c r="K231" s="121" t="str">
        <x:v>2026-09-02 08:10:19.012470+00:00</x:v>
      </x:c>
      <x:c r="L231" s="121"/>
      <x:c r="M231" s="106" t="str">
        <x:v>akshare-price-v3-sina-history</x:v>
      </x:c>
      <x:c r="N231" s="106" t="str">
        <x:v>6ac17d3ae284a628996b4a22756afd8c76c7509b809313f0ae68a9618d865c09</x:v>
      </x:c>
      <x:c r="O231" s="113"/>
      <x:c r="P231" s="106" t="str">
        <x:v>pending</x:v>
      </x:c>
      <x:c r="Q231" s="106" t="str">
        <x:v>否</x:v>
      </x:c>
      <x:c r="R231" s="106" t="str">
        <x:v>由本地 Agent 同步</x:v>
      </x:c>
      <x:c r="S231" s="86"/>
      <x:c r="T231" s="86"/>
      <x:c r="U231" s="86"/>
      <x:c r="V231" s="86"/>
      <x:c r="W231" s="86"/>
      <x:c r="X231" s="86"/>
      <x:c r="Y231" s="86"/>
      <x:c r="Z231" s="86"/>
    </x:row>
    <x:row r="232">
      <x:c r="A232" s="106" t="str">
        <x:v>59bad70d-3a23-4591-8805-d2bc5b6106c3</x:v>
      </x:c>
      <x:c r="B232" s="106" t="str">
        <x:v>601088</x:v>
      </x:c>
      <x:c r="C232" s="106" t="str">
        <x:v>current_price</x:v>
      </x:c>
      <x:c r="D232" s="106" t="str">
        <x:v>2026-09-02 08:10</x:v>
      </x:c>
      <x:c r="E232" s="106" t="n">
        <x:v>48.3</x:v>
      </x:c>
      <x:c r="F232" s="106" t="str">
        <x:v>CNY/share</x:v>
      </x:c>
      <x:c r="G232" s="106" t="str">
        <x:v>AkShare / Sina public historical quotes</x:v>
      </x:c>
      <x:c r="H232" s="106" t="str">
        <x:v>https://akshare.akfamily.xyz/data/stock/stock.html</x:v>
      </x:c>
      <x:c r="I232" s="106"/>
      <x:c r="J232" s="106"/>
      <x:c r="K232" s="121" t="str">
        <x:v>2026-09-02 08:10:19.012470+00:00</x:v>
      </x:c>
      <x:c r="L232" s="121"/>
      <x:c r="M232" s="106" t="str">
        <x:v>akshare-price-v3-sina-history</x:v>
      </x:c>
      <x:c r="N232" s="106" t="str">
        <x:v>786803a38a8094da69b08ab60affce538140d0fe55d3d0c1901d9b2ba721054f</x:v>
      </x:c>
      <x:c r="O232" s="113"/>
      <x:c r="P232" s="106" t="str">
        <x:v>pending</x:v>
      </x:c>
      <x:c r="Q232" s="106" t="str">
        <x:v>否</x:v>
      </x:c>
      <x:c r="R232" s="106" t="str">
        <x:v>由本地 Agent 同步</x:v>
      </x:c>
      <x:c r="S232" s="86"/>
      <x:c r="T232" s="86"/>
      <x:c r="U232" s="86"/>
      <x:c r="V232" s="86"/>
      <x:c r="W232" s="86"/>
      <x:c r="X232" s="86"/>
      <x:c r="Y232" s="86"/>
      <x:c r="Z232" s="86"/>
    </x:row>
    <x:row r="233">
      <x:c r="A233" s="106" t="str">
        <x:v>c022774c-9705-431c-b13e-059527782a69</x:v>
      </x:c>
      <x:c r="B233" s="106" t="str">
        <x:v>601288</x:v>
      </x:c>
      <x:c r="C233" s="106" t="str">
        <x:v>current_price</x:v>
      </x:c>
      <x:c r="D233" s="106" t="str">
        <x:v>2026-09-02 08:10</x:v>
      </x:c>
      <x:c r="E233" s="106" t="n">
        <x:v>7.05</x:v>
      </x:c>
      <x:c r="F233" s="106" t="str">
        <x:v>CNY/share</x:v>
      </x:c>
      <x:c r="G233" s="106" t="str">
        <x:v>AkShare / Sina public historical quotes</x:v>
      </x:c>
      <x:c r="H233" s="106" t="str">
        <x:v>https://akshare.akfamily.xyz/data/stock/stock.html</x:v>
      </x:c>
      <x:c r="I233" s="106"/>
      <x:c r="J233" s="106"/>
      <x:c r="K233" s="121" t="str">
        <x:v>2026-09-02 08:10:19.012470+00:00</x:v>
      </x:c>
      <x:c r="L233" s="121"/>
      <x:c r="M233" s="106" t="str">
        <x:v>akshare-price-v3-sina-history</x:v>
      </x:c>
      <x:c r="N233" s="106" t="str">
        <x:v>0d1533d6d369a2097b66e8a5137030a6199b85a03b244714d562088824fea03a</x:v>
      </x:c>
      <x:c r="O233" s="113"/>
      <x:c r="P233" s="106" t="str">
        <x:v>pending</x:v>
      </x:c>
      <x:c r="Q233" s="106" t="str">
        <x:v>否</x:v>
      </x:c>
      <x:c r="R233" s="106" t="str">
        <x:v>由本地 Agent 同步</x:v>
      </x:c>
      <x:c r="S233" s="86"/>
      <x:c r="T233" s="86"/>
      <x:c r="U233" s="86"/>
      <x:c r="V233" s="86"/>
      <x:c r="W233" s="86"/>
      <x:c r="X233" s="86"/>
      <x:c r="Y233" s="86"/>
      <x:c r="Z233" s="86"/>
    </x:row>
    <x:row r="234">
      <x:c r="A234" s="106" t="str">
        <x:v>1a535135-1d55-444c-bf07-61d09a84bc60</x:v>
      </x:c>
      <x:c r="B234" s="106" t="str">
        <x:v>600036</x:v>
      </x:c>
      <x:c r="C234" s="106" t="str">
        <x:v>current_price</x:v>
      </x:c>
      <x:c r="D234" s="106" t="str">
        <x:v>2026-09-02 08:10</x:v>
      </x:c>
      <x:c r="E234" s="106" t="n">
        <x:v>40.86</x:v>
      </x:c>
      <x:c r="F234" s="106" t="str">
        <x:v>CNY/share</x:v>
      </x:c>
      <x:c r="G234" s="106" t="str">
        <x:v>AkShare / Sina public historical quotes</x:v>
      </x:c>
      <x:c r="H234" s="106" t="str">
        <x:v>https://akshare.akfamily.xyz/data/stock/stock.html</x:v>
      </x:c>
      <x:c r="I234" s="106"/>
      <x:c r="J234" s="106"/>
      <x:c r="K234" s="121" t="str">
        <x:v>2026-09-02 08:10:19.012470+00:00</x:v>
      </x:c>
      <x:c r="L234" s="121"/>
      <x:c r="M234" s="106" t="str">
        <x:v>akshare-price-v3-sina-history</x:v>
      </x:c>
      <x:c r="N234" s="106" t="str">
        <x:v>2e55014a1df9c91d4e725e8328ff0176844fefa9145d77523c7a502795bec42d</x:v>
      </x:c>
      <x:c r="O234" s="113"/>
      <x:c r="P234" s="106" t="str">
        <x:v>pending</x:v>
      </x:c>
      <x:c r="Q234" s="106" t="str">
        <x:v>否</x:v>
      </x:c>
      <x:c r="R234" s="106" t="str">
        <x:v>由本地 Agent 同步</x:v>
      </x:c>
      <x:c r="S234" s="86"/>
      <x:c r="T234" s="86"/>
      <x:c r="U234" s="86"/>
      <x:c r="V234" s="86"/>
      <x:c r="W234" s="86"/>
      <x:c r="X234" s="86"/>
      <x:c r="Y234" s="86"/>
      <x:c r="Z234" s="86"/>
    </x:row>
    <x:row r="235">
      <x:c r="A235" s="106" t="str">
        <x:v>7a688c6a-7fe5-4989-b28f-d7d3c8d11ce1</x:v>
      </x:c>
      <x:c r="B235" s="106" t="str">
        <x:v>000333</x:v>
      </x:c>
      <x:c r="C235" s="106" t="str">
        <x:v>current_price</x:v>
      </x:c>
      <x:c r="D235" s="106" t="str">
        <x:v>2026-09-02 08:10</x:v>
      </x:c>
      <x:c r="E235" s="106" t="n">
        <x:v>87.49</x:v>
      </x:c>
      <x:c r="F235" s="106" t="str">
        <x:v>CNY/share</x:v>
      </x:c>
      <x:c r="G235" s="106" t="str">
        <x:v>AkShare / Sina public historical quotes</x:v>
      </x:c>
      <x:c r="H235" s="106" t="str">
        <x:v>https://akshare.akfamily.xyz/data/stock/stock.html</x:v>
      </x:c>
      <x:c r="I235" s="106"/>
      <x:c r="J235" s="106"/>
      <x:c r="K235" s="121" t="str">
        <x:v>2026-09-02 08:10:19.012470+00:00</x:v>
      </x:c>
      <x:c r="L235" s="121"/>
      <x:c r="M235" s="106" t="str">
        <x:v>akshare-price-v3-sina-history</x:v>
      </x:c>
      <x:c r="N235" s="106" t="str">
        <x:v>e4d3aa5683e1dbbb56ba55d0d80b9c7ba0fe2f05cd2782aeb6ea3b3192c959f9</x:v>
      </x:c>
      <x:c r="O235" s="113"/>
      <x:c r="P235" s="106" t="str">
        <x:v>pending</x:v>
      </x:c>
      <x:c r="Q235" s="106" t="str">
        <x:v>否</x:v>
      </x:c>
      <x:c r="R235" s="106" t="str">
        <x:v>由本地 Agent 同步</x:v>
      </x:c>
      <x:c r="S235" s="86"/>
      <x:c r="T235" s="86"/>
      <x:c r="U235" s="86"/>
      <x:c r="V235" s="86"/>
      <x:c r="W235" s="86"/>
      <x:c r="X235" s="86"/>
      <x:c r="Y235" s="86"/>
      <x:c r="Z235" s="86"/>
    </x:row>
    <x:row r="236">
      <x:c r="A236" s="106" t="str">
        <x:v>484a51b1-cf08-4ecc-be6e-b4ed787bb0cd</x:v>
      </x:c>
      <x:c r="B236" s="106" t="str">
        <x:v>600519</x:v>
      </x:c>
      <x:c r="C236" s="106" t="str">
        <x:v>current_price</x:v>
      </x:c>
      <x:c r="D236" s="106" t="str">
        <x:v>2026-09-02 08:10</x:v>
      </x:c>
      <x:c r="E236" s="106" t="n">
        <x:v>1299.56</x:v>
      </x:c>
      <x:c r="F236" s="106" t="str">
        <x:v>CNY/share</x:v>
      </x:c>
      <x:c r="G236" s="106" t="str">
        <x:v>AkShare / Sina public historical quotes</x:v>
      </x:c>
      <x:c r="H236" s="106" t="str">
        <x:v>https://akshare.akfamily.xyz/data/stock/stock.html</x:v>
      </x:c>
      <x:c r="I236" s="106"/>
      <x:c r="J236" s="106"/>
      <x:c r="K236" s="121" t="str">
        <x:v>2026-09-02 08:10:19.012470+00:00</x:v>
      </x:c>
      <x:c r="L236" s="121"/>
      <x:c r="M236" s="106" t="str">
        <x:v>akshare-price-v3-sina-history</x:v>
      </x:c>
      <x:c r="N236" s="106" t="str">
        <x:v>954915d8d904f3dd7fbaa07d14265367567d88697da146771ea5df6bff0bef17</x:v>
      </x:c>
      <x:c r="O236" s="113"/>
      <x:c r="P236" s="106" t="str">
        <x:v>pending</x:v>
      </x:c>
      <x:c r="Q236" s="106" t="str">
        <x:v>否</x:v>
      </x:c>
      <x:c r="R236" s="106" t="str">
        <x:v>由本地 Agent 同步</x:v>
      </x:c>
      <x:c r="S236" s="86"/>
      <x:c r="T236" s="86"/>
      <x:c r="U236" s="86"/>
      <x:c r="V236" s="86"/>
      <x:c r="W236" s="86"/>
      <x:c r="X236" s="86"/>
      <x:c r="Y236" s="86"/>
      <x:c r="Z236" s="86"/>
    </x:row>
    <x:row r="237">
      <x:c r="A237" s="106" t="str">
        <x:v>9738d8d2-e0da-46d0-b259-edc47ecd543c</x:v>
      </x:c>
      <x:c r="B237" s="106" t="str">
        <x:v>600900</x:v>
      </x:c>
      <x:c r="C237" s="106" t="str">
        <x:v>current_price</x:v>
      </x:c>
      <x:c r="D237" s="106" t="str">
        <x:v>2026-09-02 08:10</x:v>
      </x:c>
      <x:c r="E237" s="106" t="n">
        <x:v>28.4</x:v>
      </x:c>
      <x:c r="F237" s="106" t="str">
        <x:v>CNY/share</x:v>
      </x:c>
      <x:c r="G237" s="106" t="str">
        <x:v>AkShare / Sina public historical quotes</x:v>
      </x:c>
      <x:c r="H237" s="106" t="str">
        <x:v>https://akshare.akfamily.xyz/data/stock/stock.html</x:v>
      </x:c>
      <x:c r="I237" s="106"/>
      <x:c r="J237" s="106"/>
      <x:c r="K237" s="121" t="str">
        <x:v>2026-09-02 08:10:19.012470+00:00</x:v>
      </x:c>
      <x:c r="L237" s="121"/>
      <x:c r="M237" s="106" t="str">
        <x:v>akshare-price-v3-sina-history</x:v>
      </x:c>
      <x:c r="N237" s="106" t="str">
        <x:v>9f0f476bfe12ebd012dda3565f04bd4a8b6bb467f5b7773428dee6d153cf4063</x:v>
      </x:c>
      <x:c r="O237" s="113"/>
      <x:c r="P237" s="106" t="str">
        <x:v>pending</x:v>
      </x:c>
      <x:c r="Q237" s="106" t="str">
        <x:v>否</x:v>
      </x:c>
      <x:c r="R237" s="106" t="str">
        <x:v>由本地 Agent 同步</x:v>
      </x:c>
      <x:c r="S237" s="86"/>
      <x:c r="T237" s="86"/>
      <x:c r="U237" s="86"/>
      <x:c r="V237" s="86"/>
      <x:c r="W237" s="86"/>
      <x:c r="X237" s="86"/>
      <x:c r="Y237" s="86"/>
      <x:c r="Z237" s="86"/>
    </x:row>
    <x:row r="238">
      <x:c r="A238" s="106" t="str">
        <x:v>d83c641c-6a20-49df-8d14-696941aa7e71</x:v>
      </x:c>
      <x:c r="B238" s="106" t="str">
        <x:v>600941</x:v>
      </x:c>
      <x:c r="C238" s="106" t="str">
        <x:v>current_price</x:v>
      </x:c>
      <x:c r="D238" s="106" t="str">
        <x:v>2026-09-03 03:35</x:v>
      </x:c>
      <x:c r="E238" s="106" t="n">
        <x:v>100.8</x:v>
      </x:c>
      <x:c r="F238" s="106" t="str">
        <x:v>CNY/share</x:v>
      </x:c>
      <x:c r="G238" s="106" t="str">
        <x:v>AkShare / Sina public historical quotes</x:v>
      </x:c>
      <x:c r="H238" s="106" t="str">
        <x:v>https://akshare.akfamily.xyz/data/stock/stock.html</x:v>
      </x:c>
      <x:c r="I238" s="106"/>
      <x:c r="J238" s="106"/>
      <x:c r="K238" s="121" t="str">
        <x:v>2026-09-03 03:35:57.363038+00:00</x:v>
      </x:c>
      <x:c r="L238" s="121"/>
      <x:c r="M238" s="106" t="str">
        <x:v>akshare-price-v3-sina-history</x:v>
      </x:c>
      <x:c r="N238" s="106" t="str">
        <x:v>e1a11106f8d03cab7fb899e1b289c0d2391898f77381cf555489ad3ea5c25992</x:v>
      </x:c>
      <x:c r="O238" s="113"/>
      <x:c r="P238" s="106" t="str">
        <x:v>pending</x:v>
      </x:c>
      <x:c r="Q238" s="106" t="str">
        <x:v>否</x:v>
      </x:c>
      <x:c r="R238" s="106" t="str">
        <x:v>由本地 Agent 同步</x:v>
      </x:c>
      <x:c r="S238" s="86"/>
      <x:c r="T238" s="86"/>
      <x:c r="U238" s="86"/>
      <x:c r="V238" s="86"/>
      <x:c r="W238" s="86"/>
      <x:c r="X238" s="86"/>
      <x:c r="Y238" s="86"/>
      <x:c r="Z238" s="86"/>
    </x:row>
    <x:row r="239">
      <x:c r="A239" s="106" t="str">
        <x:v>a87f9c33-578c-488a-a7e4-97ba613f7016</x:v>
      </x:c>
      <x:c r="B239" s="106" t="str">
        <x:v>600941</x:v>
      </x:c>
      <x:c r="C239" s="106" t="str">
        <x:v>revenue</x:v>
      </x:c>
      <x:c r="D239" s="106" t="str">
        <x:v>2026-06-30</x:v>
      </x:c>
      <x:c r="E239" s="106" t="n">
        <x:v>5380.35</x:v>
      </x:c>
      <x:c r="F239" s="106" t="str">
        <x:v>CNY 100M</x:v>
      </x:c>
      <x:c r="G239" s="106" t="str">
        <x:v>AkShare / Sina financial abstract</x:v>
      </x:c>
      <x:c r="H239" s="106" t="str">
        <x:v>https://vip.stock.finance.sina.com.cn/corp/go.php/vFD_FinancialGuideLine/stockid/600941/ctrl/2026/displaytype/4.phtml</x:v>
      </x:c>
      <x:c r="I239" s="106"/>
      <x:c r="J239" s="106"/>
      <x:c r="K239" s="121" t="str">
        <x:v>2026-09-03 03:36:07.118509+00:00</x:v>
      </x:c>
      <x:c r="L239" s="121"/>
      <x:c r="M239" s="106" t="str">
        <x:v>akshare-financial-v2-sina-abstract</x:v>
      </x:c>
      <x:c r="N239" s="106" t="str">
        <x:v>9c669927446797cd9226d19b0fe985540f5947f5068477875a2eabf0e926d0c0</x:v>
      </x:c>
      <x:c r="O239" s="113"/>
      <x:c r="P239" s="106" t="str">
        <x:v>pending</x:v>
      </x:c>
      <x:c r="Q239" s="106" t="str">
        <x:v>否</x:v>
      </x:c>
      <x:c r="R239" s="106" t="str">
        <x:v>由本地 Agent 同步</x:v>
      </x:c>
      <x:c r="S239" s="86"/>
      <x:c r="T239" s="86"/>
      <x:c r="U239" s="86"/>
      <x:c r="V239" s="86"/>
      <x:c r="W239" s="86"/>
      <x:c r="X239" s="86"/>
      <x:c r="Y239" s="86"/>
      <x:c r="Z239" s="86"/>
    </x:row>
    <x:row r="240">
      <x:c r="A240" s="106" t="str">
        <x:v>a87f9c33-578c-488a-a7e4-97ba613f7016</x:v>
      </x:c>
      <x:c r="B240" s="106" t="str">
        <x:v>600941</x:v>
      </x:c>
      <x:c r="C240" s="106" t="str">
        <x:v>net_income</x:v>
      </x:c>
      <x:c r="D240" s="106" t="str">
        <x:v>2026-06-30</x:v>
      </x:c>
      <x:c r="E240" s="106" t="n">
        <x:v>789.34</x:v>
      </x:c>
      <x:c r="F240" s="106" t="str">
        <x:v>CNY 100M</x:v>
      </x:c>
      <x:c r="G240" s="106" t="str">
        <x:v>AkShare / Sina financial abstract</x:v>
      </x:c>
      <x:c r="H240" s="106" t="str">
        <x:v>https://vip.stock.finance.sina.com.cn/corp/go.php/vFD_FinancialGuideLine/stockid/600941/ctrl/2026/displaytype/4.phtml</x:v>
      </x:c>
      <x:c r="I240" s="106"/>
      <x:c r="J240" s="106"/>
      <x:c r="K240" s="121" t="str">
        <x:v>2026-09-03 03:36:07.118509+00:00</x:v>
      </x:c>
      <x:c r="L240" s="121"/>
      <x:c r="M240" s="106" t="str">
        <x:v>akshare-financial-v2-sina-abstract</x:v>
      </x:c>
      <x:c r="N240" s="106" t="str">
        <x:v>9c669927446797cd9226d19b0fe985540f5947f5068477875a2eabf0e926d0c0</x:v>
      </x:c>
      <x:c r="O240" s="113"/>
      <x:c r="P240" s="106" t="str">
        <x:v>pending</x:v>
      </x:c>
      <x:c r="Q240" s="106" t="str">
        <x:v>否</x:v>
      </x:c>
      <x:c r="R240" s="106" t="str">
        <x:v>由本地 Agent 同步</x:v>
      </x:c>
      <x:c r="S240" s="86"/>
      <x:c r="T240" s="86"/>
      <x:c r="U240" s="86"/>
      <x:c r="V240" s="86"/>
      <x:c r="W240" s="86"/>
      <x:c r="X240" s="86"/>
      <x:c r="Y240" s="86"/>
      <x:c r="Z240" s="86"/>
    </x:row>
    <x:row r="241">
      <x:c r="A241" s="106" t="str">
        <x:v>a87f9c33-578c-488a-a7e4-97ba613f7016</x:v>
      </x:c>
      <x:c r="B241" s="106" t="str">
        <x:v>600941</x:v>
      </x:c>
      <x:c r="C241" s="106" t="str">
        <x:v>operating_cash_flow</x:v>
      </x:c>
      <x:c r="D241" s="106" t="str">
        <x:v>2026-06-30</x:v>
      </x:c>
      <x:c r="E241" s="106" t="n">
        <x:v>1148.54</x:v>
      </x:c>
      <x:c r="F241" s="106" t="str">
        <x:v>CNY 100M</x:v>
      </x:c>
      <x:c r="G241" s="106" t="str">
        <x:v>AkShare / Sina financial abstract</x:v>
      </x:c>
      <x:c r="H241" s="106" t="str">
        <x:v>https://vip.stock.finance.sina.com.cn/corp/go.php/vFD_FinancialGuideLine/stockid/600941/ctrl/2026/displaytype/4.phtml</x:v>
      </x:c>
      <x:c r="I241" s="106"/>
      <x:c r="J241" s="106"/>
      <x:c r="K241" s="121" t="str">
        <x:v>2026-09-03 03:36:07.118509+00:00</x:v>
      </x:c>
      <x:c r="L241" s="121"/>
      <x:c r="M241" s="106" t="str">
        <x:v>akshare-financial-v2-sina-abstract</x:v>
      </x:c>
      <x:c r="N241" s="106" t="str">
        <x:v>9c669927446797cd9226d19b0fe985540f5947f5068477875a2eabf0e926d0c0</x:v>
      </x:c>
      <x:c r="O241" s="113"/>
      <x:c r="P241" s="106" t="str">
        <x:v>pending</x:v>
      </x:c>
      <x:c r="Q241" s="106" t="str">
        <x:v>否</x:v>
      </x:c>
      <x:c r="R241" s="106" t="str">
        <x:v>由本地 Agent 同步</x:v>
      </x:c>
      <x:c r="S241" s="86"/>
      <x:c r="T241" s="86"/>
      <x:c r="U241" s="86"/>
      <x:c r="V241" s="86"/>
      <x:c r="W241" s="86"/>
      <x:c r="X241" s="86"/>
      <x:c r="Y241" s="86"/>
      <x:c r="Z241" s="86"/>
    </x:row>
    <x:row r="242">
      <x:c r="A242" s="106" t="str">
        <x:v>a87f9c33-578c-488a-a7e4-97ba613f7016</x:v>
      </x:c>
      <x:c r="B242" s="106" t="str">
        <x:v>600941</x:v>
      </x:c>
      <x:c r="C242" s="106" t="str">
        <x:v>fcf_per_share</x:v>
      </x:c>
      <x:c r="D242" s="106" t="str">
        <x:v>2026-06-30</x:v>
      </x:c>
      <x:c r="E242" s="106" t="n">
        <x:v>3.279514</x:v>
      </x:c>
      <x:c r="F242" s="106" t="str">
        <x:v>CNY/share</x:v>
      </x:c>
      <x:c r="G242" s="106" t="str">
        <x:v>AkShare / Sina financial abstract</x:v>
      </x:c>
      <x:c r="H242" s="106" t="str">
        <x:v>https://vip.stock.finance.sina.com.cn/corp/go.php/vFD_FinancialGuideLine/stockid/600941/ctrl/2026/displaytype/4.phtml</x:v>
      </x:c>
      <x:c r="I242" s="106"/>
      <x:c r="J242" s="106"/>
      <x:c r="K242" s="121" t="str">
        <x:v>2026-09-03 03:36:07.118509+00:00</x:v>
      </x:c>
      <x:c r="L242" s="121"/>
      <x:c r="M242" s="106" t="str">
        <x:v>akshare-financial-v2-sina-abstract</x:v>
      </x:c>
      <x:c r="N242" s="106" t="str">
        <x:v>9c669927446797cd9226d19b0fe985540f5947f5068477875a2eabf0e926d0c0</x:v>
      </x:c>
      <x:c r="O242" s="113"/>
      <x:c r="P242" s="106" t="str">
        <x:v>pending</x:v>
      </x:c>
      <x:c r="Q242" s="106" t="str">
        <x:v>否</x:v>
      </x:c>
      <x:c r="R242" s="106" t="str">
        <x:v>由本地 Agent 同步</x:v>
      </x:c>
      <x:c r="S242" s="86"/>
      <x:c r="T242" s="86"/>
      <x:c r="U242" s="86"/>
      <x:c r="V242" s="86"/>
      <x:c r="W242" s="86"/>
      <x:c r="X242" s="86"/>
      <x:c r="Y242" s="86"/>
      <x:c r="Z242" s="86"/>
    </x:row>
    <x:row r="243">
      <x:c r="A243" s="106" t="str">
        <x:v>a87f9c33-578c-488a-a7e4-97ba613f7016</x:v>
      </x:c>
      <x:c r="B243" s="106" t="str">
        <x:v>600941</x:v>
      </x:c>
      <x:c r="C243" s="106" t="str">
        <x:v>roic</x:v>
      </x:c>
      <x:c r="D243" s="106" t="str">
        <x:v>2026-06-30</x:v>
      </x:c>
      <x:c r="E243" s="106" t="n">
        <x:v>5.464611</x:v>
      </x:c>
      <x:c r="F243" s="106" t="str">
        <x:v>percent</x:v>
      </x:c>
      <x:c r="G243" s="106" t="str">
        <x:v>AkShare / Sina financial abstract</x:v>
      </x:c>
      <x:c r="H243" s="106" t="str">
        <x:v>https://vip.stock.finance.sina.com.cn/corp/go.php/vFD_FinancialGuideLine/stockid/600941/ctrl/2026/displaytype/4.phtml</x:v>
      </x:c>
      <x:c r="I243" s="106"/>
      <x:c r="J243" s="106"/>
      <x:c r="K243" s="121" t="str">
        <x:v>2026-09-03 03:36:07.118509+00:00</x:v>
      </x:c>
      <x:c r="L243" s="121"/>
      <x:c r="M243" s="106" t="str">
        <x:v>akshare-financial-v2-sina-abstract</x:v>
      </x:c>
      <x:c r="N243" s="106" t="str">
        <x:v>9c669927446797cd9226d19b0fe985540f5947f5068477875a2eabf0e926d0c0</x:v>
      </x:c>
      <x:c r="O243" s="113"/>
      <x:c r="P243" s="106" t="str">
        <x:v>pending</x:v>
      </x:c>
      <x:c r="Q243" s="106" t="str">
        <x:v>否</x:v>
      </x:c>
      <x:c r="R243" s="106" t="str">
        <x:v>由本地 Agent 同步</x:v>
      </x:c>
      <x:c r="S243" s="86"/>
      <x:c r="T243" s="86"/>
      <x:c r="U243" s="86"/>
      <x:c r="V243" s="86"/>
      <x:c r="W243" s="86"/>
      <x:c r="X243" s="86"/>
      <x:c r="Y243" s="86"/>
      <x:c r="Z243" s="86"/>
    </x:row>
    <x:row r="244">
      <x:c r="A244" s="106" t="str">
        <x:v>bddbdcf4-900c-4107-ac66-d2c070f36826</x:v>
      </x:c>
      <x:c r="B244" s="106" t="str">
        <x:v>600900</x:v>
      </x:c>
      <x:c r="C244" s="106" t="str">
        <x:v>revenue</x:v>
      </x:c>
      <x:c r="D244" s="106" t="str">
        <x:v>2026-06-30</x:v>
      </x:c>
      <x:c r="E244" s="106" t="n">
        <x:v>379.2926892718</x:v>
      </x:c>
      <x:c r="F244" s="106" t="str">
        <x:v>CNY 100M</x:v>
      </x:c>
      <x:c r="G244" s="106" t="str">
        <x:v>AkShare / Sina financial abstract</x:v>
      </x:c>
      <x:c r="H244" s="106" t="str">
        <x:v>https://vip.stock.finance.sina.com.cn/corp/go.php/vFD_FinancialGuideLine/stockid/600900/ctrl/2026/displaytype/4.phtml</x:v>
      </x:c>
      <x:c r="I244" s="106"/>
      <x:c r="J244" s="106"/>
      <x:c r="K244" s="121" t="str">
        <x:v>2026-09-03 03:36:07.118509+00:00</x:v>
      </x:c>
      <x:c r="L244" s="121"/>
      <x:c r="M244" s="106" t="str">
        <x:v>akshare-financial-v2-sina-abstract</x:v>
      </x:c>
      <x:c r="N244" s="106" t="str">
        <x:v>35f57905302a81dc2191c12d76f541062016bdb04e5440b4f562090bc7ed7b36</x:v>
      </x:c>
      <x:c r="O244" s="113"/>
      <x:c r="P244" s="106" t="str">
        <x:v>pending</x:v>
      </x:c>
      <x:c r="Q244" s="106" t="str">
        <x:v>否</x:v>
      </x:c>
      <x:c r="R244" s="106" t="str">
        <x:v>由本地 Agent 同步</x:v>
      </x:c>
      <x:c r="S244" s="86"/>
      <x:c r="T244" s="86"/>
      <x:c r="U244" s="86"/>
      <x:c r="V244" s="86"/>
      <x:c r="W244" s="86"/>
      <x:c r="X244" s="86"/>
      <x:c r="Y244" s="86"/>
      <x:c r="Z244" s="86"/>
    </x:row>
    <x:row r="245">
      <x:c r="A245" s="106" t="str">
        <x:v>bddbdcf4-900c-4107-ac66-d2c070f36826</x:v>
      </x:c>
      <x:c r="B245" s="106" t="str">
        <x:v>600900</x:v>
      </x:c>
      <x:c r="C245" s="106" t="str">
        <x:v>net_income</x:v>
      </x:c>
      <x:c r="D245" s="106" t="str">
        <x:v>2026-06-30</x:v>
      </x:c>
      <x:c r="E245" s="106" t="n">
        <x:v>147.5569477453</x:v>
      </x:c>
      <x:c r="F245" s="106" t="str">
        <x:v>CNY 100M</x:v>
      </x:c>
      <x:c r="G245" s="106" t="str">
        <x:v>AkShare / Sina financial abstract</x:v>
      </x:c>
      <x:c r="H245" s="106" t="str">
        <x:v>https://vip.stock.finance.sina.com.cn/corp/go.php/vFD_FinancialGuideLine/stockid/600900/ctrl/2026/displaytype/4.phtml</x:v>
      </x:c>
      <x:c r="I245" s="106"/>
      <x:c r="J245" s="106"/>
      <x:c r="K245" s="121" t="str">
        <x:v>2026-09-03 03:36:07.118509+00:00</x:v>
      </x:c>
      <x:c r="L245" s="121"/>
      <x:c r="M245" s="106" t="str">
        <x:v>akshare-financial-v2-sina-abstract</x:v>
      </x:c>
      <x:c r="N245" s="106" t="str">
        <x:v>35f57905302a81dc2191c12d76f541062016bdb04e5440b4f562090bc7ed7b36</x:v>
      </x:c>
      <x:c r="O245" s="113"/>
      <x:c r="P245" s="106" t="str">
        <x:v>pending</x:v>
      </x:c>
      <x:c r="Q245" s="106" t="str">
        <x:v>否</x:v>
      </x:c>
      <x:c r="R245" s="106" t="str">
        <x:v>由本地 Agent 同步</x:v>
      </x:c>
      <x:c r="S245" s="86"/>
      <x:c r="T245" s="86"/>
      <x:c r="U245" s="86"/>
      <x:c r="V245" s="86"/>
      <x:c r="W245" s="86"/>
      <x:c r="X245" s="86"/>
      <x:c r="Y245" s="86"/>
      <x:c r="Z245" s="86"/>
    </x:row>
    <x:row r="246">
      <x:c r="A246" s="106" t="str">
        <x:v>bddbdcf4-900c-4107-ac66-d2c070f36826</x:v>
      </x:c>
      <x:c r="B246" s="106" t="str">
        <x:v>600900</x:v>
      </x:c>
      <x:c r="C246" s="106" t="str">
        <x:v>operating_cash_flow</x:v>
      </x:c>
      <x:c r="D246" s="106" t="str">
        <x:v>2026-06-30</x:v>
      </x:c>
      <x:c r="E246" s="106" t="n">
        <x:v>241.2831377437</x:v>
      </x:c>
      <x:c r="F246" s="106" t="str">
        <x:v>CNY 100M</x:v>
      </x:c>
      <x:c r="G246" s="106" t="str">
        <x:v>AkShare / Sina financial abstract</x:v>
      </x:c>
      <x:c r="H246" s="106" t="str">
        <x:v>https://vip.stock.finance.sina.com.cn/corp/go.php/vFD_FinancialGuideLine/stockid/600900/ctrl/2026/displaytype/4.phtml</x:v>
      </x:c>
      <x:c r="I246" s="106"/>
      <x:c r="J246" s="106"/>
      <x:c r="K246" s="121" t="str">
        <x:v>2026-09-03 03:36:07.118509+00:00</x:v>
      </x:c>
      <x:c r="L246" s="121"/>
      <x:c r="M246" s="106" t="str">
        <x:v>akshare-financial-v2-sina-abstract</x:v>
      </x:c>
      <x:c r="N246" s="106" t="str">
        <x:v>35f57905302a81dc2191c12d76f541062016bdb04e5440b4f562090bc7ed7b36</x:v>
      </x:c>
      <x:c r="O246" s="113"/>
      <x:c r="P246" s="106" t="str">
        <x:v>pending</x:v>
      </x:c>
      <x:c r="Q246" s="106" t="str">
        <x:v>否</x:v>
      </x:c>
      <x:c r="R246" s="106" t="str">
        <x:v>由本地 Agent 同步</x:v>
      </x:c>
      <x:c r="S246" s="86"/>
      <x:c r="T246" s="86"/>
      <x:c r="U246" s="86"/>
      <x:c r="V246" s="86"/>
      <x:c r="W246" s="86"/>
      <x:c r="X246" s="86"/>
      <x:c r="Y246" s="86"/>
      <x:c r="Z246" s="86"/>
    </x:row>
    <x:row r="247">
      <x:c r="A247" s="106" t="str">
        <x:v>bddbdcf4-900c-4107-ac66-d2c070f36826</x:v>
      </x:c>
      <x:c r="B247" s="106" t="str">
        <x:v>600900</x:v>
      </x:c>
      <x:c r="C247" s="106" t="str">
        <x:v>fcf_per_share</x:v>
      </x:c>
      <x:c r="D247" s="106" t="str">
        <x:v>2026-06-30</x:v>
      </x:c>
      <x:c r="E247" s="106" t="n">
        <x:v>0.560637</x:v>
      </x:c>
      <x:c r="F247" s="106" t="str">
        <x:v>CNY/share</x:v>
      </x:c>
      <x:c r="G247" s="106" t="str">
        <x:v>AkShare / Sina financial abstract</x:v>
      </x:c>
      <x:c r="H247" s="106" t="str">
        <x:v>https://vip.stock.finance.sina.com.cn/corp/go.php/vFD_FinancialGuideLine/stockid/600900/ctrl/2026/displaytype/4.phtml</x:v>
      </x:c>
      <x:c r="I247" s="106"/>
      <x:c r="J247" s="106"/>
      <x:c r="K247" s="121" t="str">
        <x:v>2026-09-03 03:36:07.118509+00:00</x:v>
      </x:c>
      <x:c r="L247" s="121"/>
      <x:c r="M247" s="106" t="str">
        <x:v>akshare-financial-v2-sina-abstract</x:v>
      </x:c>
      <x:c r="N247" s="106" t="str">
        <x:v>35f57905302a81dc2191c12d76f541062016bdb04e5440b4f562090bc7ed7b36</x:v>
      </x:c>
      <x:c r="O247" s="113"/>
      <x:c r="P247" s="106" t="str">
        <x:v>pending</x:v>
      </x:c>
      <x:c r="Q247" s="106" t="str">
        <x:v>否</x:v>
      </x:c>
      <x:c r="R247" s="106" t="str">
        <x:v>由本地 Agent 同步</x:v>
      </x:c>
      <x:c r="S247" s="86"/>
      <x:c r="T247" s="86"/>
      <x:c r="U247" s="86"/>
      <x:c r="V247" s="86"/>
      <x:c r="W247" s="86"/>
      <x:c r="X247" s="86"/>
      <x:c r="Y247" s="86"/>
      <x:c r="Z247" s="86"/>
    </x:row>
    <x:row r="248">
      <x:c r="A248" s="106" t="str">
        <x:v>bddbdcf4-900c-4107-ac66-d2c070f36826</x:v>
      </x:c>
      <x:c r="B248" s="106" t="str">
        <x:v>600900</x:v>
      </x:c>
      <x:c r="C248" s="106" t="str">
        <x:v>roic</x:v>
      </x:c>
      <x:c r="D248" s="106" t="str">
        <x:v>2026-06-30</x:v>
      </x:c>
      <x:c r="E248" s="106" t="n">
        <x:v>3.763752</x:v>
      </x:c>
      <x:c r="F248" s="106" t="str">
        <x:v>percent</x:v>
      </x:c>
      <x:c r="G248" s="106" t="str">
        <x:v>AkShare / Sina financial abstract</x:v>
      </x:c>
      <x:c r="H248" s="106" t="str">
        <x:v>https://vip.stock.finance.sina.com.cn/corp/go.php/vFD_FinancialGuideLine/stockid/600900/ctrl/2026/displaytype/4.phtml</x:v>
      </x:c>
      <x:c r="I248" s="106"/>
      <x:c r="J248" s="106"/>
      <x:c r="K248" s="121" t="str">
        <x:v>2026-09-03 03:36:07.118509+00:00</x:v>
      </x:c>
      <x:c r="L248" s="121"/>
      <x:c r="M248" s="106" t="str">
        <x:v>akshare-financial-v2-sina-abstract</x:v>
      </x:c>
      <x:c r="N248" s="106" t="str">
        <x:v>35f57905302a81dc2191c12d76f541062016bdb04e5440b4f562090bc7ed7b36</x:v>
      </x:c>
      <x:c r="O248" s="113"/>
      <x:c r="P248" s="106" t="str">
        <x:v>pending</x:v>
      </x:c>
      <x:c r="Q248" s="106" t="str">
        <x:v>否</x:v>
      </x:c>
      <x:c r="R248" s="106" t="str">
        <x:v>由本地 Agent 同步</x:v>
      </x:c>
      <x:c r="S248" s="86"/>
      <x:c r="T248" s="86"/>
      <x:c r="U248" s="86"/>
      <x:c r="V248" s="86"/>
      <x:c r="W248" s="86"/>
      <x:c r="X248" s="86"/>
      <x:c r="Y248" s="86"/>
      <x:c r="Z248" s="86"/>
    </x:row>
    <x:row r="249">
      <x:c r="A249" s="106" t="str">
        <x:v>44bfd883-2596-414d-ac8e-b7d9c4529f93</x:v>
      </x:c>
      <x:c r="B249" s="106" t="str">
        <x:v>600519</x:v>
      </x:c>
      <x:c r="C249" s="106" t="str">
        <x:v>revenue</x:v>
      </x:c>
      <x:c r="D249" s="106" t="str">
        <x:v>2026-06-30</x:v>
      </x:c>
      <x:c r="E249" s="106" t="n">
        <x:v>922.7807208321</x:v>
      </x:c>
      <x:c r="F249" s="106" t="str">
        <x:v>CNY 100M</x:v>
      </x:c>
      <x:c r="G249" s="106" t="str">
        <x:v>AkShare / Sina financial abstract</x:v>
      </x:c>
      <x:c r="H249" s="106" t="str">
        <x:v>https://vip.stock.finance.sina.com.cn/corp/go.php/vFD_FinancialGuideLine/stockid/600519/ctrl/2026/displaytype/4.phtml</x:v>
      </x:c>
      <x:c r="I249" s="106"/>
      <x:c r="J249" s="106"/>
      <x:c r="K249" s="121" t="str">
        <x:v>2026-09-03 03:36:07.118509+00:00</x:v>
      </x:c>
      <x:c r="L249" s="121"/>
      <x:c r="M249" s="106" t="str">
        <x:v>akshare-financial-v2-sina-abstract</x:v>
      </x:c>
      <x:c r="N249" s="106" t="str">
        <x:v>9740e4e6732e30902055819645d73397151401f7687ae913f4d3ff2220114cf7</x:v>
      </x:c>
      <x:c r="O249" s="113"/>
      <x:c r="P249" s="106" t="str">
        <x:v>pending</x:v>
      </x:c>
      <x:c r="Q249" s="106" t="str">
        <x:v>否</x:v>
      </x:c>
      <x:c r="R249" s="106" t="str">
        <x:v>由本地 Agent 同步</x:v>
      </x:c>
      <x:c r="S249" s="86"/>
      <x:c r="T249" s="86"/>
      <x:c r="U249" s="86"/>
      <x:c r="V249" s="86"/>
      <x:c r="W249" s="86"/>
      <x:c r="X249" s="86"/>
      <x:c r="Y249" s="86"/>
      <x:c r="Z249" s="86"/>
    </x:row>
    <x:row r="250">
      <x:c r="A250" s="106" t="str">
        <x:v>44bfd883-2596-414d-ac8e-b7d9c4529f93</x:v>
      </x:c>
      <x:c r="B250" s="106" t="str">
        <x:v>600519</x:v>
      </x:c>
      <x:c r="C250" s="106" t="str">
        <x:v>net_income</x:v>
      </x:c>
      <x:c r="D250" s="106" t="str">
        <x:v>2026-06-30</x:v>
      </x:c>
      <x:c r="E250" s="106" t="n">
        <x:v>445.1688042186</x:v>
      </x:c>
      <x:c r="F250" s="106" t="str">
        <x:v>CNY 100M</x:v>
      </x:c>
      <x:c r="G250" s="106" t="str">
        <x:v>AkShare / Sina financial abstract</x:v>
      </x:c>
      <x:c r="H250" s="106" t="str">
        <x:v>https://vip.stock.finance.sina.com.cn/corp/go.php/vFD_FinancialGuideLine/stockid/600519/ctrl/2026/displaytype/4.phtml</x:v>
      </x:c>
      <x:c r="I250" s="106"/>
      <x:c r="J250" s="106"/>
      <x:c r="K250" s="121" t="str">
        <x:v>2026-09-03 03:36:07.118509+00:00</x:v>
      </x:c>
      <x:c r="L250" s="121"/>
      <x:c r="M250" s="106" t="str">
        <x:v>akshare-financial-v2-sina-abstract</x:v>
      </x:c>
      <x:c r="N250" s="106" t="str">
        <x:v>9740e4e6732e30902055819645d73397151401f7687ae913f4d3ff2220114cf7</x:v>
      </x:c>
      <x:c r="O250" s="113"/>
      <x:c r="P250" s="106" t="str">
        <x:v>pending</x:v>
      </x:c>
      <x:c r="Q250" s="106" t="str">
        <x:v>否</x:v>
      </x:c>
      <x:c r="R250" s="106" t="str">
        <x:v>由本地 Agent 同步</x:v>
      </x:c>
      <x:c r="S250" s="86"/>
      <x:c r="T250" s="86"/>
      <x:c r="U250" s="86"/>
      <x:c r="V250" s="86"/>
      <x:c r="W250" s="86"/>
      <x:c r="X250" s="86"/>
      <x:c r="Y250" s="86"/>
      <x:c r="Z250" s="86"/>
    </x:row>
    <x:row r="251">
      <x:c r="A251" s="106" t="str">
        <x:v>44bfd883-2596-414d-ac8e-b7d9c4529f93</x:v>
      </x:c>
      <x:c r="B251" s="106" t="str">
        <x:v>600519</x:v>
      </x:c>
      <x:c r="C251" s="106" t="str">
        <x:v>operating_cash_flow</x:v>
      </x:c>
      <x:c r="D251" s="106" t="str">
        <x:v>2026-06-30</x:v>
      </x:c>
      <x:c r="E251" s="106" t="n">
        <x:v>706.9075011906</x:v>
      </x:c>
      <x:c r="F251" s="106" t="str">
        <x:v>CNY 100M</x:v>
      </x:c>
      <x:c r="G251" s="106" t="str">
        <x:v>AkShare / Sina financial abstract</x:v>
      </x:c>
      <x:c r="H251" s="106" t="str">
        <x:v>https://vip.stock.finance.sina.com.cn/corp/go.php/vFD_FinancialGuideLine/stockid/600519/ctrl/2026/displaytype/4.phtml</x:v>
      </x:c>
      <x:c r="I251" s="106"/>
      <x:c r="J251" s="106"/>
      <x:c r="K251" s="121" t="str">
        <x:v>2026-09-03 03:36:07.118509+00:00</x:v>
      </x:c>
      <x:c r="L251" s="121"/>
      <x:c r="M251" s="106" t="str">
        <x:v>akshare-financial-v2-sina-abstract</x:v>
      </x:c>
      <x:c r="N251" s="106" t="str">
        <x:v>9740e4e6732e30902055819645d73397151401f7687ae913f4d3ff2220114cf7</x:v>
      </x:c>
      <x:c r="O251" s="113"/>
      <x:c r="P251" s="106" t="str">
        <x:v>pending</x:v>
      </x:c>
      <x:c r="Q251" s="106" t="str">
        <x:v>否</x:v>
      </x:c>
      <x:c r="R251" s="106" t="str">
        <x:v>由本地 Agent 同步</x:v>
      </x:c>
      <x:c r="S251" s="86"/>
      <x:c r="T251" s="86"/>
      <x:c r="U251" s="86"/>
      <x:c r="V251" s="86"/>
      <x:c r="W251" s="86"/>
      <x:c r="X251" s="86"/>
      <x:c r="Y251" s="86"/>
      <x:c r="Z251" s="86"/>
    </x:row>
    <x:row r="252">
      <x:c r="A252" s="106" t="str">
        <x:v>44bfd883-2596-414d-ac8e-b7d9c4529f93</x:v>
      </x:c>
      <x:c r="B252" s="106" t="str">
        <x:v>600519</x:v>
      </x:c>
      <x:c r="C252" s="106" t="str">
        <x:v>fcf_per_share</x:v>
      </x:c>
      <x:c r="D252" s="106" t="str">
        <x:v>2026-06-30</x:v>
      </x:c>
      <x:c r="E252" s="106" t="n">
        <x:v>28.18401</x:v>
      </x:c>
      <x:c r="F252" s="106" t="str">
        <x:v>CNY/share</x:v>
      </x:c>
      <x:c r="G252" s="106" t="str">
        <x:v>AkShare / Sina financial abstract</x:v>
      </x:c>
      <x:c r="H252" s="106" t="str">
        <x:v>https://vip.stock.finance.sina.com.cn/corp/go.php/vFD_FinancialGuideLine/stockid/600519/ctrl/2026/displaytype/4.phtml</x:v>
      </x:c>
      <x:c r="I252" s="106"/>
      <x:c r="J252" s="106"/>
      <x:c r="K252" s="121" t="str">
        <x:v>2026-09-03 03:36:07.118509+00:00</x:v>
      </x:c>
      <x:c r="L252" s="121"/>
      <x:c r="M252" s="106" t="str">
        <x:v>akshare-financial-v2-sina-abstract</x:v>
      </x:c>
      <x:c r="N252" s="106" t="str">
        <x:v>9740e4e6732e30902055819645d73397151401f7687ae913f4d3ff2220114cf7</x:v>
      </x:c>
      <x:c r="O252" s="113"/>
      <x:c r="P252" s="106" t="str">
        <x:v>pending</x:v>
      </x:c>
      <x:c r="Q252" s="106" t="str">
        <x:v>否</x:v>
      </x:c>
      <x:c r="R252" s="106" t="str">
        <x:v>由本地 Agent 同步</x:v>
      </x:c>
      <x:c r="S252" s="86"/>
      <x:c r="T252" s="86"/>
      <x:c r="U252" s="86"/>
      <x:c r="V252" s="86"/>
      <x:c r="W252" s="86"/>
      <x:c r="X252" s="86"/>
      <x:c r="Y252" s="86"/>
      <x:c r="Z252" s="86"/>
    </x:row>
    <x:row r="253">
      <x:c r="A253" s="106" t="str">
        <x:v>44bfd883-2596-414d-ac8e-b7d9c4529f93</x:v>
      </x:c>
      <x:c r="B253" s="106" t="str">
        <x:v>600519</x:v>
      </x:c>
      <x:c r="C253" s="106" t="str">
        <x:v>roic</x:v>
      </x:c>
      <x:c r="D253" s="106" t="str">
        <x:v>2026-06-30</x:v>
      </x:c>
      <x:c r="E253" s="106" t="n">
        <x:v>16.500611</x:v>
      </x:c>
      <x:c r="F253" s="106" t="str">
        <x:v>percent</x:v>
      </x:c>
      <x:c r="G253" s="106" t="str">
        <x:v>AkShare / Sina financial abstract</x:v>
      </x:c>
      <x:c r="H253" s="106" t="str">
        <x:v>https://vip.stock.finance.sina.com.cn/corp/go.php/vFD_FinancialGuideLine/stockid/600519/ctrl/2026/displaytype/4.phtml</x:v>
      </x:c>
      <x:c r="I253" s="106"/>
      <x:c r="J253" s="106"/>
      <x:c r="K253" s="121" t="str">
        <x:v>2026-09-03 03:36:07.118509+00:00</x:v>
      </x:c>
      <x:c r="L253" s="121"/>
      <x:c r="M253" s="106" t="str">
        <x:v>akshare-financial-v2-sina-abstract</x:v>
      </x:c>
      <x:c r="N253" s="106" t="str">
        <x:v>9740e4e6732e30902055819645d73397151401f7687ae913f4d3ff2220114cf7</x:v>
      </x:c>
      <x:c r="O253" s="113"/>
      <x:c r="P253" s="106" t="str">
        <x:v>pending</x:v>
      </x:c>
      <x:c r="Q253" s="106" t="str">
        <x:v>否</x:v>
      </x:c>
      <x:c r="R253" s="106" t="str">
        <x:v>由本地 Agent 同步</x:v>
      </x:c>
      <x:c r="S253" s="86"/>
      <x:c r="T253" s="86"/>
      <x:c r="U253" s="86"/>
      <x:c r="V253" s="86"/>
      <x:c r="W253" s="86"/>
      <x:c r="X253" s="86"/>
      <x:c r="Y253" s="86"/>
      <x:c r="Z253" s="86"/>
    </x:row>
    <x:row r="254">
      <x:c r="A254" s="106" t="str">
        <x:v>5b981331-e533-46b3-93a6-a8fadccda9da</x:v>
      </x:c>
      <x:c r="B254" s="106" t="str">
        <x:v>000333</x:v>
      </x:c>
      <x:c r="C254" s="106" t="str">
        <x:v>revenue</x:v>
      </x:c>
      <x:c r="D254" s="106" t="str">
        <x:v>2026-06-30</x:v>
      </x:c>
      <x:c r="E254" s="106" t="n">
        <x:v>2610.52379</x:v>
      </x:c>
      <x:c r="F254" s="106" t="str">
        <x:v>CNY 100M</x:v>
      </x:c>
      <x:c r="G254" s="106" t="str">
        <x:v>AkShare / Sina financial abstract</x:v>
      </x:c>
      <x:c r="H254" s="106" t="str">
        <x:v>https://vip.stock.finance.sina.com.cn/corp/go.php/vFD_FinancialGuideLine/stockid/000333/ctrl/2026/displaytype/4.phtml</x:v>
      </x:c>
      <x:c r="I254" s="106"/>
      <x:c r="J254" s="106"/>
      <x:c r="K254" s="121" t="str">
        <x:v>2026-09-03 03:36:07.118509+00:00</x:v>
      </x:c>
      <x:c r="L254" s="121"/>
      <x:c r="M254" s="106" t="str">
        <x:v>akshare-financial-v2-sina-abstract</x:v>
      </x:c>
      <x:c r="N254" s="106" t="str">
        <x:v>268a1e31cfe0a76f93a0e4c66955909ae654b6440bb944170935a3c586381645</x:v>
      </x:c>
      <x:c r="O254" s="113"/>
      <x:c r="P254" s="106" t="str">
        <x:v>pending</x:v>
      </x:c>
      <x:c r="Q254" s="106" t="str">
        <x:v>否</x:v>
      </x:c>
      <x:c r="R254" s="106" t="str">
        <x:v>由本地 Agent 同步</x:v>
      </x:c>
      <x:c r="S254" s="86"/>
      <x:c r="T254" s="86"/>
      <x:c r="U254" s="86"/>
      <x:c r="V254" s="86"/>
      <x:c r="W254" s="86"/>
      <x:c r="X254" s="86"/>
      <x:c r="Y254" s="86"/>
      <x:c r="Z254" s="86"/>
    </x:row>
    <x:row r="255">
      <x:c r="A255" s="106" t="str">
        <x:v>5b981331-e533-46b3-93a6-a8fadccda9da</x:v>
      </x:c>
      <x:c r="B255" s="106" t="str">
        <x:v>000333</x:v>
      </x:c>
      <x:c r="C255" s="106" t="str">
        <x:v>net_income</x:v>
      </x:c>
      <x:c r="D255" s="106" t="str">
        <x:v>2026-06-30</x:v>
      </x:c>
      <x:c r="E255" s="106" t="n">
        <x:v>264.46037</x:v>
      </x:c>
      <x:c r="F255" s="106" t="str">
        <x:v>CNY 100M</x:v>
      </x:c>
      <x:c r="G255" s="106" t="str">
        <x:v>AkShare / Sina financial abstract</x:v>
      </x:c>
      <x:c r="H255" s="106" t="str">
        <x:v>https://vip.stock.finance.sina.com.cn/corp/go.php/vFD_FinancialGuideLine/stockid/000333/ctrl/2026/displaytype/4.phtml</x:v>
      </x:c>
      <x:c r="I255" s="106"/>
      <x:c r="J255" s="106"/>
      <x:c r="K255" s="121" t="str">
        <x:v>2026-09-03 03:36:07.118509+00:00</x:v>
      </x:c>
      <x:c r="L255" s="121"/>
      <x:c r="M255" s="106" t="str">
        <x:v>akshare-financial-v2-sina-abstract</x:v>
      </x:c>
      <x:c r="N255" s="106" t="str">
        <x:v>268a1e31cfe0a76f93a0e4c66955909ae654b6440bb944170935a3c586381645</x:v>
      </x:c>
      <x:c r="O255" s="113"/>
      <x:c r="P255" s="106" t="str">
        <x:v>pending</x:v>
      </x:c>
      <x:c r="Q255" s="106" t="str">
        <x:v>否</x:v>
      </x:c>
      <x:c r="R255" s="106" t="str">
        <x:v>由本地 Agent 同步</x:v>
      </x:c>
      <x:c r="S255" s="86"/>
      <x:c r="T255" s="86"/>
      <x:c r="U255" s="86"/>
      <x:c r="V255" s="86"/>
      <x:c r="W255" s="86"/>
      <x:c r="X255" s="86"/>
      <x:c r="Y255" s="86"/>
      <x:c r="Z255" s="86"/>
    </x:row>
    <x:row r="256">
      <x:c r="A256" s="106" t="str">
        <x:v>5b981331-e533-46b3-93a6-a8fadccda9da</x:v>
      </x:c>
      <x:c r="B256" s="106" t="str">
        <x:v>000333</x:v>
      </x:c>
      <x:c r="C256" s="106" t="str">
        <x:v>operating_cash_flow</x:v>
      </x:c>
      <x:c r="D256" s="106" t="str">
        <x:v>2026-06-30</x:v>
      </x:c>
      <x:c r="E256" s="106" t="n">
        <x:v>375.5209</x:v>
      </x:c>
      <x:c r="F256" s="106" t="str">
        <x:v>CNY 100M</x:v>
      </x:c>
      <x:c r="G256" s="106" t="str">
        <x:v>AkShare / Sina financial abstract</x:v>
      </x:c>
      <x:c r="H256" s="106" t="str">
        <x:v>https://vip.stock.finance.sina.com.cn/corp/go.php/vFD_FinancialGuideLine/stockid/000333/ctrl/2026/displaytype/4.phtml</x:v>
      </x:c>
      <x:c r="I256" s="106"/>
      <x:c r="J256" s="106"/>
      <x:c r="K256" s="121" t="str">
        <x:v>2026-09-03 03:36:07.118509+00:00</x:v>
      </x:c>
      <x:c r="L256" s="121"/>
      <x:c r="M256" s="106" t="str">
        <x:v>akshare-financial-v2-sina-abstract</x:v>
      </x:c>
      <x:c r="N256" s="106" t="str">
        <x:v>268a1e31cfe0a76f93a0e4c66955909ae654b6440bb944170935a3c586381645</x:v>
      </x:c>
      <x:c r="O256" s="113"/>
      <x:c r="P256" s="106" t="str">
        <x:v>pending</x:v>
      </x:c>
      <x:c r="Q256" s="106" t="str">
        <x:v>否</x:v>
      </x:c>
      <x:c r="R256" s="106" t="str">
        <x:v>由本地 Agent 同步</x:v>
      </x:c>
      <x:c r="S256" s="86"/>
      <x:c r="T256" s="86"/>
      <x:c r="U256" s="86"/>
      <x:c r="V256" s="86"/>
      <x:c r="W256" s="86"/>
      <x:c r="X256" s="86"/>
      <x:c r="Y256" s="86"/>
      <x:c r="Z256" s="86"/>
    </x:row>
    <x:row r="257">
      <x:c r="A257" s="106" t="str">
        <x:v>5b981331-e533-46b3-93a6-a8fadccda9da</x:v>
      </x:c>
      <x:c r="B257" s="106" t="str">
        <x:v>000333</x:v>
      </x:c>
      <x:c r="C257" s="106" t="str">
        <x:v>fcf_per_share</x:v>
      </x:c>
      <x:c r="D257" s="106" t="str">
        <x:v>2026-06-30</x:v>
      </x:c>
      <x:c r="E257" s="106" t="n">
        <x:v>6.071272</x:v>
      </x:c>
      <x:c r="F257" s="106" t="str">
        <x:v>CNY/share</x:v>
      </x:c>
      <x:c r="G257" s="106" t="str">
        <x:v>AkShare / Sina financial abstract</x:v>
      </x:c>
      <x:c r="H257" s="106" t="str">
        <x:v>https://vip.stock.finance.sina.com.cn/corp/go.php/vFD_FinancialGuideLine/stockid/000333/ctrl/2026/displaytype/4.phtml</x:v>
      </x:c>
      <x:c r="I257" s="106"/>
      <x:c r="J257" s="106"/>
      <x:c r="K257" s="121" t="str">
        <x:v>2026-09-03 03:36:07.118509+00:00</x:v>
      </x:c>
      <x:c r="L257" s="121"/>
      <x:c r="M257" s="106" t="str">
        <x:v>akshare-financial-v2-sina-abstract</x:v>
      </x:c>
      <x:c r="N257" s="106" t="str">
        <x:v>268a1e31cfe0a76f93a0e4c66955909ae654b6440bb944170935a3c586381645</x:v>
      </x:c>
      <x:c r="O257" s="113"/>
      <x:c r="P257" s="106" t="str">
        <x:v>pending</x:v>
      </x:c>
      <x:c r="Q257" s="106" t="str">
        <x:v>否</x:v>
      </x:c>
      <x:c r="R257" s="106" t="str">
        <x:v>由本地 Agent 同步</x:v>
      </x:c>
      <x:c r="S257" s="86"/>
      <x:c r="T257" s="86"/>
      <x:c r="U257" s="86"/>
      <x:c r="V257" s="86"/>
      <x:c r="W257" s="86"/>
      <x:c r="X257" s="86"/>
      <x:c r="Y257" s="86"/>
      <x:c r="Z257" s="86"/>
    </x:row>
    <x:row r="258">
      <x:c r="A258" s="106" t="str">
        <x:v>5b981331-e533-46b3-93a6-a8fadccda9da</x:v>
      </x:c>
      <x:c r="B258" s="106" t="str">
        <x:v>000333</x:v>
      </x:c>
      <x:c r="C258" s="106" t="str">
        <x:v>roic</x:v>
      </x:c>
      <x:c r="D258" s="106" t="str">
        <x:v>2026-06-30</x:v>
      </x:c>
      <x:c r="E258" s="106" t="n">
        <x:v>8.816281</x:v>
      </x:c>
      <x:c r="F258" s="106" t="str">
        <x:v>percent</x:v>
      </x:c>
      <x:c r="G258" s="106" t="str">
        <x:v>AkShare / Sina financial abstract</x:v>
      </x:c>
      <x:c r="H258" s="106" t="str">
        <x:v>https://vip.stock.finance.sina.com.cn/corp/go.php/vFD_FinancialGuideLine/stockid/000333/ctrl/2026/displaytype/4.phtml</x:v>
      </x:c>
      <x:c r="I258" s="106"/>
      <x:c r="J258" s="106"/>
      <x:c r="K258" s="121" t="str">
        <x:v>2026-09-03 03:36:07.118509+00:00</x:v>
      </x:c>
      <x:c r="L258" s="121"/>
      <x:c r="M258" s="106" t="str">
        <x:v>akshare-financial-v2-sina-abstract</x:v>
      </x:c>
      <x:c r="N258" s="106" t="str">
        <x:v>268a1e31cfe0a76f93a0e4c66955909ae654b6440bb944170935a3c586381645</x:v>
      </x:c>
      <x:c r="O258" s="113"/>
      <x:c r="P258" s="106" t="str">
        <x:v>pending</x:v>
      </x:c>
      <x:c r="Q258" s="106" t="str">
        <x:v>否</x:v>
      </x:c>
      <x:c r="R258" s="106" t="str">
        <x:v>由本地 Agent 同步</x:v>
      </x:c>
      <x:c r="S258" s="86"/>
      <x:c r="T258" s="86"/>
      <x:c r="U258" s="86"/>
      <x:c r="V258" s="86"/>
      <x:c r="W258" s="86"/>
      <x:c r="X258" s="86"/>
      <x:c r="Y258" s="86"/>
      <x:c r="Z258" s="86"/>
    </x:row>
    <x:row r="259">
      <x:c r="A259" s="106" t="str">
        <x:v>8b9ed6a9-dba5-48d9-ade2-4394848b93be</x:v>
      </x:c>
      <x:c r="B259" s="106" t="str">
        <x:v>600036</x:v>
      </x:c>
      <x:c r="C259" s="106" t="str">
        <x:v>revenue</x:v>
      </x:c>
      <x:c r="D259" s="106" t="str">
        <x:v>2026-06-30</x:v>
      </x:c>
      <x:c r="E259" s="106" t="n">
        <x:v>1781.81</x:v>
      </x:c>
      <x:c r="F259" s="106" t="str">
        <x:v>CNY 100M</x:v>
      </x:c>
      <x:c r="G259" s="106" t="str">
        <x:v>AkShare / Sina financial abstract</x:v>
      </x:c>
      <x:c r="H259" s="106" t="str">
        <x:v>https://vip.stock.finance.sina.com.cn/corp/go.php/vFD_FinancialGuideLine/stockid/600036/ctrl/2026/displaytype/4.phtml</x:v>
      </x:c>
      <x:c r="I259" s="106"/>
      <x:c r="J259" s="106"/>
      <x:c r="K259" s="121" t="str">
        <x:v>2026-09-03 03:36:07.118509+00:00</x:v>
      </x:c>
      <x:c r="L259" s="121"/>
      <x:c r="M259" s="106" t="str">
        <x:v>akshare-financial-v2-sina-abstract</x:v>
      </x:c>
      <x:c r="N259" s="106" t="str">
        <x:v>cfaaf3ba8ad1b0ea5f37a7ebe64e22877adb7cd88e3a2fe5e394a267fe2e4971</x:v>
      </x:c>
      <x:c r="O259" s="113"/>
      <x:c r="P259" s="106" t="str">
        <x:v>pending</x:v>
      </x:c>
      <x:c r="Q259" s="106" t="str">
        <x:v>否</x:v>
      </x:c>
      <x:c r="R259" s="106" t="str">
        <x:v>由本地 Agent 同步</x:v>
      </x:c>
      <x:c r="S259" s="86"/>
      <x:c r="T259" s="86"/>
      <x:c r="U259" s="86"/>
      <x:c r="V259" s="86"/>
      <x:c r="W259" s="86"/>
      <x:c r="X259" s="86"/>
      <x:c r="Y259" s="86"/>
      <x:c r="Z259" s="86"/>
    </x:row>
    <x:row r="260">
      <x:c r="A260" s="106" t="str">
        <x:v>8b9ed6a9-dba5-48d9-ade2-4394848b93be</x:v>
      </x:c>
      <x:c r="B260" s="106" t="str">
        <x:v>600036</x:v>
      </x:c>
      <x:c r="C260" s="106" t="str">
        <x:v>net_income</x:v>
      </x:c>
      <x:c r="D260" s="106" t="str">
        <x:v>2026-06-30</x:v>
      </x:c>
      <x:c r="E260" s="106" t="n">
        <x:v>764.45</x:v>
      </x:c>
      <x:c r="F260" s="106" t="str">
        <x:v>CNY 100M</x:v>
      </x:c>
      <x:c r="G260" s="106" t="str">
        <x:v>AkShare / Sina financial abstract</x:v>
      </x:c>
      <x:c r="H260" s="106" t="str">
        <x:v>https://vip.stock.finance.sina.com.cn/corp/go.php/vFD_FinancialGuideLine/stockid/600036/ctrl/2026/displaytype/4.phtml</x:v>
      </x:c>
      <x:c r="I260" s="106"/>
      <x:c r="J260" s="106"/>
      <x:c r="K260" s="121" t="str">
        <x:v>2026-09-03 03:36:07.118509+00:00</x:v>
      </x:c>
      <x:c r="L260" s="121"/>
      <x:c r="M260" s="106" t="str">
        <x:v>akshare-financial-v2-sina-abstract</x:v>
      </x:c>
      <x:c r="N260" s="106" t="str">
        <x:v>cfaaf3ba8ad1b0ea5f37a7ebe64e22877adb7cd88e3a2fe5e394a267fe2e4971</x:v>
      </x:c>
      <x:c r="O260" s="113"/>
      <x:c r="P260" s="106" t="str">
        <x:v>pending</x:v>
      </x:c>
      <x:c r="Q260" s="106" t="str">
        <x:v>否</x:v>
      </x:c>
      <x:c r="R260" s="106" t="str">
        <x:v>由本地 Agent 同步</x:v>
      </x:c>
      <x:c r="S260" s="86"/>
      <x:c r="T260" s="86"/>
      <x:c r="U260" s="86"/>
      <x:c r="V260" s="86"/>
      <x:c r="W260" s="86"/>
      <x:c r="X260" s="86"/>
      <x:c r="Y260" s="86"/>
      <x:c r="Z260" s="86"/>
    </x:row>
    <x:row r="261">
      <x:c r="A261" s="106" t="str">
        <x:v>8b9ed6a9-dba5-48d9-ade2-4394848b93be</x:v>
      </x:c>
      <x:c r="B261" s="106" t="str">
        <x:v>600036</x:v>
      </x:c>
      <x:c r="C261" s="106" t="str">
        <x:v>operating_cash_flow</x:v>
      </x:c>
      <x:c r="D261" s="106" t="str">
        <x:v>2026-06-30</x:v>
      </x:c>
      <x:c r="E261" s="106" t="n">
        <x:v>3046.11</x:v>
      </x:c>
      <x:c r="F261" s="106" t="str">
        <x:v>CNY 100M</x:v>
      </x:c>
      <x:c r="G261" s="106" t="str">
        <x:v>AkShare / Sina financial abstract</x:v>
      </x:c>
      <x:c r="H261" s="106" t="str">
        <x:v>https://vip.stock.finance.sina.com.cn/corp/go.php/vFD_FinancialGuideLine/stockid/600036/ctrl/2026/displaytype/4.phtml</x:v>
      </x:c>
      <x:c r="I261" s="106"/>
      <x:c r="J261" s="106"/>
      <x:c r="K261" s="121" t="str">
        <x:v>2026-09-03 03:36:07.118509+00:00</x:v>
      </x:c>
      <x:c r="L261" s="121"/>
      <x:c r="M261" s="106" t="str">
        <x:v>akshare-financial-v2-sina-abstract</x:v>
      </x:c>
      <x:c r="N261" s="106" t="str">
        <x:v>cfaaf3ba8ad1b0ea5f37a7ebe64e22877adb7cd88e3a2fe5e394a267fe2e4971</x:v>
      </x:c>
      <x:c r="O261" s="113"/>
      <x:c r="P261" s="106" t="str">
        <x:v>pending</x:v>
      </x:c>
      <x:c r="Q261" s="106" t="str">
        <x:v>否</x:v>
      </x:c>
      <x:c r="R261" s="106" t="str">
        <x:v>由本地 Agent 同步</x:v>
      </x:c>
      <x:c r="S261" s="86"/>
      <x:c r="T261" s="86"/>
      <x:c r="U261" s="86"/>
      <x:c r="V261" s="86"/>
      <x:c r="W261" s="86"/>
      <x:c r="X261" s="86"/>
      <x:c r="Y261" s="86"/>
      <x:c r="Z261" s="86"/>
    </x:row>
    <x:row r="262">
      <x:c r="A262" s="106" t="str">
        <x:v>fb92f68c-1313-4134-9c45-12de60a2421d</x:v>
      </x:c>
      <x:c r="B262" s="106" t="str">
        <x:v>601288</x:v>
      </x:c>
      <x:c r="C262" s="106" t="str">
        <x:v>revenue</x:v>
      </x:c>
      <x:c r="D262" s="106" t="str">
        <x:v>2026-06-30</x:v>
      </x:c>
      <x:c r="E262" s="106" t="n">
        <x:v>4108.71</x:v>
      </x:c>
      <x:c r="F262" s="106" t="str">
        <x:v>CNY 100M</x:v>
      </x:c>
      <x:c r="G262" s="106" t="str">
        <x:v>AkShare / Sina financial abstract</x:v>
      </x:c>
      <x:c r="H262" s="106" t="str">
        <x:v>https://vip.stock.finance.sina.com.cn/corp/go.php/vFD_FinancialGuideLine/stockid/601288/ctrl/2026/displaytype/4.phtml</x:v>
      </x:c>
      <x:c r="I262" s="106"/>
      <x:c r="J262" s="106"/>
      <x:c r="K262" s="121" t="str">
        <x:v>2026-09-03 03:36:07.118509+00:00</x:v>
      </x:c>
      <x:c r="L262" s="121"/>
      <x:c r="M262" s="106" t="str">
        <x:v>akshare-financial-v2-sina-abstract</x:v>
      </x:c>
      <x:c r="N262" s="106" t="str">
        <x:v>c425f186b7d369cc0f9e8cebddf884924f54abd8c9f612ab737f0bf0bdddf510</x:v>
      </x:c>
      <x:c r="O262" s="113"/>
      <x:c r="P262" s="106" t="str">
        <x:v>pending</x:v>
      </x:c>
      <x:c r="Q262" s="106" t="str">
        <x:v>否</x:v>
      </x:c>
      <x:c r="R262" s="106" t="str">
        <x:v>由本地 Agent 同步</x:v>
      </x:c>
      <x:c r="S262" s="86"/>
      <x:c r="T262" s="86"/>
      <x:c r="U262" s="86"/>
      <x:c r="V262" s="86"/>
      <x:c r="W262" s="86"/>
      <x:c r="X262" s="86"/>
      <x:c r="Y262" s="86"/>
      <x:c r="Z262" s="86"/>
    </x:row>
    <x:row r="263">
      <x:c r="A263" s="106" t="str">
        <x:v>fb92f68c-1313-4134-9c45-12de60a2421d</x:v>
      </x:c>
      <x:c r="B263" s="106" t="str">
        <x:v>601288</x:v>
      </x:c>
      <x:c r="C263" s="106" t="str">
        <x:v>net_income</x:v>
      </x:c>
      <x:c r="D263" s="106" t="str">
        <x:v>2026-06-30</x:v>
      </x:c>
      <x:c r="E263" s="106" t="n">
        <x:v>1463.81</x:v>
      </x:c>
      <x:c r="F263" s="106" t="str">
        <x:v>CNY 100M</x:v>
      </x:c>
      <x:c r="G263" s="106" t="str">
        <x:v>AkShare / Sina financial abstract</x:v>
      </x:c>
      <x:c r="H263" s="106" t="str">
        <x:v>https://vip.stock.finance.sina.com.cn/corp/go.php/vFD_FinancialGuideLine/stockid/601288/ctrl/2026/displaytype/4.phtml</x:v>
      </x:c>
      <x:c r="I263" s="106"/>
      <x:c r="J263" s="106"/>
      <x:c r="K263" s="121" t="str">
        <x:v>2026-09-03 03:36:07.118509+00:00</x:v>
      </x:c>
      <x:c r="L263" s="121"/>
      <x:c r="M263" s="106" t="str">
        <x:v>akshare-financial-v2-sina-abstract</x:v>
      </x:c>
      <x:c r="N263" s="106" t="str">
        <x:v>c425f186b7d369cc0f9e8cebddf884924f54abd8c9f612ab737f0bf0bdddf510</x:v>
      </x:c>
      <x:c r="O263" s="113"/>
      <x:c r="P263" s="106" t="str">
        <x:v>pending</x:v>
      </x:c>
      <x:c r="Q263" s="106" t="str">
        <x:v>否</x:v>
      </x:c>
      <x:c r="R263" s="106" t="str">
        <x:v>由本地 Agent 同步</x:v>
      </x:c>
      <x:c r="S263" s="86"/>
      <x:c r="T263" s="86"/>
      <x:c r="U263" s="86"/>
      <x:c r="V263" s="86"/>
      <x:c r="W263" s="86"/>
      <x:c r="X263" s="86"/>
      <x:c r="Y263" s="86"/>
      <x:c r="Z263" s="86"/>
    </x:row>
    <x:row r="264">
      <x:c r="A264" s="106" t="str">
        <x:v>fb92f68c-1313-4134-9c45-12de60a2421d</x:v>
      </x:c>
      <x:c r="B264" s="106" t="str">
        <x:v>601288</x:v>
      </x:c>
      <x:c r="C264" s="106" t="str">
        <x:v>operating_cash_flow</x:v>
      </x:c>
      <x:c r="D264" s="106" t="str">
        <x:v>2026-06-30</x:v>
      </x:c>
      <x:c r="E264" s="106" t="n">
        <x:v>2876.12</x:v>
      </x:c>
      <x:c r="F264" s="106" t="str">
        <x:v>CNY 100M</x:v>
      </x:c>
      <x:c r="G264" s="106" t="str">
        <x:v>AkShare / Sina financial abstract</x:v>
      </x:c>
      <x:c r="H264" s="106" t="str">
        <x:v>https://vip.stock.finance.sina.com.cn/corp/go.php/vFD_FinancialGuideLine/stockid/601288/ctrl/2026/displaytype/4.phtml</x:v>
      </x:c>
      <x:c r="I264" s="106"/>
      <x:c r="J264" s="106"/>
      <x:c r="K264" s="121" t="str">
        <x:v>2026-09-03 03:36:07.118509+00:00</x:v>
      </x:c>
      <x:c r="L264" s="121"/>
      <x:c r="M264" s="106" t="str">
        <x:v>akshare-financial-v2-sina-abstract</x:v>
      </x:c>
      <x:c r="N264" s="106" t="str">
        <x:v>c425f186b7d369cc0f9e8cebddf884924f54abd8c9f612ab737f0bf0bdddf510</x:v>
      </x:c>
      <x:c r="O264" s="113"/>
      <x:c r="P264" s="106" t="str">
        <x:v>pending</x:v>
      </x:c>
      <x:c r="Q264" s="106" t="str">
        <x:v>否</x:v>
      </x:c>
      <x:c r="R264" s="106" t="str">
        <x:v>由本地 Agent 同步</x:v>
      </x:c>
      <x:c r="S264" s="86"/>
      <x:c r="T264" s="86"/>
      <x:c r="U264" s="86"/>
      <x:c r="V264" s="86"/>
      <x:c r="W264" s="86"/>
      <x:c r="X264" s="86"/>
      <x:c r="Y264" s="86"/>
      <x:c r="Z264" s="86"/>
    </x:row>
    <x:row r="265">
      <x:c r="A265" s="106" t="str">
        <x:v>be5ed273-6289-4154-89c3-fa0365bb9127</x:v>
      </x:c>
      <x:c r="B265" s="106" t="str">
        <x:v>601088</x:v>
      </x:c>
      <x:c r="C265" s="106" t="str">
        <x:v>revenue</x:v>
      </x:c>
      <x:c r="D265" s="106" t="str">
        <x:v>2026-06-30</x:v>
      </x:c>
      <x:c r="E265" s="106" t="n">
        <x:v>1893.38</x:v>
      </x:c>
      <x:c r="F265" s="106" t="str">
        <x:v>CNY 100M</x:v>
      </x:c>
      <x:c r="G265" s="106" t="str">
        <x:v>AkShare / Sina financial abstract</x:v>
      </x:c>
      <x:c r="H265" s="106" t="str">
        <x:v>https://vip.stock.finance.sina.com.cn/corp/go.php/vFD_FinancialGuideLine/stockid/601088/ctrl/2026/displaytype/4.phtml</x:v>
      </x:c>
      <x:c r="I265" s="106"/>
      <x:c r="J265" s="106"/>
      <x:c r="K265" s="121" t="str">
        <x:v>2026-09-03 03:36:07.118509+00:00</x:v>
      </x:c>
      <x:c r="L265" s="121"/>
      <x:c r="M265" s="106" t="str">
        <x:v>akshare-financial-v2-sina-abstract</x:v>
      </x:c>
      <x:c r="N265" s="106" t="str">
        <x:v>b57998c0f58a0b9f9a7ff6b3bff9719b77318940ffba74954f11bc7a01ab3803</x:v>
      </x:c>
      <x:c r="O265" s="113"/>
      <x:c r="P265" s="106" t="str">
        <x:v>pending</x:v>
      </x:c>
      <x:c r="Q265" s="106" t="str">
        <x:v>否</x:v>
      </x:c>
      <x:c r="R265" s="106" t="str">
        <x:v>由本地 Agent 同步</x:v>
      </x:c>
      <x:c r="S265" s="86"/>
      <x:c r="T265" s="86"/>
      <x:c r="U265" s="86"/>
      <x:c r="V265" s="86"/>
      <x:c r="W265" s="86"/>
      <x:c r="X265" s="86"/>
      <x:c r="Y265" s="86"/>
      <x:c r="Z265" s="86"/>
    </x:row>
    <x:row r="266">
      <x:c r="A266" s="106" t="str">
        <x:v>be5ed273-6289-4154-89c3-fa0365bb9127</x:v>
      </x:c>
      <x:c r="B266" s="106" t="str">
        <x:v>601088</x:v>
      </x:c>
      <x:c r="C266" s="106" t="str">
        <x:v>net_income</x:v>
      </x:c>
      <x:c r="D266" s="106" t="str">
        <x:v>2026-06-30</x:v>
      </x:c>
      <x:c r="E266" s="106" t="n">
        <x:v>287.15</x:v>
      </x:c>
      <x:c r="F266" s="106" t="str">
        <x:v>CNY 100M</x:v>
      </x:c>
      <x:c r="G266" s="106" t="str">
        <x:v>AkShare / Sina financial abstract</x:v>
      </x:c>
      <x:c r="H266" s="106" t="str">
        <x:v>https://vip.stock.finance.sina.com.cn/corp/go.php/vFD_FinancialGuideLine/stockid/601088/ctrl/2026/displaytype/4.phtml</x:v>
      </x:c>
      <x:c r="I266" s="106"/>
      <x:c r="J266" s="106"/>
      <x:c r="K266" s="121" t="str">
        <x:v>2026-09-03 03:36:07.118509+00:00</x:v>
      </x:c>
      <x:c r="L266" s="121"/>
      <x:c r="M266" s="106" t="str">
        <x:v>akshare-financial-v2-sina-abstract</x:v>
      </x:c>
      <x:c r="N266" s="106" t="str">
        <x:v>b57998c0f58a0b9f9a7ff6b3bff9719b77318940ffba74954f11bc7a01ab3803</x:v>
      </x:c>
      <x:c r="O266" s="113"/>
      <x:c r="P266" s="106" t="str">
        <x:v>pending</x:v>
      </x:c>
      <x:c r="Q266" s="106" t="str">
        <x:v>否</x:v>
      </x:c>
      <x:c r="R266" s="106" t="str">
        <x:v>由本地 Agent 同步</x:v>
      </x:c>
      <x:c r="S266" s="86"/>
      <x:c r="T266" s="86"/>
      <x:c r="U266" s="86"/>
      <x:c r="V266" s="86"/>
      <x:c r="W266" s="86"/>
      <x:c r="X266" s="86"/>
      <x:c r="Y266" s="86"/>
      <x:c r="Z266" s="86"/>
    </x:row>
    <x:row r="267">
      <x:c r="A267" s="106" t="str">
        <x:v>be5ed273-6289-4154-89c3-fa0365bb9127</x:v>
      </x:c>
      <x:c r="B267" s="106" t="str">
        <x:v>601088</x:v>
      </x:c>
      <x:c r="C267" s="106" t="str">
        <x:v>operating_cash_flow</x:v>
      </x:c>
      <x:c r="D267" s="106" t="str">
        <x:v>2026-06-30</x:v>
      </x:c>
      <x:c r="E267" s="106" t="n">
        <x:v>546.64</x:v>
      </x:c>
      <x:c r="F267" s="106" t="str">
        <x:v>CNY 100M</x:v>
      </x:c>
      <x:c r="G267" s="106" t="str">
        <x:v>AkShare / Sina financial abstract</x:v>
      </x:c>
      <x:c r="H267" s="106" t="str">
        <x:v>https://vip.stock.finance.sina.com.cn/corp/go.php/vFD_FinancialGuideLine/stockid/601088/ctrl/2026/displaytype/4.phtml</x:v>
      </x:c>
      <x:c r="I267" s="106"/>
      <x:c r="J267" s="106"/>
      <x:c r="K267" s="121" t="str">
        <x:v>2026-09-03 03:36:07.118509+00:00</x:v>
      </x:c>
      <x:c r="L267" s="121"/>
      <x:c r="M267" s="106" t="str">
        <x:v>akshare-financial-v2-sina-abstract</x:v>
      </x:c>
      <x:c r="N267" s="106" t="str">
        <x:v>b57998c0f58a0b9f9a7ff6b3bff9719b77318940ffba74954f11bc7a01ab3803</x:v>
      </x:c>
      <x:c r="O267" s="113"/>
      <x:c r="P267" s="106" t="str">
        <x:v>pending</x:v>
      </x:c>
      <x:c r="Q267" s="106" t="str">
        <x:v>否</x:v>
      </x:c>
      <x:c r="R267" s="106" t="str">
        <x:v>由本地 Agent 同步</x:v>
      </x:c>
      <x:c r="S267" s="86"/>
      <x:c r="T267" s="86"/>
      <x:c r="U267" s="86"/>
      <x:c r="V267" s="86"/>
      <x:c r="W267" s="86"/>
      <x:c r="X267" s="86"/>
      <x:c r="Y267" s="86"/>
      <x:c r="Z267" s="86"/>
    </x:row>
    <x:row r="268">
      <x:c r="A268" s="106" t="str">
        <x:v>be5ed273-6289-4154-89c3-fa0365bb9127</x:v>
      </x:c>
      <x:c r="B268" s="106" t="str">
        <x:v>601088</x:v>
      </x:c>
      <x:c r="C268" s="106" t="str">
        <x:v>fcf_per_share</x:v>
      </x:c>
      <x:c r="D268" s="106" t="str">
        <x:v>2026-06-30</x:v>
      </x:c>
      <x:c r="E268" s="106" t="n">
        <x:v>4.258886</x:v>
      </x:c>
      <x:c r="F268" s="106" t="str">
        <x:v>CNY/share</x:v>
      </x:c>
      <x:c r="G268" s="106" t="str">
        <x:v>AkShare / Sina financial abstract</x:v>
      </x:c>
      <x:c r="H268" s="106" t="str">
        <x:v>https://vip.stock.finance.sina.com.cn/corp/go.php/vFD_FinancialGuideLine/stockid/601088/ctrl/2026/displaytype/4.phtml</x:v>
      </x:c>
      <x:c r="I268" s="106"/>
      <x:c r="J268" s="106"/>
      <x:c r="K268" s="121" t="str">
        <x:v>2026-09-03 03:36:07.118509+00:00</x:v>
      </x:c>
      <x:c r="L268" s="121"/>
      <x:c r="M268" s="106" t="str">
        <x:v>akshare-financial-v2-sina-abstract</x:v>
      </x:c>
      <x:c r="N268" s="106" t="str">
        <x:v>b57998c0f58a0b9f9a7ff6b3bff9719b77318940ffba74954f11bc7a01ab3803</x:v>
      </x:c>
      <x:c r="O268" s="113"/>
      <x:c r="P268" s="106" t="str">
        <x:v>pending</x:v>
      </x:c>
      <x:c r="Q268" s="106" t="str">
        <x:v>否</x:v>
      </x:c>
      <x:c r="R268" s="106" t="str">
        <x:v>由本地 Agent 同步</x:v>
      </x:c>
      <x:c r="S268" s="86"/>
      <x:c r="T268" s="86"/>
      <x:c r="U268" s="86"/>
      <x:c r="V268" s="86"/>
      <x:c r="W268" s="86"/>
      <x:c r="X268" s="86"/>
      <x:c r="Y268" s="86"/>
      <x:c r="Z268" s="86"/>
    </x:row>
    <x:row r="269">
      <x:c r="A269" s="106" t="str">
        <x:v>be5ed273-6289-4154-89c3-fa0365bb9127</x:v>
      </x:c>
      <x:c r="B269" s="106" t="str">
        <x:v>601088</x:v>
      </x:c>
      <x:c r="C269" s="106" t="str">
        <x:v>roic</x:v>
      </x:c>
      <x:c r="D269" s="106" t="str">
        <x:v>2026-06-30</x:v>
      </x:c>
      <x:c r="E269" s="106" t="n">
        <x:v>4.854236</x:v>
      </x:c>
      <x:c r="F269" s="106" t="str">
        <x:v>percent</x:v>
      </x:c>
      <x:c r="G269" s="106" t="str">
        <x:v>AkShare / Sina financial abstract</x:v>
      </x:c>
      <x:c r="H269" s="106" t="str">
        <x:v>https://vip.stock.finance.sina.com.cn/corp/go.php/vFD_FinancialGuideLine/stockid/601088/ctrl/2026/displaytype/4.phtml</x:v>
      </x:c>
      <x:c r="I269" s="106"/>
      <x:c r="J269" s="106"/>
      <x:c r="K269" s="121" t="str">
        <x:v>2026-09-03 03:36:07.118509+00:00</x:v>
      </x:c>
      <x:c r="L269" s="121"/>
      <x:c r="M269" s="106" t="str">
        <x:v>akshare-financial-v2-sina-abstract</x:v>
      </x:c>
      <x:c r="N269" s="106" t="str">
        <x:v>b57998c0f58a0b9f9a7ff6b3bff9719b77318940ffba74954f11bc7a01ab3803</x:v>
      </x:c>
      <x:c r="O269" s="113"/>
      <x:c r="P269" s="106" t="str">
        <x:v>pending</x:v>
      </x:c>
      <x:c r="Q269" s="106" t="str">
        <x:v>否</x:v>
      </x:c>
      <x:c r="R269" s="106" t="str">
        <x:v>由本地 Agent 同步</x:v>
      </x:c>
      <x:c r="S269" s="86"/>
      <x:c r="T269" s="86"/>
      <x:c r="U269" s="86"/>
      <x:c r="V269" s="86"/>
      <x:c r="W269" s="86"/>
      <x:c r="X269" s="86"/>
      <x:c r="Y269" s="86"/>
      <x:c r="Z269" s="86"/>
    </x:row>
    <x:row r="270">
      <x:c r="A270" s="106" t="str">
        <x:v>3d8842f5-7b02-4dd3-ad1e-86bd70b61fd5</x:v>
      </x:c>
      <x:c r="B270" s="106" t="str">
        <x:v>600690</x:v>
      </x:c>
      <x:c r="C270" s="106" t="str">
        <x:v>revenue</x:v>
      </x:c>
      <x:c r="D270" s="106" t="str">
        <x:v>2026-06-30</x:v>
      </x:c>
      <x:c r="E270" s="106" t="n">
        <x:v>1521.1505023763</x:v>
      </x:c>
      <x:c r="F270" s="106" t="str">
        <x:v>CNY 100M</x:v>
      </x:c>
      <x:c r="G270" s="106" t="str">
        <x:v>AkShare / Sina financial abstract</x:v>
      </x:c>
      <x:c r="H270" s="106" t="str">
        <x:v>https://vip.stock.finance.sina.com.cn/corp/go.php/vFD_FinancialGuideLine/stockid/600690/ctrl/2026/displaytype/4.phtml</x:v>
      </x:c>
      <x:c r="I270" s="106"/>
      <x:c r="J270" s="106"/>
      <x:c r="K270" s="121" t="str">
        <x:v>2026-09-03 03:36:07.118509+00:00</x:v>
      </x:c>
      <x:c r="L270" s="121"/>
      <x:c r="M270" s="106" t="str">
        <x:v>akshare-financial-v2-sina-abstract</x:v>
      </x:c>
      <x:c r="N270" s="106" t="str">
        <x:v>1189f5e3a10c702769dcb8f1a6e5ae758e6ee78c5a169adb63c01e05bfd16c08</x:v>
      </x:c>
      <x:c r="O270" s="113"/>
      <x:c r="P270" s="106" t="str">
        <x:v>pending</x:v>
      </x:c>
      <x:c r="Q270" s="106" t="str">
        <x:v>否</x:v>
      </x:c>
      <x:c r="R270" s="106" t="str">
        <x:v>由本地 Agent 同步</x:v>
      </x:c>
      <x:c r="S270" s="86"/>
      <x:c r="T270" s="86"/>
      <x:c r="U270" s="86"/>
      <x:c r="V270" s="86"/>
      <x:c r="W270" s="86"/>
      <x:c r="X270" s="86"/>
      <x:c r="Y270" s="86"/>
      <x:c r="Z270" s="86"/>
    </x:row>
    <x:row r="271">
      <x:c r="A271" s="106" t="str">
        <x:v>3d8842f5-7b02-4dd3-ad1e-86bd70b61fd5</x:v>
      </x:c>
      <x:c r="B271" s="106" t="str">
        <x:v>600690</x:v>
      </x:c>
      <x:c r="C271" s="106" t="str">
        <x:v>net_income</x:v>
      </x:c>
      <x:c r="D271" s="106" t="str">
        <x:v>2026-06-30</x:v>
      </x:c>
      <x:c r="E271" s="106" t="n">
        <x:v>103.1625494626</x:v>
      </x:c>
      <x:c r="F271" s="106" t="str">
        <x:v>CNY 100M</x:v>
      </x:c>
      <x:c r="G271" s="106" t="str">
        <x:v>AkShare / Sina financial abstract</x:v>
      </x:c>
      <x:c r="H271" s="106" t="str">
        <x:v>https://vip.stock.finance.sina.com.cn/corp/go.php/vFD_FinancialGuideLine/stockid/600690/ctrl/2026/displaytype/4.phtml</x:v>
      </x:c>
      <x:c r="I271" s="106"/>
      <x:c r="J271" s="106"/>
      <x:c r="K271" s="121" t="str">
        <x:v>2026-09-03 03:36:07.118509+00:00</x:v>
      </x:c>
      <x:c r="L271" s="121"/>
      <x:c r="M271" s="106" t="str">
        <x:v>akshare-financial-v2-sina-abstract</x:v>
      </x:c>
      <x:c r="N271" s="106" t="str">
        <x:v>1189f5e3a10c702769dcb8f1a6e5ae758e6ee78c5a169adb63c01e05bfd16c08</x:v>
      </x:c>
      <x:c r="O271" s="113"/>
      <x:c r="P271" s="106" t="str">
        <x:v>pending</x:v>
      </x:c>
      <x:c r="Q271" s="106" t="str">
        <x:v>否</x:v>
      </x:c>
      <x:c r="R271" s="106" t="str">
        <x:v>由本地 Agent 同步</x:v>
      </x:c>
      <x:c r="S271" s="86"/>
      <x:c r="T271" s="86"/>
      <x:c r="U271" s="86"/>
      <x:c r="V271" s="86"/>
      <x:c r="W271" s="86"/>
      <x:c r="X271" s="86"/>
      <x:c r="Y271" s="86"/>
      <x:c r="Z271" s="86"/>
    </x:row>
    <x:row r="272">
      <x:c r="A272" s="106" t="str">
        <x:v>3d8842f5-7b02-4dd3-ad1e-86bd70b61fd5</x:v>
      </x:c>
      <x:c r="B272" s="106" t="str">
        <x:v>600690</x:v>
      </x:c>
      <x:c r="C272" s="106" t="str">
        <x:v>operating_cash_flow</x:v>
      </x:c>
      <x:c r="D272" s="106" t="str">
        <x:v>2026-06-30</x:v>
      </x:c>
      <x:c r="E272" s="106" t="n">
        <x:v>97.5203397771</x:v>
      </x:c>
      <x:c r="F272" s="106" t="str">
        <x:v>CNY 100M</x:v>
      </x:c>
      <x:c r="G272" s="106" t="str">
        <x:v>AkShare / Sina financial abstract</x:v>
      </x:c>
      <x:c r="H272" s="106" t="str">
        <x:v>https://vip.stock.finance.sina.com.cn/corp/go.php/vFD_FinancialGuideLine/stockid/600690/ctrl/2026/displaytype/4.phtml</x:v>
      </x:c>
      <x:c r="I272" s="106"/>
      <x:c r="J272" s="106"/>
      <x:c r="K272" s="121" t="str">
        <x:v>2026-09-03 03:36:07.118509+00:00</x:v>
      </x:c>
      <x:c r="L272" s="121"/>
      <x:c r="M272" s="106" t="str">
        <x:v>akshare-financial-v2-sina-abstract</x:v>
      </x:c>
      <x:c r="N272" s="106" t="str">
        <x:v>1189f5e3a10c702769dcb8f1a6e5ae758e6ee78c5a169adb63c01e05bfd16c08</x:v>
      </x:c>
      <x:c r="O272" s="113"/>
      <x:c r="P272" s="106" t="str">
        <x:v>pending</x:v>
      </x:c>
      <x:c r="Q272" s="106" t="str">
        <x:v>否</x:v>
      </x:c>
      <x:c r="R272" s="106" t="str">
        <x:v>由本地 Agent 同步</x:v>
      </x:c>
      <x:c r="S272" s="86"/>
      <x:c r="T272" s="86"/>
      <x:c r="U272" s="86"/>
      <x:c r="V272" s="86"/>
      <x:c r="W272" s="86"/>
      <x:c r="X272" s="86"/>
      <x:c r="Y272" s="86"/>
      <x:c r="Z272" s="86"/>
    </x:row>
    <x:row r="273">
      <x:c r="A273" s="106" t="str">
        <x:v>3d8842f5-7b02-4dd3-ad1e-86bd70b61fd5</x:v>
      </x:c>
      <x:c r="B273" s="106" t="str">
        <x:v>600690</x:v>
      </x:c>
      <x:c r="C273" s="106" t="str">
        <x:v>fcf_per_share</x:v>
      </x:c>
      <x:c r="D273" s="106" t="str">
        <x:v>2026-06-30</x:v>
      </x:c>
      <x:c r="E273" s="106" t="n">
        <x:v>0.173485</x:v>
      </x:c>
      <x:c r="F273" s="106" t="str">
        <x:v>CNY/share</x:v>
      </x:c>
      <x:c r="G273" s="106" t="str">
        <x:v>AkShare / Sina financial abstract</x:v>
      </x:c>
      <x:c r="H273" s="106" t="str">
        <x:v>https://vip.stock.finance.sina.com.cn/corp/go.php/vFD_FinancialGuideLine/stockid/600690/ctrl/2026/displaytype/4.phtml</x:v>
      </x:c>
      <x:c r="I273" s="106"/>
      <x:c r="J273" s="106"/>
      <x:c r="K273" s="121" t="str">
        <x:v>2026-09-03 03:36:07.118509+00:00</x:v>
      </x:c>
      <x:c r="L273" s="121"/>
      <x:c r="M273" s="106" t="str">
        <x:v>akshare-financial-v2-sina-abstract</x:v>
      </x:c>
      <x:c r="N273" s="106" t="str">
        <x:v>1189f5e3a10c702769dcb8f1a6e5ae758e6ee78c5a169adb63c01e05bfd16c08</x:v>
      </x:c>
      <x:c r="O273" s="113"/>
      <x:c r="P273" s="106" t="str">
        <x:v>pending</x:v>
      </x:c>
      <x:c r="Q273" s="106" t="str">
        <x:v>否</x:v>
      </x:c>
      <x:c r="R273" s="106" t="str">
        <x:v>由本地 Agent 同步</x:v>
      </x:c>
      <x:c r="S273" s="86"/>
      <x:c r="T273" s="86"/>
      <x:c r="U273" s="86"/>
      <x:c r="V273" s="86"/>
      <x:c r="W273" s="86"/>
      <x:c r="X273" s="86"/>
      <x:c r="Y273" s="86"/>
      <x:c r="Z273" s="86"/>
    </x:row>
    <x:row r="274">
      <x:c r="A274" s="106" t="str">
        <x:v>3d8842f5-7b02-4dd3-ad1e-86bd70b61fd5</x:v>
      </x:c>
      <x:c r="B274" s="106" t="str">
        <x:v>600690</x:v>
      </x:c>
      <x:c r="C274" s="106" t="str">
        <x:v>roic</x:v>
      </x:c>
      <x:c r="D274" s="106" t="str">
        <x:v>2026-06-30</x:v>
      </x:c>
      <x:c r="E274" s="106" t="n">
        <x:v>6.82151</x:v>
      </x:c>
      <x:c r="F274" s="106" t="str">
        <x:v>percent</x:v>
      </x:c>
      <x:c r="G274" s="106" t="str">
        <x:v>AkShare / Sina financial abstract</x:v>
      </x:c>
      <x:c r="H274" s="106" t="str">
        <x:v>https://vip.stock.finance.sina.com.cn/corp/go.php/vFD_FinancialGuideLine/stockid/600690/ctrl/2026/displaytype/4.phtml</x:v>
      </x:c>
      <x:c r="I274" s="106"/>
      <x:c r="J274" s="106"/>
      <x:c r="K274" s="121" t="str">
        <x:v>2026-09-03 03:36:07.118509+00:00</x:v>
      </x:c>
      <x:c r="L274" s="121"/>
      <x:c r="M274" s="106" t="str">
        <x:v>akshare-financial-v2-sina-abstract</x:v>
      </x:c>
      <x:c r="N274" s="106" t="str">
        <x:v>1189f5e3a10c702769dcb8f1a6e5ae758e6ee78c5a169adb63c01e05bfd16c08</x:v>
      </x:c>
      <x:c r="O274" s="113"/>
      <x:c r="P274" s="106" t="str">
        <x:v>pending</x:v>
      </x:c>
      <x:c r="Q274" s="106" t="str">
        <x:v>否</x:v>
      </x:c>
      <x:c r="R274" s="106" t="str">
        <x:v>由本地 Agent 同步</x:v>
      </x:c>
      <x:c r="S274" s="86"/>
      <x:c r="T274" s="86"/>
      <x:c r="U274" s="86"/>
      <x:c r="V274" s="86"/>
      <x:c r="W274" s="86"/>
      <x:c r="X274" s="86"/>
      <x:c r="Y274" s="86"/>
      <x:c r="Z274" s="86"/>
    </x:row>
    <x:row r="275">
      <x:c r="A275" s="106" t="str">
        <x:v>546d1a12-e574-49d7-9a44-83d69df1567f</x:v>
      </x:c>
      <x:c r="B275" s="106" t="str">
        <x:v>300750</x:v>
      </x:c>
      <x:c r="C275" s="106" t="str">
        <x:v>revenue</x:v>
      </x:c>
      <x:c r="D275" s="106" t="str">
        <x:v>2026-06-30</x:v>
      </x:c>
      <x:c r="E275" s="106" t="n">
        <x:v>2769.1658</x:v>
      </x:c>
      <x:c r="F275" s="106" t="str">
        <x:v>CNY 100M</x:v>
      </x:c>
      <x:c r="G275" s="106" t="str">
        <x:v>AkShare / Sina financial abstract</x:v>
      </x:c>
      <x:c r="H275" s="106" t="str">
        <x:v>https://vip.stock.finance.sina.com.cn/corp/go.php/vFD_FinancialGuideLine/stockid/300750/ctrl/2026/displaytype/4.phtml</x:v>
      </x:c>
      <x:c r="I275" s="106"/>
      <x:c r="J275" s="106"/>
      <x:c r="K275" s="121" t="str">
        <x:v>2026-09-03 03:36:07.118509+00:00</x:v>
      </x:c>
      <x:c r="L275" s="121"/>
      <x:c r="M275" s="106" t="str">
        <x:v>akshare-financial-v2-sina-abstract</x:v>
      </x:c>
      <x:c r="N275" s="106" t="str">
        <x:v>25ef6fa173646c452bd9aebd816afd21bede5df50e03d5ffc99dbea1666e8753</x:v>
      </x:c>
      <x:c r="O275" s="113"/>
      <x:c r="P275" s="106" t="str">
        <x:v>pending</x:v>
      </x:c>
      <x:c r="Q275" s="106" t="str">
        <x:v>否</x:v>
      </x:c>
      <x:c r="R275" s="106" t="str">
        <x:v>由本地 Agent 同步</x:v>
      </x:c>
      <x:c r="S275" s="86"/>
      <x:c r="T275" s="86"/>
      <x:c r="U275" s="86"/>
      <x:c r="V275" s="86"/>
      <x:c r="W275" s="86"/>
      <x:c r="X275" s="86"/>
      <x:c r="Y275" s="86"/>
      <x:c r="Z275" s="86"/>
    </x:row>
    <x:row r="276">
      <x:c r="A276" s="106" t="str">
        <x:v>546d1a12-e574-49d7-9a44-83d69df1567f</x:v>
      </x:c>
      <x:c r="B276" s="106" t="str">
        <x:v>300750</x:v>
      </x:c>
      <x:c r="C276" s="106" t="str">
        <x:v>net_income</x:v>
      </x:c>
      <x:c r="D276" s="106" t="str">
        <x:v>2026-06-30</x:v>
      </x:c>
      <x:c r="E276" s="106" t="n">
        <x:v>432.84002</x:v>
      </x:c>
      <x:c r="F276" s="106" t="str">
        <x:v>CNY 100M</x:v>
      </x:c>
      <x:c r="G276" s="106" t="str">
        <x:v>AkShare / Sina financial abstract</x:v>
      </x:c>
      <x:c r="H276" s="106" t="str">
        <x:v>https://vip.stock.finance.sina.com.cn/corp/go.php/vFD_FinancialGuideLine/stockid/300750/ctrl/2026/displaytype/4.phtml</x:v>
      </x:c>
      <x:c r="I276" s="106"/>
      <x:c r="J276" s="106"/>
      <x:c r="K276" s="121" t="str">
        <x:v>2026-09-03 03:36:07.118509+00:00</x:v>
      </x:c>
      <x:c r="L276" s="121"/>
      <x:c r="M276" s="106" t="str">
        <x:v>akshare-financial-v2-sina-abstract</x:v>
      </x:c>
      <x:c r="N276" s="106" t="str">
        <x:v>25ef6fa173646c452bd9aebd816afd21bede5df50e03d5ffc99dbea1666e8753</x:v>
      </x:c>
      <x:c r="O276" s="113"/>
      <x:c r="P276" s="106" t="str">
        <x:v>pending</x:v>
      </x:c>
      <x:c r="Q276" s="106" t="str">
        <x:v>否</x:v>
      </x:c>
      <x:c r="R276" s="106" t="str">
        <x:v>由本地 Agent 同步</x:v>
      </x:c>
      <x:c r="S276" s="86"/>
      <x:c r="T276" s="86"/>
      <x:c r="U276" s="86"/>
      <x:c r="V276" s="86"/>
      <x:c r="W276" s="86"/>
      <x:c r="X276" s="86"/>
      <x:c r="Y276" s="86"/>
      <x:c r="Z276" s="86"/>
    </x:row>
    <x:row r="277">
      <x:c r="A277" s="106" t="str">
        <x:v>546d1a12-e574-49d7-9a44-83d69df1567f</x:v>
      </x:c>
      <x:c r="B277" s="106" t="str">
        <x:v>300750</x:v>
      </x:c>
      <x:c r="C277" s="106" t="str">
        <x:v>operating_cash_flow</x:v>
      </x:c>
      <x:c r="D277" s="106" t="str">
        <x:v>2026-06-30</x:v>
      </x:c>
      <x:c r="E277" s="106" t="n">
        <x:v>602.16851</x:v>
      </x:c>
      <x:c r="F277" s="106" t="str">
        <x:v>CNY 100M</x:v>
      </x:c>
      <x:c r="G277" s="106" t="str">
        <x:v>AkShare / Sina financial abstract</x:v>
      </x:c>
      <x:c r="H277" s="106" t="str">
        <x:v>https://vip.stock.finance.sina.com.cn/corp/go.php/vFD_FinancialGuideLine/stockid/300750/ctrl/2026/displaytype/4.phtml</x:v>
      </x:c>
      <x:c r="I277" s="106"/>
      <x:c r="J277" s="106"/>
      <x:c r="K277" s="121" t="str">
        <x:v>2026-09-03 03:36:07.118509+00:00</x:v>
      </x:c>
      <x:c r="L277" s="121"/>
      <x:c r="M277" s="106" t="str">
        <x:v>akshare-financial-v2-sina-abstract</x:v>
      </x:c>
      <x:c r="N277" s="106" t="str">
        <x:v>25ef6fa173646c452bd9aebd816afd21bede5df50e03d5ffc99dbea1666e8753</x:v>
      </x:c>
      <x:c r="O277" s="113"/>
      <x:c r="P277" s="106" t="str">
        <x:v>pending</x:v>
      </x:c>
      <x:c r="Q277" s="106" t="str">
        <x:v>否</x:v>
      </x:c>
      <x:c r="R277" s="106" t="str">
        <x:v>由本地 Agent 同步</x:v>
      </x:c>
      <x:c r="S277" s="86"/>
      <x:c r="T277" s="86"/>
      <x:c r="U277" s="86"/>
      <x:c r="V277" s="86"/>
      <x:c r="W277" s="86"/>
      <x:c r="X277" s="86"/>
      <x:c r="Y277" s="86"/>
      <x:c r="Z277" s="86"/>
    </x:row>
    <x:row r="278">
      <x:c r="A278" s="106" t="str">
        <x:v>546d1a12-e574-49d7-9a44-83d69df1567f</x:v>
      </x:c>
      <x:c r="B278" s="106" t="str">
        <x:v>300750</x:v>
      </x:c>
      <x:c r="C278" s="106" t="str">
        <x:v>fcf_per_share</x:v>
      </x:c>
      <x:c r="D278" s="106" t="str">
        <x:v>2026-06-30</x:v>
      </x:c>
      <x:c r="E278" s="106" t="n">
        <x:v>1.228456</x:v>
      </x:c>
      <x:c r="F278" s="106" t="str">
        <x:v>CNY/share</x:v>
      </x:c>
      <x:c r="G278" s="106" t="str">
        <x:v>AkShare / Sina financial abstract</x:v>
      </x:c>
      <x:c r="H278" s="106" t="str">
        <x:v>https://vip.stock.finance.sina.com.cn/corp/go.php/vFD_FinancialGuideLine/stockid/300750/ctrl/2026/displaytype/4.phtml</x:v>
      </x:c>
      <x:c r="I278" s="106"/>
      <x:c r="J278" s="106"/>
      <x:c r="K278" s="121" t="str">
        <x:v>2026-09-03 03:36:07.118509+00:00</x:v>
      </x:c>
      <x:c r="L278" s="121"/>
      <x:c r="M278" s="106" t="str">
        <x:v>akshare-financial-v2-sina-abstract</x:v>
      </x:c>
      <x:c r="N278" s="106" t="str">
        <x:v>25ef6fa173646c452bd9aebd816afd21bede5df50e03d5ffc99dbea1666e8753</x:v>
      </x:c>
      <x:c r="O278" s="113"/>
      <x:c r="P278" s="106" t="str">
        <x:v>pending</x:v>
      </x:c>
      <x:c r="Q278" s="106" t="str">
        <x:v>否</x:v>
      </x:c>
      <x:c r="R278" s="106" t="str">
        <x:v>由本地 Agent 同步</x:v>
      </x:c>
      <x:c r="S278" s="86"/>
      <x:c r="T278" s="86"/>
      <x:c r="U278" s="86"/>
      <x:c r="V278" s="86"/>
      <x:c r="W278" s="86"/>
      <x:c r="X278" s="86"/>
      <x:c r="Y278" s="86"/>
      <x:c r="Z278" s="86"/>
    </x:row>
    <x:row r="279">
      <x:c r="A279" s="106" t="str">
        <x:v>546d1a12-e574-49d7-9a44-83d69df1567f</x:v>
      </x:c>
      <x:c r="B279" s="106" t="str">
        <x:v>300750</x:v>
      </x:c>
      <x:c r="C279" s="106" t="str">
        <x:v>roic</x:v>
      </x:c>
      <x:c r="D279" s="106" t="str">
        <x:v>2026-06-30</x:v>
      </x:c>
      <x:c r="E279" s="106" t="n">
        <x:v>9.039937</x:v>
      </x:c>
      <x:c r="F279" s="106" t="str">
        <x:v>percent</x:v>
      </x:c>
      <x:c r="G279" s="106" t="str">
        <x:v>AkShare / Sina financial abstract</x:v>
      </x:c>
      <x:c r="H279" s="106" t="str">
        <x:v>https://vip.stock.finance.sina.com.cn/corp/go.php/vFD_FinancialGuideLine/stockid/300750/ctrl/2026/displaytype/4.phtml</x:v>
      </x:c>
      <x:c r="I279" s="106"/>
      <x:c r="J279" s="106"/>
      <x:c r="K279" s="121" t="str">
        <x:v>2026-09-03 03:36:07.118509+00:00</x:v>
      </x:c>
      <x:c r="L279" s="121"/>
      <x:c r="M279" s="106" t="str">
        <x:v>akshare-financial-v2-sina-abstract</x:v>
      </x:c>
      <x:c r="N279" s="106" t="str">
        <x:v>25ef6fa173646c452bd9aebd816afd21bede5df50e03d5ffc99dbea1666e8753</x:v>
      </x:c>
      <x:c r="O279" s="113"/>
      <x:c r="P279" s="106" t="str">
        <x:v>pending</x:v>
      </x:c>
      <x:c r="Q279" s="106" t="str">
        <x:v>否</x:v>
      </x:c>
      <x:c r="R279" s="106" t="str">
        <x:v>由本地 Agent 同步</x:v>
      </x:c>
      <x:c r="S279" s="86"/>
      <x:c r="T279" s="86"/>
      <x:c r="U279" s="86"/>
      <x:c r="V279" s="86"/>
      <x:c r="W279" s="86"/>
      <x:c r="X279" s="86"/>
      <x:c r="Y279" s="86"/>
      <x:c r="Z279" s="86"/>
    </x:row>
    <x:row r="280">
      <x:c r="A280" s="106" t="str">
        <x:v>74b55072-9480-41e2-a426-342ed36daa03</x:v>
      </x:c>
      <x:c r="B280" s="106" t="str">
        <x:v>600887</x:v>
      </x:c>
      <x:c r="C280" s="106" t="str">
        <x:v>revenue</x:v>
      </x:c>
      <x:c r="D280" s="106" t="str">
        <x:v>2026-06-30</x:v>
      </x:c>
      <x:c r="E280" s="106" t="n">
        <x:v>644.8971523616</x:v>
      </x:c>
      <x:c r="F280" s="106" t="str">
        <x:v>CNY 100M</x:v>
      </x:c>
      <x:c r="G280" s="106" t="str">
        <x:v>AkShare / Sina financial abstract</x:v>
      </x:c>
      <x:c r="H280" s="106" t="str">
        <x:v>https://vip.stock.finance.sina.com.cn/corp/go.php/vFD_FinancialGuideLine/stockid/600887/ctrl/2026/displaytype/4.phtml</x:v>
      </x:c>
      <x:c r="I280" s="106"/>
      <x:c r="J280" s="106"/>
      <x:c r="K280" s="121" t="str">
        <x:v>2026-09-03 03:36:07.118509+00:00</x:v>
      </x:c>
      <x:c r="L280" s="121"/>
      <x:c r="M280" s="106" t="str">
        <x:v>akshare-financial-v2-sina-abstract</x:v>
      </x:c>
      <x:c r="N280" s="106" t="str">
        <x:v>550315950a62357e7850d7f1cdc941c5c89496e57d5db324c1adbcc119cdd4f1</x:v>
      </x:c>
      <x:c r="O280" s="113"/>
      <x:c r="P280" s="106" t="str">
        <x:v>pending</x:v>
      </x:c>
      <x:c r="Q280" s="106" t="str">
        <x:v>否</x:v>
      </x:c>
      <x:c r="R280" s="106" t="str">
        <x:v>由本地 Agent 同步</x:v>
      </x:c>
      <x:c r="S280" s="86"/>
      <x:c r="T280" s="86"/>
      <x:c r="U280" s="86"/>
      <x:c r="V280" s="86"/>
      <x:c r="W280" s="86"/>
      <x:c r="X280" s="86"/>
      <x:c r="Y280" s="86"/>
      <x:c r="Z280" s="86"/>
    </x:row>
    <x:row r="281">
      <x:c r="A281" s="106" t="str">
        <x:v>74b55072-9480-41e2-a426-342ed36daa03</x:v>
      </x:c>
      <x:c r="B281" s="106" t="str">
        <x:v>600887</x:v>
      </x:c>
      <x:c r="C281" s="106" t="str">
        <x:v>net_income</x:v>
      </x:c>
      <x:c r="D281" s="106" t="str">
        <x:v>2026-06-30</x:v>
      </x:c>
      <x:c r="E281" s="106" t="n">
        <x:v>57.5862809779</x:v>
      </x:c>
      <x:c r="F281" s="106" t="str">
        <x:v>CNY 100M</x:v>
      </x:c>
      <x:c r="G281" s="106" t="str">
        <x:v>AkShare / Sina financial abstract</x:v>
      </x:c>
      <x:c r="H281" s="106" t="str">
        <x:v>https://vip.stock.finance.sina.com.cn/corp/go.php/vFD_FinancialGuideLine/stockid/600887/ctrl/2026/displaytype/4.phtml</x:v>
      </x:c>
      <x:c r="I281" s="106"/>
      <x:c r="J281" s="106"/>
      <x:c r="K281" s="121" t="str">
        <x:v>2026-09-03 03:36:07.118509+00:00</x:v>
      </x:c>
      <x:c r="L281" s="121"/>
      <x:c r="M281" s="106" t="str">
        <x:v>akshare-financial-v2-sina-abstract</x:v>
      </x:c>
      <x:c r="N281" s="106" t="str">
        <x:v>550315950a62357e7850d7f1cdc941c5c89496e57d5db324c1adbcc119cdd4f1</x:v>
      </x:c>
      <x:c r="O281" s="113"/>
      <x:c r="P281" s="106" t="str">
        <x:v>pending</x:v>
      </x:c>
      <x:c r="Q281" s="106" t="str">
        <x:v>否</x:v>
      </x:c>
      <x:c r="R281" s="106" t="str">
        <x:v>由本地 Agent 同步</x:v>
      </x:c>
      <x:c r="S281" s="86"/>
      <x:c r="T281" s="86"/>
      <x:c r="U281" s="86"/>
      <x:c r="V281" s="86"/>
      <x:c r="W281" s="86"/>
      <x:c r="X281" s="86"/>
      <x:c r="Y281" s="86"/>
      <x:c r="Z281" s="86"/>
    </x:row>
    <x:row r="282">
      <x:c r="A282" s="106" t="str">
        <x:v>74b55072-9480-41e2-a426-342ed36daa03</x:v>
      </x:c>
      <x:c r="B282" s="106" t="str">
        <x:v>600887</x:v>
      </x:c>
      <x:c r="C282" s="106" t="str">
        <x:v>operating_cash_flow</x:v>
      </x:c>
      <x:c r="D282" s="106" t="str">
        <x:v>2026-06-30</x:v>
      </x:c>
      <x:c r="E282" s="106" t="n">
        <x:v>97.5914748318</x:v>
      </x:c>
      <x:c r="F282" s="106" t="str">
        <x:v>CNY 100M</x:v>
      </x:c>
      <x:c r="G282" s="106" t="str">
        <x:v>AkShare / Sina financial abstract</x:v>
      </x:c>
      <x:c r="H282" s="106" t="str">
        <x:v>https://vip.stock.finance.sina.com.cn/corp/go.php/vFD_FinancialGuideLine/stockid/600887/ctrl/2026/displaytype/4.phtml</x:v>
      </x:c>
      <x:c r="I282" s="106"/>
      <x:c r="J282" s="106"/>
      <x:c r="K282" s="121" t="str">
        <x:v>2026-09-03 03:36:07.118509+00:00</x:v>
      </x:c>
      <x:c r="L282" s="121"/>
      <x:c r="M282" s="106" t="str">
        <x:v>akshare-financial-v2-sina-abstract</x:v>
      </x:c>
      <x:c r="N282" s="106" t="str">
        <x:v>550315950a62357e7850d7f1cdc941c5c89496e57d5db324c1adbcc119cdd4f1</x:v>
      </x:c>
      <x:c r="O282" s="113"/>
      <x:c r="P282" s="106" t="str">
        <x:v>pending</x:v>
      </x:c>
      <x:c r="Q282" s="106" t="str">
        <x:v>否</x:v>
      </x:c>
      <x:c r="R282" s="106" t="str">
        <x:v>由本地 Agent 同步</x:v>
      </x:c>
      <x:c r="S282" s="86"/>
      <x:c r="T282" s="86"/>
      <x:c r="U282" s="86"/>
      <x:c r="V282" s="86"/>
      <x:c r="W282" s="86"/>
      <x:c r="X282" s="86"/>
      <x:c r="Y282" s="86"/>
      <x:c r="Z282" s="86"/>
    </x:row>
    <x:row r="283">
      <x:c r="A283" s="106" t="str">
        <x:v>74b55072-9480-41e2-a426-342ed36daa03</x:v>
      </x:c>
      <x:c r="B283" s="106" t="str">
        <x:v>600887</x:v>
      </x:c>
      <x:c r="C283" s="106" t="str">
        <x:v>fcf_per_share</x:v>
      </x:c>
      <x:c r="D283" s="106" t="str">
        <x:v>2026-06-30</x:v>
      </x:c>
      <x:c r="E283" s="106" t="n">
        <x:v>3.054776</x:v>
      </x:c>
      <x:c r="F283" s="106" t="str">
        <x:v>CNY/share</x:v>
      </x:c>
      <x:c r="G283" s="106" t="str">
        <x:v>AkShare / Sina financial abstract</x:v>
      </x:c>
      <x:c r="H283" s="106" t="str">
        <x:v>https://vip.stock.finance.sina.com.cn/corp/go.php/vFD_FinancialGuideLine/stockid/600887/ctrl/2026/displaytype/4.phtml</x:v>
      </x:c>
      <x:c r="I283" s="106"/>
      <x:c r="J283" s="106"/>
      <x:c r="K283" s="121" t="str">
        <x:v>2026-09-03 03:36:07.118509+00:00</x:v>
      </x:c>
      <x:c r="L283" s="121"/>
      <x:c r="M283" s="106" t="str">
        <x:v>akshare-financial-v2-sina-abstract</x:v>
      </x:c>
      <x:c r="N283" s="106" t="str">
        <x:v>550315950a62357e7850d7f1cdc941c5c89496e57d5db324c1adbcc119cdd4f1</x:v>
      </x:c>
      <x:c r="O283" s="113"/>
      <x:c r="P283" s="106" t="str">
        <x:v>pending</x:v>
      </x:c>
      <x:c r="Q283" s="106" t="str">
        <x:v>否</x:v>
      </x:c>
      <x:c r="R283" s="106" t="str">
        <x:v>由本地 Agent 同步</x:v>
      </x:c>
      <x:c r="S283" s="86"/>
      <x:c r="T283" s="86"/>
      <x:c r="U283" s="86"/>
      <x:c r="V283" s="86"/>
      <x:c r="W283" s="86"/>
      <x:c r="X283" s="86"/>
      <x:c r="Y283" s="86"/>
      <x:c r="Z283" s="86"/>
    </x:row>
    <x:row r="284">
      <x:c r="A284" s="106" t="str">
        <x:v>74b55072-9480-41e2-a426-342ed36daa03</x:v>
      </x:c>
      <x:c r="B284" s="106" t="str">
        <x:v>600887</x:v>
      </x:c>
      <x:c r="C284" s="106" t="str">
        <x:v>roic</x:v>
      </x:c>
      <x:c r="D284" s="106" t="str">
        <x:v>2026-06-30</x:v>
      </x:c>
      <x:c r="E284" s="106" t="n">
        <x:v>7.277142</x:v>
      </x:c>
      <x:c r="F284" s="106" t="str">
        <x:v>percent</x:v>
      </x:c>
      <x:c r="G284" s="106" t="str">
        <x:v>AkShare / Sina financial abstract</x:v>
      </x:c>
      <x:c r="H284" s="106" t="str">
        <x:v>https://vip.stock.finance.sina.com.cn/corp/go.php/vFD_FinancialGuideLine/stockid/600887/ctrl/2026/displaytype/4.phtml</x:v>
      </x:c>
      <x:c r="I284" s="106"/>
      <x:c r="J284" s="106"/>
      <x:c r="K284" s="121" t="str">
        <x:v>2026-09-03 03:36:07.118509+00:00</x:v>
      </x:c>
      <x:c r="L284" s="121"/>
      <x:c r="M284" s="106" t="str">
        <x:v>akshare-financial-v2-sina-abstract</x:v>
      </x:c>
      <x:c r="N284" s="106" t="str">
        <x:v>550315950a62357e7850d7f1cdc941c5c89496e57d5db324c1adbcc119cdd4f1</x:v>
      </x:c>
      <x:c r="O284" s="113"/>
      <x:c r="P284" s="106" t="str">
        <x:v>pending</x:v>
      </x:c>
      <x:c r="Q284" s="106" t="str">
        <x:v>否</x:v>
      </x:c>
      <x:c r="R284" s="106" t="str">
        <x:v>由本地 Agent 同步</x:v>
      </x:c>
      <x:c r="S284" s="86"/>
      <x:c r="T284" s="86"/>
      <x:c r="U284" s="86"/>
      <x:c r="V284" s="86"/>
      <x:c r="W284" s="86"/>
      <x:c r="X284" s="86"/>
      <x:c r="Y284" s="86"/>
      <x:c r="Z284" s="86"/>
    </x:row>
    <x:row r="285">
      <x:c r="A285" s="106" t="str">
        <x:v>9db6a70b-2582-4ab0-8e3c-d85e1017bc46</x:v>
      </x:c>
      <x:c r="B285" s="106" t="str">
        <x:v>600887</x:v>
      </x:c>
      <x:c r="C285" s="106" t="str">
        <x:v>current_price</x:v>
      </x:c>
      <x:c r="D285" s="106" t="str">
        <x:v>2026-09-03 03:35</x:v>
      </x:c>
      <x:c r="E285" s="106" t="n">
        <x:v>26.57</x:v>
      </x:c>
      <x:c r="F285" s="106" t="str">
        <x:v>CNY/share</x:v>
      </x:c>
      <x:c r="G285" s="106" t="str">
        <x:v>AkShare / Sina public historical quotes</x:v>
      </x:c>
      <x:c r="H285" s="106" t="str">
        <x:v>https://akshare.akfamily.xyz/data/stock/stock.html</x:v>
      </x:c>
      <x:c r="I285" s="106"/>
      <x:c r="J285" s="106"/>
      <x:c r="K285" s="121" t="str">
        <x:v>2026-09-03 03:35:57.363038+00:00</x:v>
      </x:c>
      <x:c r="L285" s="121"/>
      <x:c r="M285" s="106" t="str">
        <x:v>akshare-price-v3-sina-history</x:v>
      </x:c>
      <x:c r="N285" s="106" t="str">
        <x:v>28dd4efc64c007fd99529ae7a526a9c608f1b065e5feed52429cf92adcd63e9d</x:v>
      </x:c>
      <x:c r="O285" s="113"/>
      <x:c r="P285" s="106" t="str">
        <x:v>pending</x:v>
      </x:c>
      <x:c r="Q285" s="106" t="str">
        <x:v>否</x:v>
      </x:c>
      <x:c r="R285" s="106" t="str">
        <x:v>由本地 Agent 同步</x:v>
      </x:c>
      <x:c r="S285" s="86"/>
      <x:c r="T285" s="86"/>
      <x:c r="U285" s="86"/>
      <x:c r="V285" s="86"/>
      <x:c r="W285" s="86"/>
      <x:c r="X285" s="86"/>
      <x:c r="Y285" s="86"/>
      <x:c r="Z285" s="86"/>
    </x:row>
    <x:row r="286">
      <x:c r="A286" s="106" t="str">
        <x:v>9ab276ab-c62c-4061-b6c3-1850ec746897</x:v>
      </x:c>
      <x:c r="B286" s="106" t="str">
        <x:v>300750</x:v>
      </x:c>
      <x:c r="C286" s="106" t="str">
        <x:v>current_price</x:v>
      </x:c>
      <x:c r="D286" s="106" t="str">
        <x:v>2026-09-03 03:35</x:v>
      </x:c>
      <x:c r="E286" s="106" t="n">
        <x:v>348.29</x:v>
      </x:c>
      <x:c r="F286" s="106" t="str">
        <x:v>CNY/share</x:v>
      </x:c>
      <x:c r="G286" s="106" t="str">
        <x:v>AkShare / Sina public historical quotes</x:v>
      </x:c>
      <x:c r="H286" s="106" t="str">
        <x:v>https://akshare.akfamily.xyz/data/stock/stock.html</x:v>
      </x:c>
      <x:c r="I286" s="106"/>
      <x:c r="J286" s="106"/>
      <x:c r="K286" s="121" t="str">
        <x:v>2026-09-03 03:35:57.363038+00:00</x:v>
      </x:c>
      <x:c r="L286" s="121"/>
      <x:c r="M286" s="106" t="str">
        <x:v>akshare-price-v3-sina-history</x:v>
      </x:c>
      <x:c r="N286" s="106" t="str">
        <x:v>139bf06f850259af9d1913181f439e4138c037625d5643e262d070a8b0455180</x:v>
      </x:c>
      <x:c r="O286" s="113"/>
      <x:c r="P286" s="106" t="str">
        <x:v>pending</x:v>
      </x:c>
      <x:c r="Q286" s="106" t="str">
        <x:v>否</x:v>
      </x:c>
      <x:c r="R286" s="106" t="str">
        <x:v>由本地 Agent 同步</x:v>
      </x:c>
      <x:c r="S286" s="86"/>
      <x:c r="T286" s="86"/>
      <x:c r="U286" s="86"/>
      <x:c r="V286" s="86"/>
      <x:c r="W286" s="86"/>
      <x:c r="X286" s="86"/>
      <x:c r="Y286" s="86"/>
      <x:c r="Z286" s="86"/>
    </x:row>
    <x:row r="287">
      <x:c r="A287" s="106" t="str">
        <x:v>3782df0d-e4f0-4f0b-be4d-75f51d94626b</x:v>
      </x:c>
      <x:c r="B287" s="106" t="str">
        <x:v>600690</x:v>
      </x:c>
      <x:c r="C287" s="106" t="str">
        <x:v>current_price</x:v>
      </x:c>
      <x:c r="D287" s="106" t="str">
        <x:v>2026-09-03 03:35</x:v>
      </x:c>
      <x:c r="E287" s="106" t="n">
        <x:v>21.33</x:v>
      </x:c>
      <x:c r="F287" s="106" t="str">
        <x:v>CNY/share</x:v>
      </x:c>
      <x:c r="G287" s="106" t="str">
        <x:v>AkShare / Sina public historical quotes</x:v>
      </x:c>
      <x:c r="H287" s="106" t="str">
        <x:v>https://akshare.akfamily.xyz/data/stock/stock.html</x:v>
      </x:c>
      <x:c r="I287" s="106"/>
      <x:c r="J287" s="106"/>
      <x:c r="K287" s="121" t="str">
        <x:v>2026-09-03 03:35:57.363038+00:00</x:v>
      </x:c>
      <x:c r="L287" s="121"/>
      <x:c r="M287" s="106" t="str">
        <x:v>akshare-price-v3-sina-history</x:v>
      </x:c>
      <x:c r="N287" s="106" t="str">
        <x:v>2cce8cf93ad42e13ffd47955ac5349632c05f00e27defab32b56c0132e4737cb</x:v>
      </x:c>
      <x:c r="O287" s="113"/>
      <x:c r="P287" s="106" t="str">
        <x:v>pending</x:v>
      </x:c>
      <x:c r="Q287" s="106" t="str">
        <x:v>否</x:v>
      </x:c>
      <x:c r="R287" s="106" t="str">
        <x:v>由本地 Agent 同步</x:v>
      </x:c>
      <x:c r="S287" s="86"/>
      <x:c r="T287" s="86"/>
      <x:c r="U287" s="86"/>
      <x:c r="V287" s="86"/>
      <x:c r="W287" s="86"/>
      <x:c r="X287" s="86"/>
      <x:c r="Y287" s="86"/>
      <x:c r="Z287" s="86"/>
    </x:row>
    <x:row r="288">
      <x:c r="A288" s="106" t="str">
        <x:v>52a0bf8e-e0e4-4c36-a455-115d26c5d98a</x:v>
      </x:c>
      <x:c r="B288" s="106" t="str">
        <x:v>601088</x:v>
      </x:c>
      <x:c r="C288" s="106" t="str">
        <x:v>current_price</x:v>
      </x:c>
      <x:c r="D288" s="106" t="str">
        <x:v>2026-09-03 03:35</x:v>
      </x:c>
      <x:c r="E288" s="106" t="n">
        <x:v>48.05</x:v>
      </x:c>
      <x:c r="F288" s="106" t="str">
        <x:v>CNY/share</x:v>
      </x:c>
      <x:c r="G288" s="106" t="str">
        <x:v>AkShare / Sina public historical quotes</x:v>
      </x:c>
      <x:c r="H288" s="106" t="str">
        <x:v>https://akshare.akfamily.xyz/data/stock/stock.html</x:v>
      </x:c>
      <x:c r="I288" s="106"/>
      <x:c r="J288" s="106"/>
      <x:c r="K288" s="121" t="str">
        <x:v>2026-09-03 03:35:57.363038+00:00</x:v>
      </x:c>
      <x:c r="L288" s="121"/>
      <x:c r="M288" s="106" t="str">
        <x:v>akshare-price-v3-sina-history</x:v>
      </x:c>
      <x:c r="N288" s="106" t="str">
        <x:v>a772377b895fc50d4113184663c7b0380ee48fc73f93828b08cbc7d332bde98e</x:v>
      </x:c>
      <x:c r="O288" s="113"/>
      <x:c r="P288" s="106" t="str">
        <x:v>pending</x:v>
      </x:c>
      <x:c r="Q288" s="106" t="str">
        <x:v>否</x:v>
      </x:c>
      <x:c r="R288" s="106" t="str">
        <x:v>由本地 Agent 同步</x:v>
      </x:c>
      <x:c r="S288" s="86"/>
      <x:c r="T288" s="86"/>
      <x:c r="U288" s="86"/>
      <x:c r="V288" s="86"/>
      <x:c r="W288" s="86"/>
      <x:c r="X288" s="86"/>
      <x:c r="Y288" s="86"/>
      <x:c r="Z288" s="86"/>
    </x:row>
    <x:row r="289">
      <x:c r="A289" s="106" t="str">
        <x:v>5f97483a-d00d-43e7-8305-f0b66c98efb3</x:v>
      </x:c>
      <x:c r="B289" s="106" t="str">
        <x:v>601288</x:v>
      </x:c>
      <x:c r="C289" s="106" t="str">
        <x:v>current_price</x:v>
      </x:c>
      <x:c r="D289" s="106" t="str">
        <x:v>2026-09-03 03:35</x:v>
      </x:c>
      <x:c r="E289" s="106" t="n">
        <x:v>7.06</x:v>
      </x:c>
      <x:c r="F289" s="106" t="str">
        <x:v>CNY/share</x:v>
      </x:c>
      <x:c r="G289" s="106" t="str">
        <x:v>AkShare / Sina public historical quotes</x:v>
      </x:c>
      <x:c r="H289" s="106" t="str">
        <x:v>https://akshare.akfamily.xyz/data/stock/stock.html</x:v>
      </x:c>
      <x:c r="I289" s="106"/>
      <x:c r="J289" s="106"/>
      <x:c r="K289" s="121" t="str">
        <x:v>2026-09-03 03:35:57.363038+00:00</x:v>
      </x:c>
      <x:c r="L289" s="121"/>
      <x:c r="M289" s="106" t="str">
        <x:v>akshare-price-v3-sina-history</x:v>
      </x:c>
      <x:c r="N289" s="106" t="str">
        <x:v>3257f67b486d2b777065a99669ad0d77d36210ddbcdef2b1f04030b5e301ca6d</x:v>
      </x:c>
      <x:c r="O289" s="113"/>
      <x:c r="P289" s="106" t="str">
        <x:v>pending</x:v>
      </x:c>
      <x:c r="Q289" s="106" t="str">
        <x:v>否</x:v>
      </x:c>
      <x:c r="R289" s="106" t="str">
        <x:v>由本地 Agent 同步</x:v>
      </x:c>
      <x:c r="S289" s="86"/>
      <x:c r="T289" s="86"/>
      <x:c r="U289" s="86"/>
      <x:c r="V289" s="86"/>
      <x:c r="W289" s="86"/>
      <x:c r="X289" s="86"/>
      <x:c r="Y289" s="86"/>
      <x:c r="Z289" s="86"/>
    </x:row>
    <x:row r="290">
      <x:c r="A290" s="106" t="str">
        <x:v>e1dd7abe-708d-453f-9c3d-1ae2a714c9b9</x:v>
      </x:c>
      <x:c r="B290" s="106" t="str">
        <x:v>600036</x:v>
      </x:c>
      <x:c r="C290" s="106" t="str">
        <x:v>current_price</x:v>
      </x:c>
      <x:c r="D290" s="106" t="str">
        <x:v>2026-09-03 03:35</x:v>
      </x:c>
      <x:c r="E290" s="106" t="n">
        <x:v>40.87</x:v>
      </x:c>
      <x:c r="F290" s="106" t="str">
        <x:v>CNY/share</x:v>
      </x:c>
      <x:c r="G290" s="106" t="str">
        <x:v>AkShare / Sina public historical quotes</x:v>
      </x:c>
      <x:c r="H290" s="106" t="str">
        <x:v>https://akshare.akfamily.xyz/data/stock/stock.html</x:v>
      </x:c>
      <x:c r="I290" s="106"/>
      <x:c r="J290" s="106"/>
      <x:c r="K290" s="121" t="str">
        <x:v>2026-09-03 03:35:57.363038+00:00</x:v>
      </x:c>
      <x:c r="L290" s="121"/>
      <x:c r="M290" s="106" t="str">
        <x:v>akshare-price-v3-sina-history</x:v>
      </x:c>
      <x:c r="N290" s="106" t="str">
        <x:v>c77a6fab956aff2c49774192811bd3a3a599e079ecf03398228f08615dd5df97</x:v>
      </x:c>
      <x:c r="O290" s="113"/>
      <x:c r="P290" s="106" t="str">
        <x:v>pending</x:v>
      </x:c>
      <x:c r="Q290" s="106" t="str">
        <x:v>否</x:v>
      </x:c>
      <x:c r="R290" s="106" t="str">
        <x:v>由本地 Agent 同步</x:v>
      </x:c>
      <x:c r="S290" s="86"/>
      <x:c r="T290" s="86"/>
      <x:c r="U290" s="86"/>
      <x:c r="V290" s="86"/>
      <x:c r="W290" s="86"/>
      <x:c r="X290" s="86"/>
      <x:c r="Y290" s="86"/>
      <x:c r="Z290" s="86"/>
    </x:row>
    <x:row r="291">
      <x:c r="A291" s="106" t="str">
        <x:v>429eb8fe-24f9-434f-84b8-08309adb19fb</x:v>
      </x:c>
      <x:c r="B291" s="106" t="str">
        <x:v>000333</x:v>
      </x:c>
      <x:c r="C291" s="106" t="str">
        <x:v>current_price</x:v>
      </x:c>
      <x:c r="D291" s="106" t="str">
        <x:v>2026-09-03 03:35</x:v>
      </x:c>
      <x:c r="E291" s="106" t="n">
        <x:v>86.98</x:v>
      </x:c>
      <x:c r="F291" s="106" t="str">
        <x:v>CNY/share</x:v>
      </x:c>
      <x:c r="G291" s="106" t="str">
        <x:v>AkShare / Sina public historical quotes</x:v>
      </x:c>
      <x:c r="H291" s="106" t="str">
        <x:v>https://akshare.akfamily.xyz/data/stock/stock.html</x:v>
      </x:c>
      <x:c r="I291" s="106"/>
      <x:c r="J291" s="106"/>
      <x:c r="K291" s="121" t="str">
        <x:v>2026-09-03 03:35:57.363038+00:00</x:v>
      </x:c>
      <x:c r="L291" s="121"/>
      <x:c r="M291" s="106" t="str">
        <x:v>akshare-price-v3-sina-history</x:v>
      </x:c>
      <x:c r="N291" s="106" t="str">
        <x:v>bf3e062695673bdbfd2c01ddf4d5e46283ec23b3bdc2dc0347d768a02df6a5c6</x:v>
      </x:c>
      <x:c r="O291" s="113"/>
      <x:c r="P291" s="106" t="str">
        <x:v>pending</x:v>
      </x:c>
      <x:c r="Q291" s="106" t="str">
        <x:v>否</x:v>
      </x:c>
      <x:c r="R291" s="106" t="str">
        <x:v>由本地 Agent 同步</x:v>
      </x:c>
      <x:c r="S291" s="86"/>
      <x:c r="T291" s="86"/>
      <x:c r="U291" s="86"/>
      <x:c r="V291" s="86"/>
      <x:c r="W291" s="86"/>
      <x:c r="X291" s="86"/>
      <x:c r="Y291" s="86"/>
      <x:c r="Z291" s="86"/>
    </x:row>
    <x:row r="292">
      <x:c r="A292" s="106" t="str">
        <x:v>f469cee7-b6d8-4406-a434-2f1b51f6b220</x:v>
      </x:c>
      <x:c r="B292" s="106" t="str">
        <x:v>600519</x:v>
      </x:c>
      <x:c r="C292" s="106" t="str">
        <x:v>current_price</x:v>
      </x:c>
      <x:c r="D292" s="106" t="str">
        <x:v>2026-09-03 03:35</x:v>
      </x:c>
      <x:c r="E292" s="106" t="n">
        <x:v>1297.5</x:v>
      </x:c>
      <x:c r="F292" s="106" t="str">
        <x:v>CNY/share</x:v>
      </x:c>
      <x:c r="G292" s="106" t="str">
        <x:v>AkShare / Sina public historical quotes</x:v>
      </x:c>
      <x:c r="H292" s="106" t="str">
        <x:v>https://akshare.akfamily.xyz/data/stock/stock.html</x:v>
      </x:c>
      <x:c r="I292" s="106"/>
      <x:c r="J292" s="106"/>
      <x:c r="K292" s="121" t="str">
        <x:v>2026-09-03 03:35:57.363038+00:00</x:v>
      </x:c>
      <x:c r="L292" s="121"/>
      <x:c r="M292" s="106" t="str">
        <x:v>akshare-price-v3-sina-history</x:v>
      </x:c>
      <x:c r="N292" s="106" t="str">
        <x:v>b5cf181e431426d449865e6f7178525dce1cc1bd1a8018fbc89ee4cb259aea88</x:v>
      </x:c>
      <x:c r="O292" s="113"/>
      <x:c r="P292" s="106" t="str">
        <x:v>pending</x:v>
      </x:c>
      <x:c r="Q292" s="106" t="str">
        <x:v>否</x:v>
      </x:c>
      <x:c r="R292" s="106" t="str">
        <x:v>由本地 Agent 同步</x:v>
      </x:c>
      <x:c r="S292" s="86"/>
      <x:c r="T292" s="86"/>
      <x:c r="U292" s="86"/>
      <x:c r="V292" s="86"/>
      <x:c r="W292" s="86"/>
      <x:c r="X292" s="86"/>
      <x:c r="Y292" s="86"/>
      <x:c r="Z292" s="86"/>
    </x:row>
    <x:row r="293">
      <x:c r="A293" s="106" t="str">
        <x:v>e86ce3dc-cca0-4318-bb2d-0c3c54884f9d</x:v>
      </x:c>
      <x:c r="B293" s="106" t="str">
        <x:v>600900</x:v>
      </x:c>
      <x:c r="C293" s="106" t="str">
        <x:v>current_price</x:v>
      </x:c>
      <x:c r="D293" s="106" t="str">
        <x:v>2026-09-03 03:35</x:v>
      </x:c>
      <x:c r="E293" s="106" t="n">
        <x:v>28.72</x:v>
      </x:c>
      <x:c r="F293" s="106" t="str">
        <x:v>CNY/share</x:v>
      </x:c>
      <x:c r="G293" s="106" t="str">
        <x:v>AkShare / Sina public historical quotes</x:v>
      </x:c>
      <x:c r="H293" s="106" t="str">
        <x:v>https://akshare.akfamily.xyz/data/stock/stock.html</x:v>
      </x:c>
      <x:c r="I293" s="106"/>
      <x:c r="J293" s="106"/>
      <x:c r="K293" s="121" t="str">
        <x:v>2026-09-03 03:35:57.363038+00:00</x:v>
      </x:c>
      <x:c r="L293" s="121"/>
      <x:c r="M293" s="106" t="str">
        <x:v>akshare-price-v3-sina-history</x:v>
      </x:c>
      <x:c r="N293" s="106" t="str">
        <x:v>4ca07f5077d82c955a73c3fd743d69d3e16ff65ed406da29ac01bacbb018e8bf</x:v>
      </x:c>
      <x:c r="O293" s="113"/>
      <x:c r="P293" s="106" t="str">
        <x:v>pending</x:v>
      </x:c>
      <x:c r="Q293" s="106" t="str">
        <x:v>否</x:v>
      </x:c>
      <x:c r="R293" s="106" t="str">
        <x:v>由本地 Agent 同步</x:v>
      </x:c>
      <x:c r="S293" s="86"/>
      <x:c r="T293" s="86"/>
      <x:c r="U293" s="86"/>
      <x:c r="V293" s="86"/>
      <x:c r="W293" s="86"/>
      <x:c r="X293" s="86"/>
      <x:c r="Y293" s="86"/>
      <x:c r="Z293" s="86"/>
    </x:row>
    <x:row r="294">
      <x:c r="A294" s="106" t="str">
        <x:v>45174473-d082-44a9-86f7-ba89af398cee</x:v>
      </x:c>
      <x:c r="B294" s="106" t="str">
        <x:v>600887</x:v>
      </x:c>
      <x:c r="C294" s="106" t="str">
        <x:v>model_fair_value</x:v>
      </x:c>
      <x:c r="D294" s="106" t="str">
        <x:v>2026-06-30</x:v>
      </x:c>
      <x:c r="E294" s="106" t="n">
        <x:v>22.95</x:v>
      </x:c>
      <x:c r="F294" s="106" t="str">
        <x:v>CNY/share</x:v>
      </x:c>
      <x:c r="G294" s="106" t="str">
        <x:v>Value Investment Agent PE/PB reference model</x:v>
      </x:c>
      <x:c r="H294" s="106" t="str">
        <x:v>internal://value-investment-agent/pe-pb-reference-v1</x:v>
      </x:c>
      <x:c r="I294" s="106"/>
      <x:c r="J294" s="106"/>
      <x:c r="K294" s="121" t="str">
        <x:v>2026-09-03 07:38:36.752262+00:00</x:v>
      </x:c>
      <x:c r="L294" s="121"/>
      <x:c r="M294" s="106" t="str">
        <x:v>pe-pb-reference-v1</x:v>
      </x:c>
      <x:c r="N294" s="106" t="str">
        <x:v>aa588306c3971464eac8b1f3a1ac2bb7dac4debb9743ad8eeda4b5d2948def07</x:v>
      </x:c>
      <x:c r="O294" s="113"/>
      <x:c r="P294" s="106" t="str">
        <x:v>pending</x:v>
      </x:c>
      <x:c r="Q294" s="106" t="str">
        <x:v>否</x:v>
      </x:c>
      <x:c r="R294" s="106" t="str">
        <x:v>由本地 Agent 同步</x:v>
      </x:c>
      <x:c r="S294" s="86"/>
      <x:c r="T294" s="86"/>
      <x:c r="U294" s="86"/>
      <x:c r="V294" s="86"/>
      <x:c r="W294" s="86"/>
      <x:c r="X294" s="86"/>
      <x:c r="Y294" s="86"/>
      <x:c r="Z294" s="86"/>
    </x:row>
    <x:row r="295">
      <x:c r="A295" s="106" t="str">
        <x:v>9327a7d3-3a92-4ba2-a1d0-9ee407fd769e</x:v>
      </x:c>
      <x:c r="B295" s="106" t="str">
        <x:v>601088</x:v>
      </x:c>
      <x:c r="C295" s="106" t="str">
        <x:v>model_target_pe</x:v>
      </x:c>
      <x:c r="D295" s="106" t="str">
        <x:v>2026-06-30</x:v>
      </x:c>
      <x:c r="E295" s="106" t="n">
        <x:v>10</x:v>
      </x:c>
      <x:c r="F295" s="106" t="str">
        <x:v>multiple</x:v>
      </x:c>
      <x:c r="G295" s="106" t="str">
        <x:v>Value Investment Agent PE/PB reference model</x:v>
      </x:c>
      <x:c r="H295" s="106" t="str">
        <x:v>internal://value-investment-agent/pe-pb-reference-v1</x:v>
      </x:c>
      <x:c r="I295" s="106"/>
      <x:c r="J295" s="106"/>
      <x:c r="K295" s="121" t="str">
        <x:v>2026-09-03 07:38:36.752262+00:00</x:v>
      </x:c>
      <x:c r="L295" s="121"/>
      <x:c r="M295" s="106" t="str">
        <x:v>pe-pb-reference-v1</x:v>
      </x:c>
      <x:c r="N295" s="106" t="str">
        <x:v>0f5c67736473dc34064972e3411ca7f1e44bb7928e060e904d125de0d55eeead</x:v>
      </x:c>
      <x:c r="O295" s="113"/>
      <x:c r="P295" s="106" t="str">
        <x:v>pending</x:v>
      </x:c>
      <x:c r="Q295" s="106" t="str">
        <x:v>否</x:v>
      </x:c>
      <x:c r="R295" s="106" t="str">
        <x:v>由本地 Agent 同步</x:v>
      </x:c>
      <x:c r="S295" s="86"/>
      <x:c r="T295" s="86"/>
      <x:c r="U295" s="86"/>
      <x:c r="V295" s="86"/>
      <x:c r="W295" s="86"/>
      <x:c r="X295" s="86"/>
      <x:c r="Y295" s="86"/>
      <x:c r="Z295" s="86"/>
    </x:row>
    <x:row r="296">
      <x:c r="A296" s="106" t="str">
        <x:v>7ee58f16-001c-4be5-8206-dc0448cae4a1</x:v>
      </x:c>
      <x:c r="B296" s="106" t="str">
        <x:v>600519</x:v>
      </x:c>
      <x:c r="C296" s="106" t="str">
        <x:v>model_fair_value</x:v>
      </x:c>
      <x:c r="D296" s="106" t="str">
        <x:v>2026-06-30</x:v>
      </x:c>
      <x:c r="E296" s="106" t="n">
        <x:v>1027.23</x:v>
      </x:c>
      <x:c r="F296" s="106" t="str">
        <x:v>CNY/share</x:v>
      </x:c>
      <x:c r="G296" s="106" t="str">
        <x:v>Value Investment Agent PE/PB reference model</x:v>
      </x:c>
      <x:c r="H296" s="106" t="str">
        <x:v>internal://value-investment-agent/pe-pb-reference-v1</x:v>
      </x:c>
      <x:c r="I296" s="106"/>
      <x:c r="J296" s="106"/>
      <x:c r="K296" s="121" t="str">
        <x:v>2026-09-03 07:38:36.752262+00:00</x:v>
      </x:c>
      <x:c r="L296" s="121"/>
      <x:c r="M296" s="106" t="str">
        <x:v>pe-pb-reference-v1</x:v>
      </x:c>
      <x:c r="N296" s="106" t="str">
        <x:v>5527af46bd3b144c037f297a2952cec230e272bf9e5d341900cca291845adc7f</x:v>
      </x:c>
      <x:c r="O296" s="113"/>
      <x:c r="P296" s="106" t="str">
        <x:v>pending</x:v>
      </x:c>
      <x:c r="Q296" s="106" t="str">
        <x:v>否</x:v>
      </x:c>
      <x:c r="R296" s="106" t="str">
        <x:v>由本地 Agent 同步</x:v>
      </x:c>
      <x:c r="S296" s="86"/>
      <x:c r="T296" s="86"/>
      <x:c r="U296" s="86"/>
      <x:c r="V296" s="86"/>
      <x:c r="W296" s="86"/>
      <x:c r="X296" s="86"/>
      <x:c r="Y296" s="86"/>
      <x:c r="Z296" s="86"/>
    </x:row>
    <x:row r="297">
      <x:c r="A297" s="106" t="str">
        <x:v>b02f6cda-e1ad-4632-a75d-0686a6e01881</x:v>
      </x:c>
      <x:c r="B297" s="106" t="str">
        <x:v>000333</x:v>
      </x:c>
      <x:c r="C297" s="106" t="str">
        <x:v>model_pb_fair_value</x:v>
      </x:c>
      <x:c r="D297" s="106" t="str">
        <x:v>2026-06-30</x:v>
      </x:c>
      <x:c r="E297" s="106" t="n">
        <x:v>74.14</x:v>
      </x:c>
      <x:c r="F297" s="106" t="str">
        <x:v>CNY/share</x:v>
      </x:c>
      <x:c r="G297" s="106" t="str">
        <x:v>Value Investment Agent PE/PB reference model</x:v>
      </x:c>
      <x:c r="H297" s="106" t="str">
        <x:v>internal://value-investment-agent/pe-pb-reference-v1</x:v>
      </x:c>
      <x:c r="I297" s="106"/>
      <x:c r="J297" s="106"/>
      <x:c r="K297" s="121" t="str">
        <x:v>2026-09-03 07:38:36.752262+00:00</x:v>
      </x:c>
      <x:c r="L297" s="121"/>
      <x:c r="M297" s="106" t="str">
        <x:v>pe-pb-reference-v1</x:v>
      </x:c>
      <x:c r="N297" s="106" t="str">
        <x:v>0898ea49f1090e835b314efb5052563fadeec455c50b2de9b0a8c796231a1258</x:v>
      </x:c>
      <x:c r="O297" s="113"/>
      <x:c r="P297" s="106" t="str">
        <x:v>pending</x:v>
      </x:c>
      <x:c r="Q297" s="106" t="str">
        <x:v>否</x:v>
      </x:c>
      <x:c r="R297" s="106" t="str">
        <x:v>由本地 Agent 同步</x:v>
      </x:c>
      <x:c r="S297" s="86"/>
      <x:c r="T297" s="86"/>
      <x:c r="U297" s="86"/>
      <x:c r="V297" s="86"/>
      <x:c r="W297" s="86"/>
      <x:c r="X297" s="86"/>
      <x:c r="Y297" s="86"/>
      <x:c r="Z297" s="86"/>
    </x:row>
    <x:row r="298">
      <x:c r="A298" s="106" t="str">
        <x:v>33e7988c-ff8b-4663-916a-4797ef1235b7</x:v>
      </x:c>
      <x:c r="B298" s="106" t="str">
        <x:v>600690</x:v>
      </x:c>
      <x:c r="C298" s="106" t="str">
        <x:v>model_pe_fair_value</x:v>
      </x:c>
      <x:c r="D298" s="106" t="str">
        <x:v>2026-06-30</x:v>
      </x:c>
      <x:c r="E298" s="106" t="n">
        <x:v>27.71</x:v>
      </x:c>
      <x:c r="F298" s="106" t="str">
        <x:v>CNY/share</x:v>
      </x:c>
      <x:c r="G298" s="106" t="str">
        <x:v>Value Investment Agent PE/PB reference model</x:v>
      </x:c>
      <x:c r="H298" s="106" t="str">
        <x:v>internal://value-investment-agent/pe-pb-reference-v1</x:v>
      </x:c>
      <x:c r="I298" s="106"/>
      <x:c r="J298" s="106"/>
      <x:c r="K298" s="121" t="str">
        <x:v>2026-09-03 07:38:36.752262+00:00</x:v>
      </x:c>
      <x:c r="L298" s="121"/>
      <x:c r="M298" s="106" t="str">
        <x:v>pe-pb-reference-v1</x:v>
      </x:c>
      <x:c r="N298" s="106" t="str">
        <x:v>5970cfd1c0aa893cb081cce0070505730ae6261649d5e149a3a7887c8c59a8c4</x:v>
      </x:c>
      <x:c r="O298" s="113"/>
      <x:c r="P298" s="106" t="str">
        <x:v>pending</x:v>
      </x:c>
      <x:c r="Q298" s="106" t="str">
        <x:v>否</x:v>
      </x:c>
      <x:c r="R298" s="106" t="str">
        <x:v>由本地 Agent 同步</x:v>
      </x:c>
      <x:c r="S298" s="86"/>
      <x:c r="T298" s="86"/>
      <x:c r="U298" s="86"/>
      <x:c r="V298" s="86"/>
      <x:c r="W298" s="86"/>
      <x:c r="X298" s="86"/>
      <x:c r="Y298" s="86"/>
      <x:c r="Z298" s="86"/>
    </x:row>
    <x:row r="299">
      <x:c r="A299" s="106" t="str">
        <x:v>bc070387-24ed-4244-9551-1ea29fa0d8a1</x:v>
      </x:c>
      <x:c r="B299" s="106" t="str">
        <x:v>601288</x:v>
      </x:c>
      <x:c r="C299" s="106" t="str">
        <x:v>model_pe_fair_value</x:v>
      </x:c>
      <x:c r="D299" s="106" t="str">
        <x:v>2026-06-30</x:v>
      </x:c>
      <x:c r="E299" s="106" t="n">
        <x:v>6</x:v>
      </x:c>
      <x:c r="F299" s="106" t="str">
        <x:v>CNY/share</x:v>
      </x:c>
      <x:c r="G299" s="106" t="str">
        <x:v>Value Investment Agent PE/PB reference model</x:v>
      </x:c>
      <x:c r="H299" s="106" t="str">
        <x:v>internal://value-investment-agent/pe-pb-reference-v1</x:v>
      </x:c>
      <x:c r="I299" s="106"/>
      <x:c r="J299" s="106"/>
      <x:c r="K299" s="121" t="str">
        <x:v>2026-09-03 07:38:36.752262+00:00</x:v>
      </x:c>
      <x:c r="L299" s="121"/>
      <x:c r="M299" s="106" t="str">
        <x:v>pe-pb-reference-v1</x:v>
      </x:c>
      <x:c r="N299" s="106" t="str">
        <x:v>cecf3f31af1d982606934fe1ec934ad4c540d0b90791dc396e49962e9488247f</x:v>
      </x:c>
      <x:c r="O299" s="113"/>
      <x:c r="P299" s="106" t="str">
        <x:v>pending</x:v>
      </x:c>
      <x:c r="Q299" s="106" t="str">
        <x:v>否</x:v>
      </x:c>
      <x:c r="R299" s="106" t="str">
        <x:v>由本地 Agent 同步</x:v>
      </x:c>
      <x:c r="S299" s="86"/>
      <x:c r="T299" s="86"/>
      <x:c r="U299" s="86"/>
      <x:c r="V299" s="86"/>
      <x:c r="W299" s="86"/>
      <x:c r="X299" s="86"/>
      <x:c r="Y299" s="86"/>
      <x:c r="Z299" s="86"/>
    </x:row>
    <x:row r="300">
      <x:c r="A300" s="106" t="str">
        <x:v>a1314791-a8f1-4a40-a91b-506b9cf48f30</x:v>
      </x:c>
      <x:c r="B300" s="106" t="str">
        <x:v>600036</x:v>
      </x:c>
      <x:c r="C300" s="106" t="str">
        <x:v>model_pb_fair_value</x:v>
      </x:c>
      <x:c r="D300" s="106" t="str">
        <x:v>2026-06-30</x:v>
      </x:c>
      <x:c r="E300" s="106" t="n">
        <x:v>48.29</x:v>
      </x:c>
      <x:c r="F300" s="106" t="str">
        <x:v>CNY/share</x:v>
      </x:c>
      <x:c r="G300" s="106" t="str">
        <x:v>Value Investment Agent PE/PB reference model</x:v>
      </x:c>
      <x:c r="H300" s="106" t="str">
        <x:v>internal://value-investment-agent/pe-pb-reference-v1</x:v>
      </x:c>
      <x:c r="I300" s="106"/>
      <x:c r="J300" s="106"/>
      <x:c r="K300" s="121" t="str">
        <x:v>2026-09-03 07:38:36.752262+00:00</x:v>
      </x:c>
      <x:c r="L300" s="121"/>
      <x:c r="M300" s="106" t="str">
        <x:v>pe-pb-reference-v1</x:v>
      </x:c>
      <x:c r="N300" s="106" t="str">
        <x:v>73acfd6799d34d441642c41aab835fd0a76fc174d3322890aea922d3ae653432</x:v>
      </x:c>
      <x:c r="O300" s="113"/>
      <x:c r="P300" s="106" t="str">
        <x:v>pending</x:v>
      </x:c>
      <x:c r="Q300" s="106" t="str">
        <x:v>否</x:v>
      </x:c>
      <x:c r="R300" s="106" t="str">
        <x:v>由本地 Agent 同步</x:v>
      </x:c>
      <x:c r="S300" s="86"/>
      <x:c r="T300" s="86"/>
      <x:c r="U300" s="86"/>
      <x:c r="V300" s="86"/>
      <x:c r="W300" s="86"/>
      <x:c r="X300" s="86"/>
      <x:c r="Y300" s="86"/>
      <x:c r="Z300" s="86"/>
    </x:row>
    <x:row r="301">
      <x:c r="A301" s="106" t="str">
        <x:v>33e7988c-ff8b-4663-916a-4797ef1235b7</x:v>
      </x:c>
      <x:c r="B301" s="106" t="str">
        <x:v>600690</x:v>
      </x:c>
      <x:c r="C301" s="106" t="str">
        <x:v>model_pb_fair_value</x:v>
      </x:c>
      <x:c r="D301" s="106" t="str">
        <x:v>2026-06-30</x:v>
      </x:c>
      <x:c r="E301" s="106" t="n">
        <x:v>27.59</x:v>
      </x:c>
      <x:c r="F301" s="106" t="str">
        <x:v>CNY/share</x:v>
      </x:c>
      <x:c r="G301" s="106" t="str">
        <x:v>Value Investment Agent PE/PB reference model</x:v>
      </x:c>
      <x:c r="H301" s="106" t="str">
        <x:v>internal://value-investment-agent/pe-pb-reference-v1</x:v>
      </x:c>
      <x:c r="I301" s="106"/>
      <x:c r="J301" s="106"/>
      <x:c r="K301" s="121" t="str">
        <x:v>2026-09-03 07:38:36.752262+00:00</x:v>
      </x:c>
      <x:c r="L301" s="121"/>
      <x:c r="M301" s="106" t="str">
        <x:v>pe-pb-reference-v1</x:v>
      </x:c>
      <x:c r="N301" s="106" t="str">
        <x:v>5970cfd1c0aa893cb081cce0070505730ae6261649d5e149a3a7887c8c59a8c4</x:v>
      </x:c>
      <x:c r="O301" s="113"/>
      <x:c r="P301" s="106" t="str">
        <x:v>pending</x:v>
      </x:c>
      <x:c r="Q301" s="106" t="str">
        <x:v>否</x:v>
      </x:c>
      <x:c r="R301" s="106" t="str">
        <x:v>由本地 Agent 同步</x:v>
      </x:c>
      <x:c r="S301" s="86"/>
      <x:c r="T301" s="86"/>
      <x:c r="U301" s="86"/>
      <x:c r="V301" s="86"/>
      <x:c r="W301" s="86"/>
      <x:c r="X301" s="86"/>
      <x:c r="Y301" s="86"/>
      <x:c r="Z301" s="86"/>
    </x:row>
    <x:row r="302">
      <x:c r="A302" s="106" t="str">
        <x:v>f9e78667-8391-4511-bb62-a0f87ffc6727</x:v>
      </x:c>
      <x:c r="B302" s="106" t="str">
        <x:v>300750</x:v>
      </x:c>
      <x:c r="C302" s="106" t="str">
        <x:v>model_target_pe</x:v>
      </x:c>
      <x:c r="D302" s="106" t="str">
        <x:v>2026-06-30</x:v>
      </x:c>
      <x:c r="E302" s="106" t="n">
        <x:v>20</x:v>
      </x:c>
      <x:c r="F302" s="106" t="str">
        <x:v>multiple</x:v>
      </x:c>
      <x:c r="G302" s="106" t="str">
        <x:v>Value Investment Agent PE/PB reference model</x:v>
      </x:c>
      <x:c r="H302" s="106" t="str">
        <x:v>internal://value-investment-agent/pe-pb-reference-v1</x:v>
      </x:c>
      <x:c r="I302" s="106"/>
      <x:c r="J302" s="106"/>
      <x:c r="K302" s="121" t="str">
        <x:v>2026-09-03 07:38:36.752262+00:00</x:v>
      </x:c>
      <x:c r="L302" s="121"/>
      <x:c r="M302" s="106" t="str">
        <x:v>pe-pb-reference-v1</x:v>
      </x:c>
      <x:c r="N302" s="106" t="str">
        <x:v>a2b67f8a91156ccf684379a3c93b3a04c543ab9641c90b3d6d132ec951b42ad1</x:v>
      </x:c>
      <x:c r="O302" s="113"/>
      <x:c r="P302" s="106" t="str">
        <x:v>pending</x:v>
      </x:c>
      <x:c r="Q302" s="106" t="str">
        <x:v>否</x:v>
      </x:c>
      <x:c r="R302" s="106" t="str">
        <x:v>由本地 Agent 同步</x:v>
      </x:c>
      <x:c r="S302" s="86"/>
      <x:c r="T302" s="86"/>
      <x:c r="U302" s="86"/>
      <x:c r="V302" s="86"/>
      <x:c r="W302" s="86"/>
      <x:c r="X302" s="86"/>
      <x:c r="Y302" s="86"/>
      <x:c r="Z302" s="86"/>
    </x:row>
    <x:row r="303">
      <x:c r="A303" s="106" t="str">
        <x:v>45174473-d082-44a9-86f7-ba89af398cee</x:v>
      </x:c>
      <x:c r="B303" s="106" t="str">
        <x:v>600887</x:v>
      </x:c>
      <x:c r="C303" s="106" t="str">
        <x:v>model_target_pb</x:v>
      </x:c>
      <x:c r="D303" s="106" t="str">
        <x:v>2026-06-30</x:v>
      </x:c>
      <x:c r="E303" s="106" t="n">
        <x:v>2.5</x:v>
      </x:c>
      <x:c r="F303" s="106" t="str">
        <x:v>multiple</x:v>
      </x:c>
      <x:c r="G303" s="106" t="str">
        <x:v>Value Investment Agent PE/PB reference model</x:v>
      </x:c>
      <x:c r="H303" s="106" t="str">
        <x:v>internal://value-investment-agent/pe-pb-reference-v1</x:v>
      </x:c>
      <x:c r="I303" s="106"/>
      <x:c r="J303" s="106"/>
      <x:c r="K303" s="121" t="str">
        <x:v>2026-09-03 07:38:36.752262+00:00</x:v>
      </x:c>
      <x:c r="L303" s="121"/>
      <x:c r="M303" s="106" t="str">
        <x:v>pe-pb-reference-v1</x:v>
      </x:c>
      <x:c r="N303" s="106" t="str">
        <x:v>aa588306c3971464eac8b1f3a1ac2bb7dac4debb9743ad8eeda4b5d2948def07</x:v>
      </x:c>
      <x:c r="O303" s="113"/>
      <x:c r="P303" s="106" t="str">
        <x:v>pending</x:v>
      </x:c>
      <x:c r="Q303" s="106" t="str">
        <x:v>否</x:v>
      </x:c>
      <x:c r="R303" s="106" t="str">
        <x:v>由本地 Agent 同步</x:v>
      </x:c>
      <x:c r="S303" s="86"/>
      <x:c r="T303" s="86"/>
      <x:c r="U303" s="86"/>
      <x:c r="V303" s="86"/>
      <x:c r="W303" s="86"/>
      <x:c r="X303" s="86"/>
      <x:c r="Y303" s="86"/>
      <x:c r="Z303" s="86"/>
    </x:row>
    <x:row r="304">
      <x:c r="A304" s="106" t="str">
        <x:v>2a99527e-342b-486d-9034-ab79a7880f11</x:v>
      </x:c>
      <x:c r="B304" s="106" t="str">
        <x:v>000333</x:v>
      </x:c>
      <x:c r="C304" s="106" t="str">
        <x:v>current_price</x:v>
      </x:c>
      <x:c r="D304" s="106" t="str">
        <x:v>2026-09-03 07:38</x:v>
      </x:c>
      <x:c r="E304" s="106" t="n">
        <x:v>86.98</x:v>
      </x:c>
      <x:c r="F304" s="106" t="str">
        <x:v>CNY/share</x:v>
      </x:c>
      <x:c r="G304" s="106" t="str">
        <x:v>AkShare / Sina public historical quotes</x:v>
      </x:c>
      <x:c r="H304" s="106" t="str">
        <x:v>https://akshare.akfamily.xyz/data/stock/stock.html</x:v>
      </x:c>
      <x:c r="I304" s="106"/>
      <x:c r="J304" s="106"/>
      <x:c r="K304" s="121" t="str">
        <x:v>2026-09-03 07:38:19.937971+00:00</x:v>
      </x:c>
      <x:c r="L304" s="121"/>
      <x:c r="M304" s="106" t="str">
        <x:v>akshare-price-v3-sina-history</x:v>
      </x:c>
      <x:c r="N304" s="106" t="str">
        <x:v>c551442f5870354678eed4b8ea3bd58f22df0436e1f0531ee5894fbfe019ce4f</x:v>
      </x:c>
      <x:c r="O304" s="113"/>
      <x:c r="P304" s="106" t="str">
        <x:v>pending</x:v>
      </x:c>
      <x:c r="Q304" s="106" t="str">
        <x:v>否</x:v>
      </x:c>
      <x:c r="R304" s="106" t="str">
        <x:v>由本地 Agent 同步</x:v>
      </x:c>
      <x:c r="S304" s="86"/>
      <x:c r="T304" s="86"/>
      <x:c r="U304" s="86"/>
      <x:c r="V304" s="86"/>
      <x:c r="W304" s="86"/>
      <x:c r="X304" s="86"/>
      <x:c r="Y304" s="86"/>
      <x:c r="Z304" s="86"/>
    </x:row>
    <x:row r="305">
      <x:c r="A305" s="106" t="str">
        <x:v>bc070387-24ed-4244-9551-1ea29fa0d8a1</x:v>
      </x:c>
      <x:c r="B305" s="106" t="str">
        <x:v>601288</x:v>
      </x:c>
      <x:c r="C305" s="106" t="str">
        <x:v>model_pb_fair_value</x:v>
      </x:c>
      <x:c r="D305" s="106" t="str">
        <x:v>2026-06-30</x:v>
      </x:c>
      <x:c r="E305" s="106" t="n">
        <x:v>7.15</x:v>
      </x:c>
      <x:c r="F305" s="106" t="str">
        <x:v>CNY/share</x:v>
      </x:c>
      <x:c r="G305" s="106" t="str">
        <x:v>Value Investment Agent PE/PB reference model</x:v>
      </x:c>
      <x:c r="H305" s="106" t="str">
        <x:v>internal://value-investment-agent/pe-pb-reference-v1</x:v>
      </x:c>
      <x:c r="I305" s="106"/>
      <x:c r="J305" s="106"/>
      <x:c r="K305" s="121" t="str">
        <x:v>2026-09-03 07:38:36.752262+00:00</x:v>
      </x:c>
      <x:c r="L305" s="121"/>
      <x:c r="M305" s="106" t="str">
        <x:v>pe-pb-reference-v1</x:v>
      </x:c>
      <x:c r="N305" s="106" t="str">
        <x:v>cecf3f31af1d982606934fe1ec934ad4c540d0b90791dc396e49962e9488247f</x:v>
      </x:c>
      <x:c r="O305" s="113"/>
      <x:c r="P305" s="106" t="str">
        <x:v>pending</x:v>
      </x:c>
      <x:c r="Q305" s="106" t="str">
        <x:v>否</x:v>
      </x:c>
      <x:c r="R305" s="106" t="str">
        <x:v>由本地 Agent 同步</x:v>
      </x:c>
      <x:c r="S305" s="86"/>
      <x:c r="T305" s="86"/>
      <x:c r="U305" s="86"/>
      <x:c r="V305" s="86"/>
      <x:c r="W305" s="86"/>
      <x:c r="X305" s="86"/>
      <x:c r="Y305" s="86"/>
      <x:c r="Z305" s="86"/>
    </x:row>
    <x:row r="306">
      <x:c r="A306" s="106" t="str">
        <x:v>d83c641c-6a20-49df-8d14-696941aa7e71</x:v>
      </x:c>
      <x:c r="B306" s="106" t="str">
        <x:v>600941</x:v>
      </x:c>
      <x:c r="C306" s="106" t="str">
        <x:v>current_price</x:v>
      </x:c>
      <x:c r="D306" s="106" t="str">
        <x:v>2026-09-03 07:38</x:v>
      </x:c>
      <x:c r="E306" s="106" t="n">
        <x:v>100.8</x:v>
      </x:c>
      <x:c r="F306" s="106" t="str">
        <x:v>CNY/share</x:v>
      </x:c>
      <x:c r="G306" s="106" t="str">
        <x:v>AkShare / Sina public historical quotes</x:v>
      </x:c>
      <x:c r="H306" s="106" t="str">
        <x:v>https://akshare.akfamily.xyz/data/stock/stock.html</x:v>
      </x:c>
      <x:c r="I306" s="106"/>
      <x:c r="J306" s="106"/>
      <x:c r="K306" s="121" t="str">
        <x:v>2026-09-03 07:38:19.937971+00:00</x:v>
      </x:c>
      <x:c r="L306" s="121"/>
      <x:c r="M306" s="106" t="str">
        <x:v>akshare-price-v3-sina-history</x:v>
      </x:c>
      <x:c r="N306" s="106" t="str">
        <x:v>e1a11106f8d03cab7fb899e1b289c0d2391898f77381cf555489ad3ea5c25992</x:v>
      </x:c>
      <x:c r="O306" s="113"/>
      <x:c r="P306" s="106" t="str">
        <x:v>pending</x:v>
      </x:c>
      <x:c r="Q306" s="106" t="str">
        <x:v>否</x:v>
      </x:c>
      <x:c r="R306" s="106" t="str">
        <x:v>由本地 Agent 同步</x:v>
      </x:c>
      <x:c r="S306" s="86"/>
      <x:c r="T306" s="86"/>
      <x:c r="U306" s="86"/>
      <x:c r="V306" s="86"/>
      <x:c r="W306" s="86"/>
      <x:c r="X306" s="86"/>
      <x:c r="Y306" s="86"/>
      <x:c r="Z306" s="86"/>
    </x:row>
    <x:row r="307">
      <x:c r="A307" s="106" t="str">
        <x:v>a1314791-a8f1-4a40-a91b-506b9cf48f30</x:v>
      </x:c>
      <x:c r="B307" s="106" t="str">
        <x:v>600036</x:v>
      </x:c>
      <x:c r="C307" s="106" t="str">
        <x:v>model_pe_fair_value</x:v>
      </x:c>
      <x:c r="D307" s="106" t="str">
        <x:v>2026-06-30</x:v>
      </x:c>
      <x:c r="E307" s="106" t="n">
        <x:v>48.42</x:v>
      </x:c>
      <x:c r="F307" s="106" t="str">
        <x:v>CNY/share</x:v>
      </x:c>
      <x:c r="G307" s="106" t="str">
        <x:v>Value Investment Agent PE/PB reference model</x:v>
      </x:c>
      <x:c r="H307" s="106" t="str">
        <x:v>internal://value-investment-agent/pe-pb-reference-v1</x:v>
      </x:c>
      <x:c r="I307" s="106"/>
      <x:c r="J307" s="106"/>
      <x:c r="K307" s="121" t="str">
        <x:v>2026-09-03 07:38:36.752262+00:00</x:v>
      </x:c>
      <x:c r="L307" s="121"/>
      <x:c r="M307" s="106" t="str">
        <x:v>pe-pb-reference-v1</x:v>
      </x:c>
      <x:c r="N307" s="106" t="str">
        <x:v>73acfd6799d34d441642c41aab835fd0a76fc174d3322890aea922d3ae653432</x:v>
      </x:c>
      <x:c r="O307" s="113"/>
      <x:c r="P307" s="106" t="str">
        <x:v>pending</x:v>
      </x:c>
      <x:c r="Q307" s="106" t="str">
        <x:v>否</x:v>
      </x:c>
      <x:c r="R307" s="106" t="str">
        <x:v>由本地 Agent 同步</x:v>
      </x:c>
      <x:c r="S307" s="86"/>
      <x:c r="T307" s="86"/>
      <x:c r="U307" s="86"/>
      <x:c r="V307" s="86"/>
      <x:c r="W307" s="86"/>
      <x:c r="X307" s="86"/>
      <x:c r="Y307" s="86"/>
      <x:c r="Z307" s="86"/>
    </x:row>
    <x:row r="308">
      <x:c r="A308" s="106" t="str">
        <x:v>f9e78667-8391-4511-bb62-a0f87ffc6727</x:v>
      </x:c>
      <x:c r="B308" s="106" t="str">
        <x:v>300750</x:v>
      </x:c>
      <x:c r="C308" s="106" t="str">
        <x:v>model_fair_value</x:v>
      </x:c>
      <x:c r="D308" s="106" t="str">
        <x:v>2026-06-30</x:v>
      </x:c>
      <x:c r="E308" s="106" t="n">
        <x:v>333.13</x:v>
      </x:c>
      <x:c r="F308" s="106" t="str">
        <x:v>CNY/share</x:v>
      </x:c>
      <x:c r="G308" s="106" t="str">
        <x:v>Value Investment Agent PE/PB reference model</x:v>
      </x:c>
      <x:c r="H308" s="106" t="str">
        <x:v>internal://value-investment-agent/pe-pb-reference-v1</x:v>
      </x:c>
      <x:c r="I308" s="106"/>
      <x:c r="J308" s="106"/>
      <x:c r="K308" s="121" t="str">
        <x:v>2026-09-03 07:38:36.752262+00:00</x:v>
      </x:c>
      <x:c r="L308" s="121"/>
      <x:c r="M308" s="106" t="str">
        <x:v>pe-pb-reference-v1</x:v>
      </x:c>
      <x:c r="N308" s="106" t="str">
        <x:v>a2b67f8a91156ccf684379a3c93b3a04c543ab9641c90b3d6d132ec951b42ad1</x:v>
      </x:c>
      <x:c r="O308" s="113"/>
      <x:c r="P308" s="106" t="str">
        <x:v>pending</x:v>
      </x:c>
      <x:c r="Q308" s="106" t="str">
        <x:v>否</x:v>
      </x:c>
      <x:c r="R308" s="106" t="str">
        <x:v>由本地 Agent 同步</x:v>
      </x:c>
      <x:c r="S308" s="86"/>
      <x:c r="T308" s="86"/>
      <x:c r="U308" s="86"/>
      <x:c r="V308" s="86"/>
      <x:c r="W308" s="86"/>
      <x:c r="X308" s="86"/>
      <x:c r="Y308" s="86"/>
      <x:c r="Z308" s="86"/>
    </x:row>
    <x:row r="309">
      <x:c r="A309" s="106" t="str">
        <x:v>45174473-d082-44a9-86f7-ba89af398cee</x:v>
      </x:c>
      <x:c r="B309" s="106" t="str">
        <x:v>600887</x:v>
      </x:c>
      <x:c r="C309" s="106" t="str">
        <x:v>model_pb_fair_value</x:v>
      </x:c>
      <x:c r="D309" s="106" t="str">
        <x:v>2026-06-30</x:v>
      </x:c>
      <x:c r="E309" s="106" t="n">
        <x:v>22.64</x:v>
      </x:c>
      <x:c r="F309" s="106" t="str">
        <x:v>CNY/share</x:v>
      </x:c>
      <x:c r="G309" s="106" t="str">
        <x:v>Value Investment Agent PE/PB reference model</x:v>
      </x:c>
      <x:c r="H309" s="106" t="str">
        <x:v>internal://value-investment-agent/pe-pb-reference-v1</x:v>
      </x:c>
      <x:c r="I309" s="106"/>
      <x:c r="J309" s="106"/>
      <x:c r="K309" s="121" t="str">
        <x:v>2026-09-03 07:38:36.752262+00:00</x:v>
      </x:c>
      <x:c r="L309" s="121"/>
      <x:c r="M309" s="106" t="str">
        <x:v>pe-pb-reference-v1</x:v>
      </x:c>
      <x:c r="N309" s="106" t="str">
        <x:v>aa588306c3971464eac8b1f3a1ac2bb7dac4debb9743ad8eeda4b5d2948def07</x:v>
      </x:c>
      <x:c r="O309" s="113"/>
      <x:c r="P309" s="106" t="str">
        <x:v>pending</x:v>
      </x:c>
      <x:c r="Q309" s="106" t="str">
        <x:v>否</x:v>
      </x:c>
      <x:c r="R309" s="106" t="str">
        <x:v>由本地 Agent 同步</x:v>
      </x:c>
      <x:c r="S309" s="86"/>
      <x:c r="T309" s="86"/>
      <x:c r="U309" s="86"/>
      <x:c r="V309" s="86"/>
      <x:c r="W309" s="86"/>
      <x:c r="X309" s="86"/>
      <x:c r="Y309" s="86"/>
      <x:c r="Z309" s="86"/>
    </x:row>
    <x:row r="310">
      <x:c r="A310" s="106" t="str">
        <x:v>f469cee7-b6d8-4406-a434-2f1b51f6b220</x:v>
      </x:c>
      <x:c r="B310" s="106" t="str">
        <x:v>600519</x:v>
      </x:c>
      <x:c r="C310" s="106" t="str">
        <x:v>current_price</x:v>
      </x:c>
      <x:c r="D310" s="106" t="str">
        <x:v>2026-09-03 07:38</x:v>
      </x:c>
      <x:c r="E310" s="106" t="n">
        <x:v>1297.5</x:v>
      </x:c>
      <x:c r="F310" s="106" t="str">
        <x:v>CNY/share</x:v>
      </x:c>
      <x:c r="G310" s="106" t="str">
        <x:v>AkShare / Sina public historical quotes</x:v>
      </x:c>
      <x:c r="H310" s="106" t="str">
        <x:v>https://akshare.akfamily.xyz/data/stock/stock.html</x:v>
      </x:c>
      <x:c r="I310" s="106"/>
      <x:c r="J310" s="106"/>
      <x:c r="K310" s="121" t="str">
        <x:v>2026-09-03 07:38:19.937971+00:00</x:v>
      </x:c>
      <x:c r="L310" s="121"/>
      <x:c r="M310" s="106" t="str">
        <x:v>akshare-price-v3-sina-history</x:v>
      </x:c>
      <x:c r="N310" s="106" t="str">
        <x:v>b5cf181e431426d449865e6f7178525dce1cc1bd1a8018fbc89ee4cb259aea88</x:v>
      </x:c>
      <x:c r="O310" s="113"/>
      <x:c r="P310" s="106" t="str">
        <x:v>pending</x:v>
      </x:c>
      <x:c r="Q310" s="106" t="str">
        <x:v>否</x:v>
      </x:c>
      <x:c r="R310" s="106" t="str">
        <x:v>由本地 Agent 同步</x:v>
      </x:c>
      <x:c r="S310" s="86"/>
      <x:c r="T310" s="86"/>
      <x:c r="U310" s="86"/>
      <x:c r="V310" s="86"/>
      <x:c r="W310" s="86"/>
      <x:c r="X310" s="86"/>
      <x:c r="Y310" s="86"/>
      <x:c r="Z310" s="86"/>
    </x:row>
    <x:row r="311">
      <x:c r="A311" s="106" t="str">
        <x:v>f9e78667-8391-4511-bb62-a0f87ffc6727</x:v>
      </x:c>
      <x:c r="B311" s="106" t="str">
        <x:v>300750</x:v>
      </x:c>
      <x:c r="C311" s="106" t="str">
        <x:v>model_pb_fair_value</x:v>
      </x:c>
      <x:c r="D311" s="106" t="str">
        <x:v>2026-06-30</x:v>
      </x:c>
      <x:c r="E311" s="106" t="n">
        <x:v>268.42</x:v>
      </x:c>
      <x:c r="F311" s="106" t="str">
        <x:v>CNY/share</x:v>
      </x:c>
      <x:c r="G311" s="106" t="str">
        <x:v>Value Investment Agent PE/PB reference model</x:v>
      </x:c>
      <x:c r="H311" s="106" t="str">
        <x:v>internal://value-investment-agent/pe-pb-reference-v1</x:v>
      </x:c>
      <x:c r="I311" s="106"/>
      <x:c r="J311" s="106"/>
      <x:c r="K311" s="121" t="str">
        <x:v>2026-09-03 07:38:36.752262+00:00</x:v>
      </x:c>
      <x:c r="L311" s="121"/>
      <x:c r="M311" s="106" t="str">
        <x:v>pe-pb-reference-v1</x:v>
      </x:c>
      <x:c r="N311" s="106" t="str">
        <x:v>a2b67f8a91156ccf684379a3c93b3a04c543ab9641c90b3d6d132ec951b42ad1</x:v>
      </x:c>
      <x:c r="O311" s="113"/>
      <x:c r="P311" s="106" t="str">
        <x:v>pending</x:v>
      </x:c>
      <x:c r="Q311" s="106" t="str">
        <x:v>否</x:v>
      </x:c>
      <x:c r="R311" s="106" t="str">
        <x:v>由本地 Agent 同步</x:v>
      </x:c>
      <x:c r="S311" s="86"/>
      <x:c r="T311" s="86"/>
      <x:c r="U311" s="86"/>
      <x:c r="V311" s="86"/>
      <x:c r="W311" s="86"/>
      <x:c r="X311" s="86"/>
      <x:c r="Y311" s="86"/>
      <x:c r="Z311" s="86"/>
    </x:row>
    <x:row r="312">
      <x:c r="A312" s="106" t="str">
        <x:v>7ee58f16-001c-4be5-8206-dc0448cae4a1</x:v>
      </x:c>
      <x:c r="B312" s="106" t="str">
        <x:v>600519</x:v>
      </x:c>
      <x:c r="C312" s="106" t="str">
        <x:v>model_target_pb</x:v>
      </x:c>
      <x:c r="D312" s="106" t="str">
        <x:v>2026-06-30</x:v>
      </x:c>
      <x:c r="E312" s="106" t="n">
        <x:v>4</x:v>
      </x:c>
      <x:c r="F312" s="106" t="str">
        <x:v>multiple</x:v>
      </x:c>
      <x:c r="G312" s="106" t="str">
        <x:v>Value Investment Agent PE/PB reference model</x:v>
      </x:c>
      <x:c r="H312" s="106" t="str">
        <x:v>internal://value-investment-agent/pe-pb-reference-v1</x:v>
      </x:c>
      <x:c r="I312" s="106"/>
      <x:c r="J312" s="106"/>
      <x:c r="K312" s="121" t="str">
        <x:v>2026-09-03 07:38:36.752262+00:00</x:v>
      </x:c>
      <x:c r="L312" s="121"/>
      <x:c r="M312" s="106" t="str">
        <x:v>pe-pb-reference-v1</x:v>
      </x:c>
      <x:c r="N312" s="106" t="str">
        <x:v>5527af46bd3b144c037f297a2952cec230e272bf9e5d341900cca291845adc7f</x:v>
      </x:c>
      <x:c r="O312" s="113"/>
      <x:c r="P312" s="106" t="str">
        <x:v>pending</x:v>
      </x:c>
      <x:c r="Q312" s="106" t="str">
        <x:v>否</x:v>
      </x:c>
      <x:c r="R312" s="106" t="str">
        <x:v>由本地 Agent 同步</x:v>
      </x:c>
      <x:c r="S312" s="86"/>
      <x:c r="T312" s="86"/>
      <x:c r="U312" s="86"/>
      <x:c r="V312" s="86"/>
      <x:c r="W312" s="86"/>
      <x:c r="X312" s="86"/>
      <x:c r="Y312" s="86"/>
      <x:c r="Z312" s="86"/>
    </x:row>
    <x:row r="313">
      <x:c r="A313" s="106" t="str">
        <x:v>f3a9699e-dea0-4203-b9ee-b6378194f9c2</x:v>
      </x:c>
      <x:c r="B313" s="106" t="str">
        <x:v>600900</x:v>
      </x:c>
      <x:c r="C313" s="106" t="str">
        <x:v>model_pe_fair_value</x:v>
      </x:c>
      <x:c r="D313" s="106" t="str">
        <x:v>2026-06-30</x:v>
      </x:c>
      <x:c r="E313" s="106" t="n">
        <x:v>18</x:v>
      </x:c>
      <x:c r="F313" s="106" t="str">
        <x:v>CNY/share</x:v>
      </x:c>
      <x:c r="G313" s="106" t="str">
        <x:v>Value Investment Agent PE/PB reference model</x:v>
      </x:c>
      <x:c r="H313" s="106" t="str">
        <x:v>internal://value-investment-agent/pe-pb-reference-v1</x:v>
      </x:c>
      <x:c r="I313" s="106"/>
      <x:c r="J313" s="106"/>
      <x:c r="K313" s="121" t="str">
        <x:v>2026-09-03 07:38:36.752262+00:00</x:v>
      </x:c>
      <x:c r="L313" s="121"/>
      <x:c r="M313" s="106" t="str">
        <x:v>pe-pb-reference-v1</x:v>
      </x:c>
      <x:c r="N313" s="106" t="str">
        <x:v>3a9c49583a4fbb258cc95b45d1a8d004b43428f93cc937e2e9e54de10eba0417</x:v>
      </x:c>
      <x:c r="O313" s="113"/>
      <x:c r="P313" s="106" t="str">
        <x:v>pending</x:v>
      </x:c>
      <x:c r="Q313" s="106" t="str">
        <x:v>否</x:v>
      </x:c>
      <x:c r="R313" s="106" t="str">
        <x:v>由本地 Agent 同步</x:v>
      </x:c>
      <x:c r="S313" s="86"/>
      <x:c r="T313" s="86"/>
      <x:c r="U313" s="86"/>
      <x:c r="V313" s="86"/>
      <x:c r="W313" s="86"/>
      <x:c r="X313" s="86"/>
      <x:c r="Y313" s="86"/>
      <x:c r="Z313" s="86"/>
    </x:row>
    <x:row r="314">
      <x:c r="A314" s="106" t="str">
        <x:v>d8a63d02-da2c-43be-8557-a4679640380f</x:v>
      </x:c>
      <x:c r="B314" s="106" t="str">
        <x:v>600941</x:v>
      </x:c>
      <x:c r="C314" s="106" t="str">
        <x:v>model_target_pb</x:v>
      </x:c>
      <x:c r="D314" s="106" t="str">
        <x:v>2026-06-30</x:v>
      </x:c>
      <x:c r="E314" s="106" t="n">
        <x:v>1.5</x:v>
      </x:c>
      <x:c r="F314" s="106" t="str">
        <x:v>multiple</x:v>
      </x:c>
      <x:c r="G314" s="106" t="str">
        <x:v>Value Investment Agent PE/PB reference model</x:v>
      </x:c>
      <x:c r="H314" s="106" t="str">
        <x:v>internal://value-investment-agent/pe-pb-reference-v1</x:v>
      </x:c>
      <x:c r="I314" s="106"/>
      <x:c r="J314" s="106"/>
      <x:c r="K314" s="121" t="str">
        <x:v>2026-09-03 07:38:36.752262+00:00</x:v>
      </x:c>
      <x:c r="L314" s="121"/>
      <x:c r="M314" s="106" t="str">
        <x:v>pe-pb-reference-v1</x:v>
      </x:c>
      <x:c r="N314" s="106" t="str">
        <x:v>b808b770393cc7b2153d14499c6c101ced3fa694a821c6f3e7abd09cceffc9bb</x:v>
      </x:c>
      <x:c r="O314" s="113"/>
      <x:c r="P314" s="106" t="str">
        <x:v>pending</x:v>
      </x:c>
      <x:c r="Q314" s="106" t="str">
        <x:v>否</x:v>
      </x:c>
      <x:c r="R314" s="106" t="str">
        <x:v>由本地 Agent 同步</x:v>
      </x:c>
      <x:c r="S314" s="86"/>
      <x:c r="T314" s="86"/>
      <x:c r="U314" s="86"/>
      <x:c r="V314" s="86"/>
      <x:c r="W314" s="86"/>
      <x:c r="X314" s="86"/>
      <x:c r="Y314" s="86"/>
      <x:c r="Z314" s="86"/>
    </x:row>
    <x:row r="315">
      <x:c r="A315" s="106" t="str">
        <x:v>337b06da-cefa-49bc-b821-a5f0e77172f1</x:v>
      </x:c>
      <x:c r="B315" s="106" t="str">
        <x:v>600519</x:v>
      </x:c>
      <x:c r="C315" s="106" t="str">
        <x:v>eps_reported</x:v>
      </x:c>
      <x:c r="D315" s="106" t="str">
        <x:v>2026-06-30</x:v>
      </x:c>
      <x:c r="E315" s="106" t="n">
        <x:v>36.8243</x:v>
      </x:c>
      <x:c r="F315" s="106" t="str">
        <x:v>CNY/share</x:v>
      </x:c>
      <x:c r="G315" s="106" t="str">
        <x:v>AkShare / Sina financial indicators</x:v>
      </x:c>
      <x:c r="H315" s="106" t="str">
        <x:v>https://money.finance.sina.com.cn/corp/go.php/vFD_FinancialGuideLine/stockid/600519/ctrl/2026/displaytype/4.phtml</x:v>
      </x:c>
      <x:c r="I315" s="106"/>
      <x:c r="J315" s="106"/>
      <x:c r="K315" s="121" t="str">
        <x:v>2026-09-03 07:38:24.734939+00:00</x:v>
      </x:c>
      <x:c r="L315" s="121"/>
      <x:c r="M315" s="106" t="str">
        <x:v>akshare-financial-v1-sina</x:v>
      </x:c>
      <x:c r="N315" s="106" t="str">
        <x:v>afc84f3d7a43e3c9a3040800b50dbc862df17247a5a086ec2e4a5ef3712543e3</x:v>
      </x:c>
      <x:c r="O315" s="113"/>
      <x:c r="P315" s="106" t="str">
        <x:v>pending</x:v>
      </x:c>
      <x:c r="Q315" s="106" t="str">
        <x:v>否</x:v>
      </x:c>
      <x:c r="R315" s="106" t="str">
        <x:v>由本地 Agent 同步</x:v>
      </x:c>
      <x:c r="S315" s="86"/>
      <x:c r="T315" s="86"/>
      <x:c r="U315" s="86"/>
      <x:c r="V315" s="86"/>
      <x:c r="W315" s="86"/>
      <x:c r="X315" s="86"/>
      <x:c r="Y315" s="86"/>
      <x:c r="Z315" s="86"/>
    </x:row>
    <x:row r="316">
      <x:c r="A316" s="106" t="str">
        <x:v>45174473-d082-44a9-86f7-ba89af398cee</x:v>
      </x:c>
      <x:c r="B316" s="106" t="str">
        <x:v>600887</x:v>
      </x:c>
      <x:c r="C316" s="106" t="str">
        <x:v>model_target_pe</x:v>
      </x:c>
      <x:c r="D316" s="106" t="str">
        <x:v>2026-06-30</x:v>
      </x:c>
      <x:c r="E316" s="106" t="n">
        <x:v>15</x:v>
      </x:c>
      <x:c r="F316" s="106" t="str">
        <x:v>multiple</x:v>
      </x:c>
      <x:c r="G316" s="106" t="str">
        <x:v>Value Investment Agent PE/PB reference model</x:v>
      </x:c>
      <x:c r="H316" s="106" t="str">
        <x:v>internal://value-investment-agent/pe-pb-reference-v1</x:v>
      </x:c>
      <x:c r="I316" s="106"/>
      <x:c r="J316" s="106"/>
      <x:c r="K316" s="121" t="str">
        <x:v>2026-09-03 07:38:36.752262+00:00</x:v>
      </x:c>
      <x:c r="L316" s="121"/>
      <x:c r="M316" s="106" t="str">
        <x:v>pe-pb-reference-v1</x:v>
      </x:c>
      <x:c r="N316" s="106" t="str">
        <x:v>aa588306c3971464eac8b1f3a1ac2bb7dac4debb9743ad8eeda4b5d2948def07</x:v>
      </x:c>
      <x:c r="O316" s="113"/>
      <x:c r="P316" s="106" t="str">
        <x:v>pending</x:v>
      </x:c>
      <x:c r="Q316" s="106" t="str">
        <x:v>否</x:v>
      </x:c>
      <x:c r="R316" s="106" t="str">
        <x:v>由本地 Agent 同步</x:v>
      </x:c>
      <x:c r="S316" s="86"/>
      <x:c r="T316" s="86"/>
      <x:c r="U316" s="86"/>
      <x:c r="V316" s="86"/>
      <x:c r="W316" s="86"/>
      <x:c r="X316" s="86"/>
      <x:c r="Y316" s="86"/>
      <x:c r="Z316" s="86"/>
    </x:row>
    <x:row r="317">
      <x:c r="A317" s="106" t="str">
        <x:v>e86ce3dc-cca0-4318-bb2d-0c3c54884f9d</x:v>
      </x:c>
      <x:c r="B317" s="106" t="str">
        <x:v>600900</x:v>
      </x:c>
      <x:c r="C317" s="106" t="str">
        <x:v>current_price</x:v>
      </x:c>
      <x:c r="D317" s="106" t="str">
        <x:v>2026-09-03 07:38</x:v>
      </x:c>
      <x:c r="E317" s="106" t="n">
        <x:v>28.72</x:v>
      </x:c>
      <x:c r="F317" s="106" t="str">
        <x:v>CNY/share</x:v>
      </x:c>
      <x:c r="G317" s="106" t="str">
        <x:v>AkShare / Sina public historical quotes</x:v>
      </x:c>
      <x:c r="H317" s="106" t="str">
        <x:v>https://akshare.akfamily.xyz/data/stock/stock.html</x:v>
      </x:c>
      <x:c r="I317" s="106"/>
      <x:c r="J317" s="106"/>
      <x:c r="K317" s="121" t="str">
        <x:v>2026-09-03 07:38:19.937971+00:00</x:v>
      </x:c>
      <x:c r="L317" s="121"/>
      <x:c r="M317" s="106" t="str">
        <x:v>akshare-price-v3-sina-history</x:v>
      </x:c>
      <x:c r="N317" s="106" t="str">
        <x:v>4ca07f5077d82c955a73c3fd743d69d3e16ff65ed406da29ac01bacbb018e8bf</x:v>
      </x:c>
      <x:c r="O317" s="113"/>
      <x:c r="P317" s="106" t="str">
        <x:v>pending</x:v>
      </x:c>
      <x:c r="Q317" s="106" t="str">
        <x:v>否</x:v>
      </x:c>
      <x:c r="R317" s="106" t="str">
        <x:v>由本地 Agent 同步</x:v>
      </x:c>
      <x:c r="S317" s="86"/>
      <x:c r="T317" s="86"/>
      <x:c r="U317" s="86"/>
      <x:c r="V317" s="86"/>
      <x:c r="W317" s="86"/>
      <x:c r="X317" s="86"/>
      <x:c r="Y317" s="86"/>
      <x:c r="Z317" s="86"/>
    </x:row>
    <x:row r="318">
      <x:c r="A318" s="106" t="str">
        <x:v>b02f6cda-e1ad-4632-a75d-0686a6e01881</x:v>
      </x:c>
      <x:c r="B318" s="106" t="str">
        <x:v>000333</x:v>
      </x:c>
      <x:c r="C318" s="106" t="str">
        <x:v>model_pe_fair_value</x:v>
      </x:c>
      <x:c r="D318" s="106" t="str">
        <x:v>2026-06-30</x:v>
      </x:c>
      <x:c r="E318" s="106" t="n">
        <x:v>88.14</x:v>
      </x:c>
      <x:c r="F318" s="106" t="str">
        <x:v>CNY/share</x:v>
      </x:c>
      <x:c r="G318" s="106" t="str">
        <x:v>Value Investment Agent PE/PB reference model</x:v>
      </x:c>
      <x:c r="H318" s="106" t="str">
        <x:v>internal://value-investment-agent/pe-pb-reference-v1</x:v>
      </x:c>
      <x:c r="I318" s="106"/>
      <x:c r="J318" s="106"/>
      <x:c r="K318" s="121" t="str">
        <x:v>2026-09-03 07:38:36.752262+00:00</x:v>
      </x:c>
      <x:c r="L318" s="121"/>
      <x:c r="M318" s="106" t="str">
        <x:v>pe-pb-reference-v1</x:v>
      </x:c>
      <x:c r="N318" s="106" t="str">
        <x:v>0898ea49f1090e835b314efb5052563fadeec455c50b2de9b0a8c796231a1258</x:v>
      </x:c>
      <x:c r="O318" s="113"/>
      <x:c r="P318" s="106" t="str">
        <x:v>pending</x:v>
      </x:c>
      <x:c r="Q318" s="106" t="str">
        <x:v>否</x:v>
      </x:c>
      <x:c r="R318" s="106" t="str">
        <x:v>由本地 Agent 同步</x:v>
      </x:c>
      <x:c r="S318" s="86"/>
      <x:c r="T318" s="86"/>
      <x:c r="U318" s="86"/>
      <x:c r="V318" s="86"/>
      <x:c r="W318" s="86"/>
      <x:c r="X318" s="86"/>
      <x:c r="Y318" s="86"/>
      <x:c r="Z318" s="86"/>
    </x:row>
    <x:row r="319">
      <x:c r="A319" s="106" t="str">
        <x:v>455d4371-6826-4eab-88b7-06f2be51c4b0</x:v>
      </x:c>
      <x:c r="B319" s="106" t="str">
        <x:v>300750</x:v>
      </x:c>
      <x:c r="C319" s="106" t="str">
        <x:v>eps_reported</x:v>
      </x:c>
      <x:c r="D319" s="106" t="str">
        <x:v>2026-06-30</x:v>
      </x:c>
      <x:c r="E319" s="106" t="n">
        <x:v>10.1652</x:v>
      </x:c>
      <x:c r="F319" s="106" t="str">
        <x:v>CNY/share</x:v>
      </x:c>
      <x:c r="G319" s="106" t="str">
        <x:v>AkShare / Sina financial indicators</x:v>
      </x:c>
      <x:c r="H319" s="106" t="str">
        <x:v>https://money.finance.sina.com.cn/corp/go.php/vFD_FinancialGuideLine/stockid/300750/ctrl/2026/displaytype/4.phtml</x:v>
      </x:c>
      <x:c r="I319" s="106"/>
      <x:c r="J319" s="106"/>
      <x:c r="K319" s="121" t="str">
        <x:v>2026-09-03 07:38:24.734939+00:00</x:v>
      </x:c>
      <x:c r="L319" s="121"/>
      <x:c r="M319" s="106" t="str">
        <x:v>akshare-financial-v1-sina</x:v>
      </x:c>
      <x:c r="N319" s="106" t="str">
        <x:v>d54ae9b27dea0ed5feacb1508aa80307f322ea12ead3154adc13457449f16077</x:v>
      </x:c>
      <x:c r="O319" s="113"/>
      <x:c r="P319" s="106" t="str">
        <x:v>pending</x:v>
      </x:c>
      <x:c r="Q319" s="106" t="str">
        <x:v>否</x:v>
      </x:c>
      <x:c r="R319" s="106" t="str">
        <x:v>由本地 Agent 同步</x:v>
      </x:c>
      <x:c r="S319" s="86"/>
      <x:c r="T319" s="86"/>
      <x:c r="U319" s="86"/>
      <x:c r="V319" s="86"/>
      <x:c r="W319" s="86"/>
      <x:c r="X319" s="86"/>
      <x:c r="Y319" s="86"/>
      <x:c r="Z319" s="86"/>
    </x:row>
    <x:row r="320">
      <x:c r="A320" s="106" t="str">
        <x:v>9327a7d3-3a92-4ba2-a1d0-9ee407fd769e</x:v>
      </x:c>
      <x:c r="B320" s="106" t="str">
        <x:v>601088</x:v>
      </x:c>
      <x:c r="C320" s="106" t="str">
        <x:v>model_pe_fair_value</x:v>
      </x:c>
      <x:c r="D320" s="106" t="str">
        <x:v>2026-06-30</x:v>
      </x:c>
      <x:c r="E320" s="106" t="n">
        <x:v>33.06</x:v>
      </x:c>
      <x:c r="F320" s="106" t="str">
        <x:v>CNY/share</x:v>
      </x:c>
      <x:c r="G320" s="106" t="str">
        <x:v>Value Investment Agent PE/PB reference model</x:v>
      </x:c>
      <x:c r="H320" s="106" t="str">
        <x:v>internal://value-investment-agent/pe-pb-reference-v1</x:v>
      </x:c>
      <x:c r="I320" s="106"/>
      <x:c r="J320" s="106"/>
      <x:c r="K320" s="121" t="str">
        <x:v>2026-09-03 07:38:36.752262+00:00</x:v>
      </x:c>
      <x:c r="L320" s="121"/>
      <x:c r="M320" s="106" t="str">
        <x:v>pe-pb-reference-v1</x:v>
      </x:c>
      <x:c r="N320" s="106" t="str">
        <x:v>0f5c67736473dc34064972e3411ca7f1e44bb7928e060e904d125de0d55eeead</x:v>
      </x:c>
      <x:c r="O320" s="113"/>
      <x:c r="P320" s="106" t="str">
        <x:v>pending</x:v>
      </x:c>
      <x:c r="Q320" s="106" t="str">
        <x:v>否</x:v>
      </x:c>
      <x:c r="R320" s="106" t="str">
        <x:v>由本地 Agent 同步</x:v>
      </x:c>
      <x:c r="S320" s="86"/>
      <x:c r="T320" s="86"/>
      <x:c r="U320" s="86"/>
      <x:c r="V320" s="86"/>
      <x:c r="W320" s="86"/>
      <x:c r="X320" s="86"/>
      <x:c r="Y320" s="86"/>
      <x:c r="Z320" s="86"/>
    </x:row>
    <x:row r="321">
      <x:c r="A321" s="106" t="str">
        <x:v>33e7988c-ff8b-4663-916a-4797ef1235b7</x:v>
      </x:c>
      <x:c r="B321" s="106" t="str">
        <x:v>600690</x:v>
      </x:c>
      <x:c r="C321" s="106" t="str">
        <x:v>model_target_pe</x:v>
      </x:c>
      <x:c r="D321" s="106" t="str">
        <x:v>2026-06-30</x:v>
      </x:c>
      <x:c r="E321" s="106" t="n">
        <x:v>14</x:v>
      </x:c>
      <x:c r="F321" s="106" t="str">
        <x:v>multiple</x:v>
      </x:c>
      <x:c r="G321" s="106" t="str">
        <x:v>Value Investment Agent PE/PB reference model</x:v>
      </x:c>
      <x:c r="H321" s="106" t="str">
        <x:v>internal://value-investment-agent/pe-pb-reference-v1</x:v>
      </x:c>
      <x:c r="I321" s="106"/>
      <x:c r="J321" s="106"/>
      <x:c r="K321" s="121" t="str">
        <x:v>2026-09-03 07:38:36.752262+00:00</x:v>
      </x:c>
      <x:c r="L321" s="121"/>
      <x:c r="M321" s="106" t="str">
        <x:v>pe-pb-reference-v1</x:v>
      </x:c>
      <x:c r="N321" s="106" t="str">
        <x:v>5970cfd1c0aa893cb081cce0070505730ae6261649d5e149a3a7887c8c59a8c4</x:v>
      </x:c>
      <x:c r="O321" s="113"/>
      <x:c r="P321" s="106" t="str">
        <x:v>pending</x:v>
      </x:c>
      <x:c r="Q321" s="106" t="str">
        <x:v>否</x:v>
      </x:c>
      <x:c r="R321" s="106" t="str">
        <x:v>由本地 Agent 同步</x:v>
      </x:c>
      <x:c r="S321" s="86"/>
      <x:c r="T321" s="86"/>
      <x:c r="U321" s="86"/>
      <x:c r="V321" s="86"/>
      <x:c r="W321" s="86"/>
      <x:c r="X321" s="86"/>
      <x:c r="Y321" s="86"/>
      <x:c r="Z321" s="86"/>
    </x:row>
    <x:row r="322">
      <x:c r="A322" s="106" t="str">
        <x:v>f9e78667-8391-4511-bb62-a0f87ffc6727</x:v>
      </x:c>
      <x:c r="B322" s="106" t="str">
        <x:v>300750</x:v>
      </x:c>
      <x:c r="C322" s="106" t="str">
        <x:v>model_pe_fair_value</x:v>
      </x:c>
      <x:c r="D322" s="106" t="str">
        <x:v>2026-06-30</x:v>
      </x:c>
      <x:c r="E322" s="106" t="n">
        <x:v>397.83</x:v>
      </x:c>
      <x:c r="F322" s="106" t="str">
        <x:v>CNY/share</x:v>
      </x:c>
      <x:c r="G322" s="106" t="str">
        <x:v>Value Investment Agent PE/PB reference model</x:v>
      </x:c>
      <x:c r="H322" s="106" t="str">
        <x:v>internal://value-investment-agent/pe-pb-reference-v1</x:v>
      </x:c>
      <x:c r="I322" s="106"/>
      <x:c r="J322" s="106"/>
      <x:c r="K322" s="121" t="str">
        <x:v>2026-09-03 07:38:36.752262+00:00</x:v>
      </x:c>
      <x:c r="L322" s="121"/>
      <x:c r="M322" s="106" t="str">
        <x:v>pe-pb-reference-v1</x:v>
      </x:c>
      <x:c r="N322" s="106" t="str">
        <x:v>a2b67f8a91156ccf684379a3c93b3a04c543ab9641c90b3d6d132ec951b42ad1</x:v>
      </x:c>
      <x:c r="O322" s="113"/>
      <x:c r="P322" s="106" t="str">
        <x:v>pending</x:v>
      </x:c>
      <x:c r="Q322" s="106" t="str">
        <x:v>否</x:v>
      </x:c>
      <x:c r="R322" s="106" t="str">
        <x:v>由本地 Agent 同步</x:v>
      </x:c>
      <x:c r="S322" s="86"/>
      <x:c r="T322" s="86"/>
      <x:c r="U322" s="86"/>
      <x:c r="V322" s="86"/>
      <x:c r="W322" s="86"/>
      <x:c r="X322" s="86"/>
      <x:c r="Y322" s="86"/>
      <x:c r="Z322" s="86"/>
    </x:row>
    <x:row r="323">
      <x:c r="A323" s="106" t="str">
        <x:v>42d491a1-5572-43fd-a46b-dfcb3733717f</x:v>
      </x:c>
      <x:c r="B323" s="106" t="str">
        <x:v>600036</x:v>
      </x:c>
      <x:c r="C323" s="106" t="str">
        <x:v>eps_reported</x:v>
      </x:c>
      <x:c r="D323" s="106" t="str">
        <x:v>2026-06-30</x:v>
      </x:c>
      <x:c r="E323" s="106" t="n">
        <x:v>3.0499</x:v>
      </x:c>
      <x:c r="F323" s="106" t="str">
        <x:v>CNY/share</x:v>
      </x:c>
      <x:c r="G323" s="106" t="str">
        <x:v>AkShare / Sina financial indicators</x:v>
      </x:c>
      <x:c r="H323" s="106" t="str">
        <x:v>https://money.finance.sina.com.cn/corp/go.php/vFD_FinancialGuideLine/stockid/600036/ctrl/2026/displaytype/4.phtml</x:v>
      </x:c>
      <x:c r="I323" s="106"/>
      <x:c r="J323" s="106"/>
      <x:c r="K323" s="121" t="str">
        <x:v>2026-09-03 07:38:24.734939+00:00</x:v>
      </x:c>
      <x:c r="L323" s="121"/>
      <x:c r="M323" s="106" t="str">
        <x:v>akshare-financial-v1-sina</x:v>
      </x:c>
      <x:c r="N323" s="106" t="str">
        <x:v>992a8784527f68fc7e8d1a5caea9dadfa0356fd7a7273f061955302d71b1bcef</x:v>
      </x:c>
      <x:c r="O323" s="113"/>
      <x:c r="P323" s="106" t="str">
        <x:v>pending</x:v>
      </x:c>
      <x:c r="Q323" s="106" t="str">
        <x:v>否</x:v>
      </x:c>
      <x:c r="R323" s="106" t="str">
        <x:v>由本地 Agent 同步</x:v>
      </x:c>
      <x:c r="S323" s="86"/>
      <x:c r="T323" s="86"/>
      <x:c r="U323" s="86"/>
      <x:c r="V323" s="86"/>
      <x:c r="W323" s="86"/>
      <x:c r="X323" s="86"/>
      <x:c r="Y323" s="86"/>
      <x:c r="Z323" s="86"/>
    </x:row>
    <x:row r="324">
      <x:c r="A324" s="106" t="str">
        <x:v>b57b66f5-7127-4618-85b5-e48181b104ed</x:v>
      </x:c>
      <x:c r="B324" s="106" t="str">
        <x:v>000333</x:v>
      </x:c>
      <x:c r="C324" s="106" t="str">
        <x:v>eps_reported</x:v>
      </x:c>
      <x:c r="D324" s="106" t="str">
        <x:v>2026-06-30</x:v>
      </x:c>
      <x:c r="E324" s="106" t="n">
        <x:v>3.4916</x:v>
      </x:c>
      <x:c r="F324" s="106" t="str">
        <x:v>CNY/share</x:v>
      </x:c>
      <x:c r="G324" s="106" t="str">
        <x:v>AkShare / Sina financial indicators</x:v>
      </x:c>
      <x:c r="H324" s="106" t="str">
        <x:v>https://money.finance.sina.com.cn/corp/go.php/vFD_FinancialGuideLine/stockid/000333/ctrl/2026/displaytype/4.phtml</x:v>
      </x:c>
      <x:c r="I324" s="106"/>
      <x:c r="J324" s="106"/>
      <x:c r="K324" s="121" t="str">
        <x:v>2026-09-03 07:38:24.734939+00:00</x:v>
      </x:c>
      <x:c r="L324" s="121"/>
      <x:c r="M324" s="106" t="str">
        <x:v>akshare-financial-v1-sina</x:v>
      </x:c>
      <x:c r="N324" s="106" t="str">
        <x:v>2265cfda54193ae194e530e9101576d9955245a4ad2c5808bc8b3df48a190606</x:v>
      </x:c>
      <x:c r="O324" s="113"/>
      <x:c r="P324" s="106" t="str">
        <x:v>pending</x:v>
      </x:c>
      <x:c r="Q324" s="106" t="str">
        <x:v>否</x:v>
      </x:c>
      <x:c r="R324" s="106" t="str">
        <x:v>由本地 Agent 同步</x:v>
      </x:c>
      <x:c r="S324" s="86"/>
      <x:c r="T324" s="86"/>
      <x:c r="U324" s="86"/>
      <x:c r="V324" s="86"/>
      <x:c r="W324" s="86"/>
      <x:c r="X324" s="86"/>
      <x:c r="Y324" s="86"/>
      <x:c r="Z324" s="86"/>
    </x:row>
    <x:row r="325">
      <x:c r="A325" s="106" t="str">
        <x:v>d8a63d02-da2c-43be-8557-a4679640380f</x:v>
      </x:c>
      <x:c r="B325" s="106" t="str">
        <x:v>600941</x:v>
      </x:c>
      <x:c r="C325" s="106" t="str">
        <x:v>model_pe_fair_value</x:v>
      </x:c>
      <x:c r="D325" s="106" t="str">
        <x:v>2026-06-30</x:v>
      </x:c>
      <x:c r="E325" s="106" t="n">
        <x:v>73.03</x:v>
      </x:c>
      <x:c r="F325" s="106" t="str">
        <x:v>CNY/share</x:v>
      </x:c>
      <x:c r="G325" s="106" t="str">
        <x:v>Value Investment Agent PE/PB reference model</x:v>
      </x:c>
      <x:c r="H325" s="106" t="str">
        <x:v>internal://value-investment-agent/pe-pb-reference-v1</x:v>
      </x:c>
      <x:c r="I325" s="106"/>
      <x:c r="J325" s="106"/>
      <x:c r="K325" s="121" t="str">
        <x:v>2026-09-03 07:38:36.752262+00:00</x:v>
      </x:c>
      <x:c r="L325" s="121"/>
      <x:c r="M325" s="106" t="str">
        <x:v>pe-pb-reference-v1</x:v>
      </x:c>
      <x:c r="N325" s="106" t="str">
        <x:v>b808b770393cc7b2153d14499c6c101ced3fa694a821c6f3e7abd09cceffc9bb</x:v>
      </x:c>
      <x:c r="O325" s="113"/>
      <x:c r="P325" s="106" t="str">
        <x:v>pending</x:v>
      </x:c>
      <x:c r="Q325" s="106" t="str">
        <x:v>否</x:v>
      </x:c>
      <x:c r="R325" s="106" t="str">
        <x:v>由本地 Agent 同步</x:v>
      </x:c>
      <x:c r="S325" s="86"/>
      <x:c r="T325" s="86"/>
      <x:c r="U325" s="86"/>
      <x:c r="V325" s="86"/>
      <x:c r="W325" s="86"/>
      <x:c r="X325" s="86"/>
      <x:c r="Y325" s="86"/>
      <x:c r="Z325" s="86"/>
    </x:row>
    <x:row r="326">
      <x:c r="A326" s="106" t="str">
        <x:v>52a0bf8e-e0e4-4c36-a455-115d26c5d98a</x:v>
      </x:c>
      <x:c r="B326" s="106" t="str">
        <x:v>601088</x:v>
      </x:c>
      <x:c r="C326" s="106" t="str">
        <x:v>current_price</x:v>
      </x:c>
      <x:c r="D326" s="106" t="str">
        <x:v>2026-09-03 07:38</x:v>
      </x:c>
      <x:c r="E326" s="106" t="n">
        <x:v>48.05</x:v>
      </x:c>
      <x:c r="F326" s="106" t="str">
        <x:v>CNY/share</x:v>
      </x:c>
      <x:c r="G326" s="106" t="str">
        <x:v>AkShare / Sina public historical quotes</x:v>
      </x:c>
      <x:c r="H326" s="106" t="str">
        <x:v>https://akshare.akfamily.xyz/data/stock/stock.html</x:v>
      </x:c>
      <x:c r="I326" s="106"/>
      <x:c r="J326" s="106"/>
      <x:c r="K326" s="121" t="str">
        <x:v>2026-09-03 07:38:19.937971+00:00</x:v>
      </x:c>
      <x:c r="L326" s="121"/>
      <x:c r="M326" s="106" t="str">
        <x:v>akshare-price-v3-sina-history</x:v>
      </x:c>
      <x:c r="N326" s="106" t="str">
        <x:v>a772377b895fc50d4113184663c7b0380ee48fc73f93828b08cbc7d332bde98e</x:v>
      </x:c>
      <x:c r="O326" s="113"/>
      <x:c r="P326" s="106" t="str">
        <x:v>pending</x:v>
      </x:c>
      <x:c r="Q326" s="106" t="str">
        <x:v>否</x:v>
      </x:c>
      <x:c r="R326" s="106" t="str">
        <x:v>由本地 Agent 同步</x:v>
      </x:c>
      <x:c r="S326" s="86"/>
      <x:c r="T326" s="86"/>
      <x:c r="U326" s="86"/>
      <x:c r="V326" s="86"/>
      <x:c r="W326" s="86"/>
      <x:c r="X326" s="86"/>
      <x:c r="Y326" s="86"/>
      <x:c r="Z326" s="86"/>
    </x:row>
    <x:row r="327">
      <x:c r="A327" s="106" t="str">
        <x:v>45174473-d082-44a9-86f7-ba89af398cee</x:v>
      </x:c>
      <x:c r="B327" s="106" t="str">
        <x:v>600887</x:v>
      </x:c>
      <x:c r="C327" s="106" t="str">
        <x:v>model_pe_fair_value</x:v>
      </x:c>
      <x:c r="D327" s="106" t="str">
        <x:v>2026-06-30</x:v>
      </x:c>
      <x:c r="E327" s="106" t="n">
        <x:v>23.25</x:v>
      </x:c>
      <x:c r="F327" s="106" t="str">
        <x:v>CNY/share</x:v>
      </x:c>
      <x:c r="G327" s="106" t="str">
        <x:v>Value Investment Agent PE/PB reference model</x:v>
      </x:c>
      <x:c r="H327" s="106" t="str">
        <x:v>internal://value-investment-agent/pe-pb-reference-v1</x:v>
      </x:c>
      <x:c r="I327" s="106"/>
      <x:c r="J327" s="106"/>
      <x:c r="K327" s="121" t="str">
        <x:v>2026-09-03 07:38:36.752262+00:00</x:v>
      </x:c>
      <x:c r="L327" s="121"/>
      <x:c r="M327" s="106" t="str">
        <x:v>pe-pb-reference-v1</x:v>
      </x:c>
      <x:c r="N327" s="106" t="str">
        <x:v>aa588306c3971464eac8b1f3a1ac2bb7dac4debb9743ad8eeda4b5d2948def07</x:v>
      </x:c>
      <x:c r="O327" s="113"/>
      <x:c r="P327" s="106" t="str">
        <x:v>pending</x:v>
      </x:c>
      <x:c r="Q327" s="106" t="str">
        <x:v>否</x:v>
      </x:c>
      <x:c r="R327" s="106" t="str">
        <x:v>由本地 Agent 同步</x:v>
      </x:c>
      <x:c r="S327" s="86"/>
      <x:c r="T327" s="86"/>
      <x:c r="U327" s="86"/>
      <x:c r="V327" s="86"/>
      <x:c r="W327" s="86"/>
      <x:c r="X327" s="86"/>
      <x:c r="Y327" s="86"/>
      <x:c r="Z327" s="86"/>
    </x:row>
    <x:row r="328">
      <x:c r="A328" s="106" t="str">
        <x:v>c3b50d66-ec3a-4289-b696-f3adbdb60f14</x:v>
      </x:c>
      <x:c r="B328" s="106" t="str">
        <x:v>600887</x:v>
      </x:c>
      <x:c r="C328" s="106" t="str">
        <x:v>eps_reported</x:v>
      </x:c>
      <x:c r="D328" s="106" t="str">
        <x:v>2026-06-30</x:v>
      </x:c>
      <x:c r="E328" s="106" t="n">
        <x:v>0.8733</x:v>
      </x:c>
      <x:c r="F328" s="106" t="str">
        <x:v>CNY/share</x:v>
      </x:c>
      <x:c r="G328" s="106" t="str">
        <x:v>AkShare / Sina financial indicators</x:v>
      </x:c>
      <x:c r="H328" s="106" t="str">
        <x:v>https://money.finance.sina.com.cn/corp/go.php/vFD_FinancialGuideLine/stockid/600887/ctrl/2026/displaytype/4.phtml</x:v>
      </x:c>
      <x:c r="I328" s="106"/>
      <x:c r="J328" s="106"/>
      <x:c r="K328" s="121" t="str">
        <x:v>2026-09-03 07:38:24.734939+00:00</x:v>
      </x:c>
      <x:c r="L328" s="121"/>
      <x:c r="M328" s="106" t="str">
        <x:v>akshare-financial-v1-sina</x:v>
      </x:c>
      <x:c r="N328" s="106" t="str">
        <x:v>bd51fbe2807667a7f423ab45b829cf35ce0438cce13316a24049a808f18ae51c</x:v>
      </x:c>
      <x:c r="O328" s="113"/>
      <x:c r="P328" s="106" t="str">
        <x:v>pending</x:v>
      </x:c>
      <x:c r="Q328" s="106" t="str">
        <x:v>否</x:v>
      </x:c>
      <x:c r="R328" s="106" t="str">
        <x:v>由本地 Agent 同步</x:v>
      </x:c>
      <x:c r="S328" s="86"/>
      <x:c r="T328" s="86"/>
      <x:c r="U328" s="86"/>
      <x:c r="V328" s="86"/>
      <x:c r="W328" s="86"/>
      <x:c r="X328" s="86"/>
      <x:c r="Y328" s="86"/>
      <x:c r="Z328" s="86"/>
    </x:row>
    <x:row r="329">
      <x:c r="A329" s="106" t="str">
        <x:v>7ee58f16-001c-4be5-8206-dc0448cae4a1</x:v>
      </x:c>
      <x:c r="B329" s="106" t="str">
        <x:v>600519</x:v>
      </x:c>
      <x:c r="C329" s="106" t="str">
        <x:v>model_pe_fair_value</x:v>
      </x:c>
      <x:c r="D329" s="106" t="str">
        <x:v>2026-06-30</x:v>
      </x:c>
      <x:c r="E329" s="106" t="n">
        <x:v>1215.81</x:v>
      </x:c>
      <x:c r="F329" s="106" t="str">
        <x:v>CNY/share</x:v>
      </x:c>
      <x:c r="G329" s="106" t="str">
        <x:v>Value Investment Agent PE/PB reference model</x:v>
      </x:c>
      <x:c r="H329" s="106" t="str">
        <x:v>internal://value-investment-agent/pe-pb-reference-v1</x:v>
      </x:c>
      <x:c r="I329" s="106"/>
      <x:c r="J329" s="106"/>
      <x:c r="K329" s="121" t="str">
        <x:v>2026-09-03 07:38:36.752262+00:00</x:v>
      </x:c>
      <x:c r="L329" s="121"/>
      <x:c r="M329" s="106" t="str">
        <x:v>pe-pb-reference-v1</x:v>
      </x:c>
      <x:c r="N329" s="106" t="str">
        <x:v>5527af46bd3b144c037f297a2952cec230e272bf9e5d341900cca291845adc7f</x:v>
      </x:c>
      <x:c r="O329" s="113"/>
      <x:c r="P329" s="106" t="str">
        <x:v>pending</x:v>
      </x:c>
      <x:c r="Q329" s="106" t="str">
        <x:v>否</x:v>
      </x:c>
      <x:c r="R329" s="106" t="str">
        <x:v>由本地 Agent 同步</x:v>
      </x:c>
      <x:c r="S329" s="86"/>
      <x:c r="T329" s="86"/>
      <x:c r="U329" s="86"/>
      <x:c r="V329" s="86"/>
      <x:c r="W329" s="86"/>
      <x:c r="X329" s="86"/>
      <x:c r="Y329" s="86"/>
      <x:c r="Z329" s="86"/>
    </x:row>
    <x:row r="330">
      <x:c r="A330" s="106" t="str">
        <x:v>4545803d-74b8-4b59-9698-ef00b509a22b</x:v>
      </x:c>
      <x:c r="B330" s="106" t="str">
        <x:v>600900</x:v>
      </x:c>
      <x:c r="C330" s="106" t="str">
        <x:v>eps_reported</x:v>
      </x:c>
      <x:c r="D330" s="106" t="str">
        <x:v>2026-06-30</x:v>
      </x:c>
      <x:c r="E330" s="106" t="n">
        <x:v>0.6144</x:v>
      </x:c>
      <x:c r="F330" s="106" t="str">
        <x:v>CNY/share</x:v>
      </x:c>
      <x:c r="G330" s="106" t="str">
        <x:v>AkShare / Sina financial indicators</x:v>
      </x:c>
      <x:c r="H330" s="106" t="str">
        <x:v>https://money.finance.sina.com.cn/corp/go.php/vFD_FinancialGuideLine/stockid/600900/ctrl/2026/displaytype/4.phtml</x:v>
      </x:c>
      <x:c r="I330" s="106"/>
      <x:c r="J330" s="106"/>
      <x:c r="K330" s="121" t="str">
        <x:v>2026-09-03 07:38:24.734939+00:00</x:v>
      </x:c>
      <x:c r="L330" s="121"/>
      <x:c r="M330" s="106" t="str">
        <x:v>akshare-financial-v1-sina</x:v>
      </x:c>
      <x:c r="N330" s="106" t="str">
        <x:v>e1f0a2fe5fc489e25febd299b1d71738057de5ad5e2745c16f3ca8118b689a50</x:v>
      </x:c>
      <x:c r="O330" s="113"/>
      <x:c r="P330" s="106" t="str">
        <x:v>pending</x:v>
      </x:c>
      <x:c r="Q330" s="106" t="str">
        <x:v>否</x:v>
      </x:c>
      <x:c r="R330" s="106" t="str">
        <x:v>由本地 Agent 同步</x:v>
      </x:c>
      <x:c r="S330" s="86"/>
      <x:c r="T330" s="86"/>
      <x:c r="U330" s="86"/>
      <x:c r="V330" s="86"/>
      <x:c r="W330" s="86"/>
      <x:c r="X330" s="86"/>
      <x:c r="Y330" s="86"/>
      <x:c r="Z330" s="86"/>
    </x:row>
    <x:row r="331">
      <x:c r="A331" s="106" t="str">
        <x:v>9ab276ab-c62c-4061-b6c3-1850ec746897</x:v>
      </x:c>
      <x:c r="B331" s="106" t="str">
        <x:v>300750</x:v>
      </x:c>
      <x:c r="C331" s="106" t="str">
        <x:v>current_price</x:v>
      </x:c>
      <x:c r="D331" s="106" t="str">
        <x:v>2026-09-03 07:38</x:v>
      </x:c>
      <x:c r="E331" s="106" t="n">
        <x:v>348.29</x:v>
      </x:c>
      <x:c r="F331" s="106" t="str">
        <x:v>CNY/share</x:v>
      </x:c>
      <x:c r="G331" s="106" t="str">
        <x:v>AkShare / Sina public historical quotes</x:v>
      </x:c>
      <x:c r="H331" s="106" t="str">
        <x:v>https://akshare.akfamily.xyz/data/stock/stock.html</x:v>
      </x:c>
      <x:c r="I331" s="106"/>
      <x:c r="J331" s="106"/>
      <x:c r="K331" s="121" t="str">
        <x:v>2026-09-03 07:38:19.937971+00:00</x:v>
      </x:c>
      <x:c r="L331" s="121"/>
      <x:c r="M331" s="106" t="str">
        <x:v>akshare-price-v3-sina-history</x:v>
      </x:c>
      <x:c r="N331" s="106" t="str">
        <x:v>139bf06f850259af9d1913181f439e4138c037625d5643e262d070a8b0455180</x:v>
      </x:c>
      <x:c r="O331" s="113"/>
      <x:c r="P331" s="106" t="str">
        <x:v>pending</x:v>
      </x:c>
      <x:c r="Q331" s="106" t="str">
        <x:v>否</x:v>
      </x:c>
      <x:c r="R331" s="106" t="str">
        <x:v>由本地 Agent 同步</x:v>
      </x:c>
      <x:c r="S331" s="86"/>
      <x:c r="T331" s="86"/>
      <x:c r="U331" s="86"/>
      <x:c r="V331" s="86"/>
      <x:c r="W331" s="86"/>
      <x:c r="X331" s="86"/>
      <x:c r="Y331" s="86"/>
      <x:c r="Z331" s="86"/>
    </x:row>
    <x:row r="332">
      <x:c r="A332" s="106" t="str">
        <x:v>e1dd7abe-708d-453f-9c3d-1ae2a714c9b9</x:v>
      </x:c>
      <x:c r="B332" s="106" t="str">
        <x:v>600036</x:v>
      </x:c>
      <x:c r="C332" s="106" t="str">
        <x:v>current_price</x:v>
      </x:c>
      <x:c r="D332" s="106" t="str">
        <x:v>2026-09-03 07:38</x:v>
      </x:c>
      <x:c r="E332" s="106" t="n">
        <x:v>40.87</x:v>
      </x:c>
      <x:c r="F332" s="106" t="str">
        <x:v>CNY/share</x:v>
      </x:c>
      <x:c r="G332" s="106" t="str">
        <x:v>AkShare / Sina public historical quotes</x:v>
      </x:c>
      <x:c r="H332" s="106" t="str">
        <x:v>https://akshare.akfamily.xyz/data/stock/stock.html</x:v>
      </x:c>
      <x:c r="I332" s="106"/>
      <x:c r="J332" s="106"/>
      <x:c r="K332" s="121" t="str">
        <x:v>2026-09-03 07:38:19.937971+00:00</x:v>
      </x:c>
      <x:c r="L332" s="121"/>
      <x:c r="M332" s="106" t="str">
        <x:v>akshare-price-v3-sina-history</x:v>
      </x:c>
      <x:c r="N332" s="106" t="str">
        <x:v>c77a6fab956aff2c49774192811bd3a3a599e079ecf03398228f08615dd5df97</x:v>
      </x:c>
      <x:c r="O332" s="113"/>
      <x:c r="P332" s="106" t="str">
        <x:v>pending</x:v>
      </x:c>
      <x:c r="Q332" s="106" t="str">
        <x:v>否</x:v>
      </x:c>
      <x:c r="R332" s="106" t="str">
        <x:v>由本地 Agent 同步</x:v>
      </x:c>
      <x:c r="S332" s="86"/>
      <x:c r="T332" s="86"/>
      <x:c r="U332" s="86"/>
      <x:c r="V332" s="86"/>
      <x:c r="W332" s="86"/>
      <x:c r="X332" s="86"/>
      <x:c r="Y332" s="86"/>
      <x:c r="Z332" s="86"/>
    </x:row>
    <x:row r="333">
      <x:c r="A333" s="106" t="str">
        <x:v>3782df0d-e4f0-4f0b-be4d-75f51d94626b</x:v>
      </x:c>
      <x:c r="B333" s="106" t="str">
        <x:v>600690</x:v>
      </x:c>
      <x:c r="C333" s="106" t="str">
        <x:v>current_price</x:v>
      </x:c>
      <x:c r="D333" s="106" t="str">
        <x:v>2026-09-03 07:38</x:v>
      </x:c>
      <x:c r="E333" s="106" t="n">
        <x:v>21.33</x:v>
      </x:c>
      <x:c r="F333" s="106" t="str">
        <x:v>CNY/share</x:v>
      </x:c>
      <x:c r="G333" s="106" t="str">
        <x:v>AkShare / Sina public historical quotes</x:v>
      </x:c>
      <x:c r="H333" s="106" t="str">
        <x:v>https://akshare.akfamily.xyz/data/stock/stock.html</x:v>
      </x:c>
      <x:c r="I333" s="106"/>
      <x:c r="J333" s="106"/>
      <x:c r="K333" s="121" t="str">
        <x:v>2026-09-03 07:38:19.937971+00:00</x:v>
      </x:c>
      <x:c r="L333" s="121"/>
      <x:c r="M333" s="106" t="str">
        <x:v>akshare-price-v3-sina-history</x:v>
      </x:c>
      <x:c r="N333" s="106" t="str">
        <x:v>2cce8cf93ad42e13ffd47955ac5349632c05f00e27defab32b56c0132e4737cb</x:v>
      </x:c>
      <x:c r="O333" s="113"/>
      <x:c r="P333" s="106" t="str">
        <x:v>pending</x:v>
      </x:c>
      <x:c r="Q333" s="106" t="str">
        <x:v>否</x:v>
      </x:c>
      <x:c r="R333" s="106" t="str">
        <x:v>由本地 Agent 同步</x:v>
      </x:c>
      <x:c r="S333" s="86"/>
      <x:c r="T333" s="86"/>
      <x:c r="U333" s="86"/>
      <x:c r="V333" s="86"/>
      <x:c r="W333" s="86"/>
      <x:c r="X333" s="86"/>
      <x:c r="Y333" s="86"/>
      <x:c r="Z333" s="86"/>
    </x:row>
    <x:row r="334">
      <x:c r="A334" s="106" t="str">
        <x:v>5f97483a-d00d-43e7-8305-f0b66c98efb3</x:v>
      </x:c>
      <x:c r="B334" s="106" t="str">
        <x:v>601288</x:v>
      </x:c>
      <x:c r="C334" s="106" t="str">
        <x:v>current_price</x:v>
      </x:c>
      <x:c r="D334" s="106" t="str">
        <x:v>2026-09-03 07:38</x:v>
      </x:c>
      <x:c r="E334" s="106" t="n">
        <x:v>7.06</x:v>
      </x:c>
      <x:c r="F334" s="106" t="str">
        <x:v>CNY/share</x:v>
      </x:c>
      <x:c r="G334" s="106" t="str">
        <x:v>AkShare / Sina public historical quotes</x:v>
      </x:c>
      <x:c r="H334" s="106" t="str">
        <x:v>https://akshare.akfamily.xyz/data/stock/stock.html</x:v>
      </x:c>
      <x:c r="I334" s="106"/>
      <x:c r="J334" s="106"/>
      <x:c r="K334" s="121" t="str">
        <x:v>2026-09-03 07:38:19.937971+00:00</x:v>
      </x:c>
      <x:c r="L334" s="121"/>
      <x:c r="M334" s="106" t="str">
        <x:v>akshare-price-v3-sina-history</x:v>
      </x:c>
      <x:c r="N334" s="106" t="str">
        <x:v>3257f67b486d2b777065a99669ad0d77d36210ddbcdef2b1f04030b5e301ca6d</x:v>
      </x:c>
      <x:c r="O334" s="113"/>
      <x:c r="P334" s="106" t="str">
        <x:v>pending</x:v>
      </x:c>
      <x:c r="Q334" s="106" t="str">
        <x:v>否</x:v>
      </x:c>
      <x:c r="R334" s="106" t="str">
        <x:v>由本地 Agent 同步</x:v>
      </x:c>
      <x:c r="S334" s="86"/>
      <x:c r="T334" s="86"/>
      <x:c r="U334" s="86"/>
      <x:c r="V334" s="86"/>
      <x:c r="W334" s="86"/>
      <x:c r="X334" s="86"/>
      <x:c r="Y334" s="86"/>
      <x:c r="Z334" s="86"/>
    </x:row>
    <x:row r="335">
      <x:c r="A335" s="106" t="str">
        <x:v>b02f6cda-e1ad-4632-a75d-0686a6e01881</x:v>
      </x:c>
      <x:c r="B335" s="106" t="str">
        <x:v>000333</x:v>
      </x:c>
      <x:c r="C335" s="106" t="str">
        <x:v>model_target_pe</x:v>
      </x:c>
      <x:c r="D335" s="106" t="str">
        <x:v>2026-06-30</x:v>
      </x:c>
      <x:c r="E335" s="106" t="n">
        <x:v>15</x:v>
      </x:c>
      <x:c r="F335" s="106" t="str">
        <x:v>multiple</x:v>
      </x:c>
      <x:c r="G335" s="106" t="str">
        <x:v>Value Investment Agent PE/PB reference model</x:v>
      </x:c>
      <x:c r="H335" s="106" t="str">
        <x:v>internal://value-investment-agent/pe-pb-reference-v1</x:v>
      </x:c>
      <x:c r="I335" s="106"/>
      <x:c r="J335" s="106"/>
      <x:c r="K335" s="121" t="str">
        <x:v>2026-09-03 07:38:36.752262+00:00</x:v>
      </x:c>
      <x:c r="L335" s="121"/>
      <x:c r="M335" s="106" t="str">
        <x:v>pe-pb-reference-v1</x:v>
      </x:c>
      <x:c r="N335" s="106" t="str">
        <x:v>0898ea49f1090e835b314efb5052563fadeec455c50b2de9b0a8c796231a1258</x:v>
      </x:c>
      <x:c r="O335" s="113"/>
      <x:c r="P335" s="106" t="str">
        <x:v>pending</x:v>
      </x:c>
      <x:c r="Q335" s="106" t="str">
        <x:v>否</x:v>
      </x:c>
      <x:c r="R335" s="106" t="str">
        <x:v>由本地 Agent 同步</x:v>
      </x:c>
      <x:c r="S335" s="86"/>
      <x:c r="T335" s="86"/>
      <x:c r="U335" s="86"/>
      <x:c r="V335" s="86"/>
      <x:c r="W335" s="86"/>
      <x:c r="X335" s="86"/>
      <x:c r="Y335" s="86"/>
      <x:c r="Z335" s="86"/>
    </x:row>
    <x:row r="336">
      <x:c r="A336" s="106" t="str">
        <x:v>33e7988c-ff8b-4663-916a-4797ef1235b7</x:v>
      </x:c>
      <x:c r="B336" s="106" t="str">
        <x:v>600690</x:v>
      </x:c>
      <x:c r="C336" s="106" t="str">
        <x:v>model_target_pb</x:v>
      </x:c>
      <x:c r="D336" s="106" t="str">
        <x:v>2026-06-30</x:v>
      </x:c>
      <x:c r="E336" s="106" t="n">
        <x:v>2</x:v>
      </x:c>
      <x:c r="F336" s="106" t="str">
        <x:v>multiple</x:v>
      </x:c>
      <x:c r="G336" s="106" t="str">
        <x:v>Value Investment Agent PE/PB reference model</x:v>
      </x:c>
      <x:c r="H336" s="106" t="str">
        <x:v>internal://value-investment-agent/pe-pb-reference-v1</x:v>
      </x:c>
      <x:c r="I336" s="106"/>
      <x:c r="J336" s="106"/>
      <x:c r="K336" s="121" t="str">
        <x:v>2026-09-03 07:38:36.752262+00:00</x:v>
      </x:c>
      <x:c r="L336" s="121"/>
      <x:c r="M336" s="106" t="str">
        <x:v>pe-pb-reference-v1</x:v>
      </x:c>
      <x:c r="N336" s="106" t="str">
        <x:v>5970cfd1c0aa893cb081cce0070505730ae6261649d5e149a3a7887c8c59a8c4</x:v>
      </x:c>
      <x:c r="O336" s="113"/>
      <x:c r="P336" s="106" t="str">
        <x:v>pending</x:v>
      </x:c>
      <x:c r="Q336" s="106" t="str">
        <x:v>否</x:v>
      </x:c>
      <x:c r="R336" s="106" t="str">
        <x:v>由本地 Agent 同步</x:v>
      </x:c>
      <x:c r="S336" s="86"/>
      <x:c r="T336" s="86"/>
      <x:c r="U336" s="86"/>
      <x:c r="V336" s="86"/>
      <x:c r="W336" s="86"/>
      <x:c r="X336" s="86"/>
      <x:c r="Y336" s="86"/>
      <x:c r="Z336" s="86"/>
    </x:row>
    <x:row r="337">
      <x:c r="A337" s="106" t="str">
        <x:v>46430327-487d-4aeb-a5d2-a2c92f7e7ce2</x:v>
      </x:c>
      <x:c r="B337" s="106" t="str">
        <x:v>601088</x:v>
      </x:c>
      <x:c r="C337" s="106" t="str">
        <x:v>eps_reported</x:v>
      </x:c>
      <x:c r="D337" s="106" t="str">
        <x:v>2026-06-30</x:v>
      </x:c>
      <x:c r="E337" s="106" t="n">
        <x:v>1.6377</x:v>
      </x:c>
      <x:c r="F337" s="106" t="str">
        <x:v>CNY/share</x:v>
      </x:c>
      <x:c r="G337" s="106" t="str">
        <x:v>AkShare / Sina financial indicators</x:v>
      </x:c>
      <x:c r="H337" s="106" t="str">
        <x:v>https://money.finance.sina.com.cn/corp/go.php/vFD_FinancialGuideLine/stockid/601088/ctrl/2026/displaytype/4.phtml</x:v>
      </x:c>
      <x:c r="I337" s="106"/>
      <x:c r="J337" s="106"/>
      <x:c r="K337" s="121" t="str">
        <x:v>2026-09-03 07:38:24.734939+00:00</x:v>
      </x:c>
      <x:c r="L337" s="121"/>
      <x:c r="M337" s="106" t="str">
        <x:v>akshare-financial-v1-sina</x:v>
      </x:c>
      <x:c r="N337" s="106" t="str">
        <x:v>7becb04ec6fcffecb289b4e6b9c79557bf08513d4e2d54f40a8cbbd4592f7fac</x:v>
      </x:c>
      <x:c r="O337" s="113"/>
      <x:c r="P337" s="106" t="str">
        <x:v>pending</x:v>
      </x:c>
      <x:c r="Q337" s="106" t="str">
        <x:v>否</x:v>
      </x:c>
      <x:c r="R337" s="106" t="str">
        <x:v>由本地 Agent 同步</x:v>
      </x:c>
      <x:c r="S337" s="86"/>
      <x:c r="T337" s="86"/>
      <x:c r="U337" s="86"/>
      <x:c r="V337" s="86"/>
      <x:c r="W337" s="86"/>
      <x:c r="X337" s="86"/>
      <x:c r="Y337" s="86"/>
      <x:c r="Z337" s="86"/>
    </x:row>
    <x:row r="338">
      <x:c r="A338" s="106" t="str">
        <x:v>b02f6cda-e1ad-4632-a75d-0686a6e01881</x:v>
      </x:c>
      <x:c r="B338" s="106" t="str">
        <x:v>000333</x:v>
      </x:c>
      <x:c r="C338" s="106" t="str">
        <x:v>model_target_pb</x:v>
      </x:c>
      <x:c r="D338" s="106" t="str">
        <x:v>2026-06-30</x:v>
      </x:c>
      <x:c r="E338" s="106" t="n">
        <x:v>2.5</x:v>
      </x:c>
      <x:c r="F338" s="106" t="str">
        <x:v>multiple</x:v>
      </x:c>
      <x:c r="G338" s="106" t="str">
        <x:v>Value Investment Agent PE/PB reference model</x:v>
      </x:c>
      <x:c r="H338" s="106" t="str">
        <x:v>internal://value-investment-agent/pe-pb-reference-v1</x:v>
      </x:c>
      <x:c r="I338" s="106"/>
      <x:c r="J338" s="106"/>
      <x:c r="K338" s="121" t="str">
        <x:v>2026-09-03 07:38:36.752262+00:00</x:v>
      </x:c>
      <x:c r="L338" s="121"/>
      <x:c r="M338" s="106" t="str">
        <x:v>pe-pb-reference-v1</x:v>
      </x:c>
      <x:c r="N338" s="106" t="str">
        <x:v>0898ea49f1090e835b314efb5052563fadeec455c50b2de9b0a8c796231a1258</x:v>
      </x:c>
      <x:c r="O338" s="113"/>
      <x:c r="P338" s="106" t="str">
        <x:v>pending</x:v>
      </x:c>
      <x:c r="Q338" s="106" t="str">
        <x:v>否</x:v>
      </x:c>
      <x:c r="R338" s="106" t="str">
        <x:v>由本地 Agent 同步</x:v>
      </x:c>
      <x:c r="S338" s="86"/>
      <x:c r="T338" s="86"/>
      <x:c r="U338" s="86"/>
      <x:c r="V338" s="86"/>
      <x:c r="W338" s="86"/>
      <x:c r="X338" s="86"/>
      <x:c r="Y338" s="86"/>
      <x:c r="Z338" s="86"/>
    </x:row>
    <x:row r="339">
      <x:c r="A339" s="106" t="str">
        <x:v>a1314791-a8f1-4a40-a91b-506b9cf48f30</x:v>
      </x:c>
      <x:c r="B339" s="106" t="str">
        <x:v>600036</x:v>
      </x:c>
      <x:c r="C339" s="106" t="str">
        <x:v>model_target_pe</x:v>
      </x:c>
      <x:c r="D339" s="106" t="str">
        <x:v>2026-06-30</x:v>
      </x:c>
      <x:c r="E339" s="106" t="n">
        <x:v>8</x:v>
      </x:c>
      <x:c r="F339" s="106" t="str">
        <x:v>multiple</x:v>
      </x:c>
      <x:c r="G339" s="106" t="str">
        <x:v>Value Investment Agent PE/PB reference model</x:v>
      </x:c>
      <x:c r="H339" s="106" t="str">
        <x:v>internal://value-investment-agent/pe-pb-reference-v1</x:v>
      </x:c>
      <x:c r="I339" s="106"/>
      <x:c r="J339" s="106"/>
      <x:c r="K339" s="121" t="str">
        <x:v>2026-09-03 07:38:36.752262+00:00</x:v>
      </x:c>
      <x:c r="L339" s="121"/>
      <x:c r="M339" s="106" t="str">
        <x:v>pe-pb-reference-v1</x:v>
      </x:c>
      <x:c r="N339" s="106" t="str">
        <x:v>73acfd6799d34d441642c41aab835fd0a76fc174d3322890aea922d3ae653432</x:v>
      </x:c>
      <x:c r="O339" s="113"/>
      <x:c r="P339" s="106" t="str">
        <x:v>pending</x:v>
      </x:c>
      <x:c r="Q339" s="106" t="str">
        <x:v>否</x:v>
      </x:c>
      <x:c r="R339" s="106" t="str">
        <x:v>由本地 Agent 同步</x:v>
      </x:c>
      <x:c r="S339" s="86"/>
      <x:c r="T339" s="86"/>
      <x:c r="U339" s="86"/>
      <x:c r="V339" s="86"/>
      <x:c r="W339" s="86"/>
      <x:c r="X339" s="86"/>
      <x:c r="Y339" s="86"/>
      <x:c r="Z339" s="86"/>
    </x:row>
    <x:row r="340">
      <x:c r="A340" s="106" t="str">
        <x:v>a1314791-a8f1-4a40-a91b-506b9cf48f30</x:v>
      </x:c>
      <x:c r="B340" s="106" t="str">
        <x:v>600036</x:v>
      </x:c>
      <x:c r="C340" s="106" t="str">
        <x:v>model_target_pb</x:v>
      </x:c>
      <x:c r="D340" s="106" t="str">
        <x:v>2026-06-30</x:v>
      </x:c>
      <x:c r="E340" s="106" t="n">
        <x:v>0.9</x:v>
      </x:c>
      <x:c r="F340" s="106" t="str">
        <x:v>multiple</x:v>
      </x:c>
      <x:c r="G340" s="106" t="str">
        <x:v>Value Investment Agent PE/PB reference model</x:v>
      </x:c>
      <x:c r="H340" s="106" t="str">
        <x:v>internal://value-investment-agent/pe-pb-reference-v1</x:v>
      </x:c>
      <x:c r="I340" s="106"/>
      <x:c r="J340" s="106"/>
      <x:c r="K340" s="121" t="str">
        <x:v>2026-09-03 07:38:36.752262+00:00</x:v>
      </x:c>
      <x:c r="L340" s="121"/>
      <x:c r="M340" s="106" t="str">
        <x:v>pe-pb-reference-v1</x:v>
      </x:c>
      <x:c r="N340" s="106" t="str">
        <x:v>73acfd6799d34d441642c41aab835fd0a76fc174d3322890aea922d3ae653432</x:v>
      </x:c>
      <x:c r="O340" s="113"/>
      <x:c r="P340" s="106" t="str">
        <x:v>pending</x:v>
      </x:c>
      <x:c r="Q340" s="106" t="str">
        <x:v>否</x:v>
      </x:c>
      <x:c r="R340" s="106" t="str">
        <x:v>由本地 Agent 同步</x:v>
      </x:c>
      <x:c r="S340" s="86"/>
      <x:c r="T340" s="86"/>
      <x:c r="U340" s="86"/>
      <x:c r="V340" s="86"/>
      <x:c r="W340" s="86"/>
      <x:c r="X340" s="86"/>
      <x:c r="Y340" s="86"/>
      <x:c r="Z340" s="86"/>
    </x:row>
    <x:row r="341">
      <x:c r="A341" s="106" t="str">
        <x:v>bc070387-24ed-4244-9551-1ea29fa0d8a1</x:v>
      </x:c>
      <x:c r="B341" s="106" t="str">
        <x:v>601288</x:v>
      </x:c>
      <x:c r="C341" s="106" t="str">
        <x:v>model_target_pe</x:v>
      </x:c>
      <x:c r="D341" s="106" t="str">
        <x:v>2026-06-30</x:v>
      </x:c>
      <x:c r="E341" s="106" t="n">
        <x:v>7</x:v>
      </x:c>
      <x:c r="F341" s="106" t="str">
        <x:v>multiple</x:v>
      </x:c>
      <x:c r="G341" s="106" t="str">
        <x:v>Value Investment Agent PE/PB reference model</x:v>
      </x:c>
      <x:c r="H341" s="106" t="str">
        <x:v>internal://value-investment-agent/pe-pb-reference-v1</x:v>
      </x:c>
      <x:c r="I341" s="106"/>
      <x:c r="J341" s="106"/>
      <x:c r="K341" s="121" t="str">
        <x:v>2026-09-03 07:38:36.752262+00:00</x:v>
      </x:c>
      <x:c r="L341" s="121"/>
      <x:c r="M341" s="106" t="str">
        <x:v>pe-pb-reference-v1</x:v>
      </x:c>
      <x:c r="N341" s="106" t="str">
        <x:v>cecf3f31af1d982606934fe1ec934ad4c540d0b90791dc396e49962e9488247f</x:v>
      </x:c>
      <x:c r="O341" s="113"/>
      <x:c r="P341" s="106" t="str">
        <x:v>pending</x:v>
      </x:c>
      <x:c r="Q341" s="106" t="str">
        <x:v>否</x:v>
      </x:c>
      <x:c r="R341" s="106" t="str">
        <x:v>由本地 Agent 同步</x:v>
      </x:c>
      <x:c r="S341" s="86"/>
      <x:c r="T341" s="86"/>
      <x:c r="U341" s="86"/>
      <x:c r="V341" s="86"/>
      <x:c r="W341" s="86"/>
      <x:c r="X341" s="86"/>
      <x:c r="Y341" s="86"/>
      <x:c r="Z341" s="86"/>
    </x:row>
    <x:row r="342">
      <x:c r="A342" s="106" t="str">
        <x:v>a1314791-a8f1-4a40-a91b-506b9cf48f30</x:v>
      </x:c>
      <x:c r="B342" s="106" t="str">
        <x:v>600036</x:v>
      </x:c>
      <x:c r="C342" s="106" t="str">
        <x:v>model_fair_value</x:v>
      </x:c>
      <x:c r="D342" s="106" t="str">
        <x:v>2026-06-30</x:v>
      </x:c>
      <x:c r="E342" s="106" t="n">
        <x:v>48.36</x:v>
      </x:c>
      <x:c r="F342" s="106" t="str">
        <x:v>CNY/share</x:v>
      </x:c>
      <x:c r="G342" s="106" t="str">
        <x:v>Value Investment Agent PE/PB reference model</x:v>
      </x:c>
      <x:c r="H342" s="106" t="str">
        <x:v>internal://value-investment-agent/pe-pb-reference-v1</x:v>
      </x:c>
      <x:c r="I342" s="106"/>
      <x:c r="J342" s="106"/>
      <x:c r="K342" s="121" t="str">
        <x:v>2026-09-03 07:38:36.752262+00:00</x:v>
      </x:c>
      <x:c r="L342" s="121"/>
      <x:c r="M342" s="106" t="str">
        <x:v>pe-pb-reference-v1</x:v>
      </x:c>
      <x:c r="N342" s="106" t="str">
        <x:v>73acfd6799d34d441642c41aab835fd0a76fc174d3322890aea922d3ae653432</x:v>
      </x:c>
      <x:c r="O342" s="113"/>
      <x:c r="P342" s="106" t="str">
        <x:v>pending</x:v>
      </x:c>
      <x:c r="Q342" s="106" t="str">
        <x:v>否</x:v>
      </x:c>
      <x:c r="R342" s="106" t="str">
        <x:v>由本地 Agent 同步</x:v>
      </x:c>
      <x:c r="S342" s="86"/>
      <x:c r="T342" s="86"/>
      <x:c r="U342" s="86"/>
      <x:c r="V342" s="86"/>
      <x:c r="W342" s="86"/>
      <x:c r="X342" s="86"/>
      <x:c r="Y342" s="86"/>
      <x:c r="Z342" s="86"/>
    </x:row>
    <x:row r="343">
      <x:c r="A343" s="106" t="str">
        <x:v>29a02e0f-2384-42d7-a97f-2477061d8ad3</x:v>
      </x:c>
      <x:c r="B343" s="106" t="str">
        <x:v>600690</x:v>
      </x:c>
      <x:c r="C343" s="106" t="str">
        <x:v>eps_reported</x:v>
      </x:c>
      <x:c r="D343" s="106" t="str">
        <x:v>2026-06-30</x:v>
      </x:c>
      <x:c r="E343" s="106" t="n">
        <x:v>1.1598</x:v>
      </x:c>
      <x:c r="F343" s="106" t="str">
        <x:v>CNY/share</x:v>
      </x:c>
      <x:c r="G343" s="106" t="str">
        <x:v>AkShare / Sina financial indicators</x:v>
      </x:c>
      <x:c r="H343" s="106" t="str">
        <x:v>https://money.finance.sina.com.cn/corp/go.php/vFD_FinancialGuideLine/stockid/600690/ctrl/2026/displaytype/4.phtml</x:v>
      </x:c>
      <x:c r="I343" s="106"/>
      <x:c r="J343" s="106"/>
      <x:c r="K343" s="121" t="str">
        <x:v>2026-09-03 07:38:24.734939+00:00</x:v>
      </x:c>
      <x:c r="L343" s="121"/>
      <x:c r="M343" s="106" t="str">
        <x:v>akshare-financial-v1-sina</x:v>
      </x:c>
      <x:c r="N343" s="106" t="str">
        <x:v>ade4f31fd58c67e11d2288b82eda2669263dc53005ba511af7dfe9e5158c559f</x:v>
      </x:c>
      <x:c r="O343" s="113"/>
      <x:c r="P343" s="106" t="str">
        <x:v>pending</x:v>
      </x:c>
      <x:c r="Q343" s="106" t="str">
        <x:v>否</x:v>
      </x:c>
      <x:c r="R343" s="106" t="str">
        <x:v>由本地 Agent 同步</x:v>
      </x:c>
      <x:c r="S343" s="86"/>
      <x:c r="T343" s="86"/>
      <x:c r="U343" s="86"/>
      <x:c r="V343" s="86"/>
      <x:c r="W343" s="86"/>
      <x:c r="X343" s="86"/>
      <x:c r="Y343" s="86"/>
      <x:c r="Z343" s="86"/>
    </x:row>
    <x:row r="344">
      <x:c r="A344" s="106" t="str">
        <x:v>bc070387-24ed-4244-9551-1ea29fa0d8a1</x:v>
      </x:c>
      <x:c r="B344" s="106" t="str">
        <x:v>601288</x:v>
      </x:c>
      <x:c r="C344" s="106" t="str">
        <x:v>model_target_pb</x:v>
      </x:c>
      <x:c r="D344" s="106" t="str">
        <x:v>2026-06-30</x:v>
      </x:c>
      <x:c r="E344" s="106" t="n">
        <x:v>0.75</x:v>
      </x:c>
      <x:c r="F344" s="106" t="str">
        <x:v>multiple</x:v>
      </x:c>
      <x:c r="G344" s="106" t="str">
        <x:v>Value Investment Agent PE/PB reference model</x:v>
      </x:c>
      <x:c r="H344" s="106" t="str">
        <x:v>internal://value-investment-agent/pe-pb-reference-v1</x:v>
      </x:c>
      <x:c r="I344" s="106"/>
      <x:c r="J344" s="106"/>
      <x:c r="K344" s="121" t="str">
        <x:v>2026-09-03 07:38:36.752262+00:00</x:v>
      </x:c>
      <x:c r="L344" s="121"/>
      <x:c r="M344" s="106" t="str">
        <x:v>pe-pb-reference-v1</x:v>
      </x:c>
      <x:c r="N344" s="106" t="str">
        <x:v>cecf3f31af1d982606934fe1ec934ad4c540d0b90791dc396e49962e9488247f</x:v>
      </x:c>
      <x:c r="O344" s="113"/>
      <x:c r="P344" s="106" t="str">
        <x:v>pending</x:v>
      </x:c>
      <x:c r="Q344" s="106" t="str">
        <x:v>否</x:v>
      </x:c>
      <x:c r="R344" s="106" t="str">
        <x:v>由本地 Agent 同步</x:v>
      </x:c>
      <x:c r="S344" s="86"/>
      <x:c r="T344" s="86"/>
      <x:c r="U344" s="86"/>
      <x:c r="V344" s="86"/>
      <x:c r="W344" s="86"/>
      <x:c r="X344" s="86"/>
      <x:c r="Y344" s="86"/>
      <x:c r="Z344" s="86"/>
    </x:row>
    <x:row r="345">
      <x:c r="A345" s="106" t="str">
        <x:v>9327a7d3-3a92-4ba2-a1d0-9ee407fd769e</x:v>
      </x:c>
      <x:c r="B345" s="106" t="str">
        <x:v>601088</x:v>
      </x:c>
      <x:c r="C345" s="106" t="str">
        <x:v>model_target_pb</x:v>
      </x:c>
      <x:c r="D345" s="106" t="str">
        <x:v>2026-06-30</x:v>
      </x:c>
      <x:c r="E345" s="106" t="n">
        <x:v>1.4</x:v>
      </x:c>
      <x:c r="F345" s="106" t="str">
        <x:v>multiple</x:v>
      </x:c>
      <x:c r="G345" s="106" t="str">
        <x:v>Value Investment Agent PE/PB reference model</x:v>
      </x:c>
      <x:c r="H345" s="106" t="str">
        <x:v>internal://value-investment-agent/pe-pb-reference-v1</x:v>
      </x:c>
      <x:c r="I345" s="106"/>
      <x:c r="J345" s="106"/>
      <x:c r="K345" s="121" t="str">
        <x:v>2026-09-03 07:38:36.752262+00:00</x:v>
      </x:c>
      <x:c r="L345" s="121"/>
      <x:c r="M345" s="106" t="str">
        <x:v>pe-pb-reference-v1</x:v>
      </x:c>
      <x:c r="N345" s="106" t="str">
        <x:v>0f5c67736473dc34064972e3411ca7f1e44bb7928e060e904d125de0d55eeead</x:v>
      </x:c>
      <x:c r="O345" s="113"/>
      <x:c r="P345" s="106" t="str">
        <x:v>pending</x:v>
      </x:c>
      <x:c r="Q345" s="106" t="str">
        <x:v>否</x:v>
      </x:c>
      <x:c r="R345" s="106" t="str">
        <x:v>由本地 Agent 同步</x:v>
      </x:c>
      <x:c r="S345" s="86"/>
      <x:c r="T345" s="86"/>
      <x:c r="U345" s="86"/>
      <x:c r="V345" s="86"/>
      <x:c r="W345" s="86"/>
      <x:c r="X345" s="86"/>
      <x:c r="Y345" s="86"/>
      <x:c r="Z345" s="86"/>
    </x:row>
    <x:row r="346">
      <x:c r="A346" s="106" t="str">
        <x:v>9327a7d3-3a92-4ba2-a1d0-9ee407fd769e</x:v>
      </x:c>
      <x:c r="B346" s="106" t="str">
        <x:v>601088</x:v>
      </x:c>
      <x:c r="C346" s="106" t="str">
        <x:v>model_fair_value</x:v>
      </x:c>
      <x:c r="D346" s="106" t="str">
        <x:v>2026-06-30</x:v>
      </x:c>
      <x:c r="E346" s="106" t="n">
        <x:v>34.28</x:v>
      </x:c>
      <x:c r="F346" s="106" t="str">
        <x:v>CNY/share</x:v>
      </x:c>
      <x:c r="G346" s="106" t="str">
        <x:v>Value Investment Agent PE/PB reference model</x:v>
      </x:c>
      <x:c r="H346" s="106" t="str">
        <x:v>internal://value-investment-agent/pe-pb-reference-v1</x:v>
      </x:c>
      <x:c r="I346" s="106"/>
      <x:c r="J346" s="106"/>
      <x:c r="K346" s="121" t="str">
        <x:v>2026-09-03 07:38:36.752262+00:00</x:v>
      </x:c>
      <x:c r="L346" s="121"/>
      <x:c r="M346" s="106" t="str">
        <x:v>pe-pb-reference-v1</x:v>
      </x:c>
      <x:c r="N346" s="106" t="str">
        <x:v>0f5c67736473dc34064972e3411ca7f1e44bb7928e060e904d125de0d55eeead</x:v>
      </x:c>
      <x:c r="O346" s="113"/>
      <x:c r="P346" s="106" t="str">
        <x:v>pending</x:v>
      </x:c>
      <x:c r="Q346" s="106" t="str">
        <x:v>否</x:v>
      </x:c>
      <x:c r="R346" s="106" t="str">
        <x:v>由本地 Agent 同步</x:v>
      </x:c>
      <x:c r="S346" s="86"/>
      <x:c r="T346" s="86"/>
      <x:c r="U346" s="86"/>
      <x:c r="V346" s="86"/>
      <x:c r="W346" s="86"/>
      <x:c r="X346" s="86"/>
      <x:c r="Y346" s="86"/>
      <x:c r="Z346" s="86"/>
    </x:row>
    <x:row r="347">
      <x:c r="A347" s="106" t="str">
        <x:v>9327a7d3-3a92-4ba2-a1d0-9ee407fd769e</x:v>
      </x:c>
      <x:c r="B347" s="106" t="str">
        <x:v>601088</x:v>
      </x:c>
      <x:c r="C347" s="106" t="str">
        <x:v>model_pb_fair_value</x:v>
      </x:c>
      <x:c r="D347" s="106" t="str">
        <x:v>2026-06-30</x:v>
      </x:c>
      <x:c r="E347" s="106" t="n">
        <x:v>35.5</x:v>
      </x:c>
      <x:c r="F347" s="106" t="str">
        <x:v>CNY/share</x:v>
      </x:c>
      <x:c r="G347" s="106" t="str">
        <x:v>Value Investment Agent PE/PB reference model</x:v>
      </x:c>
      <x:c r="H347" s="106" t="str">
        <x:v>internal://value-investment-agent/pe-pb-reference-v1</x:v>
      </x:c>
      <x:c r="I347" s="106"/>
      <x:c r="J347" s="106"/>
      <x:c r="K347" s="121" t="str">
        <x:v>2026-09-03 07:38:36.752262+00:00</x:v>
      </x:c>
      <x:c r="L347" s="121"/>
      <x:c r="M347" s="106" t="str">
        <x:v>pe-pb-reference-v1</x:v>
      </x:c>
      <x:c r="N347" s="106" t="str">
        <x:v>0f5c67736473dc34064972e3411ca7f1e44bb7928e060e904d125de0d55eeead</x:v>
      </x:c>
      <x:c r="O347" s="113"/>
      <x:c r="P347" s="106" t="str">
        <x:v>pending</x:v>
      </x:c>
      <x:c r="Q347" s="106" t="str">
        <x:v>否</x:v>
      </x:c>
      <x:c r="R347" s="106" t="str">
        <x:v>由本地 Agent 同步</x:v>
      </x:c>
      <x:c r="S347" s="86"/>
      <x:c r="T347" s="86"/>
      <x:c r="U347" s="86"/>
      <x:c r="V347" s="86"/>
      <x:c r="W347" s="86"/>
      <x:c r="X347" s="86"/>
      <x:c r="Y347" s="86"/>
      <x:c r="Z347" s="86"/>
    </x:row>
    <x:row r="348">
      <x:c r="A348" s="106" t="str">
        <x:v>fe54cd65-1e6f-46f2-97bc-8984d2dc9c0c</x:v>
      </x:c>
      <x:c r="B348" s="106" t="str">
        <x:v>600941</x:v>
      </x:c>
      <x:c r="C348" s="106" t="str">
        <x:v>eps_reported</x:v>
      </x:c>
      <x:c r="D348" s="106" t="str">
        <x:v>2026-06-30</x:v>
      </x:c>
      <x:c r="E348" s="106" t="n">
        <x:v>3.6438</x:v>
      </x:c>
      <x:c r="F348" s="106" t="str">
        <x:v>CNY/share</x:v>
      </x:c>
      <x:c r="G348" s="106" t="str">
        <x:v>AkShare / Sina financial indicators</x:v>
      </x:c>
      <x:c r="H348" s="106" t="str">
        <x:v>https://money.finance.sina.com.cn/corp/go.php/vFD_FinancialGuideLine/stockid/600941/ctrl/2026/displaytype/4.phtml</x:v>
      </x:c>
      <x:c r="I348" s="106"/>
      <x:c r="J348" s="106"/>
      <x:c r="K348" s="121" t="str">
        <x:v>2026-09-03 07:38:24.734939+00:00</x:v>
      </x:c>
      <x:c r="L348" s="121"/>
      <x:c r="M348" s="106" t="str">
        <x:v>akshare-financial-v1-sina</x:v>
      </x:c>
      <x:c r="N348" s="106" t="str">
        <x:v>6ac05ad26080001a2bf57376a6c031f9c8d88184b5d3ab0f5944b5eb44b58d04</x:v>
      </x:c>
      <x:c r="O348" s="113"/>
      <x:c r="P348" s="106" t="str">
        <x:v>pending</x:v>
      </x:c>
      <x:c r="Q348" s="106" t="str">
        <x:v>否</x:v>
      </x:c>
      <x:c r="R348" s="106" t="str">
        <x:v>由本地 Agent 同步</x:v>
      </x:c>
      <x:c r="S348" s="86"/>
      <x:c r="T348" s="86"/>
      <x:c r="U348" s="86"/>
      <x:c r="V348" s="86"/>
      <x:c r="W348" s="86"/>
      <x:c r="X348" s="86"/>
      <x:c r="Y348" s="86"/>
      <x:c r="Z348" s="86"/>
    </x:row>
    <x:row r="349">
      <x:c r="A349" s="106" t="str">
        <x:v>33e7988c-ff8b-4663-916a-4797ef1235b7</x:v>
      </x:c>
      <x:c r="B349" s="106" t="str">
        <x:v>600690</x:v>
      </x:c>
      <x:c r="C349" s="106" t="str">
        <x:v>model_fair_value</x:v>
      </x:c>
      <x:c r="D349" s="106" t="str">
        <x:v>2026-06-30</x:v>
      </x:c>
      <x:c r="E349" s="106" t="n">
        <x:v>27.65</x:v>
      </x:c>
      <x:c r="F349" s="106" t="str">
        <x:v>CNY/share</x:v>
      </x:c>
      <x:c r="G349" s="106" t="str">
        <x:v>Value Investment Agent PE/PB reference model</x:v>
      </x:c>
      <x:c r="H349" s="106" t="str">
        <x:v>internal://value-investment-agent/pe-pb-reference-v1</x:v>
      </x:c>
      <x:c r="I349" s="106"/>
      <x:c r="J349" s="106"/>
      <x:c r="K349" s="121" t="str">
        <x:v>2026-09-03 07:38:36.752262+00:00</x:v>
      </x:c>
      <x:c r="L349" s="121"/>
      <x:c r="M349" s="106" t="str">
        <x:v>pe-pb-reference-v1</x:v>
      </x:c>
      <x:c r="N349" s="106" t="str">
        <x:v>5970cfd1c0aa893cb081cce0070505730ae6261649d5e149a3a7887c8c59a8c4</x:v>
      </x:c>
      <x:c r="O349" s="113"/>
      <x:c r="P349" s="106" t="str">
        <x:v>pending</x:v>
      </x:c>
      <x:c r="Q349" s="106" t="str">
        <x:v>否</x:v>
      </x:c>
      <x:c r="R349" s="106" t="str">
        <x:v>由本地 Agent 同步</x:v>
      </x:c>
      <x:c r="S349" s="86"/>
      <x:c r="T349" s="86"/>
      <x:c r="U349" s="86"/>
      <x:c r="V349" s="86"/>
      <x:c r="W349" s="86"/>
      <x:c r="X349" s="86"/>
      <x:c r="Y349" s="86"/>
      <x:c r="Z349" s="86"/>
    </x:row>
    <x:row r="350">
      <x:c r="A350" s="106" t="str">
        <x:v>f9e78667-8391-4511-bb62-a0f87ffc6727</x:v>
      </x:c>
      <x:c r="B350" s="106" t="str">
        <x:v>300750</x:v>
      </x:c>
      <x:c r="C350" s="106" t="str">
        <x:v>model_target_pb</x:v>
      </x:c>
      <x:c r="D350" s="106" t="str">
        <x:v>2026-06-30</x:v>
      </x:c>
      <x:c r="E350" s="106" t="n">
        <x:v>3</x:v>
      </x:c>
      <x:c r="F350" s="106" t="str">
        <x:v>multiple</x:v>
      </x:c>
      <x:c r="G350" s="106" t="str">
        <x:v>Value Investment Agent PE/PB reference model</x:v>
      </x:c>
      <x:c r="H350" s="106" t="str">
        <x:v>internal://value-investment-agent/pe-pb-reference-v1</x:v>
      </x:c>
      <x:c r="I350" s="106"/>
      <x:c r="J350" s="106"/>
      <x:c r="K350" s="121" t="str">
        <x:v>2026-09-03 07:38:36.752262+00:00</x:v>
      </x:c>
      <x:c r="L350" s="121"/>
      <x:c r="M350" s="106" t="str">
        <x:v>pe-pb-reference-v1</x:v>
      </x:c>
      <x:c r="N350" s="106" t="str">
        <x:v>a2b67f8a91156ccf684379a3c93b3a04c543ab9641c90b3d6d132ec951b42ad1</x:v>
      </x:c>
      <x:c r="O350" s="113"/>
      <x:c r="P350" s="106" t="str">
        <x:v>pending</x:v>
      </x:c>
      <x:c r="Q350" s="106" t="str">
        <x:v>否</x:v>
      </x:c>
      <x:c r="R350" s="106" t="str">
        <x:v>由本地 Agent 同步</x:v>
      </x:c>
      <x:c r="S350" s="86"/>
      <x:c r="T350" s="86"/>
      <x:c r="U350" s="86"/>
      <x:c r="V350" s="86"/>
      <x:c r="W350" s="86"/>
      <x:c r="X350" s="86"/>
      <x:c r="Y350" s="86"/>
      <x:c r="Z350" s="86"/>
    </x:row>
    <x:row r="351">
      <x:c r="A351" s="106" t="str">
        <x:v>f3a9699e-dea0-4203-b9ee-b6378194f9c2</x:v>
      </x:c>
      <x:c r="B351" s="106" t="str">
        <x:v>600900</x:v>
      </x:c>
      <x:c r="C351" s="106" t="str">
        <x:v>model_target_pb</x:v>
      </x:c>
      <x:c r="D351" s="106" t="str">
        <x:v>2026-06-30</x:v>
      </x:c>
      <x:c r="E351" s="106" t="n">
        <x:v>1.5</x:v>
      </x:c>
      <x:c r="F351" s="106" t="str">
        <x:v>multiple</x:v>
      </x:c>
      <x:c r="G351" s="106" t="str">
        <x:v>Value Investment Agent PE/PB reference model</x:v>
      </x:c>
      <x:c r="H351" s="106" t="str">
        <x:v>internal://value-investment-agent/pe-pb-reference-v1</x:v>
      </x:c>
      <x:c r="I351" s="106"/>
      <x:c r="J351" s="106"/>
      <x:c r="K351" s="121" t="str">
        <x:v>2026-09-03 07:38:36.752262+00:00</x:v>
      </x:c>
      <x:c r="L351" s="121"/>
      <x:c r="M351" s="106" t="str">
        <x:v>pe-pb-reference-v1</x:v>
      </x:c>
      <x:c r="N351" s="106" t="str">
        <x:v>3a9c49583a4fbb258cc95b45d1a8d004b43428f93cc937e2e9e54de10eba0417</x:v>
      </x:c>
      <x:c r="O351" s="113"/>
      <x:c r="P351" s="106" t="str">
        <x:v>pending</x:v>
      </x:c>
      <x:c r="Q351" s="106" t="str">
        <x:v>否</x:v>
      </x:c>
      <x:c r="R351" s="106" t="str">
        <x:v>由本地 Agent 同步</x:v>
      </x:c>
      <x:c r="S351" s="86"/>
      <x:c r="T351" s="86"/>
      <x:c r="U351" s="86"/>
      <x:c r="V351" s="86"/>
      <x:c r="W351" s="86"/>
      <x:c r="X351" s="86"/>
      <x:c r="Y351" s="86"/>
      <x:c r="Z351" s="86"/>
    </x:row>
    <x:row r="352">
      <x:c r="A352" s="106" t="str">
        <x:v>b02f6cda-e1ad-4632-a75d-0686a6e01881</x:v>
      </x:c>
      <x:c r="B352" s="106" t="str">
        <x:v>000333</x:v>
      </x:c>
      <x:c r="C352" s="106" t="str">
        <x:v>model_fair_value</x:v>
      </x:c>
      <x:c r="D352" s="106" t="str">
        <x:v>2026-06-30</x:v>
      </x:c>
      <x:c r="E352" s="106" t="n">
        <x:v>81.14</x:v>
      </x:c>
      <x:c r="F352" s="106" t="str">
        <x:v>CNY/share</x:v>
      </x:c>
      <x:c r="G352" s="106" t="str">
        <x:v>Value Investment Agent PE/PB reference model</x:v>
      </x:c>
      <x:c r="H352" s="106" t="str">
        <x:v>internal://value-investment-agent/pe-pb-reference-v1</x:v>
      </x:c>
      <x:c r="I352" s="106"/>
      <x:c r="J352" s="106"/>
      <x:c r="K352" s="121" t="str">
        <x:v>2026-09-03 07:38:36.752262+00:00</x:v>
      </x:c>
      <x:c r="L352" s="121"/>
      <x:c r="M352" s="106" t="str">
        <x:v>pe-pb-reference-v1</x:v>
      </x:c>
      <x:c r="N352" s="106" t="str">
        <x:v>0898ea49f1090e835b314efb5052563fadeec455c50b2de9b0a8c796231a1258</x:v>
      </x:c>
      <x:c r="O352" s="113"/>
      <x:c r="P352" s="106" t="str">
        <x:v>pending</x:v>
      </x:c>
      <x:c r="Q352" s="106" t="str">
        <x:v>否</x:v>
      </x:c>
      <x:c r="R352" s="106" t="str">
        <x:v>由本地 Agent 同步</x:v>
      </x:c>
      <x:c r="S352" s="86"/>
      <x:c r="T352" s="86"/>
      <x:c r="U352" s="86"/>
      <x:c r="V352" s="86"/>
      <x:c r="W352" s="86"/>
      <x:c r="X352" s="86"/>
      <x:c r="Y352" s="86"/>
      <x:c r="Z352" s="86"/>
    </x:row>
    <x:row r="353">
      <x:c r="A353" s="106" t="str">
        <x:v>9db6a70b-2582-4ab0-8e3c-d85e1017bc46</x:v>
      </x:c>
      <x:c r="B353" s="106" t="str">
        <x:v>600887</x:v>
      </x:c>
      <x:c r="C353" s="106" t="str">
        <x:v>current_price</x:v>
      </x:c>
      <x:c r="D353" s="106" t="str">
        <x:v>2026-09-03 07:38</x:v>
      </x:c>
      <x:c r="E353" s="106" t="n">
        <x:v>26.57</x:v>
      </x:c>
      <x:c r="F353" s="106" t="str">
        <x:v>CNY/share</x:v>
      </x:c>
      <x:c r="G353" s="106" t="str">
        <x:v>AkShare / Sina public historical quotes</x:v>
      </x:c>
      <x:c r="H353" s="106" t="str">
        <x:v>https://akshare.akfamily.xyz/data/stock/stock.html</x:v>
      </x:c>
      <x:c r="I353" s="106"/>
      <x:c r="J353" s="106"/>
      <x:c r="K353" s="121" t="str">
        <x:v>2026-09-03 07:38:19.937971+00:00</x:v>
      </x:c>
      <x:c r="L353" s="121"/>
      <x:c r="M353" s="106" t="str">
        <x:v>akshare-price-v3-sina-history</x:v>
      </x:c>
      <x:c r="N353" s="106" t="str">
        <x:v>28dd4efc64c007fd99529ae7a526a9c608f1b065e5feed52429cf92adcd63e9d</x:v>
      </x:c>
      <x:c r="O353" s="113"/>
      <x:c r="P353" s="106" t="str">
        <x:v>pending</x:v>
      </x:c>
      <x:c r="Q353" s="106" t="str">
        <x:v>否</x:v>
      </x:c>
      <x:c r="R353" s="106" t="str">
        <x:v>由本地 Agent 同步</x:v>
      </x:c>
      <x:c r="S353" s="86"/>
      <x:c r="T353" s="86"/>
      <x:c r="U353" s="86"/>
      <x:c r="V353" s="86"/>
      <x:c r="W353" s="86"/>
      <x:c r="X353" s="86"/>
      <x:c r="Y353" s="86"/>
      <x:c r="Z353" s="86"/>
    </x:row>
    <x:row r="354">
      <x:c r="A354" s="106" t="str">
        <x:v>7ee58f16-001c-4be5-8206-dc0448cae4a1</x:v>
      </x:c>
      <x:c r="B354" s="106" t="str">
        <x:v>600519</x:v>
      </x:c>
      <x:c r="C354" s="106" t="str">
        <x:v>model_pb_fair_value</x:v>
      </x:c>
      <x:c r="D354" s="106" t="str">
        <x:v>2026-06-30</x:v>
      </x:c>
      <x:c r="E354" s="106" t="n">
        <x:v>838.65</x:v>
      </x:c>
      <x:c r="F354" s="106" t="str">
        <x:v>CNY/share</x:v>
      </x:c>
      <x:c r="G354" s="106" t="str">
        <x:v>Value Investment Agent PE/PB reference model</x:v>
      </x:c>
      <x:c r="H354" s="106" t="str">
        <x:v>internal://value-investment-agent/pe-pb-reference-v1</x:v>
      </x:c>
      <x:c r="I354" s="106"/>
      <x:c r="J354" s="106"/>
      <x:c r="K354" s="121" t="str">
        <x:v>2026-09-03 07:38:36.752262+00:00</x:v>
      </x:c>
      <x:c r="L354" s="121"/>
      <x:c r="M354" s="106" t="str">
        <x:v>pe-pb-reference-v1</x:v>
      </x:c>
      <x:c r="N354" s="106" t="str">
        <x:v>5527af46bd3b144c037f297a2952cec230e272bf9e5d341900cca291845adc7f</x:v>
      </x:c>
      <x:c r="O354" s="113"/>
      <x:c r="P354" s="106" t="str">
        <x:v>pending</x:v>
      </x:c>
      <x:c r="Q354" s="106" t="str">
        <x:v>否</x:v>
      </x:c>
      <x:c r="R354" s="106" t="str">
        <x:v>由本地 Agent 同步</x:v>
      </x:c>
      <x:c r="S354" s="86"/>
      <x:c r="T354" s="86"/>
      <x:c r="U354" s="86"/>
      <x:c r="V354" s="86"/>
      <x:c r="W354" s="86"/>
      <x:c r="X354" s="86"/>
      <x:c r="Y354" s="86"/>
      <x:c r="Z354" s="86"/>
    </x:row>
    <x:row r="355">
      <x:c r="A355" s="106" t="str">
        <x:v>f3a9699e-dea0-4203-b9ee-b6378194f9c2</x:v>
      </x:c>
      <x:c r="B355" s="106" t="str">
        <x:v>600900</x:v>
      </x:c>
      <x:c r="C355" s="106" t="str">
        <x:v>model_pb_fair_value</x:v>
      </x:c>
      <x:c r="D355" s="106" t="str">
        <x:v>2026-06-30</x:v>
      </x:c>
      <x:c r="E355" s="106" t="n">
        <x:v>13.98</x:v>
      </x:c>
      <x:c r="F355" s="106" t="str">
        <x:v>CNY/share</x:v>
      </x:c>
      <x:c r="G355" s="106" t="str">
        <x:v>Value Investment Agent PE/PB reference model</x:v>
      </x:c>
      <x:c r="H355" s="106" t="str">
        <x:v>internal://value-investment-agent/pe-pb-reference-v1</x:v>
      </x:c>
      <x:c r="I355" s="106"/>
      <x:c r="J355" s="106"/>
      <x:c r="K355" s="121" t="str">
        <x:v>2026-09-03 07:38:36.752262+00:00</x:v>
      </x:c>
      <x:c r="L355" s="121"/>
      <x:c r="M355" s="106" t="str">
        <x:v>pe-pb-reference-v1</x:v>
      </x:c>
      <x:c r="N355" s="106" t="str">
        <x:v>3a9c49583a4fbb258cc95b45d1a8d004b43428f93cc937e2e9e54de10eba0417</x:v>
      </x:c>
      <x:c r="O355" s="113"/>
      <x:c r="P355" s="106" t="str">
        <x:v>pending</x:v>
      </x:c>
      <x:c r="Q355" s="106" t="str">
        <x:v>否</x:v>
      </x:c>
      <x:c r="R355" s="106" t="str">
        <x:v>由本地 Agent 同步</x:v>
      </x:c>
      <x:c r="S355" s="86"/>
      <x:c r="T355" s="86"/>
      <x:c r="U355" s="86"/>
      <x:c r="V355" s="86"/>
      <x:c r="W355" s="86"/>
      <x:c r="X355" s="86"/>
      <x:c r="Y355" s="86"/>
      <x:c r="Z355" s="86"/>
    </x:row>
    <x:row r="356">
      <x:c r="A356" s="106" t="str">
        <x:v>7ee58f16-001c-4be5-8206-dc0448cae4a1</x:v>
      </x:c>
      <x:c r="B356" s="106" t="str">
        <x:v>600519</x:v>
      </x:c>
      <x:c r="C356" s="106" t="str">
        <x:v>model_target_pe</x:v>
      </x:c>
      <x:c r="D356" s="106" t="str">
        <x:v>2026-06-30</x:v>
      </x:c>
      <x:c r="E356" s="106" t="n">
        <x:v>18</x:v>
      </x:c>
      <x:c r="F356" s="106" t="str">
        <x:v>multiple</x:v>
      </x:c>
      <x:c r="G356" s="106" t="str">
        <x:v>Value Investment Agent PE/PB reference model</x:v>
      </x:c>
      <x:c r="H356" s="106" t="str">
        <x:v>internal://value-investment-agent/pe-pb-reference-v1</x:v>
      </x:c>
      <x:c r="I356" s="106"/>
      <x:c r="J356" s="106"/>
      <x:c r="K356" s="121" t="str">
        <x:v>2026-09-03 07:38:36.752262+00:00</x:v>
      </x:c>
      <x:c r="L356" s="121"/>
      <x:c r="M356" s="106" t="str">
        <x:v>pe-pb-reference-v1</x:v>
      </x:c>
      <x:c r="N356" s="106" t="str">
        <x:v>5527af46bd3b144c037f297a2952cec230e272bf9e5d341900cca291845adc7f</x:v>
      </x:c>
      <x:c r="O356" s="113"/>
      <x:c r="P356" s="106" t="str">
        <x:v>pending</x:v>
      </x:c>
      <x:c r="Q356" s="106" t="str">
        <x:v>否</x:v>
      </x:c>
      <x:c r="R356" s="106" t="str">
        <x:v>由本地 Agent 同步</x:v>
      </x:c>
      <x:c r="S356" s="86"/>
      <x:c r="T356" s="86"/>
      <x:c r="U356" s="86"/>
      <x:c r="V356" s="86"/>
      <x:c r="W356" s="86"/>
      <x:c r="X356" s="86"/>
      <x:c r="Y356" s="86"/>
      <x:c r="Z356" s="86"/>
    </x:row>
    <x:row r="357">
      <x:c r="A357" s="106" t="str">
        <x:v>f3a9699e-dea0-4203-b9ee-b6378194f9c2</x:v>
      </x:c>
      <x:c r="B357" s="106" t="str">
        <x:v>600900</x:v>
      </x:c>
      <x:c r="C357" s="106" t="str">
        <x:v>model_fair_value</x:v>
      </x:c>
      <x:c r="D357" s="106" t="str">
        <x:v>2026-06-30</x:v>
      </x:c>
      <x:c r="E357" s="106" t="n">
        <x:v>15.99</x:v>
      </x:c>
      <x:c r="F357" s="106" t="str">
        <x:v>CNY/share</x:v>
      </x:c>
      <x:c r="G357" s="106" t="str">
        <x:v>Value Investment Agent PE/PB reference model</x:v>
      </x:c>
      <x:c r="H357" s="106" t="str">
        <x:v>internal://value-investment-agent/pe-pb-reference-v1</x:v>
      </x:c>
      <x:c r="I357" s="106"/>
      <x:c r="J357" s="106"/>
      <x:c r="K357" s="121" t="str">
        <x:v>2026-09-03 07:38:36.752262+00:00</x:v>
      </x:c>
      <x:c r="L357" s="121"/>
      <x:c r="M357" s="106" t="str">
        <x:v>pe-pb-reference-v1</x:v>
      </x:c>
      <x:c r="N357" s="106" t="str">
        <x:v>3a9c49583a4fbb258cc95b45d1a8d004b43428f93cc937e2e9e54de10eba0417</x:v>
      </x:c>
      <x:c r="O357" s="113"/>
      <x:c r="P357" s="106" t="str">
        <x:v>pending</x:v>
      </x:c>
      <x:c r="Q357" s="106" t="str">
        <x:v>否</x:v>
      </x:c>
      <x:c r="R357" s="106" t="str">
        <x:v>由本地 Agent 同步</x:v>
      </x:c>
      <x:c r="S357" s="86"/>
      <x:c r="T357" s="86"/>
      <x:c r="U357" s="86"/>
      <x:c r="V357" s="86"/>
      <x:c r="W357" s="86"/>
      <x:c r="X357" s="86"/>
      <x:c r="Y357" s="86"/>
      <x:c r="Z357" s="86"/>
    </x:row>
    <x:row r="358">
      <x:c r="A358" s="106" t="str">
        <x:v>958713ef-2598-432a-b7aa-511bdc6a0bee</x:v>
      </x:c>
      <x:c r="B358" s="106" t="str">
        <x:v>601288</x:v>
      </x:c>
      <x:c r="C358" s="106" t="str">
        <x:v>eps_reported</x:v>
      </x:c>
      <x:c r="D358" s="106" t="str">
        <x:v>2026-06-30</x:v>
      </x:c>
      <x:c r="E358" s="106" t="n">
        <x:v>0.4231</x:v>
      </x:c>
      <x:c r="F358" s="106" t="str">
        <x:v>CNY/share</x:v>
      </x:c>
      <x:c r="G358" s="106" t="str">
        <x:v>AkShare / Sina financial indicators</x:v>
      </x:c>
      <x:c r="H358" s="106" t="str">
        <x:v>https://money.finance.sina.com.cn/corp/go.php/vFD_FinancialGuideLine/stockid/601288/ctrl/2026/displaytype/4.phtml</x:v>
      </x:c>
      <x:c r="I358" s="106"/>
      <x:c r="J358" s="106"/>
      <x:c r="K358" s="121" t="str">
        <x:v>2026-09-03 07:38:24.734939+00:00</x:v>
      </x:c>
      <x:c r="L358" s="121"/>
      <x:c r="M358" s="106" t="str">
        <x:v>akshare-financial-v1-sina</x:v>
      </x:c>
      <x:c r="N358" s="106" t="str">
        <x:v>92643be27071e72c2cb3b452fc6c348e2b412bba1977528dbd6029bccf427eb7</x:v>
      </x:c>
      <x:c r="O358" s="113"/>
      <x:c r="P358" s="106" t="str">
        <x:v>pending</x:v>
      </x:c>
      <x:c r="Q358" s="106" t="str">
        <x:v>否</x:v>
      </x:c>
      <x:c r="R358" s="106" t="str">
        <x:v>由本地 Agent 同步</x:v>
      </x:c>
      <x:c r="S358" s="86"/>
      <x:c r="T358" s="86"/>
      <x:c r="U358" s="86"/>
      <x:c r="V358" s="86"/>
      <x:c r="W358" s="86"/>
      <x:c r="X358" s="86"/>
      <x:c r="Y358" s="86"/>
      <x:c r="Z358" s="86"/>
    </x:row>
    <x:row r="359">
      <x:c r="A359" s="106" t="str">
        <x:v>f3a9699e-dea0-4203-b9ee-b6378194f9c2</x:v>
      </x:c>
      <x:c r="B359" s="106" t="str">
        <x:v>600900</x:v>
      </x:c>
      <x:c r="C359" s="106" t="str">
        <x:v>model_target_pe</x:v>
      </x:c>
      <x:c r="D359" s="106" t="str">
        <x:v>2026-06-30</x:v>
      </x:c>
      <x:c r="E359" s="106" t="n">
        <x:v>12</x:v>
      </x:c>
      <x:c r="F359" s="106" t="str">
        <x:v>multiple</x:v>
      </x:c>
      <x:c r="G359" s="106" t="str">
        <x:v>Value Investment Agent PE/PB reference model</x:v>
      </x:c>
      <x:c r="H359" s="106" t="str">
        <x:v>internal://value-investment-agent/pe-pb-reference-v1</x:v>
      </x:c>
      <x:c r="I359" s="106"/>
      <x:c r="J359" s="106"/>
      <x:c r="K359" s="121" t="str">
        <x:v>2026-09-03 07:38:36.752262+00:00</x:v>
      </x:c>
      <x:c r="L359" s="121"/>
      <x:c r="M359" s="106" t="str">
        <x:v>pe-pb-reference-v1</x:v>
      </x:c>
      <x:c r="N359" s="106" t="str">
        <x:v>3a9c49583a4fbb258cc95b45d1a8d004b43428f93cc937e2e9e54de10eba0417</x:v>
      </x:c>
      <x:c r="O359" s="113"/>
      <x:c r="P359" s="106" t="str">
        <x:v>pending</x:v>
      </x:c>
      <x:c r="Q359" s="106" t="str">
        <x:v>否</x:v>
      </x:c>
      <x:c r="R359" s="106" t="str">
        <x:v>由本地 Agent 同步</x:v>
      </x:c>
      <x:c r="S359" s="86"/>
      <x:c r="T359" s="86"/>
      <x:c r="U359" s="86"/>
      <x:c r="V359" s="86"/>
      <x:c r="W359" s="86"/>
      <x:c r="X359" s="86"/>
      <x:c r="Y359" s="86"/>
      <x:c r="Z359" s="86"/>
    </x:row>
    <x:row r="360">
      <x:c r="A360" s="106" t="str">
        <x:v>d8a63d02-da2c-43be-8557-a4679640380f</x:v>
      </x:c>
      <x:c r="B360" s="106" t="str">
        <x:v>600941</x:v>
      </x:c>
      <x:c r="C360" s="106" t="str">
        <x:v>model_fair_value</x:v>
      </x:c>
      <x:c r="D360" s="106" t="str">
        <x:v>2026-06-30</x:v>
      </x:c>
      <x:c r="E360" s="106" t="n">
        <x:v>85.84</x:v>
      </x:c>
      <x:c r="F360" s="106" t="str">
        <x:v>CNY/share</x:v>
      </x:c>
      <x:c r="G360" s="106" t="str">
        <x:v>Value Investment Agent PE/PB reference model</x:v>
      </x:c>
      <x:c r="H360" s="106" t="str">
        <x:v>internal://value-investment-agent/pe-pb-reference-v1</x:v>
      </x:c>
      <x:c r="I360" s="106"/>
      <x:c r="J360" s="106"/>
      <x:c r="K360" s="121" t="str">
        <x:v>2026-09-03 07:38:36.752262+00:00</x:v>
      </x:c>
      <x:c r="L360" s="121"/>
      <x:c r="M360" s="106" t="str">
        <x:v>pe-pb-reference-v1</x:v>
      </x:c>
      <x:c r="N360" s="106" t="str">
        <x:v>b808b770393cc7b2153d14499c6c101ced3fa694a821c6f3e7abd09cceffc9bb</x:v>
      </x:c>
      <x:c r="O360" s="113"/>
      <x:c r="P360" s="106" t="str">
        <x:v>pending</x:v>
      </x:c>
      <x:c r="Q360" s="106" t="str">
        <x:v>否</x:v>
      </x:c>
      <x:c r="R360" s="106" t="str">
        <x:v>由本地 Agent 同步</x:v>
      </x:c>
      <x:c r="S360" s="86"/>
      <x:c r="T360" s="86"/>
      <x:c r="U360" s="86"/>
      <x:c r="V360" s="86"/>
      <x:c r="W360" s="86"/>
      <x:c r="X360" s="86"/>
      <x:c r="Y360" s="86"/>
      <x:c r="Z360" s="86"/>
    </x:row>
    <x:row r="361">
      <x:c r="A361" s="106" t="str">
        <x:v>d8a63d02-da2c-43be-8557-a4679640380f</x:v>
      </x:c>
      <x:c r="B361" s="106" t="str">
        <x:v>600941</x:v>
      </x:c>
      <x:c r="C361" s="106" t="str">
        <x:v>model_target_pe</x:v>
      </x:c>
      <x:c r="D361" s="106" t="str">
        <x:v>2026-06-30</x:v>
      </x:c>
      <x:c r="E361" s="106" t="n">
        <x:v>12</x:v>
      </x:c>
      <x:c r="F361" s="106" t="str">
        <x:v>multiple</x:v>
      </x:c>
      <x:c r="G361" s="106" t="str">
        <x:v>Value Investment Agent PE/PB reference model</x:v>
      </x:c>
      <x:c r="H361" s="106" t="str">
        <x:v>internal://value-investment-agent/pe-pb-reference-v1</x:v>
      </x:c>
      <x:c r="I361" s="106"/>
      <x:c r="J361" s="106"/>
      <x:c r="K361" s="121" t="str">
        <x:v>2026-09-03 07:38:36.752262+00:00</x:v>
      </x:c>
      <x:c r="L361" s="121"/>
      <x:c r="M361" s="106" t="str">
        <x:v>pe-pb-reference-v1</x:v>
      </x:c>
      <x:c r="N361" s="106" t="str">
        <x:v>b808b770393cc7b2153d14499c6c101ced3fa694a821c6f3e7abd09cceffc9bb</x:v>
      </x:c>
      <x:c r="O361" s="113"/>
      <x:c r="P361" s="106" t="str">
        <x:v>pending</x:v>
      </x:c>
      <x:c r="Q361" s="106" t="str">
        <x:v>否</x:v>
      </x:c>
      <x:c r="R361" s="106" t="str">
        <x:v>由本地 Agent 同步</x:v>
      </x:c>
      <x:c r="S361" s="86"/>
      <x:c r="T361" s="86"/>
      <x:c r="U361" s="86"/>
      <x:c r="V361" s="86"/>
      <x:c r="W361" s="86"/>
      <x:c r="X361" s="86"/>
      <x:c r="Y361" s="86"/>
      <x:c r="Z361" s="86"/>
    </x:row>
    <x:row r="362">
      <x:c r="A362" s="106" t="str">
        <x:v>bc070387-24ed-4244-9551-1ea29fa0d8a1</x:v>
      </x:c>
      <x:c r="B362" s="106" t="str">
        <x:v>601288</x:v>
      </x:c>
      <x:c r="C362" s="106" t="str">
        <x:v>model_fair_value</x:v>
      </x:c>
      <x:c r="D362" s="106" t="str">
        <x:v>2026-06-30</x:v>
      </x:c>
      <x:c r="E362" s="106" t="n">
        <x:v>6.58</x:v>
      </x:c>
      <x:c r="F362" s="106" t="str">
        <x:v>CNY/share</x:v>
      </x:c>
      <x:c r="G362" s="106" t="str">
        <x:v>Value Investment Agent PE/PB reference model</x:v>
      </x:c>
      <x:c r="H362" s="106" t="str">
        <x:v>internal://value-investment-agent/pe-pb-reference-v1</x:v>
      </x:c>
      <x:c r="I362" s="106"/>
      <x:c r="J362" s="106"/>
      <x:c r="K362" s="121" t="str">
        <x:v>2026-09-03 07:38:36.752262+00:00</x:v>
      </x:c>
      <x:c r="L362" s="121"/>
      <x:c r="M362" s="106" t="str">
        <x:v>pe-pb-reference-v1</x:v>
      </x:c>
      <x:c r="N362" s="106" t="str">
        <x:v>cecf3f31af1d982606934fe1ec934ad4c540d0b90791dc396e49962e9488247f</x:v>
      </x:c>
      <x:c r="O362" s="113"/>
      <x:c r="P362" s="106" t="str">
        <x:v>pending</x:v>
      </x:c>
      <x:c r="Q362" s="106" t="str">
        <x:v>否</x:v>
      </x:c>
      <x:c r="R362" s="106" t="str">
        <x:v>由本地 Agent 同步</x:v>
      </x:c>
      <x:c r="S362" s="86"/>
      <x:c r="T362" s="86"/>
      <x:c r="U362" s="86"/>
      <x:c r="V362" s="86"/>
      <x:c r="W362" s="86"/>
      <x:c r="X362" s="86"/>
      <x:c r="Y362" s="86"/>
      <x:c r="Z362" s="86"/>
    </x:row>
    <x:row r="363">
      <x:c r="A363" s="106" t="str">
        <x:v>d8a63d02-da2c-43be-8557-a4679640380f</x:v>
      </x:c>
      <x:c r="B363" s="106" t="str">
        <x:v>600941</x:v>
      </x:c>
      <x:c r="C363" s="106" t="str">
        <x:v>model_pb_fair_value</x:v>
      </x:c>
      <x:c r="D363" s="106" t="str">
        <x:v>2026-06-30</x:v>
      </x:c>
      <x:c r="E363" s="106" t="n">
        <x:v>98.64</x:v>
      </x:c>
      <x:c r="F363" s="106" t="str">
        <x:v>CNY/share</x:v>
      </x:c>
      <x:c r="G363" s="106" t="str">
        <x:v>Value Investment Agent PE/PB reference model</x:v>
      </x:c>
      <x:c r="H363" s="106" t="str">
        <x:v>internal://value-investment-agent/pe-pb-reference-v1</x:v>
      </x:c>
      <x:c r="I363" s="106"/>
      <x:c r="J363" s="106"/>
      <x:c r="K363" s="121" t="str">
        <x:v>2026-09-03 07:38:36.752262+00:00</x:v>
      </x:c>
      <x:c r="L363" s="121"/>
      <x:c r="M363" s="106" t="str">
        <x:v>pe-pb-reference-v1</x:v>
      </x:c>
      <x:c r="N363" s="106" t="str">
        <x:v>b808b770393cc7b2153d14499c6c101ced3fa694a821c6f3e7abd09cceffc9bb</x:v>
      </x:c>
      <x:c r="O363" s="113"/>
      <x:c r="P363" s="106" t="str">
        <x:v>pending</x:v>
      </x:c>
      <x:c r="Q363" s="106" t="str">
        <x:v>否</x:v>
      </x:c>
      <x:c r="R363" s="106" t="str">
        <x:v>由本地 Agent 同步</x:v>
      </x:c>
      <x:c r="S363" s="86"/>
      <x:c r="T363" s="86"/>
      <x:c r="U363" s="86"/>
      <x:c r="V363" s="86"/>
      <x:c r="W363" s="86"/>
      <x:c r="X363" s="86"/>
      <x:c r="Y363" s="86"/>
      <x:c r="Z363" s="86"/>
    </x:row>
    <x:row r="364">
      <x:c r="A364" s="106" t="str">
        <x:v>429eb8fe-24f9-434f-84b8-08309adb19fb</x:v>
      </x:c>
      <x:c r="B364" s="106" t="str">
        <x:v>000333</x:v>
      </x:c>
      <x:c r="C364" s="106" t="str">
        <x:v>current_price</x:v>
      </x:c>
      <x:c r="D364" s="106" t="str">
        <x:v>2026-09-03 07:48</x:v>
      </x:c>
      <x:c r="E364" s="106" t="n">
        <x:v>86.98</x:v>
      </x:c>
      <x:c r="F364" s="106" t="str">
        <x:v>CNY/share</x:v>
      </x:c>
      <x:c r="G364" s="106" t="str">
        <x:v>AkShare / Sina public historical quotes</x:v>
      </x:c>
      <x:c r="H364" s="106" t="str">
        <x:v>https://akshare.akfamily.xyz/data/stock/stock.html</x:v>
      </x:c>
      <x:c r="I364" s="106"/>
      <x:c r="J364" s="106"/>
      <x:c r="K364" s="121" t="str">
        <x:v>2026-09-03 07:48:39.931110+00:00</x:v>
      </x:c>
      <x:c r="L364" s="121"/>
      <x:c r="M364" s="106" t="str">
        <x:v>akshare-price-v3-sina-history</x:v>
      </x:c>
      <x:c r="N364" s="106" t="str">
        <x:v>bf3e062695673bdbfd2c01ddf4d5e46283ec23b3bdc2dc0347d768a02df6a5c6</x:v>
      </x:c>
      <x:c r="O364" s="113"/>
      <x:c r="P364" s="106" t="str">
        <x:v>pending</x:v>
      </x:c>
      <x:c r="Q364" s="106" t="str">
        <x:v>否</x:v>
      </x:c>
      <x:c r="R364" s="106" t="str">
        <x:v>由本地 Agent 同步</x:v>
      </x:c>
      <x:c r="S364" s="86"/>
      <x:c r="T364" s="86"/>
      <x:c r="U364" s="86"/>
      <x:c r="V364" s="86"/>
      <x:c r="W364" s="86"/>
      <x:c r="X364" s="86"/>
      <x:c r="Y364" s="86"/>
      <x:c r="Z364" s="86"/>
    </x:row>
    <x:row r="365">
      <x:c r="A365" s="106" t="str">
        <x:v>d83c641c-6a20-49df-8d14-696941aa7e71</x:v>
      </x:c>
      <x:c r="B365" s="106" t="str">
        <x:v>600941</x:v>
      </x:c>
      <x:c r="C365" s="106" t="str">
        <x:v>current_price</x:v>
      </x:c>
      <x:c r="D365" s="106" t="str">
        <x:v>2026-09-03 07:48</x:v>
      </x:c>
      <x:c r="E365" s="106" t="n">
        <x:v>100.8</x:v>
      </x:c>
      <x:c r="F365" s="106" t="str">
        <x:v>CNY/share</x:v>
      </x:c>
      <x:c r="G365" s="106" t="str">
        <x:v>AkShare / Sina public historical quotes</x:v>
      </x:c>
      <x:c r="H365" s="106" t="str">
        <x:v>https://akshare.akfamily.xyz/data/stock/stock.html</x:v>
      </x:c>
      <x:c r="I365" s="106"/>
      <x:c r="J365" s="106"/>
      <x:c r="K365" s="121" t="str">
        <x:v>2026-09-03 07:48:39.931110+00:00</x:v>
      </x:c>
      <x:c r="L365" s="121"/>
      <x:c r="M365" s="106" t="str">
        <x:v>akshare-price-v3-sina-history</x:v>
      </x:c>
      <x:c r="N365" s="106" t="str">
        <x:v>e1a11106f8d03cab7fb899e1b289c0d2391898f77381cf555489ad3ea5c25992</x:v>
      </x:c>
      <x:c r="O365" s="113"/>
      <x:c r="P365" s="106" t="str">
        <x:v>pending</x:v>
      </x:c>
      <x:c r="Q365" s="106" t="str">
        <x:v>否</x:v>
      </x:c>
      <x:c r="R365" s="106" t="str">
        <x:v>由本地 Agent 同步</x:v>
      </x:c>
      <x:c r="S365" s="86"/>
      <x:c r="T365" s="86"/>
      <x:c r="U365" s="86"/>
      <x:c r="V365" s="86"/>
      <x:c r="W365" s="86"/>
      <x:c r="X365" s="86"/>
      <x:c r="Y365" s="86"/>
      <x:c r="Z365" s="86"/>
    </x:row>
    <x:row r="366">
      <x:c r="A366" s="106" t="str">
        <x:v>74b55072-9480-41e2-a426-342ed36daa03</x:v>
      </x:c>
      <x:c r="B366" s="106" t="str">
        <x:v>600887</x:v>
      </x:c>
      <x:c r="C366" s="106" t="str">
        <x:v>gross_margin</x:v>
      </x:c>
      <x:c r="D366" s="106" t="str">
        <x:v>2026-06-30</x:v>
      </x:c>
      <x:c r="E366" s="106" t="n">
        <x:v>14.506956411313606</x:v>
      </x:c>
      <x:c r="F366" s="106" t="str">
        <x:v>percent</x:v>
      </x:c>
      <x:c r="G366" s="106" t="str">
        <x:v>AkShare / Sina financial abstract</x:v>
      </x:c>
      <x:c r="H366" s="106" t="str">
        <x:v>https://vip.stock.finance.sina.com.cn/corp/go.php/vFD_FinancialGuideLine/stockid/600887/ctrl/2026/displaytype/4.phtml</x:v>
      </x:c>
      <x:c r="I366" s="106"/>
      <x:c r="J366" s="106"/>
      <x:c r="K366" s="121" t="str">
        <x:v>2026-09-03 07:48:50.287387+00:00</x:v>
      </x:c>
      <x:c r="L366" s="121"/>
      <x:c r="M366" s="106" t="str">
        <x:v>akshare-financial-v2-sina-abstract</x:v>
      </x:c>
      <x:c r="N366" s="106" t="str">
        <x:v>550315950a62357e7850d7f1cdc941c5c89496e57d5db324c1adbcc119cdd4f1</x:v>
      </x:c>
      <x:c r="O366" s="113"/>
      <x:c r="P366" s="106" t="str">
        <x:v>pending</x:v>
      </x:c>
      <x:c r="Q366" s="106" t="str">
        <x:v>否</x:v>
      </x:c>
      <x:c r="R366" s="106" t="str">
        <x:v>由本地 Agent 同步</x:v>
      </x:c>
      <x:c r="S366" s="86"/>
      <x:c r="T366" s="86"/>
      <x:c r="U366" s="86"/>
      <x:c r="V366" s="86"/>
      <x:c r="W366" s="86"/>
      <x:c r="X366" s="86"/>
      <x:c r="Y366" s="86"/>
      <x:c r="Z366" s="86"/>
    </x:row>
    <x:row r="367">
      <x:c r="A367" s="106" t="str">
        <x:v>52a0bf8e-e0e4-4c36-a455-115d26c5d98a</x:v>
      </x:c>
      <x:c r="B367" s="106" t="str">
        <x:v>601088</x:v>
      </x:c>
      <x:c r="C367" s="106" t="str">
        <x:v>current_price</x:v>
      </x:c>
      <x:c r="D367" s="106" t="str">
        <x:v>2026-09-03 07:48</x:v>
      </x:c>
      <x:c r="E367" s="106" t="n">
        <x:v>48.05</x:v>
      </x:c>
      <x:c r="F367" s="106" t="str">
        <x:v>CNY/share</x:v>
      </x:c>
      <x:c r="G367" s="106" t="str">
        <x:v>AkShare / Sina public historical quotes</x:v>
      </x:c>
      <x:c r="H367" s="106" t="str">
        <x:v>https://akshare.akfamily.xyz/data/stock/stock.html</x:v>
      </x:c>
      <x:c r="I367" s="106"/>
      <x:c r="J367" s="106"/>
      <x:c r="K367" s="121" t="str">
        <x:v>2026-09-03 07:48:39.931110+00:00</x:v>
      </x:c>
      <x:c r="L367" s="121"/>
      <x:c r="M367" s="106" t="str">
        <x:v>akshare-price-v3-sina-history</x:v>
      </x:c>
      <x:c r="N367" s="106" t="str">
        <x:v>a772377b895fc50d4113184663c7b0380ee48fc73f93828b08cbc7d332bde98e</x:v>
      </x:c>
      <x:c r="O367" s="113"/>
      <x:c r="P367" s="106" t="str">
        <x:v>pending</x:v>
      </x:c>
      <x:c r="Q367" s="106" t="str">
        <x:v>否</x:v>
      </x:c>
      <x:c r="R367" s="106" t="str">
        <x:v>由本地 Agent 同步</x:v>
      </x:c>
      <x:c r="S367" s="86"/>
      <x:c r="T367" s="86"/>
      <x:c r="U367" s="86"/>
      <x:c r="V367" s="86"/>
      <x:c r="W367" s="86"/>
      <x:c r="X367" s="86"/>
      <x:c r="Y367" s="86"/>
      <x:c r="Z367" s="86"/>
    </x:row>
    <x:row r="368">
      <x:c r="A368" s="106" t="str">
        <x:v>fb92f68c-1313-4134-9c45-12de60a2421d</x:v>
      </x:c>
      <x:c r="B368" s="106" t="str">
        <x:v>601288</x:v>
      </x:c>
      <x:c r="C368" s="106" t="str">
        <x:v>gross_margin</x:v>
      </x:c>
      <x:c r="D368" s="106" t="str">
        <x:v>2026-06-30</x:v>
      </x:c>
      <x:c r="E368" s="106" t="n">
        <x:v>44.44996118002974</x:v>
      </x:c>
      <x:c r="F368" s="106" t="str">
        <x:v>percent</x:v>
      </x:c>
      <x:c r="G368" s="106" t="str">
        <x:v>AkShare / Sina financial abstract</x:v>
      </x:c>
      <x:c r="H368" s="106" t="str">
        <x:v>https://vip.stock.finance.sina.com.cn/corp/go.php/vFD_FinancialGuideLine/stockid/601288/ctrl/2026/displaytype/4.phtml</x:v>
      </x:c>
      <x:c r="I368" s="106"/>
      <x:c r="J368" s="106"/>
      <x:c r="K368" s="121" t="str">
        <x:v>2026-09-03 07:48:50.287387+00:00</x:v>
      </x:c>
      <x:c r="L368" s="121"/>
      <x:c r="M368" s="106" t="str">
        <x:v>akshare-financial-v2-sina-abstract</x:v>
      </x:c>
      <x:c r="N368" s="106" t="str">
        <x:v>c425f186b7d369cc0f9e8cebddf884924f54abd8c9f612ab737f0bf0bdddf510</x:v>
      </x:c>
      <x:c r="O368" s="113"/>
      <x:c r="P368" s="106" t="str">
        <x:v>pending</x:v>
      </x:c>
      <x:c r="Q368" s="106" t="str">
        <x:v>否</x:v>
      </x:c>
      <x:c r="R368" s="106" t="str">
        <x:v>由本地 Agent 同步</x:v>
      </x:c>
      <x:c r="S368" s="86"/>
      <x:c r="T368" s="86"/>
      <x:c r="U368" s="86"/>
      <x:c r="V368" s="86"/>
      <x:c r="W368" s="86"/>
      <x:c r="X368" s="86"/>
      <x:c r="Y368" s="86"/>
      <x:c r="Z368" s="86"/>
    </x:row>
    <x:row r="369">
      <x:c r="A369" s="106" t="str">
        <x:v>546d1a12-e574-49d7-9a44-83d69df1567f</x:v>
      </x:c>
      <x:c r="B369" s="106" t="str">
        <x:v>300750</x:v>
      </x:c>
      <x:c r="C369" s="106" t="str">
        <x:v>gross_margin</x:v>
      </x:c>
      <x:c r="D369" s="106" t="str">
        <x:v>2026-06-30</x:v>
      </x:c>
      <x:c r="E369" s="106" t="n">
        <x:v>16.6143258738787</x:v>
      </x:c>
      <x:c r="F369" s="106" t="str">
        <x:v>percent</x:v>
      </x:c>
      <x:c r="G369" s="106" t="str">
        <x:v>AkShare / Sina financial abstract</x:v>
      </x:c>
      <x:c r="H369" s="106" t="str">
        <x:v>https://vip.stock.finance.sina.com.cn/corp/go.php/vFD_FinancialGuideLine/stockid/300750/ctrl/2026/displaytype/4.phtml</x:v>
      </x:c>
      <x:c r="I369" s="106"/>
      <x:c r="J369" s="106"/>
      <x:c r="K369" s="121" t="str">
        <x:v>2026-09-03 07:48:50.287387+00:00</x:v>
      </x:c>
      <x:c r="L369" s="121"/>
      <x:c r="M369" s="106" t="str">
        <x:v>akshare-financial-v2-sina-abstract</x:v>
      </x:c>
      <x:c r="N369" s="106" t="str">
        <x:v>25ef6fa173646c452bd9aebd816afd21bede5df50e03d5ffc99dbea1666e8753</x:v>
      </x:c>
      <x:c r="O369" s="113"/>
      <x:c r="P369" s="106" t="str">
        <x:v>pending</x:v>
      </x:c>
      <x:c r="Q369" s="106" t="str">
        <x:v>否</x:v>
      </x:c>
      <x:c r="R369" s="106" t="str">
        <x:v>由本地 Agent 同步</x:v>
      </x:c>
      <x:c r="S369" s="86"/>
      <x:c r="T369" s="86"/>
      <x:c r="U369" s="86"/>
      <x:c r="V369" s="86"/>
      <x:c r="W369" s="86"/>
      <x:c r="X369" s="86"/>
      <x:c r="Y369" s="86"/>
      <x:c r="Z369" s="86"/>
    </x:row>
    <x:row r="370">
      <x:c r="A370" s="106" t="str">
        <x:v>e86ce3dc-cca0-4318-bb2d-0c3c54884f9d</x:v>
      </x:c>
      <x:c r="B370" s="106" t="str">
        <x:v>600900</x:v>
      </x:c>
      <x:c r="C370" s="106" t="str">
        <x:v>current_price</x:v>
      </x:c>
      <x:c r="D370" s="106" t="str">
        <x:v>2026-09-03 07:48</x:v>
      </x:c>
      <x:c r="E370" s="106" t="n">
        <x:v>28.72</x:v>
      </x:c>
      <x:c r="F370" s="106" t="str">
        <x:v>CNY/share</x:v>
      </x:c>
      <x:c r="G370" s="106" t="str">
        <x:v>AkShare / Sina public historical quotes</x:v>
      </x:c>
      <x:c r="H370" s="106" t="str">
        <x:v>https://akshare.akfamily.xyz/data/stock/stock.html</x:v>
      </x:c>
      <x:c r="I370" s="106"/>
      <x:c r="J370" s="106"/>
      <x:c r="K370" s="121" t="str">
        <x:v>2026-09-03 07:48:39.931110+00:00</x:v>
      </x:c>
      <x:c r="L370" s="121"/>
      <x:c r="M370" s="106" t="str">
        <x:v>akshare-price-v3-sina-history</x:v>
      </x:c>
      <x:c r="N370" s="106" t="str">
        <x:v>4ca07f5077d82c955a73c3fd743d69d3e16ff65ed406da29ac01bacbb018e8bf</x:v>
      </x:c>
      <x:c r="O370" s="113"/>
      <x:c r="P370" s="106" t="str">
        <x:v>pending</x:v>
      </x:c>
      <x:c r="Q370" s="106" t="str">
        <x:v>否</x:v>
      </x:c>
      <x:c r="R370" s="106" t="str">
        <x:v>由本地 Agent 同步</x:v>
      </x:c>
      <x:c r="S370" s="86"/>
      <x:c r="T370" s="86"/>
      <x:c r="U370" s="86"/>
      <x:c r="V370" s="86"/>
      <x:c r="W370" s="86"/>
      <x:c r="X370" s="86"/>
      <x:c r="Y370" s="86"/>
      <x:c r="Z370" s="86"/>
    </x:row>
    <x:row r="371">
      <x:c r="A371" s="106" t="str">
        <x:v>be5ed273-6289-4154-89c3-fa0365bb9127</x:v>
      </x:c>
      <x:c r="B371" s="106" t="str">
        <x:v>601088</x:v>
      </x:c>
      <x:c r="C371" s="106" t="str">
        <x:v>gross_margin</x:v>
      </x:c>
      <x:c r="D371" s="106" t="str">
        <x:v>2026-06-30</x:v>
      </x:c>
      <x:c r="E371" s="106" t="n">
        <x:v>23.226716242909507</x:v>
      </x:c>
      <x:c r="F371" s="106" t="str">
        <x:v>percent</x:v>
      </x:c>
      <x:c r="G371" s="106" t="str">
        <x:v>AkShare / Sina financial abstract</x:v>
      </x:c>
      <x:c r="H371" s="106" t="str">
        <x:v>https://vip.stock.finance.sina.com.cn/corp/go.php/vFD_FinancialGuideLine/stockid/601088/ctrl/2026/displaytype/4.phtml</x:v>
      </x:c>
      <x:c r="I371" s="106"/>
      <x:c r="J371" s="106"/>
      <x:c r="K371" s="121" t="str">
        <x:v>2026-09-03 07:48:50.287387+00:00</x:v>
      </x:c>
      <x:c r="L371" s="121"/>
      <x:c r="M371" s="106" t="str">
        <x:v>akshare-financial-v2-sina-abstract</x:v>
      </x:c>
      <x:c r="N371" s="106" t="str">
        <x:v>b57998c0f58a0b9f9a7ff6b3bff9719b77318940ffba74954f11bc7a01ab3803</x:v>
      </x:c>
      <x:c r="O371" s="113"/>
      <x:c r="P371" s="106" t="str">
        <x:v>pending</x:v>
      </x:c>
      <x:c r="Q371" s="106" t="str">
        <x:v>否</x:v>
      </x:c>
      <x:c r="R371" s="106" t="str">
        <x:v>由本地 Agent 同步</x:v>
      </x:c>
      <x:c r="S371" s="86"/>
      <x:c r="T371" s="86"/>
      <x:c r="U371" s="86"/>
      <x:c r="V371" s="86"/>
      <x:c r="W371" s="86"/>
      <x:c r="X371" s="86"/>
      <x:c r="Y371" s="86"/>
      <x:c r="Z371" s="86"/>
    </x:row>
    <x:row r="372">
      <x:c r="A372" s="106" t="str">
        <x:v>5b981331-e533-46b3-93a6-a8fadccda9da</x:v>
      </x:c>
      <x:c r="B372" s="106" t="str">
        <x:v>000333</x:v>
      </x:c>
      <x:c r="C372" s="106" t="str">
        <x:v>gross_margin</x:v>
      </x:c>
      <x:c r="D372" s="106" t="str">
        <x:v>2026-06-30</x:v>
      </x:c>
      <x:c r="E372" s="106" t="n">
        <x:v>9.424157364219997</x:v>
      </x:c>
      <x:c r="F372" s="106" t="str">
        <x:v>percent</x:v>
      </x:c>
      <x:c r="G372" s="106" t="str">
        <x:v>AkShare / Sina financial abstract</x:v>
      </x:c>
      <x:c r="H372" s="106" t="str">
        <x:v>https://vip.stock.finance.sina.com.cn/corp/go.php/vFD_FinancialGuideLine/stockid/000333/ctrl/2026/displaytype/4.phtml</x:v>
      </x:c>
      <x:c r="I372" s="106"/>
      <x:c r="J372" s="106"/>
      <x:c r="K372" s="121" t="str">
        <x:v>2026-09-03 07:48:50.287387+00:00</x:v>
      </x:c>
      <x:c r="L372" s="121"/>
      <x:c r="M372" s="106" t="str">
        <x:v>akshare-financial-v2-sina-abstract</x:v>
      </x:c>
      <x:c r="N372" s="106" t="str">
        <x:v>268a1e31cfe0a76f93a0e4c66955909ae654b6440bb944170935a3c586381645</x:v>
      </x:c>
      <x:c r="O372" s="113"/>
      <x:c r="P372" s="106" t="str">
        <x:v>pending</x:v>
      </x:c>
      <x:c r="Q372" s="106" t="str">
        <x:v>否</x:v>
      </x:c>
      <x:c r="R372" s="106" t="str">
        <x:v>由本地 Agent 同步</x:v>
      </x:c>
      <x:c r="S372" s="86"/>
      <x:c r="T372" s="86"/>
      <x:c r="U372" s="86"/>
      <x:c r="V372" s="86"/>
      <x:c r="W372" s="86"/>
      <x:c r="X372" s="86"/>
      <x:c r="Y372" s="86"/>
      <x:c r="Z372" s="86"/>
    </x:row>
    <x:row r="373">
      <x:c r="A373" s="106" t="str">
        <x:v>9ab276ab-c62c-4061-b6c3-1850ec746897</x:v>
      </x:c>
      <x:c r="B373" s="106" t="str">
        <x:v>300750</x:v>
      </x:c>
      <x:c r="C373" s="106" t="str">
        <x:v>current_price</x:v>
      </x:c>
      <x:c r="D373" s="106" t="str">
        <x:v>2026-09-03 07:48</x:v>
      </x:c>
      <x:c r="E373" s="106" t="n">
        <x:v>348.29</x:v>
      </x:c>
      <x:c r="F373" s="106" t="str">
        <x:v>CNY/share</x:v>
      </x:c>
      <x:c r="G373" s="106" t="str">
        <x:v>AkShare / Sina public historical quotes</x:v>
      </x:c>
      <x:c r="H373" s="106" t="str">
        <x:v>https://akshare.akfamily.xyz/data/stock/stock.html</x:v>
      </x:c>
      <x:c r="I373" s="106"/>
      <x:c r="J373" s="106"/>
      <x:c r="K373" s="121" t="str">
        <x:v>2026-09-03 07:48:39.931110+00:00</x:v>
      </x:c>
      <x:c r="L373" s="121"/>
      <x:c r="M373" s="106" t="str">
        <x:v>akshare-price-v3-sina-history</x:v>
      </x:c>
      <x:c r="N373" s="106" t="str">
        <x:v>139bf06f850259af9d1913181f439e4138c037625d5643e262d070a8b0455180</x:v>
      </x:c>
      <x:c r="O373" s="113"/>
      <x:c r="P373" s="106" t="str">
        <x:v>pending</x:v>
      </x:c>
      <x:c r="Q373" s="106" t="str">
        <x:v>否</x:v>
      </x:c>
      <x:c r="R373" s="106" t="str">
        <x:v>由本地 Agent 同步</x:v>
      </x:c>
      <x:c r="S373" s="86"/>
      <x:c r="T373" s="86"/>
      <x:c r="U373" s="86"/>
      <x:c r="V373" s="86"/>
      <x:c r="W373" s="86"/>
      <x:c r="X373" s="86"/>
      <x:c r="Y373" s="86"/>
      <x:c r="Z373" s="86"/>
    </x:row>
    <x:row r="374">
      <x:c r="A374" s="106" t="str">
        <x:v>5f97483a-d00d-43e7-8305-f0b66c98efb3</x:v>
      </x:c>
      <x:c r="B374" s="106" t="str">
        <x:v>601288</x:v>
      </x:c>
      <x:c r="C374" s="106" t="str">
        <x:v>current_price</x:v>
      </x:c>
      <x:c r="D374" s="106" t="str">
        <x:v>2026-09-03 07:48</x:v>
      </x:c>
      <x:c r="E374" s="106" t="n">
        <x:v>7.06</x:v>
      </x:c>
      <x:c r="F374" s="106" t="str">
        <x:v>CNY/share</x:v>
      </x:c>
      <x:c r="G374" s="106" t="str">
        <x:v>AkShare / Sina public historical quotes</x:v>
      </x:c>
      <x:c r="H374" s="106" t="str">
        <x:v>https://akshare.akfamily.xyz/data/stock/stock.html</x:v>
      </x:c>
      <x:c r="I374" s="106"/>
      <x:c r="J374" s="106"/>
      <x:c r="K374" s="121" t="str">
        <x:v>2026-09-03 07:48:39.931110+00:00</x:v>
      </x:c>
      <x:c r="L374" s="121"/>
      <x:c r="M374" s="106" t="str">
        <x:v>akshare-price-v3-sina-history</x:v>
      </x:c>
      <x:c r="N374" s="106" t="str">
        <x:v>3257f67b486d2b777065a99669ad0d77d36210ddbcdef2b1f04030b5e301ca6d</x:v>
      </x:c>
      <x:c r="O374" s="113"/>
      <x:c r="P374" s="106" t="str">
        <x:v>pending</x:v>
      </x:c>
      <x:c r="Q374" s="106" t="str">
        <x:v>否</x:v>
      </x:c>
      <x:c r="R374" s="106" t="str">
        <x:v>由本地 Agent 同步</x:v>
      </x:c>
      <x:c r="S374" s="86"/>
      <x:c r="T374" s="86"/>
      <x:c r="U374" s="86"/>
      <x:c r="V374" s="86"/>
      <x:c r="W374" s="86"/>
      <x:c r="X374" s="86"/>
      <x:c r="Y374" s="86"/>
      <x:c r="Z374" s="86"/>
    </x:row>
    <x:row r="375">
      <x:c r="A375" s="106" t="str">
        <x:v>bddbdcf4-900c-4107-ac66-d2c070f36826</x:v>
      </x:c>
      <x:c r="B375" s="106" t="str">
        <x:v>600900</x:v>
      </x:c>
      <x:c r="C375" s="106" t="str">
        <x:v>gross_margin</x:v>
      </x:c>
      <x:c r="D375" s="106" t="str">
        <x:v>2026-06-30</x:v>
      </x:c>
      <x:c r="E375" s="106" t="n">
        <x:v>40.20710711413609</x:v>
      </x:c>
      <x:c r="F375" s="106" t="str">
        <x:v>percent</x:v>
      </x:c>
      <x:c r="G375" s="106" t="str">
        <x:v>AkShare / Sina financial abstract</x:v>
      </x:c>
      <x:c r="H375" s="106" t="str">
        <x:v>https://vip.stock.finance.sina.com.cn/corp/go.php/vFD_FinancialGuideLine/stockid/600900/ctrl/2026/displaytype/4.phtml</x:v>
      </x:c>
      <x:c r="I375" s="106"/>
      <x:c r="J375" s="106"/>
      <x:c r="K375" s="121" t="str">
        <x:v>2026-09-03 07:48:50.287387+00:00</x:v>
      </x:c>
      <x:c r="L375" s="121"/>
      <x:c r="M375" s="106" t="str">
        <x:v>akshare-financial-v2-sina-abstract</x:v>
      </x:c>
      <x:c r="N375" s="106" t="str">
        <x:v>35f57905302a81dc2191c12d76f541062016bdb04e5440b4f562090bc7ed7b36</x:v>
      </x:c>
      <x:c r="O375" s="113"/>
      <x:c r="P375" s="106" t="str">
        <x:v>pending</x:v>
      </x:c>
      <x:c r="Q375" s="106" t="str">
        <x:v>否</x:v>
      </x:c>
      <x:c r="R375" s="106" t="str">
        <x:v>由本地 Agent 同步</x:v>
      </x:c>
      <x:c r="S375" s="86"/>
      <x:c r="T375" s="86"/>
      <x:c r="U375" s="86"/>
      <x:c r="V375" s="86"/>
      <x:c r="W375" s="86"/>
      <x:c r="X375" s="86"/>
      <x:c r="Y375" s="86"/>
      <x:c r="Z375" s="86"/>
    </x:row>
    <x:row r="376">
      <x:c r="A376" s="106" t="str">
        <x:v>a87f9c33-578c-488a-a7e4-97ba613f7016</x:v>
      </x:c>
      <x:c r="B376" s="106" t="str">
        <x:v>600941</x:v>
      </x:c>
      <x:c r="C376" s="106" t="str">
        <x:v>gross_margin</x:v>
      </x:c>
      <x:c r="D376" s="106" t="str">
        <x:v>2026-06-30</x:v>
      </x:c>
      <x:c r="E376" s="106" t="n">
        <x:v>14.635107381490052</x:v>
      </x:c>
      <x:c r="F376" s="106" t="str">
        <x:v>percent</x:v>
      </x:c>
      <x:c r="G376" s="106" t="str">
        <x:v>AkShare / Sina financial abstract</x:v>
      </x:c>
      <x:c r="H376" s="106" t="str">
        <x:v>https://vip.stock.finance.sina.com.cn/corp/go.php/vFD_FinancialGuideLine/stockid/600941/ctrl/2026/displaytype/4.phtml</x:v>
      </x:c>
      <x:c r="I376" s="106"/>
      <x:c r="J376" s="106"/>
      <x:c r="K376" s="121" t="str">
        <x:v>2026-09-03 07:48:50.287387+00:00</x:v>
      </x:c>
      <x:c r="L376" s="121"/>
      <x:c r="M376" s="106" t="str">
        <x:v>akshare-financial-v2-sina-abstract</x:v>
      </x:c>
      <x:c r="N376" s="106" t="str">
        <x:v>9c669927446797cd9226d19b0fe985540f5947f5068477875a2eabf0e926d0c0</x:v>
      </x:c>
      <x:c r="O376" s="113"/>
      <x:c r="P376" s="106" t="str">
        <x:v>pending</x:v>
      </x:c>
      <x:c r="Q376" s="106" t="str">
        <x:v>否</x:v>
      </x:c>
      <x:c r="R376" s="106" t="str">
        <x:v>由本地 Agent 同步</x:v>
      </x:c>
      <x:c r="S376" s="86"/>
      <x:c r="T376" s="86"/>
      <x:c r="U376" s="86"/>
      <x:c r="V376" s="86"/>
      <x:c r="W376" s="86"/>
      <x:c r="X376" s="86"/>
      <x:c r="Y376" s="86"/>
      <x:c r="Z376" s="86"/>
    </x:row>
    <x:row r="377">
      <x:c r="A377" s="106" t="str">
        <x:v>3782df0d-e4f0-4f0b-be4d-75f51d94626b</x:v>
      </x:c>
      <x:c r="B377" s="106" t="str">
        <x:v>600690</x:v>
      </x:c>
      <x:c r="C377" s="106" t="str">
        <x:v>current_price</x:v>
      </x:c>
      <x:c r="D377" s="106" t="str">
        <x:v>2026-09-03 07:48</x:v>
      </x:c>
      <x:c r="E377" s="106" t="n">
        <x:v>21.33</x:v>
      </x:c>
      <x:c r="F377" s="106" t="str">
        <x:v>CNY/share</x:v>
      </x:c>
      <x:c r="G377" s="106" t="str">
        <x:v>AkShare / Sina public historical quotes</x:v>
      </x:c>
      <x:c r="H377" s="106" t="str">
        <x:v>https://akshare.akfamily.xyz/data/stock/stock.html</x:v>
      </x:c>
      <x:c r="I377" s="106"/>
      <x:c r="J377" s="106"/>
      <x:c r="K377" s="121" t="str">
        <x:v>2026-09-03 07:48:39.931110+00:00</x:v>
      </x:c>
      <x:c r="L377" s="121"/>
      <x:c r="M377" s="106" t="str">
        <x:v>akshare-price-v3-sina-history</x:v>
      </x:c>
      <x:c r="N377" s="106" t="str">
        <x:v>2cce8cf93ad42e13ffd47955ac5349632c05f00e27defab32b56c0132e4737cb</x:v>
      </x:c>
      <x:c r="O377" s="113"/>
      <x:c r="P377" s="106" t="str">
        <x:v>pending</x:v>
      </x:c>
      <x:c r="Q377" s="106" t="str">
        <x:v>否</x:v>
      </x:c>
      <x:c r="R377" s="106" t="str">
        <x:v>由本地 Agent 同步</x:v>
      </x:c>
      <x:c r="S377" s="86"/>
      <x:c r="T377" s="86"/>
      <x:c r="U377" s="86"/>
      <x:c r="V377" s="86"/>
      <x:c r="W377" s="86"/>
      <x:c r="X377" s="86"/>
      <x:c r="Y377" s="86"/>
      <x:c r="Z377" s="86"/>
    </x:row>
    <x:row r="378">
      <x:c r="A378" s="106" t="str">
        <x:v>e1dd7abe-708d-453f-9c3d-1ae2a714c9b9</x:v>
      </x:c>
      <x:c r="B378" s="106" t="str">
        <x:v>600036</x:v>
      </x:c>
      <x:c r="C378" s="106" t="str">
        <x:v>current_price</x:v>
      </x:c>
      <x:c r="D378" s="106" t="str">
        <x:v>2026-09-03 07:48</x:v>
      </x:c>
      <x:c r="E378" s="106" t="n">
        <x:v>40.87</x:v>
      </x:c>
      <x:c r="F378" s="106" t="str">
        <x:v>CNY/share</x:v>
      </x:c>
      <x:c r="G378" s="106" t="str">
        <x:v>AkShare / Sina public historical quotes</x:v>
      </x:c>
      <x:c r="H378" s="106" t="str">
        <x:v>https://akshare.akfamily.xyz/data/stock/stock.html</x:v>
      </x:c>
      <x:c r="I378" s="106"/>
      <x:c r="J378" s="106"/>
      <x:c r="K378" s="121" t="str">
        <x:v>2026-09-03 07:48:39.931110+00:00</x:v>
      </x:c>
      <x:c r="L378" s="121"/>
      <x:c r="M378" s="106" t="str">
        <x:v>akshare-price-v3-sina-history</x:v>
      </x:c>
      <x:c r="N378" s="106" t="str">
        <x:v>c77a6fab956aff2c49774192811bd3a3a599e079ecf03398228f08615dd5df97</x:v>
      </x:c>
      <x:c r="O378" s="113"/>
      <x:c r="P378" s="106" t="str">
        <x:v>pending</x:v>
      </x:c>
      <x:c r="Q378" s="106" t="str">
        <x:v>否</x:v>
      </x:c>
      <x:c r="R378" s="106" t="str">
        <x:v>由本地 Agent 同步</x:v>
      </x:c>
      <x:c r="S378" s="86"/>
      <x:c r="T378" s="86"/>
      <x:c r="U378" s="86"/>
      <x:c r="V378" s="86"/>
      <x:c r="W378" s="86"/>
      <x:c r="X378" s="86"/>
      <x:c r="Y378" s="86"/>
      <x:c r="Z378" s="86"/>
    </x:row>
    <x:row r="379">
      <x:c r="A379" s="106" t="str">
        <x:v>f469cee7-b6d8-4406-a434-2f1b51f6b220</x:v>
      </x:c>
      <x:c r="B379" s="106" t="str">
        <x:v>600519</x:v>
      </x:c>
      <x:c r="C379" s="106" t="str">
        <x:v>current_price</x:v>
      </x:c>
      <x:c r="D379" s="106" t="str">
        <x:v>2026-09-03 07:48</x:v>
      </x:c>
      <x:c r="E379" s="106" t="n">
        <x:v>1297.5</x:v>
      </x:c>
      <x:c r="F379" s="106" t="str">
        <x:v>CNY/share</x:v>
      </x:c>
      <x:c r="G379" s="106" t="str">
        <x:v>AkShare / Sina public historical quotes</x:v>
      </x:c>
      <x:c r="H379" s="106" t="str">
        <x:v>https://akshare.akfamily.xyz/data/stock/stock.html</x:v>
      </x:c>
      <x:c r="I379" s="106"/>
      <x:c r="J379" s="106"/>
      <x:c r="K379" s="121" t="str">
        <x:v>2026-09-03 07:48:39.931110+00:00</x:v>
      </x:c>
      <x:c r="L379" s="121"/>
      <x:c r="M379" s="106" t="str">
        <x:v>akshare-price-v3-sina-history</x:v>
      </x:c>
      <x:c r="N379" s="106" t="str">
        <x:v>b5cf181e431426d449865e6f7178525dce1cc1bd1a8018fbc89ee4cb259aea88</x:v>
      </x:c>
      <x:c r="O379" s="113"/>
      <x:c r="P379" s="106" t="str">
        <x:v>pending</x:v>
      </x:c>
      <x:c r="Q379" s="106" t="str">
        <x:v>否</x:v>
      </x:c>
      <x:c r="R379" s="106" t="str">
        <x:v>由本地 Agent 同步</x:v>
      </x:c>
      <x:c r="S379" s="86"/>
      <x:c r="T379" s="86"/>
      <x:c r="U379" s="86"/>
      <x:c r="V379" s="86"/>
      <x:c r="W379" s="86"/>
      <x:c r="X379" s="86"/>
      <x:c r="Y379" s="86"/>
      <x:c r="Z379" s="86"/>
    </x:row>
    <x:row r="380">
      <x:c r="A380" s="106" t="str">
        <x:v>44bfd883-2596-414d-ac8e-b7d9c4529f93</x:v>
      </x:c>
      <x:c r="B380" s="106" t="str">
        <x:v>600519</x:v>
      </x:c>
      <x:c r="C380" s="106" t="str">
        <x:v>gross_margin</x:v>
      </x:c>
      <x:c r="D380" s="106" t="str">
        <x:v>2026-06-30</x:v>
      </x:c>
      <x:c r="E380" s="106" t="n">
        <x:v>66.4643569382605</x:v>
      </x:c>
      <x:c r="F380" s="106" t="str">
        <x:v>percent</x:v>
      </x:c>
      <x:c r="G380" s="106" t="str">
        <x:v>AkShare / Sina financial abstract</x:v>
      </x:c>
      <x:c r="H380" s="106" t="str">
        <x:v>https://vip.stock.finance.sina.com.cn/corp/go.php/vFD_FinancialGuideLine/stockid/600519/ctrl/2026/displaytype/4.phtml</x:v>
      </x:c>
      <x:c r="I380" s="106"/>
      <x:c r="J380" s="106"/>
      <x:c r="K380" s="121" t="str">
        <x:v>2026-09-03 07:48:50.287387+00:00</x:v>
      </x:c>
      <x:c r="L380" s="121"/>
      <x:c r="M380" s="106" t="str">
        <x:v>akshare-financial-v2-sina-abstract</x:v>
      </x:c>
      <x:c r="N380" s="106" t="str">
        <x:v>9740e4e6732e30902055819645d73397151401f7687ae913f4d3ff2220114cf7</x:v>
      </x:c>
      <x:c r="O380" s="113"/>
      <x:c r="P380" s="106" t="str">
        <x:v>pending</x:v>
      </x:c>
      <x:c r="Q380" s="106" t="str">
        <x:v>否</x:v>
      </x:c>
      <x:c r="R380" s="106" t="str">
        <x:v>由本地 Agent 同步</x:v>
      </x:c>
      <x:c r="S380" s="86"/>
      <x:c r="T380" s="86"/>
      <x:c r="U380" s="86"/>
      <x:c r="V380" s="86"/>
      <x:c r="W380" s="86"/>
      <x:c r="X380" s="86"/>
      <x:c r="Y380" s="86"/>
      <x:c r="Z380" s="86"/>
    </x:row>
    <x:row r="381">
      <x:c r="A381" s="106" t="str">
        <x:v>8b9ed6a9-dba5-48d9-ade2-4394848b93be</x:v>
      </x:c>
      <x:c r="B381" s="106" t="str">
        <x:v>600036</x:v>
      </x:c>
      <x:c r="C381" s="106" t="str">
        <x:v>gross_margin</x:v>
      </x:c>
      <x:c r="D381" s="106" t="str">
        <x:v>2026-06-30</x:v>
      </x:c>
      <x:c r="E381" s="106" t="n">
        <x:v>50.94987681065882</x:v>
      </x:c>
      <x:c r="F381" s="106" t="str">
        <x:v>percent</x:v>
      </x:c>
      <x:c r="G381" s="106" t="str">
        <x:v>AkShare / Sina financial abstract</x:v>
      </x:c>
      <x:c r="H381" s="106" t="str">
        <x:v>https://vip.stock.finance.sina.com.cn/corp/go.php/vFD_FinancialGuideLine/stockid/600036/ctrl/2026/displaytype/4.phtml</x:v>
      </x:c>
      <x:c r="I381" s="106"/>
      <x:c r="J381" s="106"/>
      <x:c r="K381" s="121" t="str">
        <x:v>2026-09-03 07:48:50.287387+00:00</x:v>
      </x:c>
      <x:c r="L381" s="121"/>
      <x:c r="M381" s="106" t="str">
        <x:v>akshare-financial-v2-sina-abstract</x:v>
      </x:c>
      <x:c r="N381" s="106" t="str">
        <x:v>cfaaf3ba8ad1b0ea5f37a7ebe64e22877adb7cd88e3a2fe5e394a267fe2e4971</x:v>
      </x:c>
      <x:c r="O381" s="113"/>
      <x:c r="P381" s="106" t="str">
        <x:v>pending</x:v>
      </x:c>
      <x:c r="Q381" s="106" t="str">
        <x:v>否</x:v>
      </x:c>
      <x:c r="R381" s="106" t="str">
        <x:v>由本地 Agent 同步</x:v>
      </x:c>
      <x:c r="S381" s="86"/>
      <x:c r="T381" s="86"/>
      <x:c r="U381" s="86"/>
      <x:c r="V381" s="86"/>
      <x:c r="W381" s="86"/>
      <x:c r="X381" s="86"/>
      <x:c r="Y381" s="86"/>
      <x:c r="Z381" s="86"/>
    </x:row>
    <x:row r="382">
      <x:c r="A382" s="106" t="str">
        <x:v>3d8842f5-7b02-4dd3-ad1e-86bd70b61fd5</x:v>
      </x:c>
      <x:c r="B382" s="106" t="str">
        <x:v>600690</x:v>
      </x:c>
      <x:c r="C382" s="106" t="str">
        <x:v>gross_margin</x:v>
      </x:c>
      <x:c r="D382" s="106" t="str">
        <x:v>2026-06-30</x:v>
      </x:c>
      <x:c r="E382" s="106" t="n">
        <x:v>7.955736770125496</x:v>
      </x:c>
      <x:c r="F382" s="106" t="str">
        <x:v>percent</x:v>
      </x:c>
      <x:c r="G382" s="106" t="str">
        <x:v>AkShare / Sina financial abstract</x:v>
      </x:c>
      <x:c r="H382" s="106" t="str">
        <x:v>https://vip.stock.finance.sina.com.cn/corp/go.php/vFD_FinancialGuideLine/stockid/600690/ctrl/2026/displaytype/4.phtml</x:v>
      </x:c>
      <x:c r="I382" s="106"/>
      <x:c r="J382" s="106"/>
      <x:c r="K382" s="121" t="str">
        <x:v>2026-09-03 07:48:50.287387+00:00</x:v>
      </x:c>
      <x:c r="L382" s="121"/>
      <x:c r="M382" s="106" t="str">
        <x:v>akshare-financial-v2-sina-abstract</x:v>
      </x:c>
      <x:c r="N382" s="106" t="str">
        <x:v>1189f5e3a10c702769dcb8f1a6e5ae758e6ee78c5a169adb63c01e05bfd16c08</x:v>
      </x:c>
      <x:c r="O382" s="113"/>
      <x:c r="P382" s="106" t="str">
        <x:v>pending</x:v>
      </x:c>
      <x:c r="Q382" s="106" t="str">
        <x:v>否</x:v>
      </x:c>
      <x:c r="R382" s="106" t="str">
        <x:v>由本地 Agent 同步</x:v>
      </x:c>
      <x:c r="S382" s="86"/>
      <x:c r="T382" s="86"/>
      <x:c r="U382" s="86"/>
      <x:c r="V382" s="86"/>
      <x:c r="W382" s="86"/>
      <x:c r="X382" s="86"/>
      <x:c r="Y382" s="86"/>
      <x:c r="Z382" s="86"/>
    </x:row>
    <x:row r="383">
      <x:c r="A383" s="106" t="str">
        <x:v>9db6a70b-2582-4ab0-8e3c-d85e1017bc46</x:v>
      </x:c>
      <x:c r="B383" s="106" t="str">
        <x:v>600887</x:v>
      </x:c>
      <x:c r="C383" s="106" t="str">
        <x:v>current_price</x:v>
      </x:c>
      <x:c r="D383" s="106" t="str">
        <x:v>2026-09-03 07:48</x:v>
      </x:c>
      <x:c r="E383" s="106" t="n">
        <x:v>26.57</x:v>
      </x:c>
      <x:c r="F383" s="106" t="str">
        <x:v>CNY/share</x:v>
      </x:c>
      <x:c r="G383" s="106" t="str">
        <x:v>AkShare / Sina public historical quotes</x:v>
      </x:c>
      <x:c r="H383" s="106" t="str">
        <x:v>https://akshare.akfamily.xyz/data/stock/stock.html</x:v>
      </x:c>
      <x:c r="I383" s="106"/>
      <x:c r="J383" s="106"/>
      <x:c r="K383" s="121" t="str">
        <x:v>2026-09-03 07:48:39.931110+00:00</x:v>
      </x:c>
      <x:c r="L383" s="121"/>
      <x:c r="M383" s="106" t="str">
        <x:v>akshare-price-v3-sina-history</x:v>
      </x:c>
      <x:c r="N383" s="106" t="str">
        <x:v>28dd4efc64c007fd99529ae7a526a9c608f1b065e5feed52429cf92adcd63e9d</x:v>
      </x:c>
      <x:c r="O383" s="113"/>
      <x:c r="P383" s="106" t="str">
        <x:v>pending</x:v>
      </x:c>
      <x:c r="Q383" s="106" t="str">
        <x:v>否</x:v>
      </x:c>
      <x:c r="R383" s="106" t="str">
        <x:v>由本地 Agent 同步</x:v>
      </x:c>
      <x:c r="S383" s="86"/>
      <x:c r="T383" s="86"/>
      <x:c r="U383" s="86"/>
      <x:c r="V383" s="86"/>
      <x:c r="W383" s="86"/>
      <x:c r="X383" s="86"/>
      <x:c r="Y383" s="86"/>
      <x:c r="Z383" s="86"/>
    </x:row>
    <x:row r="384">
      <x:c r="A384" s="106" t="str">
        <x:v>f469cee7-b6d8-4406-a434-2f1b51f6b220</x:v>
      </x:c>
      <x:c r="B384" s="106" t="str">
        <x:v>600519</x:v>
      </x:c>
      <x:c r="C384" s="106" t="str">
        <x:v>current_price</x:v>
      </x:c>
      <x:c r="D384" s="106" t="str">
        <x:v>2026-09-03 08:10</x:v>
      </x:c>
      <x:c r="E384" s="106" t="n">
        <x:v>1297.5</x:v>
      </x:c>
      <x:c r="F384" s="106" t="str">
        <x:v>CNY/share</x:v>
      </x:c>
      <x:c r="G384" s="106" t="str">
        <x:v>AkShare / Sina public historical quotes</x:v>
      </x:c>
      <x:c r="H384" s="106" t="str">
        <x:v>https://akshare.akfamily.xyz/data/stock/stock.html</x:v>
      </x:c>
      <x:c r="I384" s="106"/>
      <x:c r="J384" s="106"/>
      <x:c r="K384" s="121" t="str">
        <x:v>2026-09-03 08:10:17.895054+00:00</x:v>
      </x:c>
      <x:c r="L384" s="121"/>
      <x:c r="M384" s="106" t="str">
        <x:v>akshare-price-v3-sina-history</x:v>
      </x:c>
      <x:c r="N384" s="106" t="str">
        <x:v>b5cf181e431426d449865e6f7178525dce1cc1bd1a8018fbc89ee4cb259aea88</x:v>
      </x:c>
      <x:c r="O384" s="113"/>
      <x:c r="P384" s="106" t="str">
        <x:v>pending</x:v>
      </x:c>
      <x:c r="Q384" s="106" t="str">
        <x:v>否</x:v>
      </x:c>
      <x:c r="R384" s="106" t="str">
        <x:v>由本地 Agent 同步</x:v>
      </x:c>
      <x:c r="S384" s="86"/>
      <x:c r="T384" s="86"/>
      <x:c r="U384" s="86"/>
      <x:c r="V384" s="86"/>
      <x:c r="W384" s="86"/>
      <x:c r="X384" s="86"/>
      <x:c r="Y384" s="86"/>
      <x:c r="Z384" s="86"/>
    </x:row>
    <x:row r="385">
      <x:c r="A385" s="106" t="str">
        <x:v>9ab276ab-c62c-4061-b6c3-1850ec746897</x:v>
      </x:c>
      <x:c r="B385" s="106" t="str">
        <x:v>300750</x:v>
      </x:c>
      <x:c r="C385" s="106" t="str">
        <x:v>current_price</x:v>
      </x:c>
      <x:c r="D385" s="106" t="str">
        <x:v>2026-09-03 08:10</x:v>
      </x:c>
      <x:c r="E385" s="106" t="n">
        <x:v>348.29</x:v>
      </x:c>
      <x:c r="F385" s="106" t="str">
        <x:v>CNY/share</x:v>
      </x:c>
      <x:c r="G385" s="106" t="str">
        <x:v>AkShare / Sina public historical quotes</x:v>
      </x:c>
      <x:c r="H385" s="106" t="str">
        <x:v>https://akshare.akfamily.xyz/data/stock/stock.html</x:v>
      </x:c>
      <x:c r="I385" s="106"/>
      <x:c r="J385" s="106"/>
      <x:c r="K385" s="121" t="str">
        <x:v>2026-09-03 08:10:17.895054+00:00</x:v>
      </x:c>
      <x:c r="L385" s="121"/>
      <x:c r="M385" s="106" t="str">
        <x:v>akshare-price-v3-sina-history</x:v>
      </x:c>
      <x:c r="N385" s="106" t="str">
        <x:v>139bf06f850259af9d1913181f439e4138c037625d5643e262d070a8b0455180</x:v>
      </x:c>
      <x:c r="O385" s="113"/>
      <x:c r="P385" s="106" t="str">
        <x:v>pending</x:v>
      </x:c>
      <x:c r="Q385" s="106" t="str">
        <x:v>否</x:v>
      </x:c>
      <x:c r="R385" s="106" t="str">
        <x:v>由本地 Agent 同步</x:v>
      </x:c>
      <x:c r="S385" s="86"/>
      <x:c r="T385" s="86"/>
      <x:c r="U385" s="86"/>
      <x:c r="V385" s="86"/>
      <x:c r="W385" s="86"/>
      <x:c r="X385" s="86"/>
      <x:c r="Y385" s="86"/>
      <x:c r="Z385" s="86"/>
    </x:row>
    <x:row r="386">
      <x:c r="A386" s="106" t="str">
        <x:v>e86ce3dc-cca0-4318-bb2d-0c3c54884f9d</x:v>
      </x:c>
      <x:c r="B386" s="106" t="str">
        <x:v>600900</x:v>
      </x:c>
      <x:c r="C386" s="106" t="str">
        <x:v>current_price</x:v>
      </x:c>
      <x:c r="D386" s="106" t="str">
        <x:v>2026-09-03 08:10</x:v>
      </x:c>
      <x:c r="E386" s="106" t="n">
        <x:v>28.72</x:v>
      </x:c>
      <x:c r="F386" s="106" t="str">
        <x:v>CNY/share</x:v>
      </x:c>
      <x:c r="G386" s="106" t="str">
        <x:v>AkShare / Sina public historical quotes</x:v>
      </x:c>
      <x:c r="H386" s="106" t="str">
        <x:v>https://akshare.akfamily.xyz/data/stock/stock.html</x:v>
      </x:c>
      <x:c r="I386" s="106"/>
      <x:c r="J386" s="106"/>
      <x:c r="K386" s="121" t="str">
        <x:v>2026-09-03 08:10:17.895054+00:00</x:v>
      </x:c>
      <x:c r="L386" s="121"/>
      <x:c r="M386" s="106" t="str">
        <x:v>akshare-price-v3-sina-history</x:v>
      </x:c>
      <x:c r="N386" s="106" t="str">
        <x:v>4ca07f5077d82c955a73c3fd743d69d3e16ff65ed406da29ac01bacbb018e8bf</x:v>
      </x:c>
      <x:c r="O386" s="113"/>
      <x:c r="P386" s="106" t="str">
        <x:v>pending</x:v>
      </x:c>
      <x:c r="Q386" s="106" t="str">
        <x:v>否</x:v>
      </x:c>
      <x:c r="R386" s="106" t="str">
        <x:v>由本地 Agent 同步</x:v>
      </x:c>
      <x:c r="S386" s="86"/>
      <x:c r="T386" s="86"/>
      <x:c r="U386" s="86"/>
      <x:c r="V386" s="86"/>
      <x:c r="W386" s="86"/>
      <x:c r="X386" s="86"/>
      <x:c r="Y386" s="86"/>
      <x:c r="Z386" s="86"/>
    </x:row>
    <x:row r="387">
      <x:c r="A387" s="106" t="str">
        <x:v>5f97483a-d00d-43e7-8305-f0b66c98efb3</x:v>
      </x:c>
      <x:c r="B387" s="106" t="str">
        <x:v>601288</x:v>
      </x:c>
      <x:c r="C387" s="106" t="str">
        <x:v>current_price</x:v>
      </x:c>
      <x:c r="D387" s="106" t="str">
        <x:v>2026-09-03 08:10</x:v>
      </x:c>
      <x:c r="E387" s="106" t="n">
        <x:v>7.06</x:v>
      </x:c>
      <x:c r="F387" s="106" t="str">
        <x:v>CNY/share</x:v>
      </x:c>
      <x:c r="G387" s="106" t="str">
        <x:v>AkShare / Sina public historical quotes</x:v>
      </x:c>
      <x:c r="H387" s="106" t="str">
        <x:v>https://akshare.akfamily.xyz/data/stock/stock.html</x:v>
      </x:c>
      <x:c r="I387" s="106"/>
      <x:c r="J387" s="106"/>
      <x:c r="K387" s="121" t="str">
        <x:v>2026-09-03 08:10:17.895054+00:00</x:v>
      </x:c>
      <x:c r="L387" s="121"/>
      <x:c r="M387" s="106" t="str">
        <x:v>akshare-price-v3-sina-history</x:v>
      </x:c>
      <x:c r="N387" s="106" t="str">
        <x:v>3257f67b486d2b777065a99669ad0d77d36210ddbcdef2b1f04030b5e301ca6d</x:v>
      </x:c>
      <x:c r="O387" s="113"/>
      <x:c r="P387" s="106" t="str">
        <x:v>pending</x:v>
      </x:c>
      <x:c r="Q387" s="106" t="str">
        <x:v>否</x:v>
      </x:c>
      <x:c r="R387" s="106" t="str">
        <x:v>由本地 Agent 同步</x:v>
      </x:c>
      <x:c r="S387" s="86"/>
      <x:c r="T387" s="86"/>
      <x:c r="U387" s="86"/>
      <x:c r="V387" s="86"/>
      <x:c r="W387" s="86"/>
      <x:c r="X387" s="86"/>
      <x:c r="Y387" s="86"/>
      <x:c r="Z387" s="86"/>
    </x:row>
    <x:row r="388">
      <x:c r="A388" s="106" t="str">
        <x:v>3782df0d-e4f0-4f0b-be4d-75f51d94626b</x:v>
      </x:c>
      <x:c r="B388" s="106" t="str">
        <x:v>600690</x:v>
      </x:c>
      <x:c r="C388" s="106" t="str">
        <x:v>current_price</x:v>
      </x:c>
      <x:c r="D388" s="106" t="str">
        <x:v>2026-09-03 08:10</x:v>
      </x:c>
      <x:c r="E388" s="106" t="n">
        <x:v>21.33</x:v>
      </x:c>
      <x:c r="F388" s="106" t="str">
        <x:v>CNY/share</x:v>
      </x:c>
      <x:c r="G388" s="106" t="str">
        <x:v>AkShare / Sina public historical quotes</x:v>
      </x:c>
      <x:c r="H388" s="106" t="str">
        <x:v>https://akshare.akfamily.xyz/data/stock/stock.html</x:v>
      </x:c>
      <x:c r="I388" s="106"/>
      <x:c r="J388" s="106"/>
      <x:c r="K388" s="121" t="str">
        <x:v>2026-09-03 08:10:17.895054+00:00</x:v>
      </x:c>
      <x:c r="L388" s="121"/>
      <x:c r="M388" s="106" t="str">
        <x:v>akshare-price-v3-sina-history</x:v>
      </x:c>
      <x:c r="N388" s="106" t="str">
        <x:v>2cce8cf93ad42e13ffd47955ac5349632c05f00e27defab32b56c0132e4737cb</x:v>
      </x:c>
      <x:c r="O388" s="113"/>
      <x:c r="P388" s="106" t="str">
        <x:v>pending</x:v>
      </x:c>
      <x:c r="Q388" s="106" t="str">
        <x:v>否</x:v>
      </x:c>
      <x:c r="R388" s="106" t="str">
        <x:v>由本地 Agent 同步</x:v>
      </x:c>
      <x:c r="S388" s="86"/>
      <x:c r="T388" s="86"/>
      <x:c r="U388" s="86"/>
      <x:c r="V388" s="86"/>
      <x:c r="W388" s="86"/>
      <x:c r="X388" s="86"/>
      <x:c r="Y388" s="86"/>
      <x:c r="Z388" s="86"/>
    </x:row>
    <x:row r="389">
      <x:c r="A389" s="106" t="str">
        <x:v>2a99527e-342b-486d-9034-ab79a7880f11</x:v>
      </x:c>
      <x:c r="B389" s="106" t="str">
        <x:v>000333</x:v>
      </x:c>
      <x:c r="C389" s="106" t="str">
        <x:v>current_price</x:v>
      </x:c>
      <x:c r="D389" s="106" t="str">
        <x:v>2026-09-03 08:10</x:v>
      </x:c>
      <x:c r="E389" s="106" t="n">
        <x:v>86.98</x:v>
      </x:c>
      <x:c r="F389" s="106" t="str">
        <x:v>CNY/share</x:v>
      </x:c>
      <x:c r="G389" s="106" t="str">
        <x:v>AkShare / Sina public historical quotes</x:v>
      </x:c>
      <x:c r="H389" s="106" t="str">
        <x:v>https://akshare.akfamily.xyz/data/stock/stock.html</x:v>
      </x:c>
      <x:c r="I389" s="106"/>
      <x:c r="J389" s="106"/>
      <x:c r="K389" s="121" t="str">
        <x:v>2026-09-03 08:10:17.895054+00:00</x:v>
      </x:c>
      <x:c r="L389" s="121"/>
      <x:c r="M389" s="106" t="str">
        <x:v>akshare-price-v3-sina-history</x:v>
      </x:c>
      <x:c r="N389" s="106" t="str">
        <x:v>c551442f5870354678eed4b8ea3bd58f22df0436e1f0531ee5894fbfe019ce4f</x:v>
      </x:c>
      <x:c r="O389" s="113"/>
      <x:c r="P389" s="106" t="str">
        <x:v>pending</x:v>
      </x:c>
      <x:c r="Q389" s="106" t="str">
        <x:v>否</x:v>
      </x:c>
      <x:c r="R389" s="106" t="str">
        <x:v>由本地 Agent 同步</x:v>
      </x:c>
      <x:c r="S389" s="86"/>
      <x:c r="T389" s="86"/>
      <x:c r="U389" s="86"/>
      <x:c r="V389" s="86"/>
      <x:c r="W389" s="86"/>
      <x:c r="X389" s="86"/>
      <x:c r="Y389" s="86"/>
      <x:c r="Z389" s="86"/>
    </x:row>
    <x:row r="390">
      <x:c r="A390" s="106" t="str">
        <x:v>d83c641c-6a20-49df-8d14-696941aa7e71</x:v>
      </x:c>
      <x:c r="B390" s="106" t="str">
        <x:v>600941</x:v>
      </x:c>
      <x:c r="C390" s="106" t="str">
        <x:v>current_price</x:v>
      </x:c>
      <x:c r="D390" s="106" t="str">
        <x:v>2026-09-03 08:10</x:v>
      </x:c>
      <x:c r="E390" s="106" t="n">
        <x:v>100.8</x:v>
      </x:c>
      <x:c r="F390" s="106" t="str">
        <x:v>CNY/share</x:v>
      </x:c>
      <x:c r="G390" s="106" t="str">
        <x:v>AkShare / Sina public historical quotes</x:v>
      </x:c>
      <x:c r="H390" s="106" t="str">
        <x:v>https://akshare.akfamily.xyz/data/stock/stock.html</x:v>
      </x:c>
      <x:c r="I390" s="106"/>
      <x:c r="J390" s="106"/>
      <x:c r="K390" s="121" t="str">
        <x:v>2026-09-03 08:10:17.895054+00:00</x:v>
      </x:c>
      <x:c r="L390" s="121"/>
      <x:c r="M390" s="106" t="str">
        <x:v>akshare-price-v3-sina-history</x:v>
      </x:c>
      <x:c r="N390" s="106" t="str">
        <x:v>e1a11106f8d03cab7fb899e1b289c0d2391898f77381cf555489ad3ea5c25992</x:v>
      </x:c>
      <x:c r="O390" s="113"/>
      <x:c r="P390" s="106" t="str">
        <x:v>pending</x:v>
      </x:c>
      <x:c r="Q390" s="106" t="str">
        <x:v>否</x:v>
      </x:c>
      <x:c r="R390" s="106" t="str">
        <x:v>由本地 Agent 同步</x:v>
      </x:c>
      <x:c r="S390" s="86"/>
      <x:c r="T390" s="86"/>
      <x:c r="U390" s="86"/>
      <x:c r="V390" s="86"/>
      <x:c r="W390" s="86"/>
      <x:c r="X390" s="86"/>
      <x:c r="Y390" s="86"/>
      <x:c r="Z390" s="86"/>
    </x:row>
    <x:row r="391">
      <x:c r="A391" s="106" t="str">
        <x:v>9db6a70b-2582-4ab0-8e3c-d85e1017bc46</x:v>
      </x:c>
      <x:c r="B391" s="106" t="str">
        <x:v>600887</x:v>
      </x:c>
      <x:c r="C391" s="106" t="str">
        <x:v>current_price</x:v>
      </x:c>
      <x:c r="D391" s="106" t="str">
        <x:v>2026-09-03 08:10</x:v>
      </x:c>
      <x:c r="E391" s="106" t="n">
        <x:v>26.57</x:v>
      </x:c>
      <x:c r="F391" s="106" t="str">
        <x:v>CNY/share</x:v>
      </x:c>
      <x:c r="G391" s="106" t="str">
        <x:v>AkShare / Sina public historical quotes</x:v>
      </x:c>
      <x:c r="H391" s="106" t="str">
        <x:v>https://akshare.akfamily.xyz/data/stock/stock.html</x:v>
      </x:c>
      <x:c r="I391" s="106"/>
      <x:c r="J391" s="106"/>
      <x:c r="K391" s="121" t="str">
        <x:v>2026-09-03 08:10:17.895054+00:00</x:v>
      </x:c>
      <x:c r="L391" s="121"/>
      <x:c r="M391" s="106" t="str">
        <x:v>akshare-price-v3-sina-history</x:v>
      </x:c>
      <x:c r="N391" s="106" t="str">
        <x:v>28dd4efc64c007fd99529ae7a526a9c608f1b065e5feed52429cf92adcd63e9d</x:v>
      </x:c>
      <x:c r="O391" s="113"/>
      <x:c r="P391" s="106" t="str">
        <x:v>pending</x:v>
      </x:c>
      <x:c r="Q391" s="106" t="str">
        <x:v>否</x:v>
      </x:c>
      <x:c r="R391" s="106" t="str">
        <x:v>由本地 Agent 同步</x:v>
      </x:c>
      <x:c r="S391" s="86"/>
      <x:c r="T391" s="86"/>
      <x:c r="U391" s="86"/>
      <x:c r="V391" s="86"/>
      <x:c r="W391" s="86"/>
      <x:c r="X391" s="86"/>
      <x:c r="Y391" s="86"/>
      <x:c r="Z391" s="86"/>
    </x:row>
    <x:row r="392">
      <x:c r="A392" s="106" t="str">
        <x:v>52a0bf8e-e0e4-4c36-a455-115d26c5d98a</x:v>
      </x:c>
      <x:c r="B392" s="106" t="str">
        <x:v>601088</x:v>
      </x:c>
      <x:c r="C392" s="106" t="str">
        <x:v>current_price</x:v>
      </x:c>
      <x:c r="D392" s="106" t="str">
        <x:v>2026-09-03 08:10</x:v>
      </x:c>
      <x:c r="E392" s="106" t="n">
        <x:v>48.05</x:v>
      </x:c>
      <x:c r="F392" s="106" t="str">
        <x:v>CNY/share</x:v>
      </x:c>
      <x:c r="G392" s="106" t="str">
        <x:v>AkShare / Sina public historical quotes</x:v>
      </x:c>
      <x:c r="H392" s="106" t="str">
        <x:v>https://akshare.akfamily.xyz/data/stock/stock.html</x:v>
      </x:c>
      <x:c r="I392" s="106"/>
      <x:c r="J392" s="106"/>
      <x:c r="K392" s="121" t="str">
        <x:v>2026-09-03 08:10:17.895054+00:00</x:v>
      </x:c>
      <x:c r="L392" s="121"/>
      <x:c r="M392" s="106" t="str">
        <x:v>akshare-price-v3-sina-history</x:v>
      </x:c>
      <x:c r="N392" s="106" t="str">
        <x:v>a772377b895fc50d4113184663c7b0380ee48fc73f93828b08cbc7d332bde98e</x:v>
      </x:c>
      <x:c r="O392" s="113"/>
      <x:c r="P392" s="106" t="str">
        <x:v>pending</x:v>
      </x:c>
      <x:c r="Q392" s="106" t="str">
        <x:v>否</x:v>
      </x:c>
      <x:c r="R392" s="106" t="str">
        <x:v>由本地 Agent 同步</x:v>
      </x:c>
      <x:c r="S392" s="86"/>
      <x:c r="T392" s="86"/>
      <x:c r="U392" s="86"/>
      <x:c r="V392" s="86"/>
      <x:c r="W392" s="86"/>
      <x:c r="X392" s="86"/>
      <x:c r="Y392" s="86"/>
      <x:c r="Z392" s="86"/>
    </x:row>
    <x:row r="393">
      <x:c r="A393" s="106" t="str">
        <x:v>e1dd7abe-708d-453f-9c3d-1ae2a714c9b9</x:v>
      </x:c>
      <x:c r="B393" s="106" t="str">
        <x:v>600036</x:v>
      </x:c>
      <x:c r="C393" s="106" t="str">
        <x:v>current_price</x:v>
      </x:c>
      <x:c r="D393" s="106" t="str">
        <x:v>2026-09-03 08:10</x:v>
      </x:c>
      <x:c r="E393" s="106" t="n">
        <x:v>40.87</x:v>
      </x:c>
      <x:c r="F393" s="106" t="str">
        <x:v>CNY/share</x:v>
      </x:c>
      <x:c r="G393" s="106" t="str">
        <x:v>AkShare / Sina public historical quotes</x:v>
      </x:c>
      <x:c r="H393" s="106" t="str">
        <x:v>https://akshare.akfamily.xyz/data/stock/stock.html</x:v>
      </x:c>
      <x:c r="I393" s="106"/>
      <x:c r="J393" s="106"/>
      <x:c r="K393" s="121" t="str">
        <x:v>2026-09-03 08:10:17.895054+00:00</x:v>
      </x:c>
      <x:c r="L393" s="121"/>
      <x:c r="M393" s="106" t="str">
        <x:v>akshare-price-v3-sina-history</x:v>
      </x:c>
      <x:c r="N393" s="106" t="str">
        <x:v>c77a6fab956aff2c49774192811bd3a3a599e079ecf03398228f08615dd5df97</x:v>
      </x:c>
      <x:c r="O393" s="113"/>
      <x:c r="P393" s="106" t="str">
        <x:v>pending</x:v>
      </x:c>
      <x:c r="Q393" s="106" t="str">
        <x:v>否</x:v>
      </x:c>
      <x:c r="R393" s="106" t="str">
        <x:v>由本地 Agent 同步</x:v>
      </x:c>
      <x:c r="S393" s="86"/>
      <x:c r="T393" s="86"/>
      <x:c r="U393" s="86"/>
      <x:c r="V393" s="86"/>
      <x:c r="W393" s="86"/>
      <x:c r="X393" s="86"/>
      <x:c r="Y393" s="86"/>
      <x:c r="Z393" s="86"/>
    </x:row>
    <x:row r="394">
      <x:c r="A394" s="106" t="str">
        <x:v>975278a4-b6d8-408d-9759-bec6fa22c4b7</x:v>
      </x:c>
      <x:c r="B394" s="106" t="str">
        <x:v>000333</x:v>
      </x:c>
      <x:c r="C394" s="106" t="str">
        <x:v>current_price</x:v>
      </x:c>
      <x:c r="D394" s="106" t="str">
        <x:v>2026-09-04 07:08</x:v>
      </x:c>
      <x:c r="E394" s="106" t="n">
        <x:v>87.25</x:v>
      </x:c>
      <x:c r="F394" s="106" t="str">
        <x:v>CNY/share</x:v>
      </x:c>
      <x:c r="G394" s="106" t="str">
        <x:v>AkShare / Sina public historical quotes</x:v>
      </x:c>
      <x:c r="H394" s="106" t="str">
        <x:v>https://akshare.akfamily.xyz/data/stock/stock.html</x:v>
      </x:c>
      <x:c r="I394" s="106"/>
      <x:c r="J394" s="106"/>
      <x:c r="K394" s="121" t="str">
        <x:v>2026-09-04 07:08:04.998296+00:00</x:v>
      </x:c>
      <x:c r="L394" s="121"/>
      <x:c r="M394" s="106" t="str">
        <x:v>akshare-price-v3-sina-history</x:v>
      </x:c>
      <x:c r="N394" s="106" t="str">
        <x:v>42f5f99921119ee01a262b9c2924eb2572b33a481a80806bff5ce8f46975f805</x:v>
      </x:c>
      <x:c r="O394" s="113"/>
      <x:c r="P394" s="106" t="str">
        <x:v>pending</x:v>
      </x:c>
      <x:c r="Q394" s="106" t="str">
        <x:v>否</x:v>
      </x:c>
      <x:c r="R394" s="106" t="str">
        <x:v>由本地 Agent 同步</x:v>
      </x:c>
      <x:c r="S394" s="86"/>
      <x:c r="T394" s="86"/>
      <x:c r="U394" s="86"/>
      <x:c r="V394" s="86"/>
      <x:c r="W394" s="86"/>
      <x:c r="X394" s="86"/>
      <x:c r="Y394" s="86"/>
      <x:c r="Z394" s="86"/>
    </x:row>
    <x:row r="395">
      <x:c r="A395" s="106" t="str">
        <x:v>38272e84-faa6-454f-96b6-f47e35ce8646</x:v>
      </x:c>
      <x:c r="B395" s="106" t="str">
        <x:v>601088</x:v>
      </x:c>
      <x:c r="C395" s="106" t="str">
        <x:v>current_price</x:v>
      </x:c>
      <x:c r="D395" s="106" t="str">
        <x:v>2026-09-04 07:08</x:v>
      </x:c>
      <x:c r="E395" s="106" t="n">
        <x:v>47.78</x:v>
      </x:c>
      <x:c r="F395" s="106" t="str">
        <x:v>CNY/share</x:v>
      </x:c>
      <x:c r="G395" s="106" t="str">
        <x:v>AkShare / Sina public historical quotes</x:v>
      </x:c>
      <x:c r="H395" s="106" t="str">
        <x:v>https://akshare.akfamily.xyz/data/stock/stock.html</x:v>
      </x:c>
      <x:c r="I395" s="106"/>
      <x:c r="J395" s="106"/>
      <x:c r="K395" s="121" t="str">
        <x:v>2026-09-04 07:08:04.998296+00:00</x:v>
      </x:c>
      <x:c r="L395" s="121"/>
      <x:c r="M395" s="106" t="str">
        <x:v>akshare-price-v3-sina-history</x:v>
      </x:c>
      <x:c r="N395" s="106" t="str">
        <x:v>dde7ca8e6b7c201c6a16f177ce603e8b4e47a9b3444cd8cd50746f03216e2c3e</x:v>
      </x:c>
      <x:c r="O395" s="113"/>
      <x:c r="P395" s="106" t="str">
        <x:v>pending</x:v>
      </x:c>
      <x:c r="Q395" s="106" t="str">
        <x:v>否</x:v>
      </x:c>
      <x:c r="R395" s="106" t="str">
        <x:v>由本地 Agent 同步</x:v>
      </x:c>
      <x:c r="S395" s="86"/>
      <x:c r="T395" s="86"/>
      <x:c r="U395" s="86"/>
      <x:c r="V395" s="86"/>
      <x:c r="W395" s="86"/>
      <x:c r="X395" s="86"/>
      <x:c r="Y395" s="86"/>
      <x:c r="Z395" s="86"/>
    </x:row>
    <x:row r="396">
      <x:c r="A396" s="106" t="str">
        <x:v>b509afb0-866d-4d00-bf3b-be670f56e643</x:v>
      </x:c>
      <x:c r="B396" s="106" t="str">
        <x:v>300750</x:v>
      </x:c>
      <x:c r="C396" s="106" t="str">
        <x:v>revenue</x:v>
      </x:c>
      <x:c r="D396" s="106" t="str">
        <x:v>2026-06-30</x:v>
      </x:c>
      <x:c r="E396" s="106" t="n">
        <x:v>2769.1658</x:v>
      </x:c>
      <x:c r="F396" s="106" t="str">
        <x:v>CNY 100M</x:v>
      </x:c>
      <x:c r="G396" s="106" t="str">
        <x:v>AkShare / Sina financial abstract</x:v>
      </x:c>
      <x:c r="H396" s="106" t="str">
        <x:v>https://vip.stock.finance.sina.com.cn/corp/go.php/vFD_FinancialGuideLine/stockid/300750/ctrl/2026/displaytype/4.phtml</x:v>
      </x:c>
      <x:c r="I396" s="106"/>
      <x:c r="J396" s="106"/>
      <x:c r="K396" s="121" t="str">
        <x:v>2026-09-04 07:08:15.144557+00:00</x:v>
      </x:c>
      <x:c r="L396" s="121"/>
      <x:c r="M396" s="106" t="str">
        <x:v>akshare-financial-v2-sina-abstract</x:v>
      </x:c>
      <x:c r="N396" s="106" t="str">
        <x:v>960e43c6a788484ed8b15d3460240c9a234c54f1f4cbd0d719dfcc9255df3d85</x:v>
      </x:c>
      <x:c r="O396" s="113"/>
      <x:c r="P396" s="106" t="str">
        <x:v>pending</x:v>
      </x:c>
      <x:c r="Q396" s="106" t="str">
        <x:v>否</x:v>
      </x:c>
      <x:c r="R396" s="106" t="str">
        <x:v>由本地 Agent 同步</x:v>
      </x:c>
      <x:c r="S396" s="86"/>
      <x:c r="T396" s="86"/>
      <x:c r="U396" s="86"/>
      <x:c r="V396" s="86"/>
      <x:c r="W396" s="86"/>
      <x:c r="X396" s="86"/>
      <x:c r="Y396" s="86"/>
      <x:c r="Z396" s="86"/>
    </x:row>
    <x:row r="397">
      <x:c r="A397" s="106" t="str">
        <x:v>51e50e63-8259-4206-b207-9dcbcfe0554a</x:v>
      </x:c>
      <x:c r="B397" s="106" t="str">
        <x:v>000333</x:v>
      </x:c>
      <x:c r="C397" s="106" t="str">
        <x:v>roic</x:v>
      </x:c>
      <x:c r="D397" s="106" t="str">
        <x:v>2026-06-30</x:v>
      </x:c>
      <x:c r="E397" s="106" t="n">
        <x:v>8.816281</x:v>
      </x:c>
      <x:c r="F397" s="106" t="str">
        <x:v>percent</x:v>
      </x:c>
      <x:c r="G397" s="106" t="str">
        <x:v>AkShare / Sina financial abstract</x:v>
      </x:c>
      <x:c r="H397" s="106" t="str">
        <x:v>https://vip.stock.finance.sina.com.cn/corp/go.php/vFD_FinancialGuideLine/stockid/000333/ctrl/2026/displaytype/4.phtml</x:v>
      </x:c>
      <x:c r="I397" s="106"/>
      <x:c r="J397" s="106"/>
      <x:c r="K397" s="121" t="str">
        <x:v>2026-09-04 07:08:15.144557+00:00</x:v>
      </x:c>
      <x:c r="L397" s="121"/>
      <x:c r="M397" s="106" t="str">
        <x:v>akshare-financial-v2-sina-abstract</x:v>
      </x:c>
      <x:c r="N397" s="106" t="str">
        <x:v>e68ad9e8c6912fd5b01fb9642bd2843545ebaa61778f9e10661422464966a2f3</x:v>
      </x:c>
      <x:c r="O397" s="113"/>
      <x:c r="P397" s="106" t="str">
        <x:v>pending</x:v>
      </x:c>
      <x:c r="Q397" s="106" t="str">
        <x:v>否</x:v>
      </x:c>
      <x:c r="R397" s="106" t="str">
        <x:v>由本地 Agent 同步</x:v>
      </x:c>
      <x:c r="S397" s="86"/>
      <x:c r="T397" s="86"/>
      <x:c r="U397" s="86"/>
      <x:c r="V397" s="86"/>
      <x:c r="W397" s="86"/>
      <x:c r="X397" s="86"/>
      <x:c r="Y397" s="86"/>
      <x:c r="Z397" s="86"/>
    </x:row>
    <x:row r="398">
      <x:c r="A398" s="106" t="str">
        <x:v>e3e237f0-1f7e-49b6-9066-747be5b20b81</x:v>
      </x:c>
      <x:c r="B398" s="106" t="str">
        <x:v>600519</x:v>
      </x:c>
      <x:c r="C398" s="106" t="str">
        <x:v>current_price</x:v>
      </x:c>
      <x:c r="D398" s="106" t="str">
        <x:v>2026-09-04 07:08</x:v>
      </x:c>
      <x:c r="E398" s="106" t="n">
        <x:v>1298.88</x:v>
      </x:c>
      <x:c r="F398" s="106" t="str">
        <x:v>CNY/share</x:v>
      </x:c>
      <x:c r="G398" s="106" t="str">
        <x:v>AkShare / Sina public historical quotes</x:v>
      </x:c>
      <x:c r="H398" s="106" t="str">
        <x:v>https://akshare.akfamily.xyz/data/stock/stock.html</x:v>
      </x:c>
      <x:c r="I398" s="106"/>
      <x:c r="J398" s="106"/>
      <x:c r="K398" s="121" t="str">
        <x:v>2026-09-04 07:08:04.998296+00:00</x:v>
      </x:c>
      <x:c r="L398" s="121"/>
      <x:c r="M398" s="106" t="str">
        <x:v>akshare-price-v3-sina-history</x:v>
      </x:c>
      <x:c r="N398" s="106" t="str">
        <x:v>8cae531b70bfbf0fb9c03a27adbd58abb504f2b1a305a56c37d04832dca22bfd</x:v>
      </x:c>
      <x:c r="O398" s="113"/>
      <x:c r="P398" s="106" t="str">
        <x:v>pending</x:v>
      </x:c>
      <x:c r="Q398" s="106" t="str">
        <x:v>否</x:v>
      </x:c>
      <x:c r="R398" s="106" t="str">
        <x:v>由本地 Agent 同步</x:v>
      </x:c>
      <x:c r="S398" s="86"/>
      <x:c r="T398" s="86"/>
      <x:c r="U398" s="86"/>
      <x:c r="V398" s="86"/>
      <x:c r="W398" s="86"/>
      <x:c r="X398" s="86"/>
      <x:c r="Y398" s="86"/>
      <x:c r="Z398" s="86"/>
    </x:row>
    <x:row r="399">
      <x:c r="A399" s="106" t="str">
        <x:v>95e7b0ba-4c9f-4b92-b316-92024f50a6b8</x:v>
      </x:c>
      <x:c r="B399" s="106" t="str">
        <x:v>300750</x:v>
      </x:c>
      <x:c r="C399" s="106" t="str">
        <x:v>current_price</x:v>
      </x:c>
      <x:c r="D399" s="106" t="str">
        <x:v>2026-09-04 07:08</x:v>
      </x:c>
      <x:c r="E399" s="106" t="n">
        <x:v>349.5</x:v>
      </x:c>
      <x:c r="F399" s="106" t="str">
        <x:v>CNY/share</x:v>
      </x:c>
      <x:c r="G399" s="106" t="str">
        <x:v>AkShare / Sina public historical quotes</x:v>
      </x:c>
      <x:c r="H399" s="106" t="str">
        <x:v>https://akshare.akfamily.xyz/data/stock/stock.html</x:v>
      </x:c>
      <x:c r="I399" s="106"/>
      <x:c r="J399" s="106"/>
      <x:c r="K399" s="121" t="str">
        <x:v>2026-09-04 07:08:04.998296+00:00</x:v>
      </x:c>
      <x:c r="L399" s="121"/>
      <x:c r="M399" s="106" t="str">
        <x:v>akshare-price-v3-sina-history</x:v>
      </x:c>
      <x:c r="N399" s="106" t="str">
        <x:v>1847b3f2a9811cf7ef57775ea3b8c2a7e6c96361cd421e0bd78d1db9f64299f2</x:v>
      </x:c>
      <x:c r="O399" s="113"/>
      <x:c r="P399" s="106" t="str">
        <x:v>pending</x:v>
      </x:c>
      <x:c r="Q399" s="106" t="str">
        <x:v>否</x:v>
      </x:c>
      <x:c r="R399" s="106" t="str">
        <x:v>由本地 Agent 同步</x:v>
      </x:c>
      <x:c r="S399" s="86"/>
      <x:c r="T399" s="86"/>
      <x:c r="U399" s="86"/>
      <x:c r="V399" s="86"/>
      <x:c r="W399" s="86"/>
      <x:c r="X399" s="86"/>
      <x:c r="Y399" s="86"/>
      <x:c r="Z399" s="86"/>
    </x:row>
    <x:row r="400">
      <x:c r="A400" s="106" t="str">
        <x:v>2d9e6937-3d74-43df-a432-78f57b4c3a22</x:v>
      </x:c>
      <x:c r="B400" s="106" t="str">
        <x:v>600887</x:v>
      </x:c>
      <x:c r="C400" s="106" t="str">
        <x:v>current_price</x:v>
      </x:c>
      <x:c r="D400" s="106" t="str">
        <x:v>2026-09-04 07:08</x:v>
      </x:c>
      <x:c r="E400" s="106" t="n">
        <x:v>26.56</x:v>
      </x:c>
      <x:c r="F400" s="106" t="str">
        <x:v>CNY/share</x:v>
      </x:c>
      <x:c r="G400" s="106" t="str">
        <x:v>AkShare / Sina public historical quotes</x:v>
      </x:c>
      <x:c r="H400" s="106" t="str">
        <x:v>https://akshare.akfamily.xyz/data/stock/stock.html</x:v>
      </x:c>
      <x:c r="I400" s="106"/>
      <x:c r="J400" s="106"/>
      <x:c r="K400" s="121" t="str">
        <x:v>2026-09-04 07:08:04.998296+00:00</x:v>
      </x:c>
      <x:c r="L400" s="121"/>
      <x:c r="M400" s="106" t="str">
        <x:v>akshare-price-v3-sina-history</x:v>
      </x:c>
      <x:c r="N400" s="106" t="str">
        <x:v>b3a8f9fc122b3f4daf7feeb3f55a1ea63d6b10b0b65393a9ab61f1dd36bf9f8e</x:v>
      </x:c>
      <x:c r="O400" s="113"/>
      <x:c r="P400" s="106" t="str">
        <x:v>pending</x:v>
      </x:c>
      <x:c r="Q400" s="106" t="str">
        <x:v>否</x:v>
      </x:c>
      <x:c r="R400" s="106" t="str">
        <x:v>由本地 Agent 同步</x:v>
      </x:c>
      <x:c r="S400" s="86"/>
      <x:c r="T400" s="86"/>
      <x:c r="U400" s="86"/>
      <x:c r="V400" s="86"/>
      <x:c r="W400" s="86"/>
      <x:c r="X400" s="86"/>
      <x:c r="Y400" s="86"/>
      <x:c r="Z400" s="86"/>
    </x:row>
    <x:row r="401">
      <x:c r="A401" s="106" t="str">
        <x:v>021cfce0-9869-4abc-a396-dca3494bd753</x:v>
      </x:c>
      <x:c r="B401" s="106" t="str">
        <x:v>601288</x:v>
      </x:c>
      <x:c r="C401" s="106" t="str">
        <x:v>current_price</x:v>
      </x:c>
      <x:c r="D401" s="106" t="str">
        <x:v>2026-09-04 07:08</x:v>
      </x:c>
      <x:c r="E401" s="106" t="n">
        <x:v>6.89</x:v>
      </x:c>
      <x:c r="F401" s="106" t="str">
        <x:v>CNY/share</x:v>
      </x:c>
      <x:c r="G401" s="106" t="str">
        <x:v>AkShare / Sina public historical quotes</x:v>
      </x:c>
      <x:c r="H401" s="106" t="str">
        <x:v>https://akshare.akfamily.xyz/data/stock/stock.html</x:v>
      </x:c>
      <x:c r="I401" s="106"/>
      <x:c r="J401" s="106"/>
      <x:c r="K401" s="121" t="str">
        <x:v>2026-09-04 07:08:04.998296+00:00</x:v>
      </x:c>
      <x:c r="L401" s="121"/>
      <x:c r="M401" s="106" t="str">
        <x:v>akshare-price-v3-sina-history</x:v>
      </x:c>
      <x:c r="N401" s="106" t="str">
        <x:v>40f616305b4ce4a412b7d22b5617880560e94d8a16bb6a4100bbf6d3182ea055</x:v>
      </x:c>
      <x:c r="O401" s="113"/>
      <x:c r="P401" s="106" t="str">
        <x:v>pending</x:v>
      </x:c>
      <x:c r="Q401" s="106" t="str">
        <x:v>否</x:v>
      </x:c>
      <x:c r="R401" s="106" t="str">
        <x:v>由本地 Agent 同步</x:v>
      </x:c>
      <x:c r="S401" s="86"/>
      <x:c r="T401" s="86"/>
      <x:c r="U401" s="86"/>
      <x:c r="V401" s="86"/>
      <x:c r="W401" s="86"/>
      <x:c r="X401" s="86"/>
      <x:c r="Y401" s="86"/>
      <x:c r="Z401" s="86"/>
    </x:row>
    <x:row r="402">
      <x:c r="A402" s="106" t="str">
        <x:v>b509afb0-866d-4d00-bf3b-be670f56e643</x:v>
      </x:c>
      <x:c r="B402" s="106" t="str">
        <x:v>300750</x:v>
      </x:c>
      <x:c r="C402" s="106" t="str">
        <x:v>roic</x:v>
      </x:c>
      <x:c r="D402" s="106" t="str">
        <x:v>2026-06-30</x:v>
      </x:c>
      <x:c r="E402" s="106" t="n">
        <x:v>9.039937</x:v>
      </x:c>
      <x:c r="F402" s="106" t="str">
        <x:v>percent</x:v>
      </x:c>
      <x:c r="G402" s="106" t="str">
        <x:v>AkShare / Sina financial abstract</x:v>
      </x:c>
      <x:c r="H402" s="106" t="str">
        <x:v>https://vip.stock.finance.sina.com.cn/corp/go.php/vFD_FinancialGuideLine/stockid/300750/ctrl/2026/displaytype/4.phtml</x:v>
      </x:c>
      <x:c r="I402" s="106"/>
      <x:c r="J402" s="106"/>
      <x:c r="K402" s="121" t="str">
        <x:v>2026-09-04 07:08:15.144557+00:00</x:v>
      </x:c>
      <x:c r="L402" s="121"/>
      <x:c r="M402" s="106" t="str">
        <x:v>akshare-financial-v2-sina-abstract</x:v>
      </x:c>
      <x:c r="N402" s="106" t="str">
        <x:v>960e43c6a788484ed8b15d3460240c9a234c54f1f4cbd0d719dfcc9255df3d85</x:v>
      </x:c>
      <x:c r="O402" s="113"/>
      <x:c r="P402" s="106" t="str">
        <x:v>pending</x:v>
      </x:c>
      <x:c r="Q402" s="106" t="str">
        <x:v>否</x:v>
      </x:c>
      <x:c r="R402" s="106" t="str">
        <x:v>由本地 Agent 同步</x:v>
      </x:c>
      <x:c r="S402" s="86"/>
      <x:c r="T402" s="86"/>
      <x:c r="U402" s="86"/>
      <x:c r="V402" s="86"/>
      <x:c r="W402" s="86"/>
      <x:c r="X402" s="86"/>
      <x:c r="Y402" s="86"/>
      <x:c r="Z402" s="86"/>
    </x:row>
    <x:row r="403">
      <x:c r="A403" s="106" t="str">
        <x:v>51e50e63-8259-4206-b207-9dcbcfe0554a</x:v>
      </x:c>
      <x:c r="B403" s="106" t="str">
        <x:v>000333</x:v>
      </x:c>
      <x:c r="C403" s="106" t="str">
        <x:v>gross_margin</x:v>
      </x:c>
      <x:c r="D403" s="106" t="str">
        <x:v>2026-06-30</x:v>
      </x:c>
      <x:c r="E403" s="106" t="n">
        <x:v>9.424157364219997</x:v>
      </x:c>
      <x:c r="F403" s="106" t="str">
        <x:v>percent</x:v>
      </x:c>
      <x:c r="G403" s="106" t="str">
        <x:v>AkShare / Sina financial abstract</x:v>
      </x:c>
      <x:c r="H403" s="106" t="str">
        <x:v>https://vip.stock.finance.sina.com.cn/corp/go.php/vFD_FinancialGuideLine/stockid/000333/ctrl/2026/displaytype/4.phtml</x:v>
      </x:c>
      <x:c r="I403" s="106"/>
      <x:c r="J403" s="106"/>
      <x:c r="K403" s="121" t="str">
        <x:v>2026-09-04 07:08:15.144557+00:00</x:v>
      </x:c>
      <x:c r="L403" s="121"/>
      <x:c r="M403" s="106" t="str">
        <x:v>akshare-financial-v2-sina-abstract</x:v>
      </x:c>
      <x:c r="N403" s="106" t="str">
        <x:v>e68ad9e8c6912fd5b01fb9642bd2843545ebaa61778f9e10661422464966a2f3</x:v>
      </x:c>
      <x:c r="O403" s="113"/>
      <x:c r="P403" s="106" t="str">
        <x:v>pending</x:v>
      </x:c>
      <x:c r="Q403" s="106" t="str">
        <x:v>否</x:v>
      </x:c>
      <x:c r="R403" s="106" t="str">
        <x:v>由本地 Agent 同步</x:v>
      </x:c>
      <x:c r="S403" s="86"/>
      <x:c r="T403" s="86"/>
      <x:c r="U403" s="86"/>
      <x:c r="V403" s="86"/>
      <x:c r="W403" s="86"/>
      <x:c r="X403" s="86"/>
      <x:c r="Y403" s="86"/>
      <x:c r="Z403" s="86"/>
    </x:row>
    <x:row r="404">
      <x:c r="A404" s="106" t="str">
        <x:v>51e50e63-8259-4206-b207-9dcbcfe0554a</x:v>
      </x:c>
      <x:c r="B404" s="106" t="str">
        <x:v>000333</x:v>
      </x:c>
      <x:c r="C404" s="106" t="str">
        <x:v>fcf_per_share</x:v>
      </x:c>
      <x:c r="D404" s="106" t="str">
        <x:v>2026-06-30</x:v>
      </x:c>
      <x:c r="E404" s="106" t="n">
        <x:v>6.071272</x:v>
      </x:c>
      <x:c r="F404" s="106" t="str">
        <x:v>CNY/share</x:v>
      </x:c>
      <x:c r="G404" s="106" t="str">
        <x:v>AkShare / Sina financial abstract</x:v>
      </x:c>
      <x:c r="H404" s="106" t="str">
        <x:v>https://vip.stock.finance.sina.com.cn/corp/go.php/vFD_FinancialGuideLine/stockid/000333/ctrl/2026/displaytype/4.phtml</x:v>
      </x:c>
      <x:c r="I404" s="106"/>
      <x:c r="J404" s="106"/>
      <x:c r="K404" s="121" t="str">
        <x:v>2026-09-04 07:08:15.144557+00:00</x:v>
      </x:c>
      <x:c r="L404" s="121"/>
      <x:c r="M404" s="106" t="str">
        <x:v>akshare-financial-v2-sina-abstract</x:v>
      </x:c>
      <x:c r="N404" s="106" t="str">
        <x:v>e68ad9e8c6912fd5b01fb9642bd2843545ebaa61778f9e10661422464966a2f3</x:v>
      </x:c>
      <x:c r="O404" s="113"/>
      <x:c r="P404" s="106" t="str">
        <x:v>pending</x:v>
      </x:c>
      <x:c r="Q404" s="106" t="str">
        <x:v>否</x:v>
      </x:c>
      <x:c r="R404" s="106" t="str">
        <x:v>由本地 Agent 同步</x:v>
      </x:c>
      <x:c r="S404" s="86"/>
      <x:c r="T404" s="86"/>
      <x:c r="U404" s="86"/>
      <x:c r="V404" s="86"/>
      <x:c r="W404" s="86"/>
      <x:c r="X404" s="86"/>
      <x:c r="Y404" s="86"/>
      <x:c r="Z404" s="86"/>
    </x:row>
    <x:row r="405">
      <x:c r="A405" s="106" t="str">
        <x:v>d6ece75d-209a-4bcf-bffd-b3583cbd84c8</x:v>
      </x:c>
      <x:c r="B405" s="106" t="str">
        <x:v>600900</x:v>
      </x:c>
      <x:c r="C405" s="106" t="str">
        <x:v>current_price</x:v>
      </x:c>
      <x:c r="D405" s="106" t="str">
        <x:v>2026-09-04 07:08</x:v>
      </x:c>
      <x:c r="E405" s="106" t="n">
        <x:v>28.44</x:v>
      </x:c>
      <x:c r="F405" s="106" t="str">
        <x:v>CNY/share</x:v>
      </x:c>
      <x:c r="G405" s="106" t="str">
        <x:v>AkShare / Sina public historical quotes</x:v>
      </x:c>
      <x:c r="H405" s="106" t="str">
        <x:v>https://akshare.akfamily.xyz/data/stock/stock.html</x:v>
      </x:c>
      <x:c r="I405" s="106"/>
      <x:c r="J405" s="106"/>
      <x:c r="K405" s="121" t="str">
        <x:v>2026-09-04 07:08:04.998296+00:00</x:v>
      </x:c>
      <x:c r="L405" s="121"/>
      <x:c r="M405" s="106" t="str">
        <x:v>akshare-price-v3-sina-history</x:v>
      </x:c>
      <x:c r="N405" s="106" t="str">
        <x:v>c7b2c754129ced814d8b123901a84f768fde95a51aebc8216f526490d5d5ca91</x:v>
      </x:c>
      <x:c r="O405" s="113"/>
      <x:c r="P405" s="106" t="str">
        <x:v>pending</x:v>
      </x:c>
      <x:c r="Q405" s="106" t="str">
        <x:v>否</x:v>
      </x:c>
      <x:c r="R405" s="106" t="str">
        <x:v>由本地 Agent 同步</x:v>
      </x:c>
      <x:c r="S405" s="86"/>
      <x:c r="T405" s="86"/>
      <x:c r="U405" s="86"/>
      <x:c r="V405" s="86"/>
      <x:c r="W405" s="86"/>
      <x:c r="X405" s="86"/>
      <x:c r="Y405" s="86"/>
      <x:c r="Z405" s="86"/>
    </x:row>
    <x:row r="406">
      <x:c r="A406" s="106" t="str">
        <x:v>c30809e3-0953-4ffd-9a7a-5454b2e1b608</x:v>
      </x:c>
      <x:c r="B406" s="106" t="str">
        <x:v>600036</x:v>
      </x:c>
      <x:c r="C406" s="106" t="str">
        <x:v>current_price</x:v>
      </x:c>
      <x:c r="D406" s="106" t="str">
        <x:v>2026-09-04 07:08</x:v>
      </x:c>
      <x:c r="E406" s="106" t="n">
        <x:v>41.07</x:v>
      </x:c>
      <x:c r="F406" s="106" t="str">
        <x:v>CNY/share</x:v>
      </x:c>
      <x:c r="G406" s="106" t="str">
        <x:v>AkShare / Sina public historical quotes</x:v>
      </x:c>
      <x:c r="H406" s="106" t="str">
        <x:v>https://akshare.akfamily.xyz/data/stock/stock.html</x:v>
      </x:c>
      <x:c r="I406" s="106"/>
      <x:c r="J406" s="106"/>
      <x:c r="K406" s="121" t="str">
        <x:v>2026-09-04 07:08:04.998296+00:00</x:v>
      </x:c>
      <x:c r="L406" s="121"/>
      <x:c r="M406" s="106" t="str">
        <x:v>akshare-price-v3-sina-history</x:v>
      </x:c>
      <x:c r="N406" s="106" t="str">
        <x:v>1b050067ff5ddcf72ff1b8475d39ab278eca37975b11b99763190ddac16d7eb3</x:v>
      </x:c>
      <x:c r="O406" s="113"/>
      <x:c r="P406" s="106" t="str">
        <x:v>pending</x:v>
      </x:c>
      <x:c r="Q406" s="106" t="str">
        <x:v>否</x:v>
      </x:c>
      <x:c r="R406" s="106" t="str">
        <x:v>由本地 Agent 同步</x:v>
      </x:c>
      <x:c r="S406" s="86"/>
      <x:c r="T406" s="86"/>
      <x:c r="U406" s="86"/>
      <x:c r="V406" s="86"/>
      <x:c r="W406" s="86"/>
      <x:c r="X406" s="86"/>
      <x:c r="Y406" s="86"/>
      <x:c r="Z406" s="86"/>
    </x:row>
    <x:row r="407">
      <x:c r="A407" s="106" t="str">
        <x:v>fb0a3140-5612-4066-9755-ca84d99411b5</x:v>
      </x:c>
      <x:c r="B407" s="106" t="str">
        <x:v>600690</x:v>
      </x:c>
      <x:c r="C407" s="106" t="str">
        <x:v>current_price</x:v>
      </x:c>
      <x:c r="D407" s="106" t="str">
        <x:v>2026-09-04 07:08</x:v>
      </x:c>
      <x:c r="E407" s="106" t="n">
        <x:v>21.82</x:v>
      </x:c>
      <x:c r="F407" s="106" t="str">
        <x:v>CNY/share</x:v>
      </x:c>
      <x:c r="G407" s="106" t="str">
        <x:v>AkShare / Sina public historical quotes</x:v>
      </x:c>
      <x:c r="H407" s="106" t="str">
        <x:v>https://akshare.akfamily.xyz/data/stock/stock.html</x:v>
      </x:c>
      <x:c r="I407" s="106"/>
      <x:c r="J407" s="106"/>
      <x:c r="K407" s="121" t="str">
        <x:v>2026-09-04 07:08:04.998296+00:00</x:v>
      </x:c>
      <x:c r="L407" s="121"/>
      <x:c r="M407" s="106" t="str">
        <x:v>akshare-price-v3-sina-history</x:v>
      </x:c>
      <x:c r="N407" s="106" t="str">
        <x:v>14e5a4852193d0087bdae0b2ac5d277345ba54fc10abe1e47ac66193cf626c16</x:v>
      </x:c>
      <x:c r="O407" s="113"/>
      <x:c r="P407" s="106" t="str">
        <x:v>pending</x:v>
      </x:c>
      <x:c r="Q407" s="106" t="str">
        <x:v>否</x:v>
      </x:c>
      <x:c r="R407" s="106" t="str">
        <x:v>由本地 Agent 同步</x:v>
      </x:c>
      <x:c r="S407" s="86"/>
      <x:c r="T407" s="86"/>
      <x:c r="U407" s="86"/>
      <x:c r="V407" s="86"/>
      <x:c r="W407" s="86"/>
      <x:c r="X407" s="86"/>
      <x:c r="Y407" s="86"/>
      <x:c r="Z407" s="86"/>
    </x:row>
    <x:row r="408">
      <x:c r="A408" s="106" t="str">
        <x:v>3da3ccca-6150-479d-97c4-52b1f46f2dd7</x:v>
      </x:c>
      <x:c r="B408" s="106" t="str">
        <x:v>600941</x:v>
      </x:c>
      <x:c r="C408" s="106" t="str">
        <x:v>current_price</x:v>
      </x:c>
      <x:c r="D408" s="106" t="str">
        <x:v>2026-09-04 07:08</x:v>
      </x:c>
      <x:c r="E408" s="106" t="n">
        <x:v>100.53</x:v>
      </x:c>
      <x:c r="F408" s="106" t="str">
        <x:v>CNY/share</x:v>
      </x:c>
      <x:c r="G408" s="106" t="str">
        <x:v>AkShare / Sina public historical quotes</x:v>
      </x:c>
      <x:c r="H408" s="106" t="str">
        <x:v>https://akshare.akfamily.xyz/data/stock/stock.html</x:v>
      </x:c>
      <x:c r="I408" s="106"/>
      <x:c r="J408" s="106"/>
      <x:c r="K408" s="121" t="str">
        <x:v>2026-09-04 07:08:04.998296+00:00</x:v>
      </x:c>
      <x:c r="L408" s="121"/>
      <x:c r="M408" s="106" t="str">
        <x:v>akshare-price-v3-sina-history</x:v>
      </x:c>
      <x:c r="N408" s="106" t="str">
        <x:v>15e218d59866cd8441c00bb3e1779b27e382c4d3eae1a72ba472eec6a086d481</x:v>
      </x:c>
      <x:c r="O408" s="113"/>
      <x:c r="P408" s="106" t="str">
        <x:v>pending</x:v>
      </x:c>
      <x:c r="Q408" s="106" t="str">
        <x:v>否</x:v>
      </x:c>
      <x:c r="R408" s="106" t="str">
        <x:v>由本地 Agent 同步</x:v>
      </x:c>
      <x:c r="S408" s="86"/>
      <x:c r="T408" s="86"/>
      <x:c r="U408" s="86"/>
      <x:c r="V408" s="86"/>
      <x:c r="W408" s="86"/>
      <x:c r="X408" s="86"/>
      <x:c r="Y408" s="86"/>
      <x:c r="Z408" s="86"/>
    </x:row>
    <x:row r="409">
      <x:c r="A409" s="106" t="str">
        <x:v>51e50e63-8259-4206-b207-9dcbcfe0554a</x:v>
      </x:c>
      <x:c r="B409" s="106" t="str">
        <x:v>000333</x:v>
      </x:c>
      <x:c r="C409" s="106" t="str">
        <x:v>revenue</x:v>
      </x:c>
      <x:c r="D409" s="106" t="str">
        <x:v>2026-06-30</x:v>
      </x:c>
      <x:c r="E409" s="106" t="n">
        <x:v>2610.52379</x:v>
      </x:c>
      <x:c r="F409" s="106" t="str">
        <x:v>CNY 100M</x:v>
      </x:c>
      <x:c r="G409" s="106" t="str">
        <x:v>AkShare / Sina financial abstract</x:v>
      </x:c>
      <x:c r="H409" s="106" t="str">
        <x:v>https://vip.stock.finance.sina.com.cn/corp/go.php/vFD_FinancialGuideLine/stockid/000333/ctrl/2026/displaytype/4.phtml</x:v>
      </x:c>
      <x:c r="I409" s="106"/>
      <x:c r="J409" s="106"/>
      <x:c r="K409" s="121" t="str">
        <x:v>2026-09-04 07:08:15.144557+00:00</x:v>
      </x:c>
      <x:c r="L409" s="121"/>
      <x:c r="M409" s="106" t="str">
        <x:v>akshare-financial-v2-sina-abstract</x:v>
      </x:c>
      <x:c r="N409" s="106" t="str">
        <x:v>e68ad9e8c6912fd5b01fb9642bd2843545ebaa61778f9e10661422464966a2f3</x:v>
      </x:c>
      <x:c r="O409" s="113"/>
      <x:c r="P409" s="106" t="str">
        <x:v>pending</x:v>
      </x:c>
      <x:c r="Q409" s="106" t="str">
        <x:v>否</x:v>
      </x:c>
      <x:c r="R409" s="106" t="str">
        <x:v>由本地 Agent 同步</x:v>
      </x:c>
      <x:c r="S409" s="86"/>
      <x:c r="T409" s="86"/>
      <x:c r="U409" s="86"/>
      <x:c r="V409" s="86"/>
      <x:c r="W409" s="86"/>
      <x:c r="X409" s="86"/>
      <x:c r="Y409" s="86"/>
      <x:c r="Z409" s="86"/>
    </x:row>
    <x:row r="410">
      <x:c r="A410" s="106" t="str">
        <x:v>b509afb0-866d-4d00-bf3b-be670f56e643</x:v>
      </x:c>
      <x:c r="B410" s="106" t="str">
        <x:v>300750</x:v>
      </x:c>
      <x:c r="C410" s="106" t="str">
        <x:v>operating_cash_flow</x:v>
      </x:c>
      <x:c r="D410" s="106" t="str">
        <x:v>2026-06-30</x:v>
      </x:c>
      <x:c r="E410" s="106" t="n">
        <x:v>602.16851</x:v>
      </x:c>
      <x:c r="F410" s="106" t="str">
        <x:v>CNY 100M</x:v>
      </x:c>
      <x:c r="G410" s="106" t="str">
        <x:v>AkShare / Sina financial abstract</x:v>
      </x:c>
      <x:c r="H410" s="106" t="str">
        <x:v>https://vip.stock.finance.sina.com.cn/corp/go.php/vFD_FinancialGuideLine/stockid/300750/ctrl/2026/displaytype/4.phtml</x:v>
      </x:c>
      <x:c r="I410" s="106"/>
      <x:c r="J410" s="106"/>
      <x:c r="K410" s="121" t="str">
        <x:v>2026-09-04 07:08:15.144557+00:00</x:v>
      </x:c>
      <x:c r="L410" s="121"/>
      <x:c r="M410" s="106" t="str">
        <x:v>akshare-financial-v2-sina-abstract</x:v>
      </x:c>
      <x:c r="N410" s="106" t="str">
        <x:v>960e43c6a788484ed8b15d3460240c9a234c54f1f4cbd0d719dfcc9255df3d85</x:v>
      </x:c>
      <x:c r="O410" s="113"/>
      <x:c r="P410" s="106" t="str">
        <x:v>pending</x:v>
      </x:c>
      <x:c r="Q410" s="106" t="str">
        <x:v>否</x:v>
      </x:c>
      <x:c r="R410" s="106" t="str">
        <x:v>由本地 Agent 同步</x:v>
      </x:c>
      <x:c r="S410" s="86"/>
      <x:c r="T410" s="86"/>
      <x:c r="U410" s="86"/>
      <x:c r="V410" s="86"/>
      <x:c r="W410" s="86"/>
      <x:c r="X410" s="86"/>
      <x:c r="Y410" s="86"/>
      <x:c r="Z410" s="86"/>
    </x:row>
    <x:row r="411">
      <x:c r="A411" s="106" t="str">
        <x:v>b509afb0-866d-4d00-bf3b-be670f56e643</x:v>
      </x:c>
      <x:c r="B411" s="106" t="str">
        <x:v>300750</x:v>
      </x:c>
      <x:c r="C411" s="106" t="str">
        <x:v>net_income</x:v>
      </x:c>
      <x:c r="D411" s="106" t="str">
        <x:v>2026-06-30</x:v>
      </x:c>
      <x:c r="E411" s="106" t="n">
        <x:v>432.84002</x:v>
      </x:c>
      <x:c r="F411" s="106" t="str">
        <x:v>CNY 100M</x:v>
      </x:c>
      <x:c r="G411" s="106" t="str">
        <x:v>AkShare / Sina financial abstract</x:v>
      </x:c>
      <x:c r="H411" s="106" t="str">
        <x:v>https://vip.stock.finance.sina.com.cn/corp/go.php/vFD_FinancialGuideLine/stockid/300750/ctrl/2026/displaytype/4.phtml</x:v>
      </x:c>
      <x:c r="I411" s="106"/>
      <x:c r="J411" s="106"/>
      <x:c r="K411" s="121" t="str">
        <x:v>2026-09-04 07:08:15.144557+00:00</x:v>
      </x:c>
      <x:c r="L411" s="121"/>
      <x:c r="M411" s="106" t="str">
        <x:v>akshare-financial-v2-sina-abstract</x:v>
      </x:c>
      <x:c r="N411" s="106" t="str">
        <x:v>960e43c6a788484ed8b15d3460240c9a234c54f1f4cbd0d719dfcc9255df3d85</x:v>
      </x:c>
      <x:c r="O411" s="113"/>
      <x:c r="P411" s="106" t="str">
        <x:v>pending</x:v>
      </x:c>
      <x:c r="Q411" s="106" t="str">
        <x:v>否</x:v>
      </x:c>
      <x:c r="R411" s="106" t="str">
        <x:v>由本地 Agent 同步</x:v>
      </x:c>
      <x:c r="S411" s="86"/>
      <x:c r="T411" s="86"/>
      <x:c r="U411" s="86"/>
      <x:c r="V411" s="86"/>
      <x:c r="W411" s="86"/>
      <x:c r="X411" s="86"/>
      <x:c r="Y411" s="86"/>
      <x:c r="Z411" s="86"/>
    </x:row>
    <x:row r="412">
      <x:c r="A412" s="106" t="str">
        <x:v>b509afb0-866d-4d00-bf3b-be670f56e643</x:v>
      </x:c>
      <x:c r="B412" s="106" t="str">
        <x:v>300750</x:v>
      </x:c>
      <x:c r="C412" s="106" t="str">
        <x:v>gross_margin</x:v>
      </x:c>
      <x:c r="D412" s="106" t="str">
        <x:v>2026-06-30</x:v>
      </x:c>
      <x:c r="E412" s="106" t="n">
        <x:v>16.6143258738787</x:v>
      </x:c>
      <x:c r="F412" s="106" t="str">
        <x:v>percent</x:v>
      </x:c>
      <x:c r="G412" s="106" t="str">
        <x:v>AkShare / Sina financial abstract</x:v>
      </x:c>
      <x:c r="H412" s="106" t="str">
        <x:v>https://vip.stock.finance.sina.com.cn/corp/go.php/vFD_FinancialGuideLine/stockid/300750/ctrl/2026/displaytype/4.phtml</x:v>
      </x:c>
      <x:c r="I412" s="106"/>
      <x:c r="J412" s="106"/>
      <x:c r="K412" s="121" t="str">
        <x:v>2026-09-04 07:08:15.144557+00:00</x:v>
      </x:c>
      <x:c r="L412" s="121"/>
      <x:c r="M412" s="106" t="str">
        <x:v>akshare-financial-v2-sina-abstract</x:v>
      </x:c>
      <x:c r="N412" s="106" t="str">
        <x:v>960e43c6a788484ed8b15d3460240c9a234c54f1f4cbd0d719dfcc9255df3d85</x:v>
      </x:c>
      <x:c r="O412" s="113"/>
      <x:c r="P412" s="106" t="str">
        <x:v>pending</x:v>
      </x:c>
      <x:c r="Q412" s="106" t="str">
        <x:v>否</x:v>
      </x:c>
      <x:c r="R412" s="106" t="str">
        <x:v>由本地 Agent 同步</x:v>
      </x:c>
      <x:c r="S412" s="86"/>
      <x:c r="T412" s="86"/>
      <x:c r="U412" s="86"/>
      <x:c r="V412" s="86"/>
      <x:c r="W412" s="86"/>
      <x:c r="X412" s="86"/>
      <x:c r="Y412" s="86"/>
      <x:c r="Z412" s="86"/>
    </x:row>
    <x:row r="413">
      <x:c r="A413" s="106" t="str">
        <x:v>b509afb0-866d-4d00-bf3b-be670f56e643</x:v>
      </x:c>
      <x:c r="B413" s="106" t="str">
        <x:v>300750</x:v>
      </x:c>
      <x:c r="C413" s="106" t="str">
        <x:v>fcf_per_share</x:v>
      </x:c>
      <x:c r="D413" s="106" t="str">
        <x:v>2026-06-30</x:v>
      </x:c>
      <x:c r="E413" s="106" t="n">
        <x:v>1.228456</x:v>
      </x:c>
      <x:c r="F413" s="106" t="str">
        <x:v>CNY/share</x:v>
      </x:c>
      <x:c r="G413" s="106" t="str">
        <x:v>AkShare / Sina financial abstract</x:v>
      </x:c>
      <x:c r="H413" s="106" t="str">
        <x:v>https://vip.stock.finance.sina.com.cn/corp/go.php/vFD_FinancialGuideLine/stockid/300750/ctrl/2026/displaytype/4.phtml</x:v>
      </x:c>
      <x:c r="I413" s="106"/>
      <x:c r="J413" s="106"/>
      <x:c r="K413" s="121" t="str">
        <x:v>2026-09-04 07:08:15.144557+00:00</x:v>
      </x:c>
      <x:c r="L413" s="121"/>
      <x:c r="M413" s="106" t="str">
        <x:v>akshare-financial-v2-sina-abstract</x:v>
      </x:c>
      <x:c r="N413" s="106" t="str">
        <x:v>960e43c6a788484ed8b15d3460240c9a234c54f1f4cbd0d719dfcc9255df3d85</x:v>
      </x:c>
      <x:c r="O413" s="113"/>
      <x:c r="P413" s="106" t="str">
        <x:v>pending</x:v>
      </x:c>
      <x:c r="Q413" s="106" t="str">
        <x:v>否</x:v>
      </x:c>
      <x:c r="R413" s="106" t="str">
        <x:v>由本地 Agent 同步</x:v>
      </x:c>
      <x:c r="S413" s="86"/>
      <x:c r="T413" s="86"/>
      <x:c r="U413" s="86"/>
      <x:c r="V413" s="86"/>
      <x:c r="W413" s="86"/>
      <x:c r="X413" s="86"/>
      <x:c r="Y413" s="86"/>
      <x:c r="Z413" s="86"/>
    </x:row>
    <x:row r="414">
      <x:c r="A414" s="106" t="str">
        <x:v>51e50e63-8259-4206-b207-9dcbcfe0554a</x:v>
      </x:c>
      <x:c r="B414" s="106" t="str">
        <x:v>000333</x:v>
      </x:c>
      <x:c r="C414" s="106" t="str">
        <x:v>operating_cash_flow</x:v>
      </x:c>
      <x:c r="D414" s="106" t="str">
        <x:v>2026-06-30</x:v>
      </x:c>
      <x:c r="E414" s="106" t="n">
        <x:v>375.5209</x:v>
      </x:c>
      <x:c r="F414" s="106" t="str">
        <x:v>CNY 100M</x:v>
      </x:c>
      <x:c r="G414" s="106" t="str">
        <x:v>AkShare / Sina financial abstract</x:v>
      </x:c>
      <x:c r="H414" s="106" t="str">
        <x:v>https://vip.stock.finance.sina.com.cn/corp/go.php/vFD_FinancialGuideLine/stockid/000333/ctrl/2026/displaytype/4.phtml</x:v>
      </x:c>
      <x:c r="I414" s="106"/>
      <x:c r="J414" s="106"/>
      <x:c r="K414" s="121" t="str">
        <x:v>2026-09-04 07:08:15.144557+00:00</x:v>
      </x:c>
      <x:c r="L414" s="121"/>
      <x:c r="M414" s="106" t="str">
        <x:v>akshare-financial-v2-sina-abstract</x:v>
      </x:c>
      <x:c r="N414" s="106" t="str">
        <x:v>e68ad9e8c6912fd5b01fb9642bd2843545ebaa61778f9e10661422464966a2f3</x:v>
      </x:c>
      <x:c r="O414" s="113"/>
      <x:c r="P414" s="106" t="str">
        <x:v>pending</x:v>
      </x:c>
      <x:c r="Q414" s="106" t="str">
        <x:v>否</x:v>
      </x:c>
      <x:c r="R414" s="106" t="str">
        <x:v>由本地 Agent 同步</x:v>
      </x:c>
      <x:c r="S414" s="86"/>
      <x:c r="T414" s="86"/>
      <x:c r="U414" s="86"/>
      <x:c r="V414" s="86"/>
      <x:c r="W414" s="86"/>
      <x:c r="X414" s="86"/>
      <x:c r="Y414" s="86"/>
      <x:c r="Z414" s="86"/>
    </x:row>
    <x:row r="415">
      <x:c r="A415" s="106" t="str">
        <x:v>51e50e63-8259-4206-b207-9dcbcfe0554a</x:v>
      </x:c>
      <x:c r="B415" s="106" t="str">
        <x:v>000333</x:v>
      </x:c>
      <x:c r="C415" s="106" t="str">
        <x:v>net_income</x:v>
      </x:c>
      <x:c r="D415" s="106" t="str">
        <x:v>2026-06-30</x:v>
      </x:c>
      <x:c r="E415" s="106" t="n">
        <x:v>264.46037</x:v>
      </x:c>
      <x:c r="F415" s="106" t="str">
        <x:v>CNY 100M</x:v>
      </x:c>
      <x:c r="G415" s="106" t="str">
        <x:v>AkShare / Sina financial abstract</x:v>
      </x:c>
      <x:c r="H415" s="106" t="str">
        <x:v>https://vip.stock.finance.sina.com.cn/corp/go.php/vFD_FinancialGuideLine/stockid/000333/ctrl/2026/displaytype/4.phtml</x:v>
      </x:c>
      <x:c r="I415" s="106"/>
      <x:c r="J415" s="106"/>
      <x:c r="K415" s="121" t="str">
        <x:v>2026-09-04 07:08:15.144557+00:00</x:v>
      </x:c>
      <x:c r="L415" s="121"/>
      <x:c r="M415" s="106" t="str">
        <x:v>akshare-financial-v2-sina-abstract</x:v>
      </x:c>
      <x:c r="N415" s="106" t="str">
        <x:v>e68ad9e8c6912fd5b01fb9642bd2843545ebaa61778f9e10661422464966a2f3</x:v>
      </x:c>
      <x:c r="O415" s="113"/>
      <x:c r="P415" s="106" t="str">
        <x:v>pending</x:v>
      </x:c>
      <x:c r="Q415" s="106" t="str">
        <x:v>否</x:v>
      </x:c>
      <x:c r="R415" s="106" t="str">
        <x:v>由本地 Agent 同步</x:v>
      </x:c>
      <x:c r="S415" s="86"/>
      <x:c r="T415" s="86"/>
      <x:c r="U415" s="86"/>
      <x:c r="V415" s="86"/>
      <x:c r="W415" s="86"/>
      <x:c r="X415" s="86"/>
      <x:c r="Y415" s="86"/>
      <x:c r="Z415" s="86"/>
    </x:row>
    <x:row r="416">
      <x:c r="A416" s="106" t="str">
        <x:v>d6ece75d-209a-4bcf-bffd-b3583cbd84c8</x:v>
      </x:c>
      <x:c r="B416" s="106" t="str">
        <x:v>600900</x:v>
      </x:c>
      <x:c r="C416" s="106" t="str">
        <x:v>current_price</x:v>
      </x:c>
      <x:c r="D416" s="106" t="str">
        <x:v>2026-09-04 07:16</x:v>
      </x:c>
      <x:c r="E416" s="106" t="n">
        <x:v>28.44</x:v>
      </x:c>
      <x:c r="F416" s="106" t="str">
        <x:v>CNY/share</x:v>
      </x:c>
      <x:c r="G416" s="106" t="str">
        <x:v>AkShare / Sina public historical quotes</x:v>
      </x:c>
      <x:c r="H416" s="106" t="str">
        <x:v>https://akshare.akfamily.xyz/data/stock/stock.html</x:v>
      </x:c>
      <x:c r="I416" s="106"/>
      <x:c r="J416" s="106"/>
      <x:c r="K416" s="121" t="str">
        <x:v>2026-09-04 07:16:22.627169+00:00</x:v>
      </x:c>
      <x:c r="L416" s="121"/>
      <x:c r="M416" s="106" t="str">
        <x:v>akshare-price-v3-sina-history</x:v>
      </x:c>
      <x:c r="N416" s="106" t="str">
        <x:v>c7b2c754129ced814d8b123901a84f768fde95a51aebc8216f526490d5d5ca91</x:v>
      </x:c>
      <x:c r="O416" s="113"/>
      <x:c r="P416" s="106" t="str">
        <x:v>pending</x:v>
      </x:c>
      <x:c r="Q416" s="106" t="str">
        <x:v>否</x:v>
      </x:c>
      <x:c r="R416" s="106" t="str">
        <x:v>由本地 Agent 同步</x:v>
      </x:c>
      <x:c r="S416" s="86"/>
      <x:c r="T416" s="86"/>
      <x:c r="U416" s="86"/>
      <x:c r="V416" s="86"/>
      <x:c r="W416" s="86"/>
      <x:c r="X416" s="86"/>
      <x:c r="Y416" s="86"/>
      <x:c r="Z416" s="86"/>
    </x:row>
    <x:row r="417">
      <x:c r="A417" s="106" t="str">
        <x:v>fb0a3140-5612-4066-9755-ca84d99411b5</x:v>
      </x:c>
      <x:c r="B417" s="106" t="str">
        <x:v>600690</x:v>
      </x:c>
      <x:c r="C417" s="106" t="str">
        <x:v>current_price</x:v>
      </x:c>
      <x:c r="D417" s="106" t="str">
        <x:v>2026-09-04 07:16</x:v>
      </x:c>
      <x:c r="E417" s="106" t="n">
        <x:v>21.82</x:v>
      </x:c>
      <x:c r="F417" s="106" t="str">
        <x:v>CNY/share</x:v>
      </x:c>
      <x:c r="G417" s="106" t="str">
        <x:v>AkShare / Sina public historical quotes</x:v>
      </x:c>
      <x:c r="H417" s="106" t="str">
        <x:v>https://akshare.akfamily.xyz/data/stock/stock.html</x:v>
      </x:c>
      <x:c r="I417" s="106"/>
      <x:c r="J417" s="106"/>
      <x:c r="K417" s="121" t="str">
        <x:v>2026-09-04 07:16:22.627169+00:00</x:v>
      </x:c>
      <x:c r="L417" s="121"/>
      <x:c r="M417" s="106" t="str">
        <x:v>akshare-price-v3-sina-history</x:v>
      </x:c>
      <x:c r="N417" s="106" t="str">
        <x:v>14e5a4852193d0087bdae0b2ac5d277345ba54fc10abe1e47ac66193cf626c16</x:v>
      </x:c>
      <x:c r="O417" s="113"/>
      <x:c r="P417" s="106" t="str">
        <x:v>pending</x:v>
      </x:c>
      <x:c r="Q417" s="106" t="str">
        <x:v>否</x:v>
      </x:c>
      <x:c r="R417" s="106" t="str">
        <x:v>由本地 Agent 同步</x:v>
      </x:c>
      <x:c r="S417" s="86"/>
      <x:c r="T417" s="86"/>
      <x:c r="U417" s="86"/>
      <x:c r="V417" s="86"/>
      <x:c r="W417" s="86"/>
      <x:c r="X417" s="86"/>
      <x:c r="Y417" s="86"/>
      <x:c r="Z417" s="86"/>
    </x:row>
    <x:row r="418">
      <x:c r="A418" s="106" t="str">
        <x:v>975278a4-b6d8-408d-9759-bec6fa22c4b7</x:v>
      </x:c>
      <x:c r="B418" s="106" t="str">
        <x:v>000333</x:v>
      </x:c>
      <x:c r="C418" s="106" t="str">
        <x:v>current_price</x:v>
      </x:c>
      <x:c r="D418" s="106" t="str">
        <x:v>2026-09-04 07:16</x:v>
      </x:c>
      <x:c r="E418" s="106" t="n">
        <x:v>87.25</x:v>
      </x:c>
      <x:c r="F418" s="106" t="str">
        <x:v>CNY/share</x:v>
      </x:c>
      <x:c r="G418" s="106" t="str">
        <x:v>AkShare / Sina public historical quotes</x:v>
      </x:c>
      <x:c r="H418" s="106" t="str">
        <x:v>https://akshare.akfamily.xyz/data/stock/stock.html</x:v>
      </x:c>
      <x:c r="I418" s="106"/>
      <x:c r="J418" s="106"/>
      <x:c r="K418" s="121" t="str">
        <x:v>2026-09-04 07:16:22.627169+00:00</x:v>
      </x:c>
      <x:c r="L418" s="121"/>
      <x:c r="M418" s="106" t="str">
        <x:v>akshare-price-v3-sina-history</x:v>
      </x:c>
      <x:c r="N418" s="106" t="str">
        <x:v>42f5f99921119ee01a262b9c2924eb2572b33a481a80806bff5ce8f46975f805</x:v>
      </x:c>
      <x:c r="O418" s="113"/>
      <x:c r="P418" s="106" t="str">
        <x:v>pending</x:v>
      </x:c>
      <x:c r="Q418" s="106" t="str">
        <x:v>否</x:v>
      </x:c>
      <x:c r="R418" s="106" t="str">
        <x:v>由本地 Agent 同步</x:v>
      </x:c>
      <x:c r="S418" s="86"/>
      <x:c r="T418" s="86"/>
      <x:c r="U418" s="86"/>
      <x:c r="V418" s="86"/>
      <x:c r="W418" s="86"/>
      <x:c r="X418" s="86"/>
      <x:c r="Y418" s="86"/>
      <x:c r="Z418" s="86"/>
    </x:row>
    <x:row r="419">
      <x:c r="A419" s="106" t="str">
        <x:v>3da3ccca-6150-479d-97c4-52b1f46f2dd7</x:v>
      </x:c>
      <x:c r="B419" s="106" t="str">
        <x:v>600941</x:v>
      </x:c>
      <x:c r="C419" s="106" t="str">
        <x:v>current_price</x:v>
      </x:c>
      <x:c r="D419" s="106" t="str">
        <x:v>2026-09-04 07:16</x:v>
      </x:c>
      <x:c r="E419" s="106" t="n">
        <x:v>100.53</x:v>
      </x:c>
      <x:c r="F419" s="106" t="str">
        <x:v>CNY/share</x:v>
      </x:c>
      <x:c r="G419" s="106" t="str">
        <x:v>AkShare / Sina public historical quotes</x:v>
      </x:c>
      <x:c r="H419" s="106" t="str">
        <x:v>https://akshare.akfamily.xyz/data/stock/stock.html</x:v>
      </x:c>
      <x:c r="I419" s="106"/>
      <x:c r="J419" s="106"/>
      <x:c r="K419" s="121" t="str">
        <x:v>2026-09-04 07:16:22.627169+00:00</x:v>
      </x:c>
      <x:c r="L419" s="121"/>
      <x:c r="M419" s="106" t="str">
        <x:v>akshare-price-v3-sina-history</x:v>
      </x:c>
      <x:c r="N419" s="106" t="str">
        <x:v>15e218d59866cd8441c00bb3e1779b27e382c4d3eae1a72ba472eec6a086d481</x:v>
      </x:c>
      <x:c r="O419" s="113"/>
      <x:c r="P419" s="106" t="str">
        <x:v>pending</x:v>
      </x:c>
      <x:c r="Q419" s="106" t="str">
        <x:v>否</x:v>
      </x:c>
      <x:c r="R419" s="106" t="str">
        <x:v>由本地 Agent 同步</x:v>
      </x:c>
      <x:c r="S419" s="86"/>
      <x:c r="T419" s="86"/>
      <x:c r="U419" s="86"/>
      <x:c r="V419" s="86"/>
      <x:c r="W419" s="86"/>
      <x:c r="X419" s="86"/>
      <x:c r="Y419" s="86"/>
      <x:c r="Z419" s="86"/>
    </x:row>
    <x:row r="420">
      <x:c r="A420" s="106" t="str">
        <x:v>c30809e3-0953-4ffd-9a7a-5454b2e1b608</x:v>
      </x:c>
      <x:c r="B420" s="106" t="str">
        <x:v>600036</x:v>
      </x:c>
      <x:c r="C420" s="106" t="str">
        <x:v>current_price</x:v>
      </x:c>
      <x:c r="D420" s="106" t="str">
        <x:v>2026-09-04 07:16</x:v>
      </x:c>
      <x:c r="E420" s="106" t="n">
        <x:v>41.07</x:v>
      </x:c>
      <x:c r="F420" s="106" t="str">
        <x:v>CNY/share</x:v>
      </x:c>
      <x:c r="G420" s="106" t="str">
        <x:v>AkShare / Sina public historical quotes</x:v>
      </x:c>
      <x:c r="H420" s="106" t="str">
        <x:v>https://akshare.akfamily.xyz/data/stock/stock.html</x:v>
      </x:c>
      <x:c r="I420" s="106"/>
      <x:c r="J420" s="106"/>
      <x:c r="K420" s="121" t="str">
        <x:v>2026-09-04 07:16:22.627169+00:00</x:v>
      </x:c>
      <x:c r="L420" s="121"/>
      <x:c r="M420" s="106" t="str">
        <x:v>akshare-price-v3-sina-history</x:v>
      </x:c>
      <x:c r="N420" s="106" t="str">
        <x:v>1b050067ff5ddcf72ff1b8475d39ab278eca37975b11b99763190ddac16d7eb3</x:v>
      </x:c>
      <x:c r="O420" s="113"/>
      <x:c r="P420" s="106" t="str">
        <x:v>pending</x:v>
      </x:c>
      <x:c r="Q420" s="106" t="str">
        <x:v>否</x:v>
      </x:c>
      <x:c r="R420" s="106" t="str">
        <x:v>由本地 Agent 同步</x:v>
      </x:c>
      <x:c r="S420" s="86"/>
      <x:c r="T420" s="86"/>
      <x:c r="U420" s="86"/>
      <x:c r="V420" s="86"/>
      <x:c r="W420" s="86"/>
      <x:c r="X420" s="86"/>
      <x:c r="Y420" s="86"/>
      <x:c r="Z420" s="86"/>
    </x:row>
    <x:row r="421">
      <x:c r="A421" s="106" t="str">
        <x:v>95e7b0ba-4c9f-4b92-b316-92024f50a6b8</x:v>
      </x:c>
      <x:c r="B421" s="106" t="str">
        <x:v>300750</x:v>
      </x:c>
      <x:c r="C421" s="106" t="str">
        <x:v>current_price</x:v>
      </x:c>
      <x:c r="D421" s="106" t="str">
        <x:v>2026-09-04 07:16</x:v>
      </x:c>
      <x:c r="E421" s="106" t="n">
        <x:v>349.5</x:v>
      </x:c>
      <x:c r="F421" s="106" t="str">
        <x:v>CNY/share</x:v>
      </x:c>
      <x:c r="G421" s="106" t="str">
        <x:v>AkShare / Sina public historical quotes</x:v>
      </x:c>
      <x:c r="H421" s="106" t="str">
        <x:v>https://akshare.akfamily.xyz/data/stock/stock.html</x:v>
      </x:c>
      <x:c r="I421" s="106"/>
      <x:c r="J421" s="106"/>
      <x:c r="K421" s="121" t="str">
        <x:v>2026-09-04 07:16:22.627169+00:00</x:v>
      </x:c>
      <x:c r="L421" s="121"/>
      <x:c r="M421" s="106" t="str">
        <x:v>akshare-price-v3-sina-history</x:v>
      </x:c>
      <x:c r="N421" s="106" t="str">
        <x:v>1847b3f2a9811cf7ef57775ea3b8c2a7e6c96361cd421e0bd78d1db9f64299f2</x:v>
      </x:c>
      <x:c r="O421" s="113"/>
      <x:c r="P421" s="106" t="str">
        <x:v>pending</x:v>
      </x:c>
      <x:c r="Q421" s="106" t="str">
        <x:v>否</x:v>
      </x:c>
      <x:c r="R421" s="106" t="str">
        <x:v>由本地 Agent 同步</x:v>
      </x:c>
      <x:c r="S421" s="86"/>
      <x:c r="T421" s="86"/>
      <x:c r="U421" s="86"/>
      <x:c r="V421" s="86"/>
      <x:c r="W421" s="86"/>
      <x:c r="X421" s="86"/>
      <x:c r="Y421" s="86"/>
      <x:c r="Z421" s="86"/>
    </x:row>
    <x:row r="422">
      <x:c r="A422" s="106" t="str">
        <x:v>2d9e6937-3d74-43df-a432-78f57b4c3a22</x:v>
      </x:c>
      <x:c r="B422" s="106" t="str">
        <x:v>600887</x:v>
      </x:c>
      <x:c r="C422" s="106" t="str">
        <x:v>current_price</x:v>
      </x:c>
      <x:c r="D422" s="106" t="str">
        <x:v>2026-09-04 07:16</x:v>
      </x:c>
      <x:c r="E422" s="106" t="n">
        <x:v>26.56</x:v>
      </x:c>
      <x:c r="F422" s="106" t="str">
        <x:v>CNY/share</x:v>
      </x:c>
      <x:c r="G422" s="106" t="str">
        <x:v>AkShare / Sina public historical quotes</x:v>
      </x:c>
      <x:c r="H422" s="106" t="str">
        <x:v>https://akshare.akfamily.xyz/data/stock/stock.html</x:v>
      </x:c>
      <x:c r="I422" s="106"/>
      <x:c r="J422" s="106"/>
      <x:c r="K422" s="121" t="str">
        <x:v>2026-09-04 07:16:22.627169+00:00</x:v>
      </x:c>
      <x:c r="L422" s="121"/>
      <x:c r="M422" s="106" t="str">
        <x:v>akshare-price-v3-sina-history</x:v>
      </x:c>
      <x:c r="N422" s="106" t="str">
        <x:v>b3a8f9fc122b3f4daf7feeb3f55a1ea63d6b10b0b65393a9ab61f1dd36bf9f8e</x:v>
      </x:c>
      <x:c r="O422" s="113"/>
      <x:c r="P422" s="106" t="str">
        <x:v>pending</x:v>
      </x:c>
      <x:c r="Q422" s="106" t="str">
        <x:v>否</x:v>
      </x:c>
      <x:c r="R422" s="106" t="str">
        <x:v>由本地 Agent 同步</x:v>
      </x:c>
      <x:c r="S422" s="86"/>
      <x:c r="T422" s="86"/>
      <x:c r="U422" s="86"/>
      <x:c r="V422" s="86"/>
      <x:c r="W422" s="86"/>
      <x:c r="X422" s="86"/>
      <x:c r="Y422" s="86"/>
      <x:c r="Z422" s="86"/>
    </x:row>
    <x:row r="423">
      <x:c r="A423" s="106" t="str">
        <x:v>38272e84-faa6-454f-96b6-f47e35ce8646</x:v>
      </x:c>
      <x:c r="B423" s="106" t="str">
        <x:v>601088</x:v>
      </x:c>
      <x:c r="C423" s="106" t="str">
        <x:v>current_price</x:v>
      </x:c>
      <x:c r="D423" s="106" t="str">
        <x:v>2026-09-04 07:16</x:v>
      </x:c>
      <x:c r="E423" s="106" t="n">
        <x:v>47.78</x:v>
      </x:c>
      <x:c r="F423" s="106" t="str">
        <x:v>CNY/share</x:v>
      </x:c>
      <x:c r="G423" s="106" t="str">
        <x:v>AkShare / Sina public historical quotes</x:v>
      </x:c>
      <x:c r="H423" s="106" t="str">
        <x:v>https://akshare.akfamily.xyz/data/stock/stock.html</x:v>
      </x:c>
      <x:c r="I423" s="106"/>
      <x:c r="J423" s="106"/>
      <x:c r="K423" s="121" t="str">
        <x:v>2026-09-04 07:16:22.627169+00:00</x:v>
      </x:c>
      <x:c r="L423" s="121"/>
      <x:c r="M423" s="106" t="str">
        <x:v>akshare-price-v3-sina-history</x:v>
      </x:c>
      <x:c r="N423" s="106" t="str">
        <x:v>dde7ca8e6b7c201c6a16f177ce603e8b4e47a9b3444cd8cd50746f03216e2c3e</x:v>
      </x:c>
      <x:c r="O423" s="113"/>
      <x:c r="P423" s="106" t="str">
        <x:v>pending</x:v>
      </x:c>
      <x:c r="Q423" s="106" t="str">
        <x:v>否</x:v>
      </x:c>
      <x:c r="R423" s="106" t="str">
        <x:v>由本地 Agent 同步</x:v>
      </x:c>
      <x:c r="S423" s="86"/>
      <x:c r="T423" s="86"/>
      <x:c r="U423" s="86"/>
      <x:c r="V423" s="86"/>
      <x:c r="W423" s="86"/>
      <x:c r="X423" s="86"/>
      <x:c r="Y423" s="86"/>
      <x:c r="Z423" s="86"/>
    </x:row>
    <x:row r="424">
      <x:c r="A424" s="106" t="str">
        <x:v>021cfce0-9869-4abc-a396-dca3494bd753</x:v>
      </x:c>
      <x:c r="B424" s="106" t="str">
        <x:v>601288</x:v>
      </x:c>
      <x:c r="C424" s="106" t="str">
        <x:v>current_price</x:v>
      </x:c>
      <x:c r="D424" s="106" t="str">
        <x:v>2026-09-04 07:16</x:v>
      </x:c>
      <x:c r="E424" s="106" t="n">
        <x:v>6.89</x:v>
      </x:c>
      <x:c r="F424" s="106" t="str">
        <x:v>CNY/share</x:v>
      </x:c>
      <x:c r="G424" s="106" t="str">
        <x:v>AkShare / Sina public historical quotes</x:v>
      </x:c>
      <x:c r="H424" s="106" t="str">
        <x:v>https://akshare.akfamily.xyz/data/stock/stock.html</x:v>
      </x:c>
      <x:c r="I424" s="106"/>
      <x:c r="J424" s="106"/>
      <x:c r="K424" s="121" t="str">
        <x:v>2026-09-04 07:16:22.627169+00:00</x:v>
      </x:c>
      <x:c r="L424" s="121"/>
      <x:c r="M424" s="106" t="str">
        <x:v>akshare-price-v3-sina-history</x:v>
      </x:c>
      <x:c r="N424" s="106" t="str">
        <x:v>40f616305b4ce4a412b7d22b5617880560e94d8a16bb6a4100bbf6d3182ea055</x:v>
      </x:c>
      <x:c r="O424" s="113"/>
      <x:c r="P424" s="106" t="str">
        <x:v>pending</x:v>
      </x:c>
      <x:c r="Q424" s="106" t="str">
        <x:v>否</x:v>
      </x:c>
      <x:c r="R424" s="106" t="str">
        <x:v>由本地 Agent 同步</x:v>
      </x:c>
      <x:c r="S424" s="86"/>
      <x:c r="T424" s="86"/>
      <x:c r="U424" s="86"/>
      <x:c r="V424" s="86"/>
      <x:c r="W424" s="86"/>
      <x:c r="X424" s="86"/>
      <x:c r="Y424" s="86"/>
      <x:c r="Z424" s="86"/>
    </x:row>
    <x:row r="425">
      <x:c r="A425" s="106" t="str">
        <x:v>e3e237f0-1f7e-49b6-9066-747be5b20b81</x:v>
      </x:c>
      <x:c r="B425" s="106" t="str">
        <x:v>600519</x:v>
      </x:c>
      <x:c r="C425" s="106" t="str">
        <x:v>current_price</x:v>
      </x:c>
      <x:c r="D425" s="106" t="str">
        <x:v>2026-09-04 07:16</x:v>
      </x:c>
      <x:c r="E425" s="106" t="n">
        <x:v>1298.88</x:v>
      </x:c>
      <x:c r="F425" s="106" t="str">
        <x:v>CNY/share</x:v>
      </x:c>
      <x:c r="G425" s="106" t="str">
        <x:v>AkShare / Sina public historical quotes</x:v>
      </x:c>
      <x:c r="H425" s="106" t="str">
        <x:v>https://akshare.akfamily.xyz/data/stock/stock.html</x:v>
      </x:c>
      <x:c r="I425" s="106"/>
      <x:c r="J425" s="106"/>
      <x:c r="K425" s="121" t="str">
        <x:v>2026-09-04 07:16:22.627169+00:00</x:v>
      </x:c>
      <x:c r="L425" s="121"/>
      <x:c r="M425" s="106" t="str">
        <x:v>akshare-price-v3-sina-history</x:v>
      </x:c>
      <x:c r="N425" s="106" t="str">
        <x:v>8cae531b70bfbf0fb9c03a27adbd58abb504f2b1a305a56c37d04832dca22bfd</x:v>
      </x:c>
      <x:c r="O425" s="113"/>
      <x:c r="P425" s="106" t="str">
        <x:v>pending</x:v>
      </x:c>
      <x:c r="Q425" s="106" t="str">
        <x:v>否</x:v>
      </x:c>
      <x:c r="R425" s="106" t="str">
        <x:v>由本地 Agent 同步</x:v>
      </x:c>
      <x:c r="S425" s="86"/>
      <x:c r="T425" s="86"/>
      <x:c r="U425" s="86"/>
      <x:c r="V425" s="86"/>
      <x:c r="W425" s="86"/>
      <x:c r="X425" s="86"/>
      <x:c r="Y425" s="86"/>
      <x:c r="Z425" s="86"/>
    </x:row>
    <x:row r="426">
      <x:c r="A426" s="106" t="str">
        <x:v>cb36d428-f33e-4828-8445-07231e0b275f</x:v>
      </x:c>
      <x:c r="B426" s="106" t="str">
        <x:v>600941</x:v>
      </x:c>
      <x:c r="C426" s="106" t="str">
        <x:v>free_cash_flow</x:v>
      </x:c>
      <x:c r="D426" s="106" t="str">
        <x:v>2026-06-30</x:v>
      </x:c>
      <x:c r="E426" s="106" t="n">
        <x:v>485.64</x:v>
      </x:c>
      <x:c r="F426" s="106" t="str">
        <x:v>CNY 100M</x:v>
      </x:c>
      <x:c r="G426" s="106" t="str">
        <x:v>AkShare / Sina detailed financial statements</x:v>
      </x:c>
      <x:c r="H426" s="106" t="str">
        <x:v>https://vip.stock.finance.sina.com.cn/corp/go.php/vFD_FinanceSummary/stockid/600941/displaytype/4.phtml?source=fzb</x:v>
      </x:c>
      <x:c r="I426" s="106"/>
      <x:c r="J426" s="106"/>
      <x:c r="K426" s="121" t="str">
        <x:v>2026-09-04 07:48:00.989079+00:00</x:v>
      </x:c>
      <x:c r="L426" s="121" t="str">
        <x:v>2026-08-14 00:00:00+00:00</x:v>
      </x:c>
      <x:c r="M426" s="106" t="str">
        <x:v>akshare-financial-v1-sina-statements</x:v>
      </x:c>
      <x:c r="N426" s="106" t="str">
        <x:v>ce0348b0a84ad61daa79c89f0df0f391094b3ad3af6a847a497621ce77f58df1</x:v>
      </x:c>
      <x:c r="O426" s="113"/>
      <x:c r="P426" s="106" t="str">
        <x:v>pending</x:v>
      </x:c>
      <x:c r="Q426" s="106" t="str">
        <x:v>否</x:v>
      </x:c>
      <x:c r="R426" s="106" t="str">
        <x:v>由本地 Agent 同步</x:v>
      </x:c>
      <x:c r="S426" s="86"/>
      <x:c r="T426" s="86"/>
      <x:c r="U426" s="86"/>
      <x:c r="V426" s="86"/>
      <x:c r="W426" s="86"/>
      <x:c r="X426" s="86"/>
      <x:c r="Y426" s="86"/>
      <x:c r="Z426" s="86"/>
    </x:row>
    <x:row r="427">
      <x:c r="A427" s="106" t="str">
        <x:v>a09f6020-6041-4dab-8599-50299cbf9748</x:v>
      </x:c>
      <x:c r="B427" s="106" t="str">
        <x:v>600519</x:v>
      </x:c>
      <x:c r="C427" s="106" t="str">
        <x:v>cash</x:v>
      </x:c>
      <x:c r="D427" s="106" t="str">
        <x:v>2026-06-30</x:v>
      </x:c>
      <x:c r="E427" s="106" t="n">
        <x:v>535.1879897908</x:v>
      </x:c>
      <x:c r="F427" s="106" t="str">
        <x:v>CNY 100M</x:v>
      </x:c>
      <x:c r="G427" s="106" t="str">
        <x:v>AkShare / Sina detailed financial statements</x:v>
      </x:c>
      <x:c r="H427" s="106" t="str">
        <x:v>https://vip.stock.finance.sina.com.cn/corp/go.php/vFD_FinanceSummary/stockid/600519/displaytype/4.phtml?source=fzb</x:v>
      </x:c>
      <x:c r="I427" s="106"/>
      <x:c r="J427" s="106"/>
      <x:c r="K427" s="121" t="str">
        <x:v>2026-09-04 07:48:00.989079+00:00</x:v>
      </x:c>
      <x:c r="L427" s="121" t="str">
        <x:v>2026-08-15 00:00:00+00:00</x:v>
      </x:c>
      <x:c r="M427" s="106" t="str">
        <x:v>akshare-financial-v1-sina-statements</x:v>
      </x:c>
      <x:c r="N427" s="106" t="str">
        <x:v>b6058934f4cc984e7a7310524c4f7723bb0f018e9ed16ae4d40031d64eca8c0f</x:v>
      </x:c>
      <x:c r="O427" s="113"/>
      <x:c r="P427" s="106" t="str">
        <x:v>pending</x:v>
      </x:c>
      <x:c r="Q427" s="106" t="str">
        <x:v>否</x:v>
      </x:c>
      <x:c r="R427" s="106" t="str">
        <x:v>由本地 Agent 同步</x:v>
      </x:c>
      <x:c r="S427" s="86"/>
      <x:c r="T427" s="86"/>
      <x:c r="U427" s="86"/>
      <x:c r="V427" s="86"/>
      <x:c r="W427" s="86"/>
      <x:c r="X427" s="86"/>
      <x:c r="Y427" s="86"/>
      <x:c r="Z427" s="86"/>
    </x:row>
    <x:row r="428">
      <x:c r="A428" s="106" t="str">
        <x:v>a09f6020-6041-4dab-8599-50299cbf9748</x:v>
      </x:c>
      <x:c r="B428" s="106" t="str">
        <x:v>600519</x:v>
      </x:c>
      <x:c r="C428" s="106" t="str">
        <x:v>interest_bearing_debt</x:v>
      </x:c>
      <x:c r="D428" s="106" t="str">
        <x:v>2026-06-30</x:v>
      </x:c>
      <x:c r="E428" s="106" t="n">
        <x:v>0.5685536572</x:v>
      </x:c>
      <x:c r="F428" s="106" t="str">
        <x:v>CNY 100M</x:v>
      </x:c>
      <x:c r="G428" s="106" t="str">
        <x:v>AkShare / Sina detailed financial statements</x:v>
      </x:c>
      <x:c r="H428" s="106" t="str">
        <x:v>https://vip.stock.finance.sina.com.cn/corp/go.php/vFD_FinanceSummary/stockid/600519/displaytype/4.phtml?source=fzb</x:v>
      </x:c>
      <x:c r="I428" s="106"/>
      <x:c r="J428" s="106"/>
      <x:c r="K428" s="121" t="str">
        <x:v>2026-09-04 07:48:00.989079+00:00</x:v>
      </x:c>
      <x:c r="L428" s="121" t="str">
        <x:v>2026-08-15 00:00:00+00:00</x:v>
      </x:c>
      <x:c r="M428" s="106" t="str">
        <x:v>akshare-financial-v1-sina-statements</x:v>
      </x:c>
      <x:c r="N428" s="106" t="str">
        <x:v>b6058934f4cc984e7a7310524c4f7723bb0f018e9ed16ae4d40031d64eca8c0f</x:v>
      </x:c>
      <x:c r="O428" s="113"/>
      <x:c r="P428" s="106" t="str">
        <x:v>pending</x:v>
      </x:c>
      <x:c r="Q428" s="106" t="str">
        <x:v>否</x:v>
      </x:c>
      <x:c r="R428" s="106" t="str">
        <x:v>由本地 Agent 同步</x:v>
      </x:c>
      <x:c r="S428" s="86"/>
      <x:c r="T428" s="86"/>
      <x:c r="U428" s="86"/>
      <x:c r="V428" s="86"/>
      <x:c r="W428" s="86"/>
      <x:c r="X428" s="86"/>
      <x:c r="Y428" s="86"/>
      <x:c r="Z428" s="86"/>
    </x:row>
    <x:row r="429">
      <x:c r="A429" s="106" t="str">
        <x:v>6ad98d10-1ddb-4c4a-b1c5-1ab13821bd58</x:v>
      </x:c>
      <x:c r="B429" s="106" t="str">
        <x:v>600690</x:v>
      </x:c>
      <x:c r="C429" s="106" t="str">
        <x:v>interest_bearing_debt</x:v>
      </x:c>
      <x:c r="D429" s="106" t="str">
        <x:v>2026-06-30</x:v>
      </x:c>
      <x:c r="E429" s="106" t="n">
        <x:v>424.791308744</x:v>
      </x:c>
      <x:c r="F429" s="106" t="str">
        <x:v>CNY 100M</x:v>
      </x:c>
      <x:c r="G429" s="106" t="str">
        <x:v>AkShare / Sina detailed financial statements</x:v>
      </x:c>
      <x:c r="H429" s="106" t="str">
        <x:v>https://vip.stock.finance.sina.com.cn/corp/go.php/vFD_FinanceSummary/stockid/600690/displaytype/4.phtml?source=fzb</x:v>
      </x:c>
      <x:c r="I429" s="106"/>
      <x:c r="J429" s="106"/>
      <x:c r="K429" s="121" t="str">
        <x:v>2026-09-04 07:48:00.989079+00:00</x:v>
      </x:c>
      <x:c r="L429" s="121" t="str">
        <x:v>2026-08-28 00:00:00+00:00</x:v>
      </x:c>
      <x:c r="M429" s="106" t="str">
        <x:v>akshare-financial-v1-sina-statements</x:v>
      </x:c>
      <x:c r="N429" s="106" t="str">
        <x:v>dfb5c542ba71092d35d97b52597d80d0dd7c1b55cc0721ffe51ccf03e8533462</x:v>
      </x:c>
      <x:c r="O429" s="113"/>
      <x:c r="P429" s="106" t="str">
        <x:v>pending</x:v>
      </x:c>
      <x:c r="Q429" s="106" t="str">
        <x:v>否</x:v>
      </x:c>
      <x:c r="R429" s="106" t="str">
        <x:v>由本地 Agent 同步</x:v>
      </x:c>
      <x:c r="S429" s="86"/>
      <x:c r="T429" s="86"/>
      <x:c r="U429" s="86"/>
      <x:c r="V429" s="86"/>
      <x:c r="W429" s="86"/>
      <x:c r="X429" s="86"/>
      <x:c r="Y429" s="86"/>
      <x:c r="Z429" s="86"/>
    </x:row>
    <x:row r="430">
      <x:c r="A430" s="106" t="str">
        <x:v>d74f3218-c9cd-462b-8f58-cd17c03b9bb0</x:v>
      </x:c>
      <x:c r="B430" s="106" t="str">
        <x:v>000333</x:v>
      </x:c>
      <x:c r="C430" s="106" t="str">
        <x:v>cash</x:v>
      </x:c>
      <x:c r="D430" s="106" t="str">
        <x:v>2026-06-30</x:v>
      </x:c>
      <x:c r="E430" s="106" t="n">
        <x:v>906.42783</x:v>
      </x:c>
      <x:c r="F430" s="106" t="str">
        <x:v>CNY 100M</x:v>
      </x:c>
      <x:c r="G430" s="106" t="str">
        <x:v>AkShare / Sina detailed financial statements</x:v>
      </x:c>
      <x:c r="H430" s="106" t="str">
        <x:v>https://vip.stock.finance.sina.com.cn/corp/go.php/vFD_FinanceSummary/stockid/000333/displaytype/4.phtml?source=fzb</x:v>
      </x:c>
      <x:c r="I430" s="106"/>
      <x:c r="J430" s="106"/>
      <x:c r="K430" s="121" t="str">
        <x:v>2026-09-04 07:48:00.989079+00:00</x:v>
      </x:c>
      <x:c r="L430" s="121" t="str">
        <x:v>2026-08-29 00:00:00+00:00</x:v>
      </x:c>
      <x:c r="M430" s="106" t="str">
        <x:v>akshare-financial-v1-sina-statements</x:v>
      </x:c>
      <x:c r="N430" s="106" t="str">
        <x:v>f891e43ce967ef0cd604f5bc803f8bdb5ba12f5649c0b854d759028455f201c0</x:v>
      </x:c>
      <x:c r="O430" s="113"/>
      <x:c r="P430" s="106" t="str">
        <x:v>pending</x:v>
      </x:c>
      <x:c r="Q430" s="106" t="str">
        <x:v>否</x:v>
      </x:c>
      <x:c r="R430" s="106" t="str">
        <x:v>由本地 Agent 同步</x:v>
      </x:c>
      <x:c r="S430" s="86"/>
      <x:c r="T430" s="86"/>
      <x:c r="U430" s="86"/>
      <x:c r="V430" s="86"/>
      <x:c r="W430" s="86"/>
      <x:c r="X430" s="86"/>
      <x:c r="Y430" s="86"/>
      <x:c r="Z430" s="86"/>
    </x:row>
    <x:row r="431">
      <x:c r="A431" s="106" t="str">
        <x:v>6e0f354c-d1b1-4c97-93f7-30ec6108613d</x:v>
      </x:c>
      <x:c r="B431" s="106" t="str">
        <x:v>601088</x:v>
      </x:c>
      <x:c r="C431" s="106" t="str">
        <x:v>free_cash_flow</x:v>
      </x:c>
      <x:c r="D431" s="106" t="str">
        <x:v>2026-06-30</x:v>
      </x:c>
      <x:c r="E431" s="106" t="n">
        <x:v>250.85</x:v>
      </x:c>
      <x:c r="F431" s="106" t="str">
        <x:v>CNY 100M</x:v>
      </x:c>
      <x:c r="G431" s="106" t="str">
        <x:v>AkShare / Sina detailed financial statements</x:v>
      </x:c>
      <x:c r="H431" s="106" t="str">
        <x:v>https://vip.stock.finance.sina.com.cn/corp/go.php/vFD_FinanceSummary/stockid/601088/displaytype/4.phtml?source=fzb</x:v>
      </x:c>
      <x:c r="I431" s="106"/>
      <x:c r="J431" s="106"/>
      <x:c r="K431" s="121" t="str">
        <x:v>2026-09-04 07:48:00.989079+00:00</x:v>
      </x:c>
      <x:c r="L431" s="121" t="str">
        <x:v>2026-08-29 00:00:00+00:00</x:v>
      </x:c>
      <x:c r="M431" s="106" t="str">
        <x:v>akshare-financial-v1-sina-statements</x:v>
      </x:c>
      <x:c r="N431" s="106" t="str">
        <x:v>fafb36a096765360b2d9a917b213c83778b5b825b1bebb77873a65a30f669b73</x:v>
      </x:c>
      <x:c r="O431" s="113"/>
      <x:c r="P431" s="106" t="str">
        <x:v>pending</x:v>
      </x:c>
      <x:c r="Q431" s="106" t="str">
        <x:v>否</x:v>
      </x:c>
      <x:c r="R431" s="106" t="str">
        <x:v>由本地 Agent 同步</x:v>
      </x:c>
      <x:c r="S431" s="86"/>
      <x:c r="T431" s="86"/>
      <x:c r="U431" s="86"/>
      <x:c r="V431" s="86"/>
      <x:c r="W431" s="86"/>
      <x:c r="X431" s="86"/>
      <x:c r="Y431" s="86"/>
      <x:c r="Z431" s="86"/>
    </x:row>
    <x:row r="432">
      <x:c r="A432" s="106" t="str">
        <x:v>e3e237f0-1f7e-49b6-9066-747be5b20b81</x:v>
      </x:c>
      <x:c r="B432" s="106" t="str">
        <x:v>600519</x:v>
      </x:c>
      <x:c r="C432" s="106" t="str">
        <x:v>current_price</x:v>
      </x:c>
      <x:c r="D432" s="106" t="str">
        <x:v>2026-09-04 07:47</x:v>
      </x:c>
      <x:c r="E432" s="106" t="n">
        <x:v>1298.88</x:v>
      </x:c>
      <x:c r="F432" s="106" t="str">
        <x:v>CNY/share</x:v>
      </x:c>
      <x:c r="G432" s="106" t="str">
        <x:v>AkShare / Sina public historical quotes</x:v>
      </x:c>
      <x:c r="H432" s="106" t="str">
        <x:v>https://akshare.akfamily.xyz/data/stock/stock.html</x:v>
      </x:c>
      <x:c r="I432" s="106"/>
      <x:c r="J432" s="106"/>
      <x:c r="K432" s="121" t="str">
        <x:v>2026-09-04 07:47:38.209396+00:00</x:v>
      </x:c>
      <x:c r="L432" s="121"/>
      <x:c r="M432" s="106" t="str">
        <x:v>akshare-price-v3-sina-history</x:v>
      </x:c>
      <x:c r="N432" s="106" t="str">
        <x:v>8cae531b70bfbf0fb9c03a27adbd58abb504f2b1a305a56c37d04832dca22bfd</x:v>
      </x:c>
      <x:c r="O432" s="113"/>
      <x:c r="P432" s="106" t="str">
        <x:v>pending</x:v>
      </x:c>
      <x:c r="Q432" s="106" t="str">
        <x:v>否</x:v>
      </x:c>
      <x:c r="R432" s="106" t="str">
        <x:v>由本地 Agent 同步</x:v>
      </x:c>
      <x:c r="S432" s="86"/>
      <x:c r="T432" s="86"/>
      <x:c r="U432" s="86"/>
      <x:c r="V432" s="86"/>
      <x:c r="W432" s="86"/>
      <x:c r="X432" s="86"/>
      <x:c r="Y432" s="86"/>
      <x:c r="Z432" s="86"/>
    </x:row>
    <x:row r="433">
      <x:c r="A433" s="106" t="str">
        <x:v>d2b3c2cc-bcf1-49f9-870a-9b4dc0dde700</x:v>
      </x:c>
      <x:c r="B433" s="106" t="str">
        <x:v>600887</x:v>
      </x:c>
      <x:c r="C433" s="106" t="str">
        <x:v>interest_bearing_debt</x:v>
      </x:c>
      <x:c r="D433" s="106" t="str">
        <x:v>2026-06-30</x:v>
      </x:c>
      <x:c r="E433" s="106" t="n">
        <x:v>650.7330373872</x:v>
      </x:c>
      <x:c r="F433" s="106" t="str">
        <x:v>CNY 100M</x:v>
      </x:c>
      <x:c r="G433" s="106" t="str">
        <x:v>AkShare / Sina detailed financial statements</x:v>
      </x:c>
      <x:c r="H433" s="106" t="str">
        <x:v>https://vip.stock.finance.sina.com.cn/corp/go.php/vFD_FinanceSummary/stockid/600887/displaytype/4.phtml?source=fzb</x:v>
      </x:c>
      <x:c r="I433" s="106"/>
      <x:c r="J433" s="106"/>
      <x:c r="K433" s="121" t="str">
        <x:v>2026-09-04 07:48:00.989079+00:00</x:v>
      </x:c>
      <x:c r="L433" s="121" t="str">
        <x:v>2026-08-27 00:00:00+00:00</x:v>
      </x:c>
      <x:c r="M433" s="106" t="str">
        <x:v>akshare-financial-v1-sina-statements</x:v>
      </x:c>
      <x:c r="N433" s="106" t="str">
        <x:v>047cdf38f8965346dad558533cdb444d877f0e2146498ee5857a874aaab6e89b</x:v>
      </x:c>
      <x:c r="O433" s="113"/>
      <x:c r="P433" s="106" t="str">
        <x:v>pending</x:v>
      </x:c>
      <x:c r="Q433" s="106" t="str">
        <x:v>否</x:v>
      </x:c>
      <x:c r="R433" s="106" t="str">
        <x:v>由本地 Agent 同步</x:v>
      </x:c>
      <x:c r="S433" s="86"/>
      <x:c r="T433" s="86"/>
      <x:c r="U433" s="86"/>
      <x:c r="V433" s="86"/>
      <x:c r="W433" s="86"/>
      <x:c r="X433" s="86"/>
      <x:c r="Y433" s="86"/>
      <x:c r="Z433" s="86"/>
    </x:row>
    <x:row r="434">
      <x:c r="A434" s="106" t="str">
        <x:v>4edabadc-9afd-4e96-90d7-7e3e44b41d28</x:v>
      </x:c>
      <x:c r="B434" s="106" t="str">
        <x:v>300750</x:v>
      </x:c>
      <x:c r="C434" s="106" t="str">
        <x:v>cash</x:v>
      </x:c>
      <x:c r="D434" s="106" t="str">
        <x:v>2026-06-30</x:v>
      </x:c>
      <x:c r="E434" s="106" t="n">
        <x:v>3720.53275</x:v>
      </x:c>
      <x:c r="F434" s="106" t="str">
        <x:v>CNY 100M</x:v>
      </x:c>
      <x:c r="G434" s="106" t="str">
        <x:v>AkShare / Sina detailed financial statements</x:v>
      </x:c>
      <x:c r="H434" s="106" t="str">
        <x:v>https://vip.stock.finance.sina.com.cn/corp/go.php/vFD_FinanceSummary/stockid/300750/displaytype/4.phtml?source=fzb</x:v>
      </x:c>
      <x:c r="I434" s="106"/>
      <x:c r="J434" s="106"/>
      <x:c r="K434" s="121" t="str">
        <x:v>2026-09-04 07:48:00.989079+00:00</x:v>
      </x:c>
      <x:c r="L434" s="121" t="str">
        <x:v>2026-07-25 00:00:00+00:00</x:v>
      </x:c>
      <x:c r="M434" s="106" t="str">
        <x:v>akshare-financial-v1-sina-statements</x:v>
      </x:c>
      <x:c r="N434" s="106" t="str">
        <x:v>03b71fd25053a9dfacdfb84de31612685fa0eefd4362290c44d6959abd339c56</x:v>
      </x:c>
      <x:c r="O434" s="113"/>
      <x:c r="P434" s="106" t="str">
        <x:v>pending</x:v>
      </x:c>
      <x:c r="Q434" s="106" t="str">
        <x:v>否</x:v>
      </x:c>
      <x:c r="R434" s="106" t="str">
        <x:v>由本地 Agent 同步</x:v>
      </x:c>
      <x:c r="S434" s="86"/>
      <x:c r="T434" s="86"/>
      <x:c r="U434" s="86"/>
      <x:c r="V434" s="86"/>
      <x:c r="W434" s="86"/>
      <x:c r="X434" s="86"/>
      <x:c r="Y434" s="86"/>
      <x:c r="Z434" s="86"/>
    </x:row>
    <x:row r="435">
      <x:c r="A435" s="106" t="str">
        <x:v>aa790c2d-de7e-4397-8ff5-ace58cc34c7a</x:v>
      </x:c>
      <x:c r="B435" s="106" t="str">
        <x:v>601288</x:v>
      </x:c>
      <x:c r="C435" s="106" t="str">
        <x:v>interest_bearing_debt</x:v>
      </x:c>
      <x:c r="D435" s="106" t="str">
        <x:v>2026-06-30</x:v>
      </x:c>
      <x:c r="E435" s="106" t="n">
        <x:v>471301.83</x:v>
      </x:c>
      <x:c r="F435" s="106" t="str">
        <x:v>CNY 100M</x:v>
      </x:c>
      <x:c r="G435" s="106" t="str">
        <x:v>AkShare / Sina detailed financial statements</x:v>
      </x:c>
      <x:c r="H435" s="106" t="str">
        <x:v>https://vip.stock.finance.sina.com.cn/corp/go.php/vFD_FinanceSummary/stockid/601288/displaytype/4.phtml?source=fzb</x:v>
      </x:c>
      <x:c r="I435" s="106"/>
      <x:c r="J435" s="106"/>
      <x:c r="K435" s="121" t="str">
        <x:v>2026-09-04 07:48:00.989079+00:00</x:v>
      </x:c>
      <x:c r="L435" s="121" t="str">
        <x:v>2026-08-29 00:00:00+00:00</x:v>
      </x:c>
      <x:c r="M435" s="106" t="str">
        <x:v>akshare-financial-v1-sina-statements</x:v>
      </x:c>
      <x:c r="N435" s="106" t="str">
        <x:v>c0523094efaa56222a1e846ea5d84ec038d200bb2a13bf623f6d29add96e1e99</x:v>
      </x:c>
      <x:c r="O435" s="113"/>
      <x:c r="P435" s="106" t="str">
        <x:v>pending</x:v>
      </x:c>
      <x:c r="Q435" s="106" t="str">
        <x:v>否</x:v>
      </x:c>
      <x:c r="R435" s="106" t="str">
        <x:v>由本地 Agent 同步</x:v>
      </x:c>
      <x:c r="S435" s="86"/>
      <x:c r="T435" s="86"/>
      <x:c r="U435" s="86"/>
      <x:c r="V435" s="86"/>
      <x:c r="W435" s="86"/>
      <x:c r="X435" s="86"/>
      <x:c r="Y435" s="86"/>
      <x:c r="Z435" s="86"/>
    </x:row>
    <x:row r="436">
      <x:c r="A436" s="106" t="str">
        <x:v>d74f3218-c9cd-462b-8f58-cd17c03b9bb0</x:v>
      </x:c>
      <x:c r="B436" s="106" t="str">
        <x:v>000333</x:v>
      </x:c>
      <x:c r="C436" s="106" t="str">
        <x:v>interest_bearing_debt</x:v>
      </x:c>
      <x:c r="D436" s="106" t="str">
        <x:v>2026-06-30</x:v>
      </x:c>
      <x:c r="E436" s="106" t="n">
        <x:v>744.51256</x:v>
      </x:c>
      <x:c r="F436" s="106" t="str">
        <x:v>CNY 100M</x:v>
      </x:c>
      <x:c r="G436" s="106" t="str">
        <x:v>AkShare / Sina detailed financial statements</x:v>
      </x:c>
      <x:c r="H436" s="106" t="str">
        <x:v>https://vip.stock.finance.sina.com.cn/corp/go.php/vFD_FinanceSummary/stockid/000333/displaytype/4.phtml?source=fzb</x:v>
      </x:c>
      <x:c r="I436" s="106"/>
      <x:c r="J436" s="106"/>
      <x:c r="K436" s="121" t="str">
        <x:v>2026-09-04 07:48:00.989079+00:00</x:v>
      </x:c>
      <x:c r="L436" s="121" t="str">
        <x:v>2026-08-29 00:00:00+00:00</x:v>
      </x:c>
      <x:c r="M436" s="106" t="str">
        <x:v>akshare-financial-v1-sina-statements</x:v>
      </x:c>
      <x:c r="N436" s="106" t="str">
        <x:v>f891e43ce967ef0cd604f5bc803f8bdb5ba12f5649c0b854d759028455f201c0</x:v>
      </x:c>
      <x:c r="O436" s="113"/>
      <x:c r="P436" s="106" t="str">
        <x:v>pending</x:v>
      </x:c>
      <x:c r="Q436" s="106" t="str">
        <x:v>否</x:v>
      </x:c>
      <x:c r="R436" s="106" t="str">
        <x:v>由本地 Agent 同步</x:v>
      </x:c>
      <x:c r="S436" s="86"/>
      <x:c r="T436" s="86"/>
      <x:c r="U436" s="86"/>
      <x:c r="V436" s="86"/>
      <x:c r="W436" s="86"/>
      <x:c r="X436" s="86"/>
      <x:c r="Y436" s="86"/>
      <x:c r="Z436" s="86"/>
    </x:row>
    <x:row r="437">
      <x:c r="A437" s="106" t="str">
        <x:v>cb36d428-f33e-4828-8445-07231e0b275f</x:v>
      </x:c>
      <x:c r="B437" s="106" t="str">
        <x:v>600941</x:v>
      </x:c>
      <x:c r="C437" s="106" t="str">
        <x:v>interest_bearing_debt</x:v>
      </x:c>
      <x:c r="D437" s="106" t="str">
        <x:v>2026-06-30</x:v>
      </x:c>
      <x:c r="E437" s="106" t="n">
        <x:v>555.6</x:v>
      </x:c>
      <x:c r="F437" s="106" t="str">
        <x:v>CNY 100M</x:v>
      </x:c>
      <x:c r="G437" s="106" t="str">
        <x:v>AkShare / Sina detailed financial statements</x:v>
      </x:c>
      <x:c r="H437" s="106" t="str">
        <x:v>https://vip.stock.finance.sina.com.cn/corp/go.php/vFD_FinanceSummary/stockid/600941/displaytype/4.phtml?source=fzb</x:v>
      </x:c>
      <x:c r="I437" s="106"/>
      <x:c r="J437" s="106"/>
      <x:c r="K437" s="121" t="str">
        <x:v>2026-09-04 07:48:00.989079+00:00</x:v>
      </x:c>
      <x:c r="L437" s="121" t="str">
        <x:v>2026-08-14 00:00:00+00:00</x:v>
      </x:c>
      <x:c r="M437" s="106" t="str">
        <x:v>akshare-financial-v1-sina-statements</x:v>
      </x:c>
      <x:c r="N437" s="106" t="str">
        <x:v>ce0348b0a84ad61daa79c89f0df0f391094b3ad3af6a847a497621ce77f58df1</x:v>
      </x:c>
      <x:c r="O437" s="113"/>
      <x:c r="P437" s="106" t="str">
        <x:v>pending</x:v>
      </x:c>
      <x:c r="Q437" s="106" t="str">
        <x:v>否</x:v>
      </x:c>
      <x:c r="R437" s="106" t="str">
        <x:v>由本地 Agent 同步</x:v>
      </x:c>
      <x:c r="S437" s="86"/>
      <x:c r="T437" s="86"/>
      <x:c r="U437" s="86"/>
      <x:c r="V437" s="86"/>
      <x:c r="W437" s="86"/>
      <x:c r="X437" s="86"/>
      <x:c r="Y437" s="86"/>
      <x:c r="Z437" s="86"/>
    </x:row>
    <x:row r="438">
      <x:c r="A438" s="106" t="str">
        <x:v>65db6ef0-cb9a-4d30-8848-a9232110bf23</x:v>
      </x:c>
      <x:c r="B438" s="106" t="str">
        <x:v>600036</x:v>
      </x:c>
      <x:c r="C438" s="106" t="str">
        <x:v>cash</x:v>
      </x:c>
      <x:c r="D438" s="106" t="str">
        <x:v>2026-06-30</x:v>
      </x:c>
      <x:c r="E438" s="106" t="n">
        <x:v>6752</x:v>
      </x:c>
      <x:c r="F438" s="106" t="str">
        <x:v>CNY 100M</x:v>
      </x:c>
      <x:c r="G438" s="106" t="str">
        <x:v>AkShare / Sina detailed financial statements</x:v>
      </x:c>
      <x:c r="H438" s="106" t="str">
        <x:v>https://vip.stock.finance.sina.com.cn/corp/go.php/vFD_FinanceSummary/stockid/600036/displaytype/4.phtml?source=fzb</x:v>
      </x:c>
      <x:c r="I438" s="106"/>
      <x:c r="J438" s="106"/>
      <x:c r="K438" s="121" t="str">
        <x:v>2026-09-04 07:48:00.989079+00:00</x:v>
      </x:c>
      <x:c r="L438" s="121" t="str">
        <x:v>2026-08-29 00:00:00+00:00</x:v>
      </x:c>
      <x:c r="M438" s="106" t="str">
        <x:v>akshare-financial-v1-sina-statements</x:v>
      </x:c>
      <x:c r="N438" s="106" t="str">
        <x:v>f819d76fa6136c847757c1ecb5e43f9868ec7ce6577a376d2528f577fd233b43</x:v>
      </x:c>
      <x:c r="O438" s="113"/>
      <x:c r="P438" s="106" t="str">
        <x:v>pending</x:v>
      </x:c>
      <x:c r="Q438" s="106" t="str">
        <x:v>否</x:v>
      </x:c>
      <x:c r="R438" s="106" t="str">
        <x:v>由本地 Agent 同步</x:v>
      </x:c>
      <x:c r="S438" s="86"/>
      <x:c r="T438" s="86"/>
      <x:c r="U438" s="86"/>
      <x:c r="V438" s="86"/>
      <x:c r="W438" s="86"/>
      <x:c r="X438" s="86"/>
      <x:c r="Y438" s="86"/>
      <x:c r="Z438" s="86"/>
    </x:row>
    <x:row r="439">
      <x:c r="A439" s="106" t="str">
        <x:v>6e0f354c-d1b1-4c97-93f7-30ec6108613d</x:v>
      </x:c>
      <x:c r="B439" s="106" t="str">
        <x:v>601088</x:v>
      </x:c>
      <x:c r="C439" s="106" t="str">
        <x:v>interest_bearing_debt</x:v>
      </x:c>
      <x:c r="D439" s="106" t="str">
        <x:v>2026-06-30</x:v>
      </x:c>
      <x:c r="E439" s="106" t="n">
        <x:v>1677.37</x:v>
      </x:c>
      <x:c r="F439" s="106" t="str">
        <x:v>CNY 100M</x:v>
      </x:c>
      <x:c r="G439" s="106" t="str">
        <x:v>AkShare / Sina detailed financial statements</x:v>
      </x:c>
      <x:c r="H439" s="106" t="str">
        <x:v>https://vip.stock.finance.sina.com.cn/corp/go.php/vFD_FinanceSummary/stockid/601088/displaytype/4.phtml?source=fzb</x:v>
      </x:c>
      <x:c r="I439" s="106"/>
      <x:c r="J439" s="106"/>
      <x:c r="K439" s="121" t="str">
        <x:v>2026-09-04 07:48:00.989079+00:00</x:v>
      </x:c>
      <x:c r="L439" s="121" t="str">
        <x:v>2026-08-29 00:00:00+00:00</x:v>
      </x:c>
      <x:c r="M439" s="106" t="str">
        <x:v>akshare-financial-v1-sina-statements</x:v>
      </x:c>
      <x:c r="N439" s="106" t="str">
        <x:v>fafb36a096765360b2d9a917b213c83778b5b825b1bebb77873a65a30f669b73</x:v>
      </x:c>
      <x:c r="O439" s="113"/>
      <x:c r="P439" s="106" t="str">
        <x:v>pending</x:v>
      </x:c>
      <x:c r="Q439" s="106" t="str">
        <x:v>否</x:v>
      </x:c>
      <x:c r="R439" s="106" t="str">
        <x:v>由本地 Agent 同步</x:v>
      </x:c>
      <x:c r="S439" s="86"/>
      <x:c r="T439" s="86"/>
      <x:c r="U439" s="86"/>
      <x:c r="V439" s="86"/>
      <x:c r="W439" s="86"/>
      <x:c r="X439" s="86"/>
      <x:c r="Y439" s="86"/>
      <x:c r="Z439" s="86"/>
    </x:row>
    <x:row r="440">
      <x:c r="A440" s="106" t="str">
        <x:v>d2b3c2cc-bcf1-49f9-870a-9b4dc0dde700</x:v>
      </x:c>
      <x:c r="B440" s="106" t="str">
        <x:v>600887</x:v>
      </x:c>
      <x:c r="C440" s="106" t="str">
        <x:v>cash</x:v>
      </x:c>
      <x:c r="D440" s="106" t="str">
        <x:v>2026-06-30</x:v>
      </x:c>
      <x:c r="E440" s="106" t="n">
        <x:v>166.1674229033</x:v>
      </x:c>
      <x:c r="F440" s="106" t="str">
        <x:v>CNY 100M</x:v>
      </x:c>
      <x:c r="G440" s="106" t="str">
        <x:v>AkShare / Sina detailed financial statements</x:v>
      </x:c>
      <x:c r="H440" s="106" t="str">
        <x:v>https://vip.stock.finance.sina.com.cn/corp/go.php/vFD_FinanceSummary/stockid/600887/displaytype/4.phtml?source=fzb</x:v>
      </x:c>
      <x:c r="I440" s="106"/>
      <x:c r="J440" s="106"/>
      <x:c r="K440" s="121" t="str">
        <x:v>2026-09-04 07:48:00.989079+00:00</x:v>
      </x:c>
      <x:c r="L440" s="121" t="str">
        <x:v>2026-08-27 00:00:00+00:00</x:v>
      </x:c>
      <x:c r="M440" s="106" t="str">
        <x:v>akshare-financial-v1-sina-statements</x:v>
      </x:c>
      <x:c r="N440" s="106" t="str">
        <x:v>047cdf38f8965346dad558533cdb444d877f0e2146498ee5857a874aaab6e89b</x:v>
      </x:c>
      <x:c r="O440" s="113"/>
      <x:c r="P440" s="106" t="str">
        <x:v>pending</x:v>
      </x:c>
      <x:c r="Q440" s="106" t="str">
        <x:v>否</x:v>
      </x:c>
      <x:c r="R440" s="106" t="str">
        <x:v>由本地 Agent 同步</x:v>
      </x:c>
      <x:c r="S440" s="86"/>
      <x:c r="T440" s="86"/>
      <x:c r="U440" s="86"/>
      <x:c r="V440" s="86"/>
      <x:c r="W440" s="86"/>
      <x:c r="X440" s="86"/>
      <x:c r="Y440" s="86"/>
      <x:c r="Z440" s="86"/>
    </x:row>
    <x:row r="441">
      <x:c r="A441" s="106" t="str">
        <x:v>fb0a3140-5612-4066-9755-ca84d99411b5</x:v>
      </x:c>
      <x:c r="B441" s="106" t="str">
        <x:v>600690</x:v>
      </x:c>
      <x:c r="C441" s="106" t="str">
        <x:v>current_price</x:v>
      </x:c>
      <x:c r="D441" s="106" t="str">
        <x:v>2026-09-04 07:47</x:v>
      </x:c>
      <x:c r="E441" s="106" t="n">
        <x:v>21.82</x:v>
      </x:c>
      <x:c r="F441" s="106" t="str">
        <x:v>CNY/share</x:v>
      </x:c>
      <x:c r="G441" s="106" t="str">
        <x:v>AkShare / Sina public historical quotes</x:v>
      </x:c>
      <x:c r="H441" s="106" t="str">
        <x:v>https://akshare.akfamily.xyz/data/stock/stock.html</x:v>
      </x:c>
      <x:c r="I441" s="106"/>
      <x:c r="J441" s="106"/>
      <x:c r="K441" s="121" t="str">
        <x:v>2026-09-04 07:47:38.209396+00:00</x:v>
      </x:c>
      <x:c r="L441" s="121"/>
      <x:c r="M441" s="106" t="str">
        <x:v>akshare-price-v3-sina-history</x:v>
      </x:c>
      <x:c r="N441" s="106" t="str">
        <x:v>14e5a4852193d0087bdae0b2ac5d277345ba54fc10abe1e47ac66193cf626c16</x:v>
      </x:c>
      <x:c r="O441" s="113"/>
      <x:c r="P441" s="106" t="str">
        <x:v>pending</x:v>
      </x:c>
      <x:c r="Q441" s="106" t="str">
        <x:v>否</x:v>
      </x:c>
      <x:c r="R441" s="106" t="str">
        <x:v>由本地 Agent 同步</x:v>
      </x:c>
      <x:c r="S441" s="86"/>
      <x:c r="T441" s="86"/>
      <x:c r="U441" s="86"/>
      <x:c r="V441" s="86"/>
      <x:c r="W441" s="86"/>
      <x:c r="X441" s="86"/>
      <x:c r="Y441" s="86"/>
      <x:c r="Z441" s="86"/>
    </x:row>
    <x:row r="442">
      <x:c r="A442" s="106" t="str">
        <x:v>021cfce0-9869-4abc-a396-dca3494bd753</x:v>
      </x:c>
      <x:c r="B442" s="106" t="str">
        <x:v>601288</x:v>
      </x:c>
      <x:c r="C442" s="106" t="str">
        <x:v>current_price</x:v>
      </x:c>
      <x:c r="D442" s="106" t="str">
        <x:v>2026-09-04 07:47</x:v>
      </x:c>
      <x:c r="E442" s="106" t="n">
        <x:v>6.89</x:v>
      </x:c>
      <x:c r="F442" s="106" t="str">
        <x:v>CNY/share</x:v>
      </x:c>
      <x:c r="G442" s="106" t="str">
        <x:v>AkShare / Sina public historical quotes</x:v>
      </x:c>
      <x:c r="H442" s="106" t="str">
        <x:v>https://akshare.akfamily.xyz/data/stock/stock.html</x:v>
      </x:c>
      <x:c r="I442" s="106"/>
      <x:c r="J442" s="106"/>
      <x:c r="K442" s="121" t="str">
        <x:v>2026-09-04 07:47:38.209396+00:00</x:v>
      </x:c>
      <x:c r="L442" s="121"/>
      <x:c r="M442" s="106" t="str">
        <x:v>akshare-price-v3-sina-history</x:v>
      </x:c>
      <x:c r="N442" s="106" t="str">
        <x:v>40f616305b4ce4a412b7d22b5617880560e94d8a16bb6a4100bbf6d3182ea055</x:v>
      </x:c>
      <x:c r="O442" s="113"/>
      <x:c r="P442" s="106" t="str">
        <x:v>pending</x:v>
      </x:c>
      <x:c r="Q442" s="106" t="str">
        <x:v>否</x:v>
      </x:c>
      <x:c r="R442" s="106" t="str">
        <x:v>由本地 Agent 同步</x:v>
      </x:c>
      <x:c r="S442" s="86"/>
      <x:c r="T442" s="86"/>
      <x:c r="U442" s="86"/>
      <x:c r="V442" s="86"/>
      <x:c r="W442" s="86"/>
      <x:c r="X442" s="86"/>
      <x:c r="Y442" s="86"/>
      <x:c r="Z442" s="86"/>
    </x:row>
    <x:row r="443">
      <x:c r="A443" s="106" t="str">
        <x:v>95e7b0ba-4c9f-4b92-b316-92024f50a6b8</x:v>
      </x:c>
      <x:c r="B443" s="106" t="str">
        <x:v>300750</x:v>
      </x:c>
      <x:c r="C443" s="106" t="str">
        <x:v>current_price</x:v>
      </x:c>
      <x:c r="D443" s="106" t="str">
        <x:v>2026-09-04 07:47</x:v>
      </x:c>
      <x:c r="E443" s="106" t="n">
        <x:v>349.5</x:v>
      </x:c>
      <x:c r="F443" s="106" t="str">
        <x:v>CNY/share</x:v>
      </x:c>
      <x:c r="G443" s="106" t="str">
        <x:v>AkShare / Sina public historical quotes</x:v>
      </x:c>
      <x:c r="H443" s="106" t="str">
        <x:v>https://akshare.akfamily.xyz/data/stock/stock.html</x:v>
      </x:c>
      <x:c r="I443" s="106"/>
      <x:c r="J443" s="106"/>
      <x:c r="K443" s="121" t="str">
        <x:v>2026-09-04 07:47:38.209396+00:00</x:v>
      </x:c>
      <x:c r="L443" s="121"/>
      <x:c r="M443" s="106" t="str">
        <x:v>akshare-price-v3-sina-history</x:v>
      </x:c>
      <x:c r="N443" s="106" t="str">
        <x:v>1847b3f2a9811cf7ef57775ea3b8c2a7e6c96361cd421e0bd78d1db9f64299f2</x:v>
      </x:c>
      <x:c r="O443" s="113"/>
      <x:c r="P443" s="106" t="str">
        <x:v>pending</x:v>
      </x:c>
      <x:c r="Q443" s="106" t="str">
        <x:v>否</x:v>
      </x:c>
      <x:c r="R443" s="106" t="str">
        <x:v>由本地 Agent 同步</x:v>
      </x:c>
      <x:c r="S443" s="86"/>
      <x:c r="T443" s="86"/>
      <x:c r="U443" s="86"/>
      <x:c r="V443" s="86"/>
      <x:c r="W443" s="86"/>
      <x:c r="X443" s="86"/>
      <x:c r="Y443" s="86"/>
      <x:c r="Z443" s="86"/>
    </x:row>
    <x:row r="444">
      <x:c r="A444" s="106" t="str">
        <x:v>2d9e6937-3d74-43df-a432-78f57b4c3a22</x:v>
      </x:c>
      <x:c r="B444" s="106" t="str">
        <x:v>600887</x:v>
      </x:c>
      <x:c r="C444" s="106" t="str">
        <x:v>current_price</x:v>
      </x:c>
      <x:c r="D444" s="106" t="str">
        <x:v>2026-09-04 07:47</x:v>
      </x:c>
      <x:c r="E444" s="106" t="n">
        <x:v>26.56</x:v>
      </x:c>
      <x:c r="F444" s="106" t="str">
        <x:v>CNY/share</x:v>
      </x:c>
      <x:c r="G444" s="106" t="str">
        <x:v>AkShare / Sina public historical quotes</x:v>
      </x:c>
      <x:c r="H444" s="106" t="str">
        <x:v>https://akshare.akfamily.xyz/data/stock/stock.html</x:v>
      </x:c>
      <x:c r="I444" s="106"/>
      <x:c r="J444" s="106"/>
      <x:c r="K444" s="121" t="str">
        <x:v>2026-09-04 07:47:38.209396+00:00</x:v>
      </x:c>
      <x:c r="L444" s="121"/>
      <x:c r="M444" s="106" t="str">
        <x:v>akshare-price-v3-sina-history</x:v>
      </x:c>
      <x:c r="N444" s="106" t="str">
        <x:v>b3a8f9fc122b3f4daf7feeb3f55a1ea63d6b10b0b65393a9ab61f1dd36bf9f8e</x:v>
      </x:c>
      <x:c r="O444" s="113"/>
      <x:c r="P444" s="106" t="str">
        <x:v>pending</x:v>
      </x:c>
      <x:c r="Q444" s="106" t="str">
        <x:v>否</x:v>
      </x:c>
      <x:c r="R444" s="106" t="str">
        <x:v>由本地 Agent 同步</x:v>
      </x:c>
      <x:c r="S444" s="86"/>
      <x:c r="T444" s="86"/>
      <x:c r="U444" s="86"/>
      <x:c r="V444" s="86"/>
      <x:c r="W444" s="86"/>
      <x:c r="X444" s="86"/>
      <x:c r="Y444" s="86"/>
      <x:c r="Z444" s="86"/>
    </x:row>
    <x:row r="445">
      <x:c r="A445" s="106" t="str">
        <x:v>c30809e3-0953-4ffd-9a7a-5454b2e1b608</x:v>
      </x:c>
      <x:c r="B445" s="106" t="str">
        <x:v>600036</x:v>
      </x:c>
      <x:c r="C445" s="106" t="str">
        <x:v>current_price</x:v>
      </x:c>
      <x:c r="D445" s="106" t="str">
        <x:v>2026-09-04 07:47</x:v>
      </x:c>
      <x:c r="E445" s="106" t="n">
        <x:v>41.07</x:v>
      </x:c>
      <x:c r="F445" s="106" t="str">
        <x:v>CNY/share</x:v>
      </x:c>
      <x:c r="G445" s="106" t="str">
        <x:v>AkShare / Sina public historical quotes</x:v>
      </x:c>
      <x:c r="H445" s="106" t="str">
        <x:v>https://akshare.akfamily.xyz/data/stock/stock.html</x:v>
      </x:c>
      <x:c r="I445" s="106"/>
      <x:c r="J445" s="106"/>
      <x:c r="K445" s="121" t="str">
        <x:v>2026-09-04 07:47:38.209396+00:00</x:v>
      </x:c>
      <x:c r="L445" s="121"/>
      <x:c r="M445" s="106" t="str">
        <x:v>akshare-price-v3-sina-history</x:v>
      </x:c>
      <x:c r="N445" s="106" t="str">
        <x:v>1b050067ff5ddcf72ff1b8475d39ab278eca37975b11b99763190ddac16d7eb3</x:v>
      </x:c>
      <x:c r="O445" s="113"/>
      <x:c r="P445" s="106" t="str">
        <x:v>pending</x:v>
      </x:c>
      <x:c r="Q445" s="106" t="str">
        <x:v>否</x:v>
      </x:c>
      <x:c r="R445" s="106" t="str">
        <x:v>由本地 Agent 同步</x:v>
      </x:c>
      <x:c r="S445" s="86"/>
      <x:c r="T445" s="86"/>
      <x:c r="U445" s="86"/>
      <x:c r="V445" s="86"/>
      <x:c r="W445" s="86"/>
      <x:c r="X445" s="86"/>
      <x:c r="Y445" s="86"/>
      <x:c r="Z445" s="86"/>
    </x:row>
    <x:row r="446">
      <x:c r="A446" s="106" t="str">
        <x:v>3da3ccca-6150-479d-97c4-52b1f46f2dd7</x:v>
      </x:c>
      <x:c r="B446" s="106" t="str">
        <x:v>600941</x:v>
      </x:c>
      <x:c r="C446" s="106" t="str">
        <x:v>current_price</x:v>
      </x:c>
      <x:c r="D446" s="106" t="str">
        <x:v>2026-09-04 07:47</x:v>
      </x:c>
      <x:c r="E446" s="106" t="n">
        <x:v>100.53</x:v>
      </x:c>
      <x:c r="F446" s="106" t="str">
        <x:v>CNY/share</x:v>
      </x:c>
      <x:c r="G446" s="106" t="str">
        <x:v>AkShare / Sina public historical quotes</x:v>
      </x:c>
      <x:c r="H446" s="106" t="str">
        <x:v>https://akshare.akfamily.xyz/data/stock/stock.html</x:v>
      </x:c>
      <x:c r="I446" s="106"/>
      <x:c r="J446" s="106"/>
      <x:c r="K446" s="121" t="str">
        <x:v>2026-09-04 07:47:38.209396+00:00</x:v>
      </x:c>
      <x:c r="L446" s="121"/>
      <x:c r="M446" s="106" t="str">
        <x:v>akshare-price-v3-sina-history</x:v>
      </x:c>
      <x:c r="N446" s="106" t="str">
        <x:v>15e218d59866cd8441c00bb3e1779b27e382c4d3eae1a72ba472eec6a086d481</x:v>
      </x:c>
      <x:c r="O446" s="113"/>
      <x:c r="P446" s="106" t="str">
        <x:v>pending</x:v>
      </x:c>
      <x:c r="Q446" s="106" t="str">
        <x:v>否</x:v>
      </x:c>
      <x:c r="R446" s="106" t="str">
        <x:v>由本地 Agent 同步</x:v>
      </x:c>
      <x:c r="S446" s="86"/>
      <x:c r="T446" s="86"/>
      <x:c r="U446" s="86"/>
      <x:c r="V446" s="86"/>
      <x:c r="W446" s="86"/>
      <x:c r="X446" s="86"/>
      <x:c r="Y446" s="86"/>
      <x:c r="Z446" s="86"/>
    </x:row>
    <x:row r="447">
      <x:c r="A447" s="106" t="str">
        <x:v>975278a4-b6d8-408d-9759-bec6fa22c4b7</x:v>
      </x:c>
      <x:c r="B447" s="106" t="str">
        <x:v>000333</x:v>
      </x:c>
      <x:c r="C447" s="106" t="str">
        <x:v>current_price</x:v>
      </x:c>
      <x:c r="D447" s="106" t="str">
        <x:v>2026-09-04 07:47</x:v>
      </x:c>
      <x:c r="E447" s="106" t="n">
        <x:v>87.25</x:v>
      </x:c>
      <x:c r="F447" s="106" t="str">
        <x:v>CNY/share</x:v>
      </x:c>
      <x:c r="G447" s="106" t="str">
        <x:v>AkShare / Sina public historical quotes</x:v>
      </x:c>
      <x:c r="H447" s="106" t="str">
        <x:v>https://akshare.akfamily.xyz/data/stock/stock.html</x:v>
      </x:c>
      <x:c r="I447" s="106"/>
      <x:c r="J447" s="106"/>
      <x:c r="K447" s="121" t="str">
        <x:v>2026-09-04 07:47:38.209396+00:00</x:v>
      </x:c>
      <x:c r="L447" s="121"/>
      <x:c r="M447" s="106" t="str">
        <x:v>akshare-price-v3-sina-history</x:v>
      </x:c>
      <x:c r="N447" s="106" t="str">
        <x:v>42f5f99921119ee01a262b9c2924eb2572b33a481a80806bff5ce8f46975f805</x:v>
      </x:c>
      <x:c r="O447" s="113"/>
      <x:c r="P447" s="106" t="str">
        <x:v>pending</x:v>
      </x:c>
      <x:c r="Q447" s="106" t="str">
        <x:v>否</x:v>
      </x:c>
      <x:c r="R447" s="106" t="str">
        <x:v>由本地 Agent 同步</x:v>
      </x:c>
      <x:c r="S447" s="86"/>
      <x:c r="T447" s="86"/>
      <x:c r="U447" s="86"/>
      <x:c r="V447" s="86"/>
      <x:c r="W447" s="86"/>
      <x:c r="X447" s="86"/>
      <x:c r="Y447" s="86"/>
      <x:c r="Z447" s="86"/>
    </x:row>
    <x:row r="448">
      <x:c r="A448" s="106" t="str">
        <x:v>d2b3c2cc-bcf1-49f9-870a-9b4dc0dde700</x:v>
      </x:c>
      <x:c r="B448" s="106" t="str">
        <x:v>600887</x:v>
      </x:c>
      <x:c r="C448" s="106" t="str">
        <x:v>free_cash_flow</x:v>
      </x:c>
      <x:c r="D448" s="106" t="str">
        <x:v>2026-06-30</x:v>
      </x:c>
      <x:c r="E448" s="106" t="n">
        <x:v>84.548854385</x:v>
      </x:c>
      <x:c r="F448" s="106" t="str">
        <x:v>CNY 100M</x:v>
      </x:c>
      <x:c r="G448" s="106" t="str">
        <x:v>AkShare / Sina detailed financial statements</x:v>
      </x:c>
      <x:c r="H448" s="106" t="str">
        <x:v>https://vip.stock.finance.sina.com.cn/corp/go.php/vFD_FinanceSummary/stockid/600887/displaytype/4.phtml?source=fzb</x:v>
      </x:c>
      <x:c r="I448" s="106"/>
      <x:c r="J448" s="106"/>
      <x:c r="K448" s="121" t="str">
        <x:v>2026-09-04 07:48:00.989079+00:00</x:v>
      </x:c>
      <x:c r="L448" s="121" t="str">
        <x:v>2026-08-27 00:00:00+00:00</x:v>
      </x:c>
      <x:c r="M448" s="106" t="str">
        <x:v>akshare-financial-v1-sina-statements</x:v>
      </x:c>
      <x:c r="N448" s="106" t="str">
        <x:v>047cdf38f8965346dad558533cdb444d877f0e2146498ee5857a874aaab6e89b</x:v>
      </x:c>
      <x:c r="O448" s="113"/>
      <x:c r="P448" s="106" t="str">
        <x:v>pending</x:v>
      </x:c>
      <x:c r="Q448" s="106" t="str">
        <x:v>否</x:v>
      </x:c>
      <x:c r="R448" s="106" t="str">
        <x:v>由本地 Agent 同步</x:v>
      </x:c>
      <x:c r="S448" s="86"/>
      <x:c r="T448" s="86"/>
      <x:c r="U448" s="86"/>
      <x:c r="V448" s="86"/>
      <x:c r="W448" s="86"/>
      <x:c r="X448" s="86"/>
      <x:c r="Y448" s="86"/>
      <x:c r="Z448" s="86"/>
    </x:row>
    <x:row r="449">
      <x:c r="A449" s="106" t="str">
        <x:v>4edabadc-9afd-4e96-90d7-7e3e44b41d28</x:v>
      </x:c>
      <x:c r="B449" s="106" t="str">
        <x:v>300750</x:v>
      </x:c>
      <x:c r="C449" s="106" t="str">
        <x:v>interest_bearing_debt</x:v>
      </x:c>
      <x:c r="D449" s="106" t="str">
        <x:v>2026-06-30</x:v>
      </x:c>
      <x:c r="E449" s="106" t="n">
        <x:v>1456.71415</x:v>
      </x:c>
      <x:c r="F449" s="106" t="str">
        <x:v>CNY 100M</x:v>
      </x:c>
      <x:c r="G449" s="106" t="str">
        <x:v>AkShare / Sina detailed financial statements</x:v>
      </x:c>
      <x:c r="H449" s="106" t="str">
        <x:v>https://vip.stock.finance.sina.com.cn/corp/go.php/vFD_FinanceSummary/stockid/300750/displaytype/4.phtml?source=fzb</x:v>
      </x:c>
      <x:c r="I449" s="106"/>
      <x:c r="J449" s="106"/>
      <x:c r="K449" s="121" t="str">
        <x:v>2026-09-04 07:48:00.989079+00:00</x:v>
      </x:c>
      <x:c r="L449" s="121" t="str">
        <x:v>2026-07-25 00:00:00+00:00</x:v>
      </x:c>
      <x:c r="M449" s="106" t="str">
        <x:v>akshare-financial-v1-sina-statements</x:v>
      </x:c>
      <x:c r="N449" s="106" t="str">
        <x:v>03b71fd25053a9dfacdfb84de31612685fa0eefd4362290c44d6959abd339c56</x:v>
      </x:c>
      <x:c r="O449" s="113"/>
      <x:c r="P449" s="106" t="str">
        <x:v>pending</x:v>
      </x:c>
      <x:c r="Q449" s="106" t="str">
        <x:v>否</x:v>
      </x:c>
      <x:c r="R449" s="106" t="str">
        <x:v>由本地 Agent 同步</x:v>
      </x:c>
      <x:c r="S449" s="86"/>
      <x:c r="T449" s="86"/>
      <x:c r="U449" s="86"/>
      <x:c r="V449" s="86"/>
      <x:c r="W449" s="86"/>
      <x:c r="X449" s="86"/>
      <x:c r="Y449" s="86"/>
      <x:c r="Z449" s="86"/>
    </x:row>
    <x:row r="450">
      <x:c r="A450" s="106" t="str">
        <x:v>d6ece75d-209a-4bcf-bffd-b3583cbd84c8</x:v>
      </x:c>
      <x:c r="B450" s="106" t="str">
        <x:v>600900</x:v>
      </x:c>
      <x:c r="C450" s="106" t="str">
        <x:v>current_price</x:v>
      </x:c>
      <x:c r="D450" s="106" t="str">
        <x:v>2026-09-04 07:47</x:v>
      </x:c>
      <x:c r="E450" s="106" t="n">
        <x:v>28.44</x:v>
      </x:c>
      <x:c r="F450" s="106" t="str">
        <x:v>CNY/share</x:v>
      </x:c>
      <x:c r="G450" s="106" t="str">
        <x:v>AkShare / Sina public historical quotes</x:v>
      </x:c>
      <x:c r="H450" s="106" t="str">
        <x:v>https://akshare.akfamily.xyz/data/stock/stock.html</x:v>
      </x:c>
      <x:c r="I450" s="106"/>
      <x:c r="J450" s="106"/>
      <x:c r="K450" s="121" t="str">
        <x:v>2026-09-04 07:47:38.209396+00:00</x:v>
      </x:c>
      <x:c r="L450" s="121"/>
      <x:c r="M450" s="106" t="str">
        <x:v>akshare-price-v3-sina-history</x:v>
      </x:c>
      <x:c r="N450" s="106" t="str">
        <x:v>c7b2c754129ced814d8b123901a84f768fde95a51aebc8216f526490d5d5ca91</x:v>
      </x:c>
      <x:c r="O450" s="113"/>
      <x:c r="P450" s="106" t="str">
        <x:v>pending</x:v>
      </x:c>
      <x:c r="Q450" s="106" t="str">
        <x:v>否</x:v>
      </x:c>
      <x:c r="R450" s="106" t="str">
        <x:v>由本地 Agent 同步</x:v>
      </x:c>
      <x:c r="S450" s="86"/>
      <x:c r="T450" s="86"/>
      <x:c r="U450" s="86"/>
      <x:c r="V450" s="86"/>
      <x:c r="W450" s="86"/>
      <x:c r="X450" s="86"/>
      <x:c r="Y450" s="86"/>
      <x:c r="Z450" s="86"/>
    </x:row>
    <x:row r="451">
      <x:c r="A451" s="106" t="str">
        <x:v>aa790c2d-de7e-4397-8ff5-ace58cc34c7a</x:v>
      </x:c>
      <x:c r="B451" s="106" t="str">
        <x:v>601288</x:v>
      </x:c>
      <x:c r="C451" s="106" t="str">
        <x:v>free_cash_flow</x:v>
      </x:c>
      <x:c r="D451" s="106" t="str">
        <x:v>2026-06-30</x:v>
      </x:c>
      <x:c r="E451" s="106" t="n">
        <x:v>2765.68</x:v>
      </x:c>
      <x:c r="F451" s="106" t="str">
        <x:v>CNY 100M</x:v>
      </x:c>
      <x:c r="G451" s="106" t="str">
        <x:v>AkShare / Sina detailed financial statements</x:v>
      </x:c>
      <x:c r="H451" s="106" t="str">
        <x:v>https://vip.stock.finance.sina.com.cn/corp/go.php/vFD_FinanceSummary/stockid/601288/displaytype/4.phtml?source=fzb</x:v>
      </x:c>
      <x:c r="I451" s="106"/>
      <x:c r="J451" s="106"/>
      <x:c r="K451" s="121" t="str">
        <x:v>2026-09-04 07:48:00.989079+00:00</x:v>
      </x:c>
      <x:c r="L451" s="121" t="str">
        <x:v>2026-08-29 00:00:00+00:00</x:v>
      </x:c>
      <x:c r="M451" s="106" t="str">
        <x:v>akshare-financial-v1-sina-statements</x:v>
      </x:c>
      <x:c r="N451" s="106" t="str">
        <x:v>c0523094efaa56222a1e846ea5d84ec038d200bb2a13bf623f6d29add96e1e99</x:v>
      </x:c>
      <x:c r="O451" s="113"/>
      <x:c r="P451" s="106" t="str">
        <x:v>pending</x:v>
      </x:c>
      <x:c r="Q451" s="106" t="str">
        <x:v>否</x:v>
      </x:c>
      <x:c r="R451" s="106" t="str">
        <x:v>由本地 Agent 同步</x:v>
      </x:c>
      <x:c r="S451" s="86"/>
      <x:c r="T451" s="86"/>
      <x:c r="U451" s="86"/>
      <x:c r="V451" s="86"/>
      <x:c r="W451" s="86"/>
      <x:c r="X451" s="86"/>
      <x:c r="Y451" s="86"/>
      <x:c r="Z451" s="86"/>
    </x:row>
    <x:row r="452">
      <x:c r="A452" s="106" t="str">
        <x:v>65db6ef0-cb9a-4d30-8848-a9232110bf23</x:v>
      </x:c>
      <x:c r="B452" s="106" t="str">
        <x:v>600036</x:v>
      </x:c>
      <x:c r="C452" s="106" t="str">
        <x:v>free_cash_flow</x:v>
      </x:c>
      <x:c r="D452" s="106" t="str">
        <x:v>2026-06-30</x:v>
      </x:c>
      <x:c r="E452" s="106" t="n">
        <x:v>2818.67</x:v>
      </x:c>
      <x:c r="F452" s="106" t="str">
        <x:v>CNY 100M</x:v>
      </x:c>
      <x:c r="G452" s="106" t="str">
        <x:v>AkShare / Sina detailed financial statements</x:v>
      </x:c>
      <x:c r="H452" s="106" t="str">
        <x:v>https://vip.stock.finance.sina.com.cn/corp/go.php/vFD_FinanceSummary/stockid/600036/displaytype/4.phtml?source=fzb</x:v>
      </x:c>
      <x:c r="I452" s="106"/>
      <x:c r="J452" s="106"/>
      <x:c r="K452" s="121" t="str">
        <x:v>2026-09-04 07:48:00.989079+00:00</x:v>
      </x:c>
      <x:c r="L452" s="121" t="str">
        <x:v>2026-08-29 00:00:00+00:00</x:v>
      </x:c>
      <x:c r="M452" s="106" t="str">
        <x:v>akshare-financial-v1-sina-statements</x:v>
      </x:c>
      <x:c r="N452" s="106" t="str">
        <x:v>f819d76fa6136c847757c1ecb5e43f9868ec7ce6577a376d2528f577fd233b43</x:v>
      </x:c>
      <x:c r="O452" s="113"/>
      <x:c r="P452" s="106" t="str">
        <x:v>pending</x:v>
      </x:c>
      <x:c r="Q452" s="106" t="str">
        <x:v>否</x:v>
      </x:c>
      <x:c r="R452" s="106" t="str">
        <x:v>由本地 Agent 同步</x:v>
      </x:c>
      <x:c r="S452" s="86"/>
      <x:c r="T452" s="86"/>
      <x:c r="U452" s="86"/>
      <x:c r="V452" s="86"/>
      <x:c r="W452" s="86"/>
      <x:c r="X452" s="86"/>
      <x:c r="Y452" s="86"/>
      <x:c r="Z452" s="86"/>
    </x:row>
    <x:row r="453">
      <x:c r="A453" s="106" t="str">
        <x:v>65db6ef0-cb9a-4d30-8848-a9232110bf23</x:v>
      </x:c>
      <x:c r="B453" s="106" t="str">
        <x:v>600036</x:v>
      </x:c>
      <x:c r="C453" s="106" t="str">
        <x:v>interest_bearing_debt</x:v>
      </x:c>
      <x:c r="D453" s="106" t="str">
        <x:v>2026-06-30</x:v>
      </x:c>
      <x:c r="E453" s="106" t="n">
        <x:v>119537.82</x:v>
      </x:c>
      <x:c r="F453" s="106" t="str">
        <x:v>CNY 100M</x:v>
      </x:c>
      <x:c r="G453" s="106" t="str">
        <x:v>AkShare / Sina detailed financial statements</x:v>
      </x:c>
      <x:c r="H453" s="106" t="str">
        <x:v>https://vip.stock.finance.sina.com.cn/corp/go.php/vFD_FinanceSummary/stockid/600036/displaytype/4.phtml?source=fzb</x:v>
      </x:c>
      <x:c r="I453" s="106"/>
      <x:c r="J453" s="106"/>
      <x:c r="K453" s="121" t="str">
        <x:v>2026-09-04 07:48:00.989079+00:00</x:v>
      </x:c>
      <x:c r="L453" s="121" t="str">
        <x:v>2026-08-29 00:00:00+00:00</x:v>
      </x:c>
      <x:c r="M453" s="106" t="str">
        <x:v>akshare-financial-v1-sina-statements</x:v>
      </x:c>
      <x:c r="N453" s="106" t="str">
        <x:v>f819d76fa6136c847757c1ecb5e43f9868ec7ce6577a376d2528f577fd233b43</x:v>
      </x:c>
      <x:c r="O453" s="113"/>
      <x:c r="P453" s="106" t="str">
        <x:v>pending</x:v>
      </x:c>
      <x:c r="Q453" s="106" t="str">
        <x:v>否</x:v>
      </x:c>
      <x:c r="R453" s="106" t="str">
        <x:v>由本地 Agent 同步</x:v>
      </x:c>
      <x:c r="S453" s="86"/>
      <x:c r="T453" s="86"/>
      <x:c r="U453" s="86"/>
      <x:c r="V453" s="86"/>
      <x:c r="W453" s="86"/>
      <x:c r="X453" s="86"/>
      <x:c r="Y453" s="86"/>
      <x:c r="Z453" s="86"/>
    </x:row>
    <x:row r="454">
      <x:c r="A454" s="106" t="str">
        <x:v>cb36d428-f33e-4828-8445-07231e0b275f</x:v>
      </x:c>
      <x:c r="B454" s="106" t="str">
        <x:v>600941</x:v>
      </x:c>
      <x:c r="C454" s="106" t="str">
        <x:v>cash</x:v>
      </x:c>
      <x:c r="D454" s="106" t="str">
        <x:v>2026-06-30</x:v>
      </x:c>
      <x:c r="E454" s="106" t="n">
        <x:v>1878.57</x:v>
      </x:c>
      <x:c r="F454" s="106" t="str">
        <x:v>CNY 100M</x:v>
      </x:c>
      <x:c r="G454" s="106" t="str">
        <x:v>AkShare / Sina detailed financial statements</x:v>
      </x:c>
      <x:c r="H454" s="106" t="str">
        <x:v>https://vip.stock.finance.sina.com.cn/corp/go.php/vFD_FinanceSummary/stockid/600941/displaytype/4.phtml?source=fzb</x:v>
      </x:c>
      <x:c r="I454" s="106"/>
      <x:c r="J454" s="106"/>
      <x:c r="K454" s="121" t="str">
        <x:v>2026-09-04 07:48:00.989079+00:00</x:v>
      </x:c>
      <x:c r="L454" s="121" t="str">
        <x:v>2026-08-14 00:00:00+00:00</x:v>
      </x:c>
      <x:c r="M454" s="106" t="str">
        <x:v>akshare-financial-v1-sina-statements</x:v>
      </x:c>
      <x:c r="N454" s="106" t="str">
        <x:v>ce0348b0a84ad61daa79c89f0df0f391094b3ad3af6a847a497621ce77f58df1</x:v>
      </x:c>
      <x:c r="O454" s="113"/>
      <x:c r="P454" s="106" t="str">
        <x:v>pending</x:v>
      </x:c>
      <x:c r="Q454" s="106" t="str">
        <x:v>否</x:v>
      </x:c>
      <x:c r="R454" s="106" t="str">
        <x:v>由本地 Agent 同步</x:v>
      </x:c>
      <x:c r="S454" s="86"/>
      <x:c r="T454" s="86"/>
      <x:c r="U454" s="86"/>
      <x:c r="V454" s="86"/>
      <x:c r="W454" s="86"/>
      <x:c r="X454" s="86"/>
      <x:c r="Y454" s="86"/>
      <x:c r="Z454" s="86"/>
    </x:row>
    <x:row r="455">
      <x:c r="A455" s="106" t="str">
        <x:v>39bb5961-27b4-4890-9b49-1aaf9a437d7a</x:v>
      </x:c>
      <x:c r="B455" s="106" t="str">
        <x:v>600900</x:v>
      </x:c>
      <x:c r="C455" s="106" t="str">
        <x:v>free_cash_flow</x:v>
      </x:c>
      <x:c r="D455" s="106" t="str">
        <x:v>2026-06-30</x:v>
      </x:c>
      <x:c r="E455" s="106" t="n">
        <x:v>196.9369762046</x:v>
      </x:c>
      <x:c r="F455" s="106" t="str">
        <x:v>CNY 100M</x:v>
      </x:c>
      <x:c r="G455" s="106" t="str">
        <x:v>AkShare / Sina detailed financial statements</x:v>
      </x:c>
      <x:c r="H455" s="106" t="str">
        <x:v>https://vip.stock.finance.sina.com.cn/corp/go.php/vFD_FinanceSummary/stockid/600900/displaytype/4.phtml?source=fzb</x:v>
      </x:c>
      <x:c r="I455" s="106"/>
      <x:c r="J455" s="106"/>
      <x:c r="K455" s="121" t="str">
        <x:v>2026-09-04 07:48:00.989079+00:00</x:v>
      </x:c>
      <x:c r="L455" s="121" t="str">
        <x:v>2026-08-31 00:00:00+00:00</x:v>
      </x:c>
      <x:c r="M455" s="106" t="str">
        <x:v>akshare-financial-v1-sina-statements</x:v>
      </x:c>
      <x:c r="N455" s="106" t="str">
        <x:v>0477f97715617c4fb53824ba48b8213f45f1772a8da34de72ab8c313c058240e</x:v>
      </x:c>
      <x:c r="O455" s="113"/>
      <x:c r="P455" s="106" t="str">
        <x:v>pending</x:v>
      </x:c>
      <x:c r="Q455" s="106" t="str">
        <x:v>否</x:v>
      </x:c>
      <x:c r="R455" s="106" t="str">
        <x:v>由本地 Agent 同步</x:v>
      </x:c>
      <x:c r="S455" s="86"/>
      <x:c r="T455" s="86"/>
      <x:c r="U455" s="86"/>
      <x:c r="V455" s="86"/>
      <x:c r="W455" s="86"/>
      <x:c r="X455" s="86"/>
      <x:c r="Y455" s="86"/>
      <x:c r="Z455" s="86"/>
    </x:row>
    <x:row r="456">
      <x:c r="A456" s="106" t="str">
        <x:v>6ad98d10-1ddb-4c4a-b1c5-1ab13821bd58</x:v>
      </x:c>
      <x:c r="B456" s="106" t="str">
        <x:v>600690</x:v>
      </x:c>
      <x:c r="C456" s="106" t="str">
        <x:v>cash</x:v>
      </x:c>
      <x:c r="D456" s="106" t="str">
        <x:v>2026-06-30</x:v>
      </x:c>
      <x:c r="E456" s="106" t="n">
        <x:v>508.5909315821</x:v>
      </x:c>
      <x:c r="F456" s="106" t="str">
        <x:v>CNY 100M</x:v>
      </x:c>
      <x:c r="G456" s="106" t="str">
        <x:v>AkShare / Sina detailed financial statements</x:v>
      </x:c>
      <x:c r="H456" s="106" t="str">
        <x:v>https://vip.stock.finance.sina.com.cn/corp/go.php/vFD_FinanceSummary/stockid/600690/displaytype/4.phtml?source=fzb</x:v>
      </x:c>
      <x:c r="I456" s="106"/>
      <x:c r="J456" s="106"/>
      <x:c r="K456" s="121" t="str">
        <x:v>2026-09-04 07:48:00.989079+00:00</x:v>
      </x:c>
      <x:c r="L456" s="121" t="str">
        <x:v>2026-08-28 00:00:00+00:00</x:v>
      </x:c>
      <x:c r="M456" s="106" t="str">
        <x:v>akshare-financial-v1-sina-statements</x:v>
      </x:c>
      <x:c r="N456" s="106" t="str">
        <x:v>dfb5c542ba71092d35d97b52597d80d0dd7c1b55cc0721ffe51ccf03e8533462</x:v>
      </x:c>
      <x:c r="O456" s="113"/>
      <x:c r="P456" s="106" t="str">
        <x:v>pending</x:v>
      </x:c>
      <x:c r="Q456" s="106" t="str">
        <x:v>否</x:v>
      </x:c>
      <x:c r="R456" s="106" t="str">
        <x:v>由本地 Agent 同步</x:v>
      </x:c>
      <x:c r="S456" s="86"/>
      <x:c r="T456" s="86"/>
      <x:c r="U456" s="86"/>
      <x:c r="V456" s="86"/>
      <x:c r="W456" s="86"/>
      <x:c r="X456" s="86"/>
      <x:c r="Y456" s="86"/>
      <x:c r="Z456" s="86"/>
    </x:row>
    <x:row r="457">
      <x:c r="A457" s="106" t="str">
        <x:v>39bb5961-27b4-4890-9b49-1aaf9a437d7a</x:v>
      </x:c>
      <x:c r="B457" s="106" t="str">
        <x:v>600900</x:v>
      </x:c>
      <x:c r="C457" s="106" t="str">
        <x:v>interest_bearing_debt</x:v>
      </x:c>
      <x:c r="D457" s="106" t="str">
        <x:v>2026-06-30</x:v>
      </x:c>
      <x:c r="E457" s="106" t="n">
        <x:v>2828.6103905965</x:v>
      </x:c>
      <x:c r="F457" s="106" t="str">
        <x:v>CNY 100M</x:v>
      </x:c>
      <x:c r="G457" s="106" t="str">
        <x:v>AkShare / Sina detailed financial statements</x:v>
      </x:c>
      <x:c r="H457" s="106" t="str">
        <x:v>https://vip.stock.finance.sina.com.cn/corp/go.php/vFD_FinanceSummary/stockid/600900/displaytype/4.phtml?source=fzb</x:v>
      </x:c>
      <x:c r="I457" s="106"/>
      <x:c r="J457" s="106"/>
      <x:c r="K457" s="121" t="str">
        <x:v>2026-09-04 07:48:00.989079+00:00</x:v>
      </x:c>
      <x:c r="L457" s="121" t="str">
        <x:v>2026-08-31 00:00:00+00:00</x:v>
      </x:c>
      <x:c r="M457" s="106" t="str">
        <x:v>akshare-financial-v1-sina-statements</x:v>
      </x:c>
      <x:c r="N457" s="106" t="str">
        <x:v>0477f97715617c4fb53824ba48b8213f45f1772a8da34de72ab8c313c058240e</x:v>
      </x:c>
      <x:c r="O457" s="113"/>
      <x:c r="P457" s="106" t="str">
        <x:v>pending</x:v>
      </x:c>
      <x:c r="Q457" s="106" t="str">
        <x:v>否</x:v>
      </x:c>
      <x:c r="R457" s="106" t="str">
        <x:v>由本地 Agent 同步</x:v>
      </x:c>
      <x:c r="S457" s="86"/>
      <x:c r="T457" s="86"/>
      <x:c r="U457" s="86"/>
      <x:c r="V457" s="86"/>
      <x:c r="W457" s="86"/>
      <x:c r="X457" s="86"/>
      <x:c r="Y457" s="86"/>
      <x:c r="Z457" s="86"/>
    </x:row>
    <x:row r="458">
      <x:c r="A458" s="106" t="str">
        <x:v>39bb5961-27b4-4890-9b49-1aaf9a437d7a</x:v>
      </x:c>
      <x:c r="B458" s="106" t="str">
        <x:v>600900</x:v>
      </x:c>
      <x:c r="C458" s="106" t="str">
        <x:v>cash</x:v>
      </x:c>
      <x:c r="D458" s="106" t="str">
        <x:v>2026-06-30</x:v>
      </x:c>
      <x:c r="E458" s="106" t="n">
        <x:v>93.7287340916</x:v>
      </x:c>
      <x:c r="F458" s="106" t="str">
        <x:v>CNY 100M</x:v>
      </x:c>
      <x:c r="G458" s="106" t="str">
        <x:v>AkShare / Sina detailed financial statements</x:v>
      </x:c>
      <x:c r="H458" s="106" t="str">
        <x:v>https://vip.stock.finance.sina.com.cn/corp/go.php/vFD_FinanceSummary/stockid/600900/displaytype/4.phtml?source=fzb</x:v>
      </x:c>
      <x:c r="I458" s="106"/>
      <x:c r="J458" s="106"/>
      <x:c r="K458" s="121" t="str">
        <x:v>2026-09-04 07:48:00.989079+00:00</x:v>
      </x:c>
      <x:c r="L458" s="121" t="str">
        <x:v>2026-08-31 00:00:00+00:00</x:v>
      </x:c>
      <x:c r="M458" s="106" t="str">
        <x:v>akshare-financial-v1-sina-statements</x:v>
      </x:c>
      <x:c r="N458" s="106" t="str">
        <x:v>0477f97715617c4fb53824ba48b8213f45f1772a8da34de72ab8c313c058240e</x:v>
      </x:c>
      <x:c r="O458" s="113"/>
      <x:c r="P458" s="106" t="str">
        <x:v>pending</x:v>
      </x:c>
      <x:c r="Q458" s="106" t="str">
        <x:v>否</x:v>
      </x:c>
      <x:c r="R458" s="106" t="str">
        <x:v>由本地 Agent 同步</x:v>
      </x:c>
      <x:c r="S458" s="86"/>
      <x:c r="T458" s="86"/>
      <x:c r="U458" s="86"/>
      <x:c r="V458" s="86"/>
      <x:c r="W458" s="86"/>
      <x:c r="X458" s="86"/>
      <x:c r="Y458" s="86"/>
      <x:c r="Z458" s="86"/>
    </x:row>
    <x:row r="459">
      <x:c r="A459" s="106" t="str">
        <x:v>a09f6020-6041-4dab-8599-50299cbf9748</x:v>
      </x:c>
      <x:c r="B459" s="106" t="str">
        <x:v>600519</x:v>
      </x:c>
      <x:c r="C459" s="106" t="str">
        <x:v>free_cash_flow</x:v>
      </x:c>
      <x:c r="D459" s="106" t="str">
        <x:v>2026-06-30</x:v>
      </x:c>
      <x:c r="E459" s="106" t="n">
        <x:v>698.5860736678</x:v>
      </x:c>
      <x:c r="F459" s="106" t="str">
        <x:v>CNY 100M</x:v>
      </x:c>
      <x:c r="G459" s="106" t="str">
        <x:v>AkShare / Sina detailed financial statements</x:v>
      </x:c>
      <x:c r="H459" s="106" t="str">
        <x:v>https://vip.stock.finance.sina.com.cn/corp/go.php/vFD_FinanceSummary/stockid/600519/displaytype/4.phtml?source=fzb</x:v>
      </x:c>
      <x:c r="I459" s="106"/>
      <x:c r="J459" s="106"/>
      <x:c r="K459" s="121" t="str">
        <x:v>2026-09-04 07:48:00.989079+00:00</x:v>
      </x:c>
      <x:c r="L459" s="121" t="str">
        <x:v>2026-08-15 00:00:00+00:00</x:v>
      </x:c>
      <x:c r="M459" s="106" t="str">
        <x:v>akshare-financial-v1-sina-statements</x:v>
      </x:c>
      <x:c r="N459" s="106" t="str">
        <x:v>b6058934f4cc984e7a7310524c4f7723bb0f018e9ed16ae4d40031d64eca8c0f</x:v>
      </x:c>
      <x:c r="O459" s="113"/>
      <x:c r="P459" s="106" t="str">
        <x:v>pending</x:v>
      </x:c>
      <x:c r="Q459" s="106" t="str">
        <x:v>否</x:v>
      </x:c>
      <x:c r="R459" s="106" t="str">
        <x:v>由本地 Agent 同步</x:v>
      </x:c>
      <x:c r="S459" s="86"/>
      <x:c r="T459" s="86"/>
      <x:c r="U459" s="86"/>
      <x:c r="V459" s="86"/>
      <x:c r="W459" s="86"/>
      <x:c r="X459" s="86"/>
      <x:c r="Y459" s="86"/>
      <x:c r="Z459" s="86"/>
    </x:row>
    <x:row r="460">
      <x:c r="A460" s="106" t="str">
        <x:v>d74f3218-c9cd-462b-8f58-cd17c03b9bb0</x:v>
      </x:c>
      <x:c r="B460" s="106" t="str">
        <x:v>000333</x:v>
      </x:c>
      <x:c r="C460" s="106" t="str">
        <x:v>free_cash_flow</x:v>
      </x:c>
      <x:c r="D460" s="106" t="str">
        <x:v>2026-06-30</x:v>
      </x:c>
      <x:c r="E460" s="106" t="n">
        <x:v>349.1788</x:v>
      </x:c>
      <x:c r="F460" s="106" t="str">
        <x:v>CNY 100M</x:v>
      </x:c>
      <x:c r="G460" s="106" t="str">
        <x:v>AkShare / Sina detailed financial statements</x:v>
      </x:c>
      <x:c r="H460" s="106" t="str">
        <x:v>https://vip.stock.finance.sina.com.cn/corp/go.php/vFD_FinanceSummary/stockid/000333/displaytype/4.phtml?source=fzb</x:v>
      </x:c>
      <x:c r="I460" s="106"/>
      <x:c r="J460" s="106"/>
      <x:c r="K460" s="121" t="str">
        <x:v>2026-09-04 07:48:00.989079+00:00</x:v>
      </x:c>
      <x:c r="L460" s="121" t="str">
        <x:v>2026-08-29 00:00:00+00:00</x:v>
      </x:c>
      <x:c r="M460" s="106" t="str">
        <x:v>akshare-financial-v1-sina-statements</x:v>
      </x:c>
      <x:c r="N460" s="106" t="str">
        <x:v>f891e43ce967ef0cd604f5bc803f8bdb5ba12f5649c0b854d759028455f201c0</x:v>
      </x:c>
      <x:c r="O460" s="113"/>
      <x:c r="P460" s="106" t="str">
        <x:v>pending</x:v>
      </x:c>
      <x:c r="Q460" s="106" t="str">
        <x:v>否</x:v>
      </x:c>
      <x:c r="R460" s="106" t="str">
        <x:v>由本地 Agent 同步</x:v>
      </x:c>
      <x:c r="S460" s="86"/>
      <x:c r="T460" s="86"/>
      <x:c r="U460" s="86"/>
      <x:c r="V460" s="86"/>
      <x:c r="W460" s="86"/>
      <x:c r="X460" s="86"/>
      <x:c r="Y460" s="86"/>
      <x:c r="Z460" s="86"/>
    </x:row>
    <x:row r="461">
      <x:c r="A461" s="106" t="str">
        <x:v>aa790c2d-de7e-4397-8ff5-ace58cc34c7a</x:v>
      </x:c>
      <x:c r="B461" s="106" t="str">
        <x:v>601288</x:v>
      </x:c>
      <x:c r="C461" s="106" t="str">
        <x:v>cash</x:v>
      </x:c>
      <x:c r="D461" s="106" t="str">
        <x:v>2026-06-30</x:v>
      </x:c>
      <x:c r="E461" s="106" t="n">
        <x:v>27929.35</x:v>
      </x:c>
      <x:c r="F461" s="106" t="str">
        <x:v>CNY 100M</x:v>
      </x:c>
      <x:c r="G461" s="106" t="str">
        <x:v>AkShare / Sina detailed financial statements</x:v>
      </x:c>
      <x:c r="H461" s="106" t="str">
        <x:v>https://vip.stock.finance.sina.com.cn/corp/go.php/vFD_FinanceSummary/stockid/601288/displaytype/4.phtml?source=fzb</x:v>
      </x:c>
      <x:c r="I461" s="106"/>
      <x:c r="J461" s="106"/>
      <x:c r="K461" s="121" t="str">
        <x:v>2026-09-04 07:48:00.989079+00:00</x:v>
      </x:c>
      <x:c r="L461" s="121" t="str">
        <x:v>2026-08-29 00:00:00+00:00</x:v>
      </x:c>
      <x:c r="M461" s="106" t="str">
        <x:v>akshare-financial-v1-sina-statements</x:v>
      </x:c>
      <x:c r="N461" s="106" t="str">
        <x:v>c0523094efaa56222a1e846ea5d84ec038d200bb2a13bf623f6d29add96e1e99</x:v>
      </x:c>
      <x:c r="O461" s="113"/>
      <x:c r="P461" s="106" t="str">
        <x:v>pending</x:v>
      </x:c>
      <x:c r="Q461" s="106" t="str">
        <x:v>否</x:v>
      </x:c>
      <x:c r="R461" s="106" t="str">
        <x:v>由本地 Agent 同步</x:v>
      </x:c>
      <x:c r="S461" s="86"/>
      <x:c r="T461" s="86"/>
      <x:c r="U461" s="86"/>
      <x:c r="V461" s="86"/>
      <x:c r="W461" s="86"/>
      <x:c r="X461" s="86"/>
      <x:c r="Y461" s="86"/>
      <x:c r="Z461" s="86"/>
    </x:row>
    <x:row r="462">
      <x:c r="A462" s="106" t="str">
        <x:v>6e0f354c-d1b1-4c97-93f7-30ec6108613d</x:v>
      </x:c>
      <x:c r="B462" s="106" t="str">
        <x:v>601088</x:v>
      </x:c>
      <x:c r="C462" s="106" t="str">
        <x:v>cash</x:v>
      </x:c>
      <x:c r="D462" s="106" t="str">
        <x:v>2026-06-30</x:v>
      </x:c>
      <x:c r="E462" s="106" t="n">
        <x:v>1355.92</x:v>
      </x:c>
      <x:c r="F462" s="106" t="str">
        <x:v>CNY 100M</x:v>
      </x:c>
      <x:c r="G462" s="106" t="str">
        <x:v>AkShare / Sina detailed financial statements</x:v>
      </x:c>
      <x:c r="H462" s="106" t="str">
        <x:v>https://vip.stock.finance.sina.com.cn/corp/go.php/vFD_FinanceSummary/stockid/601088/displaytype/4.phtml?source=fzb</x:v>
      </x:c>
      <x:c r="I462" s="106"/>
      <x:c r="J462" s="106"/>
      <x:c r="K462" s="121" t="str">
        <x:v>2026-09-04 07:48:00.989079+00:00</x:v>
      </x:c>
      <x:c r="L462" s="121" t="str">
        <x:v>2026-08-29 00:00:00+00:00</x:v>
      </x:c>
      <x:c r="M462" s="106" t="str">
        <x:v>akshare-financial-v1-sina-statements</x:v>
      </x:c>
      <x:c r="N462" s="106" t="str">
        <x:v>fafb36a096765360b2d9a917b213c83778b5b825b1bebb77873a65a30f669b73</x:v>
      </x:c>
      <x:c r="O462" s="113"/>
      <x:c r="P462" s="106" t="str">
        <x:v>pending</x:v>
      </x:c>
      <x:c r="Q462" s="106" t="str">
        <x:v>否</x:v>
      </x:c>
      <x:c r="R462" s="106" t="str">
        <x:v>由本地 Agent 同步</x:v>
      </x:c>
      <x:c r="S462" s="86"/>
      <x:c r="T462" s="86"/>
      <x:c r="U462" s="86"/>
      <x:c r="V462" s="86"/>
      <x:c r="W462" s="86"/>
      <x:c r="X462" s="86"/>
      <x:c r="Y462" s="86"/>
      <x:c r="Z462" s="86"/>
    </x:row>
    <x:row r="463">
      <x:c r="A463" s="106" t="str">
        <x:v>6ad98d10-1ddb-4c4a-b1c5-1ab13821bd58</x:v>
      </x:c>
      <x:c r="B463" s="106" t="str">
        <x:v>600690</x:v>
      </x:c>
      <x:c r="C463" s="106" t="str">
        <x:v>free_cash_flow</x:v>
      </x:c>
      <x:c r="D463" s="106" t="str">
        <x:v>2026-06-30</x:v>
      </x:c>
      <x:c r="E463" s="106" t="n">
        <x:v>53.8524475879</x:v>
      </x:c>
      <x:c r="F463" s="106" t="str">
        <x:v>CNY 100M</x:v>
      </x:c>
      <x:c r="G463" s="106" t="str">
        <x:v>AkShare / Sina detailed financial statements</x:v>
      </x:c>
      <x:c r="H463" s="106" t="str">
        <x:v>https://vip.stock.finance.sina.com.cn/corp/go.php/vFD_FinanceSummary/stockid/600690/displaytype/4.phtml?source=fzb</x:v>
      </x:c>
      <x:c r="I463" s="106"/>
      <x:c r="J463" s="106"/>
      <x:c r="K463" s="121" t="str">
        <x:v>2026-09-04 07:48:00.989079+00:00</x:v>
      </x:c>
      <x:c r="L463" s="121" t="str">
        <x:v>2026-08-28 00:00:00+00:00</x:v>
      </x:c>
      <x:c r="M463" s="106" t="str">
        <x:v>akshare-financial-v1-sina-statements</x:v>
      </x:c>
      <x:c r="N463" s="106" t="str">
        <x:v>dfb5c542ba71092d35d97b52597d80d0dd7c1b55cc0721ffe51ccf03e8533462</x:v>
      </x:c>
      <x:c r="O463" s="113"/>
      <x:c r="P463" s="106" t="str">
        <x:v>pending</x:v>
      </x:c>
      <x:c r="Q463" s="106" t="str">
        <x:v>否</x:v>
      </x:c>
      <x:c r="R463" s="106" t="str">
        <x:v>由本地 Agent 同步</x:v>
      </x:c>
      <x:c r="S463" s="86"/>
      <x:c r="T463" s="86"/>
      <x:c r="U463" s="86"/>
      <x:c r="V463" s="86"/>
      <x:c r="W463" s="86"/>
      <x:c r="X463" s="86"/>
      <x:c r="Y463" s="86"/>
      <x:c r="Z463" s="86"/>
    </x:row>
    <x:row r="464">
      <x:c r="A464" s="106" t="str">
        <x:v>4edabadc-9afd-4e96-90d7-7e3e44b41d28</x:v>
      </x:c>
      <x:c r="B464" s="106" t="str">
        <x:v>300750</x:v>
      </x:c>
      <x:c r="C464" s="106" t="str">
        <x:v>free_cash_flow</x:v>
      </x:c>
      <x:c r="D464" s="106" t="str">
        <x:v>2026-06-30</x:v>
      </x:c>
      <x:c r="E464" s="106" t="n">
        <x:v>351.44079</x:v>
      </x:c>
      <x:c r="F464" s="106" t="str">
        <x:v>CNY 100M</x:v>
      </x:c>
      <x:c r="G464" s="106" t="str">
        <x:v>AkShare / Sina detailed financial statements</x:v>
      </x:c>
      <x:c r="H464" s="106" t="str">
        <x:v>https://vip.stock.finance.sina.com.cn/corp/go.php/vFD_FinanceSummary/stockid/300750/displaytype/4.phtml?source=fzb</x:v>
      </x:c>
      <x:c r="I464" s="106"/>
      <x:c r="J464" s="106"/>
      <x:c r="K464" s="121" t="str">
        <x:v>2026-09-04 07:48:00.989079+00:00</x:v>
      </x:c>
      <x:c r="L464" s="121" t="str">
        <x:v>2026-07-25 00:00:00+00:00</x:v>
      </x:c>
      <x:c r="M464" s="106" t="str">
        <x:v>akshare-financial-v1-sina-statements</x:v>
      </x:c>
      <x:c r="N464" s="106" t="str">
        <x:v>03b71fd25053a9dfacdfb84de31612685fa0eefd4362290c44d6959abd339c56</x:v>
      </x:c>
      <x:c r="O464" s="113"/>
      <x:c r="P464" s="106" t="str">
        <x:v>pending</x:v>
      </x:c>
      <x:c r="Q464" s="106" t="str">
        <x:v>否</x:v>
      </x:c>
      <x:c r="R464" s="106" t="str">
        <x:v>由本地 Agent 同步</x:v>
      </x:c>
      <x:c r="S464" s="86"/>
      <x:c r="T464" s="86"/>
      <x:c r="U464" s="86"/>
      <x:c r="V464" s="86"/>
      <x:c r="W464" s="86"/>
      <x:c r="X464" s="86"/>
      <x:c r="Y464" s="86"/>
      <x:c r="Z464" s="86"/>
    </x:row>
    <x:row r="465">
      <x:c r="A465" s="106" t="str">
        <x:v>38272e84-faa6-454f-96b6-f47e35ce8646</x:v>
      </x:c>
      <x:c r="B465" s="106" t="str">
        <x:v>601088</x:v>
      </x:c>
      <x:c r="C465" s="106" t="str">
        <x:v>current_price</x:v>
      </x:c>
      <x:c r="D465" s="106" t="str">
        <x:v>2026-09-04 07:47</x:v>
      </x:c>
      <x:c r="E465" s="106" t="n">
        <x:v>47.78</x:v>
      </x:c>
      <x:c r="F465" s="106" t="str">
        <x:v>CNY/share</x:v>
      </x:c>
      <x:c r="G465" s="106" t="str">
        <x:v>AkShare / Sina public historical quotes</x:v>
      </x:c>
      <x:c r="H465" s="106" t="str">
        <x:v>https://akshare.akfamily.xyz/data/stock/stock.html</x:v>
      </x:c>
      <x:c r="I465" s="106"/>
      <x:c r="J465" s="106"/>
      <x:c r="K465" s="121" t="str">
        <x:v>2026-09-04 07:47:38.209396+00:00</x:v>
      </x:c>
      <x:c r="L465" s="121"/>
      <x:c r="M465" s="106" t="str">
        <x:v>akshare-price-v3-sina-history</x:v>
      </x:c>
      <x:c r="N465" s="106" t="str">
        <x:v>dde7ca8e6b7c201c6a16f177ce603e8b4e47a9b3444cd8cd50746f03216e2c3e</x:v>
      </x:c>
      <x:c r="O465" s="113"/>
      <x:c r="P465" s="106" t="str">
        <x:v>pending</x:v>
      </x:c>
      <x:c r="Q465" s="106" t="str">
        <x:v>否</x:v>
      </x:c>
      <x:c r="R465" s="106" t="str">
        <x:v>由本地 Agent 同步</x:v>
      </x:c>
      <x:c r="S465" s="86"/>
      <x:c r="T465" s="86"/>
      <x:c r="U465" s="86"/>
      <x:c r="V465" s="86"/>
      <x:c r="W465" s="86"/>
      <x:c r="X465" s="86"/>
      <x:c r="Y465" s="86"/>
      <x:c r="Z465" s="86"/>
    </x:row>
    <x:row r="466">
      <x:c r="A466" s="106" t="str">
        <x:v>2d9e6937-3d74-43df-a432-78f57b4c3a22</x:v>
      </x:c>
      <x:c r="B466" s="106" t="str">
        <x:v>600887</x:v>
      </x:c>
      <x:c r="C466" s="106" t="str">
        <x:v>current_price</x:v>
      </x:c>
      <x:c r="D466" s="106" t="str">
        <x:v>2026-09-04 07:44</x:v>
      </x:c>
      <x:c r="E466" s="106" t="n">
        <x:v>26.56</x:v>
      </x:c>
      <x:c r="F466" s="106" t="str">
        <x:v>CNY/share</x:v>
      </x:c>
      <x:c r="G466" s="106" t="str">
        <x:v>AkShare / Sina public historical quotes</x:v>
      </x:c>
      <x:c r="H466" s="106" t="str">
        <x:v>https://akshare.akfamily.xyz/data/stock/stock.html</x:v>
      </x:c>
      <x:c r="I466" s="106"/>
      <x:c r="J466" s="106"/>
      <x:c r="K466" s="121" t="str">
        <x:v>2026-09-04 07:47:38.209396+00:00</x:v>
      </x:c>
      <x:c r="L466" s="121"/>
      <x:c r="M466" s="106" t="str">
        <x:v>akshare-price-v3-sina-history</x:v>
      </x:c>
      <x:c r="N466" s="106" t="str">
        <x:v>b3a8f9fc122b3f4daf7feeb3f55a1ea63d6b10b0b65393a9ab61f1dd36bf9f8e</x:v>
      </x:c>
      <x:c r="O466" s="113"/>
      <x:c r="P466" s="106" t="str">
        <x:v>pending</x:v>
      </x:c>
      <x:c r="Q466" s="106" t="str">
        <x:v>否</x:v>
      </x:c>
      <x:c r="R466" s="106" t="str">
        <x:v>由本地 Agent 同步</x:v>
      </x:c>
      <x:c r="S466" s="86"/>
      <x:c r="T466" s="86"/>
      <x:c r="U466" s="86"/>
      <x:c r="V466" s="86"/>
      <x:c r="W466" s="86"/>
      <x:c r="X466" s="86"/>
      <x:c r="Y466" s="86"/>
      <x:c r="Z466" s="86"/>
    </x:row>
    <x:row r="467">
      <x:c r="A467" s="106" t="str">
        <x:v>021cfce0-9869-4abc-a396-dca3494bd753</x:v>
      </x:c>
      <x:c r="B467" s="106" t="str">
        <x:v>601288</x:v>
      </x:c>
      <x:c r="C467" s="106" t="str">
        <x:v>current_price</x:v>
      </x:c>
      <x:c r="D467" s="106" t="str">
        <x:v>2026-09-04 07:44</x:v>
      </x:c>
      <x:c r="E467" s="106" t="n">
        <x:v>6.89</x:v>
      </x:c>
      <x:c r="F467" s="106" t="str">
        <x:v>CNY/share</x:v>
      </x:c>
      <x:c r="G467" s="106" t="str">
        <x:v>AkShare / Sina public historical quotes</x:v>
      </x:c>
      <x:c r="H467" s="106" t="str">
        <x:v>https://akshare.akfamily.xyz/data/stock/stock.html</x:v>
      </x:c>
      <x:c r="I467" s="106"/>
      <x:c r="J467" s="106"/>
      <x:c r="K467" s="121" t="str">
        <x:v>2026-09-04 07:47:38.209396+00:00</x:v>
      </x:c>
      <x:c r="L467" s="121"/>
      <x:c r="M467" s="106" t="str">
        <x:v>akshare-price-v3-sina-history</x:v>
      </x:c>
      <x:c r="N467" s="106" t="str">
        <x:v>40f616305b4ce4a412b7d22b5617880560e94d8a16bb6a4100bbf6d3182ea055</x:v>
      </x:c>
      <x:c r="O467" s="113"/>
      <x:c r="P467" s="106" t="str">
        <x:v>pending</x:v>
      </x:c>
      <x:c r="Q467" s="106" t="str">
        <x:v>否</x:v>
      </x:c>
      <x:c r="R467" s="106" t="str">
        <x:v>由本地 Agent 同步</x:v>
      </x:c>
      <x:c r="S467" s="86"/>
      <x:c r="T467" s="86"/>
      <x:c r="U467" s="86"/>
      <x:c r="V467" s="86"/>
      <x:c r="W467" s="86"/>
      <x:c r="X467" s="86"/>
      <x:c r="Y467" s="86"/>
      <x:c r="Z467" s="86"/>
    </x:row>
    <x:row r="468">
      <x:c r="A468" s="106" t="str">
        <x:v>e3e237f0-1f7e-49b6-9066-747be5b20b81</x:v>
      </x:c>
      <x:c r="B468" s="106" t="str">
        <x:v>600519</x:v>
      </x:c>
      <x:c r="C468" s="106" t="str">
        <x:v>current_price</x:v>
      </x:c>
      <x:c r="D468" s="106" t="str">
        <x:v>2026-09-04 07:44</x:v>
      </x:c>
      <x:c r="E468" s="106" t="n">
        <x:v>1298.88</x:v>
      </x:c>
      <x:c r="F468" s="106" t="str">
        <x:v>CNY/share</x:v>
      </x:c>
      <x:c r="G468" s="106" t="str">
        <x:v>AkShare / Sina public historical quotes</x:v>
      </x:c>
      <x:c r="H468" s="106" t="str">
        <x:v>https://akshare.akfamily.xyz/data/stock/stock.html</x:v>
      </x:c>
      <x:c r="I468" s="106"/>
      <x:c r="J468" s="106"/>
      <x:c r="K468" s="121" t="str">
        <x:v>2026-09-04 07:47:38.209396+00:00</x:v>
      </x:c>
      <x:c r="L468" s="121"/>
      <x:c r="M468" s="106" t="str">
        <x:v>akshare-price-v3-sina-history</x:v>
      </x:c>
      <x:c r="N468" s="106" t="str">
        <x:v>8cae531b70bfbf0fb9c03a27adbd58abb504f2b1a305a56c37d04832dca22bfd</x:v>
      </x:c>
      <x:c r="O468" s="113"/>
      <x:c r="P468" s="106" t="str">
        <x:v>pending</x:v>
      </x:c>
      <x:c r="Q468" s="106" t="str">
        <x:v>否</x:v>
      </x:c>
      <x:c r="R468" s="106" t="str">
        <x:v>由本地 Agent 同步</x:v>
      </x:c>
      <x:c r="S468" s="86"/>
      <x:c r="T468" s="86"/>
      <x:c r="U468" s="86"/>
      <x:c r="V468" s="86"/>
      <x:c r="W468" s="86"/>
      <x:c r="X468" s="86"/>
      <x:c r="Y468" s="86"/>
      <x:c r="Z468" s="86"/>
    </x:row>
    <x:row r="469">
      <x:c r="A469" s="106" t="str">
        <x:v>38272e84-faa6-454f-96b6-f47e35ce8646</x:v>
      </x:c>
      <x:c r="B469" s="106" t="str">
        <x:v>601088</x:v>
      </x:c>
      <x:c r="C469" s="106" t="str">
        <x:v>current_price</x:v>
      </x:c>
      <x:c r="D469" s="106" t="str">
        <x:v>2026-09-04 07:44</x:v>
      </x:c>
      <x:c r="E469" s="106" t="n">
        <x:v>47.78</x:v>
      </x:c>
      <x:c r="F469" s="106" t="str">
        <x:v>CNY/share</x:v>
      </x:c>
      <x:c r="G469" s="106" t="str">
        <x:v>AkShare / Sina public historical quotes</x:v>
      </x:c>
      <x:c r="H469" s="106" t="str">
        <x:v>https://akshare.akfamily.xyz/data/stock/stock.html</x:v>
      </x:c>
      <x:c r="I469" s="106"/>
      <x:c r="J469" s="106"/>
      <x:c r="K469" s="121" t="str">
        <x:v>2026-09-04 07:47:38.209396+00:00</x:v>
      </x:c>
      <x:c r="L469" s="121"/>
      <x:c r="M469" s="106" t="str">
        <x:v>akshare-price-v3-sina-history</x:v>
      </x:c>
      <x:c r="N469" s="106" t="str">
        <x:v>dde7ca8e6b7c201c6a16f177ce603e8b4e47a9b3444cd8cd50746f03216e2c3e</x:v>
      </x:c>
      <x:c r="O469" s="113"/>
      <x:c r="P469" s="106" t="str">
        <x:v>pending</x:v>
      </x:c>
      <x:c r="Q469" s="106" t="str">
        <x:v>否</x:v>
      </x:c>
      <x:c r="R469" s="106" t="str">
        <x:v>由本地 Agent 同步</x:v>
      </x:c>
      <x:c r="S469" s="86"/>
      <x:c r="T469" s="86"/>
      <x:c r="U469" s="86"/>
      <x:c r="V469" s="86"/>
      <x:c r="W469" s="86"/>
      <x:c r="X469" s="86"/>
      <x:c r="Y469" s="86"/>
      <x:c r="Z469" s="86"/>
    </x:row>
    <x:row r="470">
      <x:c r="A470" s="106" t="str">
        <x:v>3da3ccca-6150-479d-97c4-52b1f46f2dd7</x:v>
      </x:c>
      <x:c r="B470" s="106" t="str">
        <x:v>600941</x:v>
      </x:c>
      <x:c r="C470" s="106" t="str">
        <x:v>current_price</x:v>
      </x:c>
      <x:c r="D470" s="106" t="str">
        <x:v>2026-09-04 07:44</x:v>
      </x:c>
      <x:c r="E470" s="106" t="n">
        <x:v>100.53</x:v>
      </x:c>
      <x:c r="F470" s="106" t="str">
        <x:v>CNY/share</x:v>
      </x:c>
      <x:c r="G470" s="106" t="str">
        <x:v>AkShare / Sina public historical quotes</x:v>
      </x:c>
      <x:c r="H470" s="106" t="str">
        <x:v>https://akshare.akfamily.xyz/data/stock/stock.html</x:v>
      </x:c>
      <x:c r="I470" s="106"/>
      <x:c r="J470" s="106"/>
      <x:c r="K470" s="121" t="str">
        <x:v>2026-09-04 07:47:38.209396+00:00</x:v>
      </x:c>
      <x:c r="L470" s="121"/>
      <x:c r="M470" s="106" t="str">
        <x:v>akshare-price-v3-sina-history</x:v>
      </x:c>
      <x:c r="N470" s="106" t="str">
        <x:v>15e218d59866cd8441c00bb3e1779b27e382c4d3eae1a72ba472eec6a086d481</x:v>
      </x:c>
      <x:c r="O470" s="113"/>
      <x:c r="P470" s="106" t="str">
        <x:v>pending</x:v>
      </x:c>
      <x:c r="Q470" s="106" t="str">
        <x:v>否</x:v>
      </x:c>
      <x:c r="R470" s="106" t="str">
        <x:v>由本地 Agent 同步</x:v>
      </x:c>
      <x:c r="S470" s="86"/>
      <x:c r="T470" s="86"/>
      <x:c r="U470" s="86"/>
      <x:c r="V470" s="86"/>
      <x:c r="W470" s="86"/>
      <x:c r="X470" s="86"/>
      <x:c r="Y470" s="86"/>
      <x:c r="Z470" s="86"/>
    </x:row>
    <x:row r="471">
      <x:c r="A471" s="106" t="str">
        <x:v>d6ece75d-209a-4bcf-bffd-b3583cbd84c8</x:v>
      </x:c>
      <x:c r="B471" s="106" t="str">
        <x:v>600900</x:v>
      </x:c>
      <x:c r="C471" s="106" t="str">
        <x:v>current_price</x:v>
      </x:c>
      <x:c r="D471" s="106" t="str">
        <x:v>2026-09-04 07:44</x:v>
      </x:c>
      <x:c r="E471" s="106" t="n">
        <x:v>28.44</x:v>
      </x:c>
      <x:c r="F471" s="106" t="str">
        <x:v>CNY/share</x:v>
      </x:c>
      <x:c r="G471" s="106" t="str">
        <x:v>AkShare / Sina public historical quotes</x:v>
      </x:c>
      <x:c r="H471" s="106" t="str">
        <x:v>https://akshare.akfamily.xyz/data/stock/stock.html</x:v>
      </x:c>
      <x:c r="I471" s="106"/>
      <x:c r="J471" s="106"/>
      <x:c r="K471" s="121" t="str">
        <x:v>2026-09-04 07:47:38.209396+00:00</x:v>
      </x:c>
      <x:c r="L471" s="121"/>
      <x:c r="M471" s="106" t="str">
        <x:v>akshare-price-v3-sina-history</x:v>
      </x:c>
      <x:c r="N471" s="106" t="str">
        <x:v>c7b2c754129ced814d8b123901a84f768fde95a51aebc8216f526490d5d5ca91</x:v>
      </x:c>
      <x:c r="O471" s="113"/>
      <x:c r="P471" s="106" t="str">
        <x:v>pending</x:v>
      </x:c>
      <x:c r="Q471" s="106" t="str">
        <x:v>否</x:v>
      </x:c>
      <x:c r="R471" s="106" t="str">
        <x:v>由本地 Agent 同步</x:v>
      </x:c>
      <x:c r="S471" s="86"/>
      <x:c r="T471" s="86"/>
      <x:c r="U471" s="86"/>
      <x:c r="V471" s="86"/>
      <x:c r="W471" s="86"/>
      <x:c r="X471" s="86"/>
      <x:c r="Y471" s="86"/>
      <x:c r="Z471" s="86"/>
    </x:row>
    <x:row r="472">
      <x:c r="A472" s="106" t="str">
        <x:v>975278a4-b6d8-408d-9759-bec6fa22c4b7</x:v>
      </x:c>
      <x:c r="B472" s="106" t="str">
        <x:v>000333</x:v>
      </x:c>
      <x:c r="C472" s="106" t="str">
        <x:v>current_price</x:v>
      </x:c>
      <x:c r="D472" s="106" t="str">
        <x:v>2026-09-04 07:44</x:v>
      </x:c>
      <x:c r="E472" s="106" t="n">
        <x:v>87.25</x:v>
      </x:c>
      <x:c r="F472" s="106" t="str">
        <x:v>CNY/share</x:v>
      </x:c>
      <x:c r="G472" s="106" t="str">
        <x:v>AkShare / Sina public historical quotes</x:v>
      </x:c>
      <x:c r="H472" s="106" t="str">
        <x:v>https://akshare.akfamily.xyz/data/stock/stock.html</x:v>
      </x:c>
      <x:c r="I472" s="106"/>
      <x:c r="J472" s="106"/>
      <x:c r="K472" s="121" t="str">
        <x:v>2026-09-04 07:47:38.209396+00:00</x:v>
      </x:c>
      <x:c r="L472" s="121"/>
      <x:c r="M472" s="106" t="str">
        <x:v>akshare-price-v3-sina-history</x:v>
      </x:c>
      <x:c r="N472" s="106" t="str">
        <x:v>42f5f99921119ee01a262b9c2924eb2572b33a481a80806bff5ce8f46975f805</x:v>
      </x:c>
      <x:c r="O472" s="113"/>
      <x:c r="P472" s="106" t="str">
        <x:v>pending</x:v>
      </x:c>
      <x:c r="Q472" s="106" t="str">
        <x:v>否</x:v>
      </x:c>
      <x:c r="R472" s="106" t="str">
        <x:v>由本地 Agent 同步</x:v>
      </x:c>
      <x:c r="S472" s="86"/>
      <x:c r="T472" s="86"/>
      <x:c r="U472" s="86"/>
      <x:c r="V472" s="86"/>
      <x:c r="W472" s="86"/>
      <x:c r="X472" s="86"/>
      <x:c r="Y472" s="86"/>
      <x:c r="Z472" s="86"/>
    </x:row>
    <x:row r="473">
      <x:c r="A473" s="106" t="str">
        <x:v>c30809e3-0953-4ffd-9a7a-5454b2e1b608</x:v>
      </x:c>
      <x:c r="B473" s="106" t="str">
        <x:v>600036</x:v>
      </x:c>
      <x:c r="C473" s="106" t="str">
        <x:v>current_price</x:v>
      </x:c>
      <x:c r="D473" s="106" t="str">
        <x:v>2026-09-04 07:44</x:v>
      </x:c>
      <x:c r="E473" s="106" t="n">
        <x:v>41.07</x:v>
      </x:c>
      <x:c r="F473" s="106" t="str">
        <x:v>CNY/share</x:v>
      </x:c>
      <x:c r="G473" s="106" t="str">
        <x:v>AkShare / Sina public historical quotes</x:v>
      </x:c>
      <x:c r="H473" s="106" t="str">
        <x:v>https://akshare.akfamily.xyz/data/stock/stock.html</x:v>
      </x:c>
      <x:c r="I473" s="106"/>
      <x:c r="J473" s="106"/>
      <x:c r="K473" s="121" t="str">
        <x:v>2026-09-04 07:47:38.209396+00:00</x:v>
      </x:c>
      <x:c r="L473" s="121"/>
      <x:c r="M473" s="106" t="str">
        <x:v>akshare-price-v3-sina-history</x:v>
      </x:c>
      <x:c r="N473" s="106" t="str">
        <x:v>1b050067ff5ddcf72ff1b8475d39ab278eca37975b11b99763190ddac16d7eb3</x:v>
      </x:c>
      <x:c r="O473" s="113"/>
      <x:c r="P473" s="106" t="str">
        <x:v>pending</x:v>
      </x:c>
      <x:c r="Q473" s="106" t="str">
        <x:v>否</x:v>
      </x:c>
      <x:c r="R473" s="106" t="str">
        <x:v>由本地 Agent 同步</x:v>
      </x:c>
      <x:c r="S473" s="86"/>
      <x:c r="T473" s="86"/>
      <x:c r="U473" s="86"/>
      <x:c r="V473" s="86"/>
      <x:c r="W473" s="86"/>
      <x:c r="X473" s="86"/>
      <x:c r="Y473" s="86"/>
      <x:c r="Z473" s="86"/>
    </x:row>
    <x:row r="474">
      <x:c r="A474" s="106" t="str">
        <x:v>fb0a3140-5612-4066-9755-ca84d99411b5</x:v>
      </x:c>
      <x:c r="B474" s="106" t="str">
        <x:v>600690</x:v>
      </x:c>
      <x:c r="C474" s="106" t="str">
        <x:v>current_price</x:v>
      </x:c>
      <x:c r="D474" s="106" t="str">
        <x:v>2026-09-04 07:44</x:v>
      </x:c>
      <x:c r="E474" s="106" t="n">
        <x:v>21.82</x:v>
      </x:c>
      <x:c r="F474" s="106" t="str">
        <x:v>CNY/share</x:v>
      </x:c>
      <x:c r="G474" s="106" t="str">
        <x:v>AkShare / Sina public historical quotes</x:v>
      </x:c>
      <x:c r="H474" s="106" t="str">
        <x:v>https://akshare.akfamily.xyz/data/stock/stock.html</x:v>
      </x:c>
      <x:c r="I474" s="106"/>
      <x:c r="J474" s="106"/>
      <x:c r="K474" s="121" t="str">
        <x:v>2026-09-04 07:47:38.209396+00:00</x:v>
      </x:c>
      <x:c r="L474" s="121"/>
      <x:c r="M474" s="106" t="str">
        <x:v>akshare-price-v3-sina-history</x:v>
      </x:c>
      <x:c r="N474" s="106" t="str">
        <x:v>14e5a4852193d0087bdae0b2ac5d277345ba54fc10abe1e47ac66193cf626c16</x:v>
      </x:c>
      <x:c r="O474" s="113"/>
      <x:c r="P474" s="106" t="str">
        <x:v>pending</x:v>
      </x:c>
      <x:c r="Q474" s="106" t="str">
        <x:v>否</x:v>
      </x:c>
      <x:c r="R474" s="106" t="str">
        <x:v>由本地 Agent 同步</x:v>
      </x:c>
      <x:c r="S474" s="86"/>
      <x:c r="T474" s="86"/>
      <x:c r="U474" s="86"/>
      <x:c r="V474" s="86"/>
      <x:c r="W474" s="86"/>
      <x:c r="X474" s="86"/>
      <x:c r="Y474" s="86"/>
      <x:c r="Z474" s="86"/>
    </x:row>
    <x:row r="475">
      <x:c r="A475" s="106" t="str">
        <x:v>95e7b0ba-4c9f-4b92-b316-92024f50a6b8</x:v>
      </x:c>
      <x:c r="B475" s="106" t="str">
        <x:v>300750</x:v>
      </x:c>
      <x:c r="C475" s="106" t="str">
        <x:v>current_price</x:v>
      </x:c>
      <x:c r="D475" s="106" t="str">
        <x:v>2026-09-04 07:44</x:v>
      </x:c>
      <x:c r="E475" s="106" t="n">
        <x:v>349.5</x:v>
      </x:c>
      <x:c r="F475" s="106" t="str">
        <x:v>CNY/share</x:v>
      </x:c>
      <x:c r="G475" s="106" t="str">
        <x:v>AkShare / Sina public historical quotes</x:v>
      </x:c>
      <x:c r="H475" s="106" t="str">
        <x:v>https://akshare.akfamily.xyz/data/stock/stock.html</x:v>
      </x:c>
      <x:c r="I475" s="106"/>
      <x:c r="J475" s="106"/>
      <x:c r="K475" s="121" t="str">
        <x:v>2026-09-04 07:47:38.209396+00:00</x:v>
      </x:c>
      <x:c r="L475" s="121"/>
      <x:c r="M475" s="106" t="str">
        <x:v>akshare-price-v3-sina-history</x:v>
      </x:c>
      <x:c r="N475" s="106" t="str">
        <x:v>1847b3f2a9811cf7ef57775ea3b8c2a7e6c96361cd421e0bd78d1db9f64299f2</x:v>
      </x:c>
      <x:c r="O475" s="113"/>
      <x:c r="P475" s="106" t="str">
        <x:v>pending</x:v>
      </x:c>
      <x:c r="Q475" s="106" t="str">
        <x:v>否</x:v>
      </x:c>
      <x:c r="R475" s="106" t="str">
        <x:v>由本地 Agent 同步</x:v>
      </x:c>
      <x:c r="S475" s="86"/>
      <x:c r="T475" s="86"/>
      <x:c r="U475" s="86"/>
      <x:c r="V475" s="86"/>
      <x:c r="W475" s="86"/>
      <x:c r="X475" s="86"/>
      <x:c r="Y475" s="86"/>
      <x:c r="Z475" s="86"/>
    </x:row>
    <x:row r="476">
      <x:c r="A476" s="106" t="str">
        <x:v>c6ebded3-08f0-4894-9952-0c5d63e5691a</x:v>
      </x:c>
      <x:c r="B476" s="106" t="str">
        <x:v>300750</x:v>
      </x:c>
      <x:c r="C476" s="106" t="str">
        <x:v>dps_ttm</x:v>
      </x:c>
      <x:c r="D476" s="106" t="str">
        <x:v>2026-09-04</x:v>
      </x:c>
      <x:c r="E476" s="106" t="n">
        <x:v>8.368</x:v>
      </x:c>
      <x:c r="F476" s="106" t="str">
        <x:v>CNY/share</x:v>
      </x:c>
      <x:c r="G476" s="106" t="str">
        <x:v>CNINFO statutory dividend history</x:v>
      </x:c>
      <x:c r="H476" s="106" t="str">
        <x:v>https://webapi.cninfo.com.cn/#/company?companyid=300750</x:v>
      </x:c>
      <x:c r="I476" s="106"/>
      <x:c r="J476" s="106"/>
      <x:c r="K476" s="121" t="str">
        <x:v>2026-09-04 07:59:56.665293+00:00</x:v>
      </x:c>
      <x:c r="L476" s="121" t="str">
        <x:v>2026-08-04 00:00:00+00:00</x:v>
      </x:c>
      <x:c r="M476" s="106" t="str">
        <x:v>akshare-dividend-v1-cninfo</x:v>
      </x:c>
      <x:c r="N476" s="106" t="str">
        <x:v>cddae455d6021ce76e4a872e4425051444d0165efef2b9f05734fb47f314d773</x:v>
      </x:c>
      <x:c r="O476" s="113"/>
      <x:c r="P476" s="106" t="str">
        <x:v>pending</x:v>
      </x:c>
      <x:c r="Q476" s="106" t="str">
        <x:v>否</x:v>
      </x:c>
      <x:c r="R476" s="106" t="str">
        <x:v>由本地 Agent 同步</x:v>
      </x:c>
      <x:c r="S476" s="86"/>
      <x:c r="T476" s="86"/>
      <x:c r="U476" s="86"/>
      <x:c r="V476" s="86"/>
      <x:c r="W476" s="86"/>
      <x:c r="X476" s="86"/>
      <x:c r="Y476" s="86"/>
      <x:c r="Z476" s="86"/>
    </x:row>
    <x:row r="477">
      <x:c r="A477" s="106" t="str">
        <x:v>95e7b0ba-4c9f-4b92-b316-92024f50a6b8</x:v>
      </x:c>
      <x:c r="B477" s="106" t="str">
        <x:v>300750</x:v>
      </x:c>
      <x:c r="C477" s="106" t="str">
        <x:v>current_price</x:v>
      </x:c>
      <x:c r="D477" s="106" t="str">
        <x:v>2026-09-04 07:59</x:v>
      </x:c>
      <x:c r="E477" s="106" t="n">
        <x:v>349.5</x:v>
      </x:c>
      <x:c r="F477" s="106" t="str">
        <x:v>CNY/share</x:v>
      </x:c>
      <x:c r="G477" s="106" t="str">
        <x:v>AkShare / Sina public historical quotes</x:v>
      </x:c>
      <x:c r="H477" s="106" t="str">
        <x:v>https://akshare.akfamily.xyz/data/stock/stock.html</x:v>
      </x:c>
      <x:c r="I477" s="106"/>
      <x:c r="J477" s="106"/>
      <x:c r="K477" s="121" t="str">
        <x:v>2026-09-04 07:59:19.465910+00:00</x:v>
      </x:c>
      <x:c r="L477" s="121"/>
      <x:c r="M477" s="106" t="str">
        <x:v>akshare-price-v3-sina-history</x:v>
      </x:c>
      <x:c r="N477" s="106" t="str">
        <x:v>1847b3f2a9811cf7ef57775ea3b8c2a7e6c96361cd421e0bd78d1db9f64299f2</x:v>
      </x:c>
      <x:c r="O477" s="113"/>
      <x:c r="P477" s="106" t="str">
        <x:v>pending</x:v>
      </x:c>
      <x:c r="Q477" s="106" t="str">
        <x:v>否</x:v>
      </x:c>
      <x:c r="R477" s="106" t="str">
        <x:v>由本地 Agent 同步</x:v>
      </x:c>
      <x:c r="S477" s="86"/>
      <x:c r="T477" s="86"/>
      <x:c r="U477" s="86"/>
      <x:c r="V477" s="86"/>
      <x:c r="W477" s="86"/>
      <x:c r="X477" s="86"/>
      <x:c r="Y477" s="86"/>
      <x:c r="Z477" s="86"/>
    </x:row>
    <x:row r="478">
      <x:c r="A478" s="106" t="str">
        <x:v>d3ed95d5-5dbc-4362-9fe1-811a46086508</x:v>
      </x:c>
      <x:c r="B478" s="106" t="str">
        <x:v>600690</x:v>
      </x:c>
      <x:c r="C478" s="106" t="str">
        <x:v>dps_ttm</x:v>
      </x:c>
      <x:c r="D478" s="106" t="str">
        <x:v>2026-09-04</x:v>
      </x:c>
      <x:c r="E478" s="106" t="n">
        <x:v>1.1607</x:v>
      </x:c>
      <x:c r="F478" s="106" t="str">
        <x:v>CNY/share</x:v>
      </x:c>
      <x:c r="G478" s="106" t="str">
        <x:v>CNINFO statutory dividend history</x:v>
      </x:c>
      <x:c r="H478" s="106" t="str">
        <x:v>https://webapi.cninfo.com.cn/#/company?companyid=600690</x:v>
      </x:c>
      <x:c r="I478" s="106"/>
      <x:c r="J478" s="106"/>
      <x:c r="K478" s="121" t="str">
        <x:v>2026-09-04 07:59:56.665293+00:00</x:v>
      </x:c>
      <x:c r="L478" s="121" t="str">
        <x:v>2026-08-15 00:00:00+00:00</x:v>
      </x:c>
      <x:c r="M478" s="106" t="str">
        <x:v>akshare-dividend-v1-cninfo</x:v>
      </x:c>
      <x:c r="N478" s="106" t="str">
        <x:v>baddde7e975b01a48c188e32104805933153cf57ca9b927469c8759e4029374f</x:v>
      </x:c>
      <x:c r="O478" s="113"/>
      <x:c r="P478" s="106" t="str">
        <x:v>pending</x:v>
      </x:c>
      <x:c r="Q478" s="106" t="str">
        <x:v>否</x:v>
      </x:c>
      <x:c r="R478" s="106" t="str">
        <x:v>由本地 Agent 同步</x:v>
      </x:c>
      <x:c r="S478" s="86"/>
      <x:c r="T478" s="86"/>
      <x:c r="U478" s="86"/>
      <x:c r="V478" s="86"/>
      <x:c r="W478" s="86"/>
      <x:c r="X478" s="86"/>
      <x:c r="Y478" s="86"/>
      <x:c r="Z478" s="86"/>
    </x:row>
    <x:row r="479">
      <x:c r="A479" s="106" t="str">
        <x:v>38272e84-faa6-454f-96b6-f47e35ce8646</x:v>
      </x:c>
      <x:c r="B479" s="106" t="str">
        <x:v>601088</x:v>
      </x:c>
      <x:c r="C479" s="106" t="str">
        <x:v>current_price</x:v>
      </x:c>
      <x:c r="D479" s="106" t="str">
        <x:v>2026-09-04 07:59</x:v>
      </x:c>
      <x:c r="E479" s="106" t="n">
        <x:v>47.78</x:v>
      </x:c>
      <x:c r="F479" s="106" t="str">
        <x:v>CNY/share</x:v>
      </x:c>
      <x:c r="G479" s="106" t="str">
        <x:v>AkShare / Sina public historical quotes</x:v>
      </x:c>
      <x:c r="H479" s="106" t="str">
        <x:v>https://akshare.akfamily.xyz/data/stock/stock.html</x:v>
      </x:c>
      <x:c r="I479" s="106"/>
      <x:c r="J479" s="106"/>
      <x:c r="K479" s="121" t="str">
        <x:v>2026-09-04 07:59:19.465910+00:00</x:v>
      </x:c>
      <x:c r="L479" s="121"/>
      <x:c r="M479" s="106" t="str">
        <x:v>akshare-price-v3-sina-history</x:v>
      </x:c>
      <x:c r="N479" s="106" t="str">
        <x:v>dde7ca8e6b7c201c6a16f177ce603e8b4e47a9b3444cd8cd50746f03216e2c3e</x:v>
      </x:c>
      <x:c r="O479" s="113"/>
      <x:c r="P479" s="106" t="str">
        <x:v>pending</x:v>
      </x:c>
      <x:c r="Q479" s="106" t="str">
        <x:v>否</x:v>
      </x:c>
      <x:c r="R479" s="106" t="str">
        <x:v>由本地 Agent 同步</x:v>
      </x:c>
      <x:c r="S479" s="86"/>
      <x:c r="T479" s="86"/>
      <x:c r="U479" s="86"/>
      <x:c r="V479" s="86"/>
      <x:c r="W479" s="86"/>
      <x:c r="X479" s="86"/>
      <x:c r="Y479" s="86"/>
      <x:c r="Z479" s="86"/>
    </x:row>
    <x:row r="480">
      <x:c r="A480" s="106" t="str">
        <x:v>f2587f00-7c86-457b-ae56-7f22d6648058</x:v>
      </x:c>
      <x:c r="B480" s="106" t="str">
        <x:v>300750</x:v>
      </x:c>
      <x:c r="C480" s="106" t="str">
        <x:v>payout_ratio</x:v>
      </x:c>
      <x:c r="D480" s="106" t="str">
        <x:v>2026-09-04</x:v>
      </x:c>
      <x:c r="E480" s="106" t="n">
        <x:v>42.07</x:v>
      </x:c>
      <x:c r="F480" s="106" t="str">
        <x:v>percent</x:v>
      </x:c>
      <x:c r="G480" s="106" t="str">
        <x:v>Value Investment Agent payout-ratio calculation</x:v>
      </x:c>
      <x:c r="H480" s="106" t="str">
        <x:v>internal://value-investment-agent/payout-ratio-v1</x:v>
      </x:c>
      <x:c r="I480" s="106"/>
      <x:c r="J480" s="106"/>
      <x:c r="K480" s="121" t="str">
        <x:v>2026-09-04 08:00:01.029280+00:00</x:v>
      </x:c>
      <x:c r="L480" s="121"/>
      <x:c r="M480" s="106" t="str">
        <x:v>payout-ratio-v1</x:v>
      </x:c>
      <x:c r="N480" s="106" t="str">
        <x:v>dc79e98f3b637ac0105a8458547970fa3432d449ae1165fdaee552deb4c2db4a</x:v>
      </x:c>
      <x:c r="O480" s="113"/>
      <x:c r="P480" s="106" t="str">
        <x:v>pending</x:v>
      </x:c>
      <x:c r="Q480" s="106" t="str">
        <x:v>否</x:v>
      </x:c>
      <x:c r="R480" s="106" t="str">
        <x:v>由本地 Agent 同步</x:v>
      </x:c>
      <x:c r="S480" s="86"/>
      <x:c r="T480" s="86"/>
      <x:c r="U480" s="86"/>
      <x:c r="V480" s="86"/>
      <x:c r="W480" s="86"/>
      <x:c r="X480" s="86"/>
      <x:c r="Y480" s="86"/>
      <x:c r="Z480" s="86"/>
    </x:row>
    <x:row r="481">
      <x:c r="A481" s="106" t="str">
        <x:v>fa473ccc-8752-460a-8430-6b0c7e292476</x:v>
      </x:c>
      <x:c r="B481" s="106" t="str">
        <x:v>600036</x:v>
      </x:c>
      <x:c r="C481" s="106" t="str">
        <x:v>dps_ttm</x:v>
      </x:c>
      <x:c r="D481" s="106" t="str">
        <x:v>2026-09-04</x:v>
      </x:c>
      <x:c r="E481" s="106" t="n">
        <x:v>2.016</x:v>
      </x:c>
      <x:c r="F481" s="106" t="str">
        <x:v>CNY/share</x:v>
      </x:c>
      <x:c r="G481" s="106" t="str">
        <x:v>CNINFO statutory dividend history</x:v>
      </x:c>
      <x:c r="H481" s="106" t="str">
        <x:v>https://webapi.cninfo.com.cn/#/company?companyid=600036</x:v>
      </x:c>
      <x:c r="I481" s="106"/>
      <x:c r="J481" s="106"/>
      <x:c r="K481" s="121" t="str">
        <x:v>2026-09-04 07:59:56.665293+00:00</x:v>
      </x:c>
      <x:c r="L481" s="121" t="str">
        <x:v>2026-07-04 00:00:00+00:00</x:v>
      </x:c>
      <x:c r="M481" s="106" t="str">
        <x:v>akshare-dividend-v1-cninfo</x:v>
      </x:c>
      <x:c r="N481" s="106" t="str">
        <x:v>01a94716d528fca21c6581e01a87a151984c1cde70fe368456e59915c9ab6b84</x:v>
      </x:c>
      <x:c r="O481" s="113"/>
      <x:c r="P481" s="106" t="str">
        <x:v>pending</x:v>
      </x:c>
      <x:c r="Q481" s="106" t="str">
        <x:v>否</x:v>
      </x:c>
      <x:c r="R481" s="106" t="str">
        <x:v>由本地 Agent 同步</x:v>
      </x:c>
      <x:c r="S481" s="86"/>
      <x:c r="T481" s="86"/>
      <x:c r="U481" s="86"/>
      <x:c r="V481" s="86"/>
      <x:c r="W481" s="86"/>
      <x:c r="X481" s="86"/>
      <x:c r="Y481" s="86"/>
      <x:c r="Z481" s="86"/>
    </x:row>
    <x:row r="482">
      <x:c r="A482" s="106" t="str">
        <x:v>021cfce0-9869-4abc-a396-dca3494bd753</x:v>
      </x:c>
      <x:c r="B482" s="106" t="str">
        <x:v>601288</x:v>
      </x:c>
      <x:c r="C482" s="106" t="str">
        <x:v>current_price</x:v>
      </x:c>
      <x:c r="D482" s="106" t="str">
        <x:v>2026-09-04 07:59</x:v>
      </x:c>
      <x:c r="E482" s="106" t="n">
        <x:v>6.89</x:v>
      </x:c>
      <x:c r="F482" s="106" t="str">
        <x:v>CNY/share</x:v>
      </x:c>
      <x:c r="G482" s="106" t="str">
        <x:v>AkShare / Sina public historical quotes</x:v>
      </x:c>
      <x:c r="H482" s="106" t="str">
        <x:v>https://akshare.akfamily.xyz/data/stock/stock.html</x:v>
      </x:c>
      <x:c r="I482" s="106"/>
      <x:c r="J482" s="106"/>
      <x:c r="K482" s="121" t="str">
        <x:v>2026-09-04 07:59:19.465910+00:00</x:v>
      </x:c>
      <x:c r="L482" s="121"/>
      <x:c r="M482" s="106" t="str">
        <x:v>akshare-price-v3-sina-history</x:v>
      </x:c>
      <x:c r="N482" s="106" t="str">
        <x:v>40f616305b4ce4a412b7d22b5617880560e94d8a16bb6a4100bbf6d3182ea055</x:v>
      </x:c>
      <x:c r="O482" s="113"/>
      <x:c r="P482" s="106" t="str">
        <x:v>pending</x:v>
      </x:c>
      <x:c r="Q482" s="106" t="str">
        <x:v>否</x:v>
      </x:c>
      <x:c r="R482" s="106" t="str">
        <x:v>由本地 Agent 同步</x:v>
      </x:c>
      <x:c r="S482" s="86"/>
      <x:c r="T482" s="86"/>
      <x:c r="U482" s="86"/>
      <x:c r="V482" s="86"/>
      <x:c r="W482" s="86"/>
      <x:c r="X482" s="86"/>
      <x:c r="Y482" s="86"/>
      <x:c r="Z482" s="86"/>
    </x:row>
    <x:row r="483">
      <x:c r="A483" s="106" t="str">
        <x:v>8d06c86a-bec5-4968-b261-edb372529609</x:v>
      </x:c>
      <x:c r="B483" s="106" t="str">
        <x:v>600690</x:v>
      </x:c>
      <x:c r="C483" s="106" t="str">
        <x:v>payout_ratio</x:v>
      </x:c>
      <x:c r="D483" s="106" t="str">
        <x:v>2026-09-04</x:v>
      </x:c>
      <x:c r="E483" s="106" t="n">
        <x:v>58.64</x:v>
      </x:c>
      <x:c r="F483" s="106" t="str">
        <x:v>percent</x:v>
      </x:c>
      <x:c r="G483" s="106" t="str">
        <x:v>Value Investment Agent payout-ratio calculation</x:v>
      </x:c>
      <x:c r="H483" s="106" t="str">
        <x:v>internal://value-investment-agent/payout-ratio-v1</x:v>
      </x:c>
      <x:c r="I483" s="106"/>
      <x:c r="J483" s="106"/>
      <x:c r="K483" s="121" t="str">
        <x:v>2026-09-04 08:00:01.029280+00:00</x:v>
      </x:c>
      <x:c r="L483" s="121"/>
      <x:c r="M483" s="106" t="str">
        <x:v>payout-ratio-v1</x:v>
      </x:c>
      <x:c r="N483" s="106" t="str">
        <x:v>d5a505bfed96fdc6c11b6bb868602cd41545370b1db508b48452106336f27e2b</x:v>
      </x:c>
      <x:c r="O483" s="113"/>
      <x:c r="P483" s="106" t="str">
        <x:v>pending</x:v>
      </x:c>
      <x:c r="Q483" s="106" t="str">
        <x:v>否</x:v>
      </x:c>
      <x:c r="R483" s="106" t="str">
        <x:v>由本地 Agent 同步</x:v>
      </x:c>
      <x:c r="S483" s="86"/>
      <x:c r="T483" s="86"/>
      <x:c r="U483" s="86"/>
      <x:c r="V483" s="86"/>
      <x:c r="W483" s="86"/>
      <x:c r="X483" s="86"/>
      <x:c r="Y483" s="86"/>
      <x:c r="Z483" s="86"/>
    </x:row>
    <x:row r="484">
      <x:c r="A484" s="106" t="str">
        <x:v>90f0759d-9137-49f1-aade-2bf82fbab195</x:v>
      </x:c>
      <x:c r="B484" s="106" t="str">
        <x:v>600900</x:v>
      </x:c>
      <x:c r="C484" s="106" t="str">
        <x:v>payout_ratio</x:v>
      </x:c>
      <x:c r="D484" s="106" t="str">
        <x:v>2026-09-04</x:v>
      </x:c>
      <x:c r="E484" s="106" t="n">
        <x:v>66.67</x:v>
      </x:c>
      <x:c r="F484" s="106" t="str">
        <x:v>percent</x:v>
      </x:c>
      <x:c r="G484" s="106" t="str">
        <x:v>Value Investment Agent payout-ratio calculation</x:v>
      </x:c>
      <x:c r="H484" s="106" t="str">
        <x:v>internal://value-investment-agent/payout-ratio-v1</x:v>
      </x:c>
      <x:c r="I484" s="106"/>
      <x:c r="J484" s="106"/>
      <x:c r="K484" s="121" t="str">
        <x:v>2026-09-04 08:00:01.029280+00:00</x:v>
      </x:c>
      <x:c r="L484" s="121"/>
      <x:c r="M484" s="106" t="str">
        <x:v>payout-ratio-v1</x:v>
      </x:c>
      <x:c r="N484" s="106" t="str">
        <x:v>fec151657c79982ae70aefd0596d74eddb87abeb9a60ce36db727ff1aac017a5</x:v>
      </x:c>
      <x:c r="O484" s="113"/>
      <x:c r="P484" s="106" t="str">
        <x:v>pending</x:v>
      </x:c>
      <x:c r="Q484" s="106" t="str">
        <x:v>否</x:v>
      </x:c>
      <x:c r="R484" s="106" t="str">
        <x:v>由本地 Agent 同步</x:v>
      </x:c>
      <x:c r="S484" s="86"/>
      <x:c r="T484" s="86"/>
      <x:c r="U484" s="86"/>
      <x:c r="V484" s="86"/>
      <x:c r="W484" s="86"/>
      <x:c r="X484" s="86"/>
      <x:c r="Y484" s="86"/>
      <x:c r="Z484" s="86"/>
    </x:row>
    <x:row r="485">
      <x:c r="A485" s="106" t="str">
        <x:v>5b24fd24-9ffa-431a-9ba5-8157bad95eae</x:v>
      </x:c>
      <x:c r="B485" s="106" t="str">
        <x:v>601288</x:v>
      </x:c>
      <x:c r="C485" s="106" t="str">
        <x:v>dps_ttm</x:v>
      </x:c>
      <x:c r="D485" s="106" t="str">
        <x:v>2026-09-04</x:v>
      </x:c>
      <x:c r="E485" s="106" t="n">
        <x:v>0.2495</x:v>
      </x:c>
      <x:c r="F485" s="106" t="str">
        <x:v>CNY/share</x:v>
      </x:c>
      <x:c r="G485" s="106" t="str">
        <x:v>CNINFO statutory dividend history</x:v>
      </x:c>
      <x:c r="H485" s="106" t="str">
        <x:v>https://webapi.cninfo.com.cn/#/company?companyid=601288</x:v>
      </x:c>
      <x:c r="I485" s="106"/>
      <x:c r="J485" s="106"/>
      <x:c r="K485" s="121" t="str">
        <x:v>2026-09-04 07:59:56.665293+00:00</x:v>
      </x:c>
      <x:c r="L485" s="121" t="str">
        <x:v>2026-05-07 00:00:00+00:00</x:v>
      </x:c>
      <x:c r="M485" s="106" t="str">
        <x:v>akshare-dividend-v1-cninfo</x:v>
      </x:c>
      <x:c r="N485" s="106" t="str">
        <x:v>d59b91955e7e9bff2cbf9ed89694eef6d694389f6b72ad4253795f4eda9904fa</x:v>
      </x:c>
      <x:c r="O485" s="113"/>
      <x:c r="P485" s="106" t="str">
        <x:v>pending</x:v>
      </x:c>
      <x:c r="Q485" s="106" t="str">
        <x:v>否</x:v>
      </x:c>
      <x:c r="R485" s="106" t="str">
        <x:v>由本地 Agent 同步</x:v>
      </x:c>
      <x:c r="S485" s="86"/>
      <x:c r="T485" s="86"/>
      <x:c r="U485" s="86"/>
      <x:c r="V485" s="86"/>
      <x:c r="W485" s="86"/>
      <x:c r="X485" s="86"/>
      <x:c r="Y485" s="86"/>
      <x:c r="Z485" s="86"/>
    </x:row>
    <x:row r="486">
      <x:c r="A486" s="106" t="str">
        <x:v>ef724788-8665-44de-a07b-11dbf5096895</x:v>
      </x:c>
      <x:c r="B486" s="106" t="str">
        <x:v>000333</x:v>
      </x:c>
      <x:c r="C486" s="106" t="str">
        <x:v>dps_ttm</x:v>
      </x:c>
      <x:c r="D486" s="106" t="str">
        <x:v>2026-09-04</x:v>
      </x:c>
      <x:c r="E486" s="106" t="n">
        <x:v>4.3</x:v>
      </x:c>
      <x:c r="F486" s="106" t="str">
        <x:v>CNY/share</x:v>
      </x:c>
      <x:c r="G486" s="106" t="str">
        <x:v>CNINFO statutory dividend history</x:v>
      </x:c>
      <x:c r="H486" s="106" t="str">
        <x:v>https://webapi.cninfo.com.cn/#/company?companyid=000333</x:v>
      </x:c>
      <x:c r="I486" s="106"/>
      <x:c r="J486" s="106"/>
      <x:c r="K486" s="121" t="str">
        <x:v>2026-09-04 07:59:56.665293+00:00</x:v>
      </x:c>
      <x:c r="L486" s="121" t="str">
        <x:v>2026-06-23 00:00:00+00:00</x:v>
      </x:c>
      <x:c r="M486" s="106" t="str">
        <x:v>akshare-dividend-v1-cninfo</x:v>
      </x:c>
      <x:c r="N486" s="106" t="str">
        <x:v>2f13485332ac000e9797086c37dd074e2d523f80ac64931be039ae041d514679</x:v>
      </x:c>
      <x:c r="O486" s="113"/>
      <x:c r="P486" s="106" t="str">
        <x:v>pending</x:v>
      </x:c>
      <x:c r="Q486" s="106" t="str">
        <x:v>否</x:v>
      </x:c>
      <x:c r="R486" s="106" t="str">
        <x:v>由本地 Agent 同步</x:v>
      </x:c>
      <x:c r="S486" s="86"/>
      <x:c r="T486" s="86"/>
      <x:c r="U486" s="86"/>
      <x:c r="V486" s="86"/>
      <x:c r="W486" s="86"/>
      <x:c r="X486" s="86"/>
      <x:c r="Y486" s="86"/>
      <x:c r="Z486" s="86"/>
    </x:row>
    <x:row r="487">
      <x:c r="A487" s="106" t="str">
        <x:v>2e22301c-09dd-41fa-8f52-93877c72a25c</x:v>
      </x:c>
      <x:c r="B487" s="106" t="str">
        <x:v>600900</x:v>
      </x:c>
      <x:c r="C487" s="106" t="str">
        <x:v>dps_ttm</x:v>
      </x:c>
      <x:c r="D487" s="106" t="str">
        <x:v>2026-09-04</x:v>
      </x:c>
      <x:c r="E487" s="106" t="n">
        <x:v>1</x:v>
      </x:c>
      <x:c r="F487" s="106" t="str">
        <x:v>CNY/share</x:v>
      </x:c>
      <x:c r="G487" s="106" t="str">
        <x:v>CNINFO statutory dividend history</x:v>
      </x:c>
      <x:c r="H487" s="106" t="str">
        <x:v>https://webapi.cninfo.com.cn/#/company?companyid=600900</x:v>
      </x:c>
      <x:c r="I487" s="106"/>
      <x:c r="J487" s="106"/>
      <x:c r="K487" s="121" t="str">
        <x:v>2026-09-04 07:59:56.665293+00:00</x:v>
      </x:c>
      <x:c r="L487" s="121" t="str">
        <x:v>2026-07-10 00:00:00+00:00</x:v>
      </x:c>
      <x:c r="M487" s="106" t="str">
        <x:v>akshare-dividend-v1-cninfo</x:v>
      </x:c>
      <x:c r="N487" s="106" t="str">
        <x:v>7d82ea3a1bc61349ec7d21d8f77a5547f0b8da475e1e653b8714eea7f2938a28</x:v>
      </x:c>
      <x:c r="O487" s="113"/>
      <x:c r="P487" s="106" t="str">
        <x:v>pending</x:v>
      </x:c>
      <x:c r="Q487" s="106" t="str">
        <x:v>否</x:v>
      </x:c>
      <x:c r="R487" s="106" t="str">
        <x:v>由本地 Agent 同步</x:v>
      </x:c>
      <x:c r="S487" s="86"/>
      <x:c r="T487" s="86"/>
      <x:c r="U487" s="86"/>
      <x:c r="V487" s="86"/>
      <x:c r="W487" s="86"/>
      <x:c r="X487" s="86"/>
      <x:c r="Y487" s="86"/>
      <x:c r="Z487" s="86"/>
    </x:row>
    <x:row r="488">
      <x:c r="A488" s="106" t="str">
        <x:v>c30809e3-0953-4ffd-9a7a-5454b2e1b608</x:v>
      </x:c>
      <x:c r="B488" s="106" t="str">
        <x:v>600036</x:v>
      </x:c>
      <x:c r="C488" s="106" t="str">
        <x:v>current_price</x:v>
      </x:c>
      <x:c r="D488" s="106" t="str">
        <x:v>2026-09-04 07:59</x:v>
      </x:c>
      <x:c r="E488" s="106" t="n">
        <x:v>41.07</x:v>
      </x:c>
      <x:c r="F488" s="106" t="str">
        <x:v>CNY/share</x:v>
      </x:c>
      <x:c r="G488" s="106" t="str">
        <x:v>AkShare / Sina public historical quotes</x:v>
      </x:c>
      <x:c r="H488" s="106" t="str">
        <x:v>https://akshare.akfamily.xyz/data/stock/stock.html</x:v>
      </x:c>
      <x:c r="I488" s="106"/>
      <x:c r="J488" s="106"/>
      <x:c r="K488" s="121" t="str">
        <x:v>2026-09-04 07:59:19.465910+00:00</x:v>
      </x:c>
      <x:c r="L488" s="121"/>
      <x:c r="M488" s="106" t="str">
        <x:v>akshare-price-v3-sina-history</x:v>
      </x:c>
      <x:c r="N488" s="106" t="str">
        <x:v>1b050067ff5ddcf72ff1b8475d39ab278eca37975b11b99763190ddac16d7eb3</x:v>
      </x:c>
      <x:c r="O488" s="113"/>
      <x:c r="P488" s="106" t="str">
        <x:v>pending</x:v>
      </x:c>
      <x:c r="Q488" s="106" t="str">
        <x:v>否</x:v>
      </x:c>
      <x:c r="R488" s="106" t="str">
        <x:v>由本地 Agent 同步</x:v>
      </x:c>
      <x:c r="S488" s="86"/>
      <x:c r="T488" s="86"/>
      <x:c r="U488" s="86"/>
      <x:c r="V488" s="86"/>
      <x:c r="W488" s="86"/>
      <x:c r="X488" s="86"/>
      <x:c r="Y488" s="86"/>
      <x:c r="Z488" s="86"/>
    </x:row>
    <x:row r="489">
      <x:c r="A489" s="106" t="str">
        <x:v>3da3ccca-6150-479d-97c4-52b1f46f2dd7</x:v>
      </x:c>
      <x:c r="B489" s="106" t="str">
        <x:v>600941</x:v>
      </x:c>
      <x:c r="C489" s="106" t="str">
        <x:v>current_price</x:v>
      </x:c>
      <x:c r="D489" s="106" t="str">
        <x:v>2026-09-04 07:59</x:v>
      </x:c>
      <x:c r="E489" s="106" t="n">
        <x:v>100.53</x:v>
      </x:c>
      <x:c r="F489" s="106" t="str">
        <x:v>CNY/share</x:v>
      </x:c>
      <x:c r="G489" s="106" t="str">
        <x:v>AkShare / Sina public historical quotes</x:v>
      </x:c>
      <x:c r="H489" s="106" t="str">
        <x:v>https://akshare.akfamily.xyz/data/stock/stock.html</x:v>
      </x:c>
      <x:c r="I489" s="106"/>
      <x:c r="J489" s="106"/>
      <x:c r="K489" s="121" t="str">
        <x:v>2026-09-04 07:59:19.465910+00:00</x:v>
      </x:c>
      <x:c r="L489" s="121"/>
      <x:c r="M489" s="106" t="str">
        <x:v>akshare-price-v3-sina-history</x:v>
      </x:c>
      <x:c r="N489" s="106" t="str">
        <x:v>15e218d59866cd8441c00bb3e1779b27e382c4d3eae1a72ba472eec6a086d481</x:v>
      </x:c>
      <x:c r="O489" s="113"/>
      <x:c r="P489" s="106" t="str">
        <x:v>pending</x:v>
      </x:c>
      <x:c r="Q489" s="106" t="str">
        <x:v>否</x:v>
      </x:c>
      <x:c r="R489" s="106" t="str">
        <x:v>由本地 Agent 同步</x:v>
      </x:c>
      <x:c r="S489" s="86"/>
      <x:c r="T489" s="86"/>
      <x:c r="U489" s="86"/>
      <x:c r="V489" s="86"/>
      <x:c r="W489" s="86"/>
      <x:c r="X489" s="86"/>
      <x:c r="Y489" s="86"/>
      <x:c r="Z489" s="86"/>
    </x:row>
    <x:row r="490">
      <x:c r="A490" s="106" t="str">
        <x:v>975278a4-b6d8-408d-9759-bec6fa22c4b7</x:v>
      </x:c>
      <x:c r="B490" s="106" t="str">
        <x:v>000333</x:v>
      </x:c>
      <x:c r="C490" s="106" t="str">
        <x:v>current_price</x:v>
      </x:c>
      <x:c r="D490" s="106" t="str">
        <x:v>2026-09-04 07:59</x:v>
      </x:c>
      <x:c r="E490" s="106" t="n">
        <x:v>87.25</x:v>
      </x:c>
      <x:c r="F490" s="106" t="str">
        <x:v>CNY/share</x:v>
      </x:c>
      <x:c r="G490" s="106" t="str">
        <x:v>AkShare / Sina public historical quotes</x:v>
      </x:c>
      <x:c r="H490" s="106" t="str">
        <x:v>https://akshare.akfamily.xyz/data/stock/stock.html</x:v>
      </x:c>
      <x:c r="I490" s="106"/>
      <x:c r="J490" s="106"/>
      <x:c r="K490" s="121" t="str">
        <x:v>2026-09-04 07:59:19.465910+00:00</x:v>
      </x:c>
      <x:c r="L490" s="121"/>
      <x:c r="M490" s="106" t="str">
        <x:v>akshare-price-v3-sina-history</x:v>
      </x:c>
      <x:c r="N490" s="106" t="str">
        <x:v>42f5f99921119ee01a262b9c2924eb2572b33a481a80806bff5ce8f46975f805</x:v>
      </x:c>
      <x:c r="O490" s="113"/>
      <x:c r="P490" s="106" t="str">
        <x:v>pending</x:v>
      </x:c>
      <x:c r="Q490" s="106" t="str">
        <x:v>否</x:v>
      </x:c>
      <x:c r="R490" s="106" t="str">
        <x:v>由本地 Agent 同步</x:v>
      </x:c>
      <x:c r="S490" s="86"/>
      <x:c r="T490" s="86"/>
      <x:c r="U490" s="86"/>
      <x:c r="V490" s="86"/>
      <x:c r="W490" s="86"/>
      <x:c r="X490" s="86"/>
      <x:c r="Y490" s="86"/>
      <x:c r="Z490" s="86"/>
    </x:row>
    <x:row r="491">
      <x:c r="A491" s="106" t="str">
        <x:v>34c82c39-fe4a-4725-9663-75e504ad292f</x:v>
      </x:c>
      <x:c r="B491" s="106" t="str">
        <x:v>600887</x:v>
      </x:c>
      <x:c r="C491" s="106" t="str">
        <x:v>payout_ratio</x:v>
      </x:c>
      <x:c r="D491" s="106" t="str">
        <x:v>2026-09-04</x:v>
      </x:c>
      <x:c r="E491" s="106" t="n">
        <x:v>89.05</x:v>
      </x:c>
      <x:c r="F491" s="106" t="str">
        <x:v>percent</x:v>
      </x:c>
      <x:c r="G491" s="106" t="str">
        <x:v>Value Investment Agent payout-ratio calculation</x:v>
      </x:c>
      <x:c r="H491" s="106" t="str">
        <x:v>internal://value-investment-agent/payout-ratio-v1</x:v>
      </x:c>
      <x:c r="I491" s="106"/>
      <x:c r="J491" s="106"/>
      <x:c r="K491" s="121" t="str">
        <x:v>2026-09-04 08:00:01.029280+00:00</x:v>
      </x:c>
      <x:c r="L491" s="121"/>
      <x:c r="M491" s="106" t="str">
        <x:v>payout-ratio-v1</x:v>
      </x:c>
      <x:c r="N491" s="106" t="str">
        <x:v>18e65448c1527a8607a7afc58919daba4054fedca05b6df4b9b932982e421127</x:v>
      </x:c>
      <x:c r="O491" s="113"/>
      <x:c r="P491" s="106" t="str">
        <x:v>pending</x:v>
      </x:c>
      <x:c r="Q491" s="106" t="str">
        <x:v>否</x:v>
      </x:c>
      <x:c r="R491" s="106" t="str">
        <x:v>由本地 Agent 同步</x:v>
      </x:c>
      <x:c r="S491" s="86"/>
      <x:c r="T491" s="86"/>
      <x:c r="U491" s="86"/>
      <x:c r="V491" s="86"/>
      <x:c r="W491" s="86"/>
      <x:c r="X491" s="86"/>
      <x:c r="Y491" s="86"/>
      <x:c r="Z491" s="86"/>
    </x:row>
    <x:row r="492">
      <x:c r="A492" s="106" t="str">
        <x:v>079fb307-9fc6-489e-9530-cbf2ba58809f</x:v>
      </x:c>
      <x:c r="B492" s="106" t="str">
        <x:v>600941</x:v>
      </x:c>
      <x:c r="C492" s="106" t="str">
        <x:v>payout_ratio</x:v>
      </x:c>
      <x:c r="D492" s="106" t="str">
        <x:v>2026-09-04</x:v>
      </x:c>
      <x:c r="E492" s="106" t="n">
        <x:v>36.17</x:v>
      </x:c>
      <x:c r="F492" s="106" t="str">
        <x:v>percent</x:v>
      </x:c>
      <x:c r="G492" s="106" t="str">
        <x:v>Value Investment Agent payout-ratio calculation</x:v>
      </x:c>
      <x:c r="H492" s="106" t="str">
        <x:v>internal://value-investment-agent/payout-ratio-v1</x:v>
      </x:c>
      <x:c r="I492" s="106"/>
      <x:c r="J492" s="106"/>
      <x:c r="K492" s="121" t="str">
        <x:v>2026-09-04 08:00:01.029280+00:00</x:v>
      </x:c>
      <x:c r="L492" s="121"/>
      <x:c r="M492" s="106" t="str">
        <x:v>payout-ratio-v1</x:v>
      </x:c>
      <x:c r="N492" s="106" t="str">
        <x:v>51ee0817a0457a6a24bd38cd2b07fbfd71b33b82f697a12327bd575bfb849fc7</x:v>
      </x:c>
      <x:c r="O492" s="113"/>
      <x:c r="P492" s="106" t="str">
        <x:v>pending</x:v>
      </x:c>
      <x:c r="Q492" s="106" t="str">
        <x:v>否</x:v>
      </x:c>
      <x:c r="R492" s="106" t="str">
        <x:v>由本地 Agent 同步</x:v>
      </x:c>
      <x:c r="S492" s="86"/>
      <x:c r="T492" s="86"/>
      <x:c r="U492" s="86"/>
      <x:c r="V492" s="86"/>
      <x:c r="W492" s="86"/>
      <x:c r="X492" s="86"/>
      <x:c r="Y492" s="86"/>
      <x:c r="Z492" s="86"/>
    </x:row>
    <x:row r="493">
      <x:c r="A493" s="106" t="str">
        <x:v>a9ef4697-a486-4190-86ae-3592f58a8e62</x:v>
      </x:c>
      <x:c r="B493" s="106" t="str">
        <x:v>600887</x:v>
      </x:c>
      <x:c r="C493" s="106" t="str">
        <x:v>dps_ttm</x:v>
      </x:c>
      <x:c r="D493" s="106" t="str">
        <x:v>2026-09-04</x:v>
      </x:c>
      <x:c r="E493" s="106" t="n">
        <x:v>1.38</x:v>
      </x:c>
      <x:c r="F493" s="106" t="str">
        <x:v>CNY/share</x:v>
      </x:c>
      <x:c r="G493" s="106" t="str">
        <x:v>CNINFO statutory dividend history</x:v>
      </x:c>
      <x:c r="H493" s="106" t="str">
        <x:v>https://webapi.cninfo.com.cn/#/company?companyid=600887</x:v>
      </x:c>
      <x:c r="I493" s="106"/>
      <x:c r="J493" s="106"/>
      <x:c r="K493" s="121" t="str">
        <x:v>2026-09-04 07:59:56.665293+00:00</x:v>
      </x:c>
      <x:c r="L493" s="121" t="str">
        <x:v>2026-05-29 00:00:00+00:00</x:v>
      </x:c>
      <x:c r="M493" s="106" t="str">
        <x:v>akshare-dividend-v1-cninfo</x:v>
      </x:c>
      <x:c r="N493" s="106" t="str">
        <x:v>0d67def15f3698804c63838f2daa522d438d4b680f8100b47ece47b539f56990</x:v>
      </x:c>
      <x:c r="O493" s="113"/>
      <x:c r="P493" s="106" t="str">
        <x:v>pending</x:v>
      </x:c>
      <x:c r="Q493" s="106" t="str">
        <x:v>否</x:v>
      </x:c>
      <x:c r="R493" s="106" t="str">
        <x:v>由本地 Agent 同步</x:v>
      </x:c>
      <x:c r="S493" s="86"/>
      <x:c r="T493" s="86"/>
      <x:c r="U493" s="86"/>
      <x:c r="V493" s="86"/>
      <x:c r="W493" s="86"/>
      <x:c r="X493" s="86"/>
      <x:c r="Y493" s="86"/>
      <x:c r="Z493" s="86"/>
    </x:row>
    <x:row r="494">
      <x:c r="A494" s="106" t="str">
        <x:v>7919e80f-a536-434a-b625-b3aa93710963</x:v>
      </x:c>
      <x:c r="B494" s="106" t="str">
        <x:v>600519</x:v>
      </x:c>
      <x:c r="C494" s="106" t="str">
        <x:v>dps_ttm</x:v>
      </x:c>
      <x:c r="D494" s="106" t="str">
        <x:v>2026-09-04</x:v>
      </x:c>
      <x:c r="E494" s="106" t="n">
        <x:v>51.9812</x:v>
      </x:c>
      <x:c r="F494" s="106" t="str">
        <x:v>CNY/share</x:v>
      </x:c>
      <x:c r="G494" s="106" t="str">
        <x:v>CNINFO statutory dividend history</x:v>
      </x:c>
      <x:c r="H494" s="106" t="str">
        <x:v>https://webapi.cninfo.com.cn/#/company?companyid=600519</x:v>
      </x:c>
      <x:c r="I494" s="106"/>
      <x:c r="J494" s="106"/>
      <x:c r="K494" s="121" t="str">
        <x:v>2026-09-04 07:59:56.665293+00:00</x:v>
      </x:c>
      <x:c r="L494" s="121" t="str">
        <x:v>2026-06-22 00:00:00+00:00</x:v>
      </x:c>
      <x:c r="M494" s="106" t="str">
        <x:v>akshare-dividend-v1-cninfo</x:v>
      </x:c>
      <x:c r="N494" s="106" t="str">
        <x:v>470565ad2f9ad358a74b8ad36a5370a3f2667f1ada0a6addf6338e676e462977</x:v>
      </x:c>
      <x:c r="O494" s="113"/>
      <x:c r="P494" s="106" t="str">
        <x:v>pending</x:v>
      </x:c>
      <x:c r="Q494" s="106" t="str">
        <x:v>否</x:v>
      </x:c>
      <x:c r="R494" s="106" t="str">
        <x:v>由本地 Agent 同步</x:v>
      </x:c>
      <x:c r="S494" s="86"/>
      <x:c r="T494" s="86"/>
      <x:c r="U494" s="86"/>
      <x:c r="V494" s="86"/>
      <x:c r="W494" s="86"/>
      <x:c r="X494" s="86"/>
      <x:c r="Y494" s="86"/>
      <x:c r="Z494" s="86"/>
    </x:row>
    <x:row r="495">
      <x:c r="A495" s="106" t="str">
        <x:v>e3e237f0-1f7e-49b6-9066-747be5b20b81</x:v>
      </x:c>
      <x:c r="B495" s="106" t="str">
        <x:v>600519</x:v>
      </x:c>
      <x:c r="C495" s="106" t="str">
        <x:v>current_price</x:v>
      </x:c>
      <x:c r="D495" s="106" t="str">
        <x:v>2026-09-04 07:59</x:v>
      </x:c>
      <x:c r="E495" s="106" t="n">
        <x:v>1298.88</x:v>
      </x:c>
      <x:c r="F495" s="106" t="str">
        <x:v>CNY/share</x:v>
      </x:c>
      <x:c r="G495" s="106" t="str">
        <x:v>AkShare / Sina public historical quotes</x:v>
      </x:c>
      <x:c r="H495" s="106" t="str">
        <x:v>https://akshare.akfamily.xyz/data/stock/stock.html</x:v>
      </x:c>
      <x:c r="I495" s="106"/>
      <x:c r="J495" s="106"/>
      <x:c r="K495" s="121" t="str">
        <x:v>2026-09-04 07:59:19.465910+00:00</x:v>
      </x:c>
      <x:c r="L495" s="121"/>
      <x:c r="M495" s="106" t="str">
        <x:v>akshare-price-v3-sina-history</x:v>
      </x:c>
      <x:c r="N495" s="106" t="str">
        <x:v>8cae531b70bfbf0fb9c03a27adbd58abb504f2b1a305a56c37d04832dca22bfd</x:v>
      </x:c>
      <x:c r="O495" s="113"/>
      <x:c r="P495" s="106" t="str">
        <x:v>pending</x:v>
      </x:c>
      <x:c r="Q495" s="106" t="str">
        <x:v>否</x:v>
      </x:c>
      <x:c r="R495" s="106" t="str">
        <x:v>由本地 Agent 同步</x:v>
      </x:c>
      <x:c r="S495" s="86"/>
      <x:c r="T495" s="86"/>
      <x:c r="U495" s="86"/>
      <x:c r="V495" s="86"/>
      <x:c r="W495" s="86"/>
      <x:c r="X495" s="86"/>
      <x:c r="Y495" s="86"/>
      <x:c r="Z495" s="86"/>
    </x:row>
    <x:row r="496">
      <x:c r="A496" s="106" t="str">
        <x:v>485723c7-766d-4c6d-b0a1-05803cd01e2e</x:v>
      </x:c>
      <x:c r="B496" s="106" t="str">
        <x:v>601088</x:v>
      </x:c>
      <x:c r="C496" s="106" t="str">
        <x:v>payout_ratio</x:v>
      </x:c>
      <x:c r="D496" s="106" t="str">
        <x:v>2026-09-04</x:v>
      </x:c>
      <x:c r="E496" s="106" t="n">
        <x:v>60.79</x:v>
      </x:c>
      <x:c r="F496" s="106" t="str">
        <x:v>percent</x:v>
      </x:c>
      <x:c r="G496" s="106" t="str">
        <x:v>Value Investment Agent payout-ratio calculation</x:v>
      </x:c>
      <x:c r="H496" s="106" t="str">
        <x:v>internal://value-investment-agent/payout-ratio-v1</x:v>
      </x:c>
      <x:c r="I496" s="106"/>
      <x:c r="J496" s="106"/>
      <x:c r="K496" s="121" t="str">
        <x:v>2026-09-04 08:00:01.029280+00:00</x:v>
      </x:c>
      <x:c r="L496" s="121"/>
      <x:c r="M496" s="106" t="str">
        <x:v>payout-ratio-v1</x:v>
      </x:c>
      <x:c r="N496" s="106" t="str">
        <x:v>6c124a796159b13707bdbc72e73b3f3c1ec0c9b51b0cd9e33fe2b02460d3788d</x:v>
      </x:c>
      <x:c r="O496" s="113"/>
      <x:c r="P496" s="106" t="str">
        <x:v>pending</x:v>
      </x:c>
      <x:c r="Q496" s="106" t="str">
        <x:v>否</x:v>
      </x:c>
      <x:c r="R496" s="106" t="str">
        <x:v>由本地 Agent 同步</x:v>
      </x:c>
      <x:c r="S496" s="86"/>
      <x:c r="T496" s="86"/>
      <x:c r="U496" s="86"/>
      <x:c r="V496" s="86"/>
      <x:c r="W496" s="86"/>
      <x:c r="X496" s="86"/>
      <x:c r="Y496" s="86"/>
      <x:c r="Z496" s="86"/>
    </x:row>
    <x:row r="497">
      <x:c r="A497" s="106" t="str">
        <x:v>b92ac345-9cf5-42dd-aacc-8f4345d3acf4</x:v>
      </x:c>
      <x:c r="B497" s="106" t="str">
        <x:v>601288</x:v>
      </x:c>
      <x:c r="C497" s="106" t="str">
        <x:v>payout_ratio</x:v>
      </x:c>
      <x:c r="D497" s="106" t="str">
        <x:v>2026-09-04</x:v>
      </x:c>
      <x:c r="E497" s="106" t="n">
        <x:v>29.1</x:v>
      </x:c>
      <x:c r="F497" s="106" t="str">
        <x:v>percent</x:v>
      </x:c>
      <x:c r="G497" s="106" t="str">
        <x:v>Value Investment Agent payout-ratio calculation</x:v>
      </x:c>
      <x:c r="H497" s="106" t="str">
        <x:v>internal://value-investment-agent/payout-ratio-v1</x:v>
      </x:c>
      <x:c r="I497" s="106"/>
      <x:c r="J497" s="106"/>
      <x:c r="K497" s="121" t="str">
        <x:v>2026-09-04 08:00:01.029280+00:00</x:v>
      </x:c>
      <x:c r="L497" s="121"/>
      <x:c r="M497" s="106" t="str">
        <x:v>payout-ratio-v1</x:v>
      </x:c>
      <x:c r="N497" s="106" t="str">
        <x:v>3dfc76712ca664e5cd5c22e9ddc81642a73bf5335353a92761277acb84387d8d</x:v>
      </x:c>
      <x:c r="O497" s="113"/>
      <x:c r="P497" s="106" t="str">
        <x:v>pending</x:v>
      </x:c>
      <x:c r="Q497" s="106" t="str">
        <x:v>否</x:v>
      </x:c>
      <x:c r="R497" s="106" t="str">
        <x:v>由本地 Agent 同步</x:v>
      </x:c>
      <x:c r="S497" s="86"/>
      <x:c r="T497" s="86"/>
      <x:c r="U497" s="86"/>
      <x:c r="V497" s="86"/>
      <x:c r="W497" s="86"/>
      <x:c r="X497" s="86"/>
      <x:c r="Y497" s="86"/>
      <x:c r="Z497" s="86"/>
    </x:row>
    <x:row r="498">
      <x:c r="A498" s="106" t="str">
        <x:v>6e6a4f41-cf83-4395-b9da-b08e4d37a982</x:v>
      </x:c>
      <x:c r="B498" s="106" t="str">
        <x:v>600941</x:v>
      </x:c>
      <x:c r="C498" s="106" t="str">
        <x:v>dps_ttm</x:v>
      </x:c>
      <x:c r="D498" s="106" t="str">
        <x:v>2026-09-04</x:v>
      </x:c>
      <x:c r="E498" s="106" t="n">
        <x:v>2.2012</x:v>
      </x:c>
      <x:c r="F498" s="106" t="str">
        <x:v>CNY/share</x:v>
      </x:c>
      <x:c r="G498" s="106" t="str">
        <x:v>CNINFO statutory dividend history</x:v>
      </x:c>
      <x:c r="H498" s="106" t="str">
        <x:v>https://webapi.cninfo.com.cn/#/company?companyid=600941</x:v>
      </x:c>
      <x:c r="I498" s="106"/>
      <x:c r="J498" s="106"/>
      <x:c r="K498" s="121" t="str">
        <x:v>2026-09-04 07:59:56.665293+00:00</x:v>
      </x:c>
      <x:c r="L498" s="121" t="str">
        <x:v>2026-05-29 00:00:00+00:00</x:v>
      </x:c>
      <x:c r="M498" s="106" t="str">
        <x:v>akshare-dividend-v1-cninfo</x:v>
      </x:c>
      <x:c r="N498" s="106" t="str">
        <x:v>b6c7bc2c8d471423dc4206b1dcb83fcc02ea6596228e8a195b9bb98f0f9d93b5</x:v>
      </x:c>
      <x:c r="O498" s="113"/>
      <x:c r="P498" s="106" t="str">
        <x:v>pending</x:v>
      </x:c>
      <x:c r="Q498" s="106" t="str">
        <x:v>否</x:v>
      </x:c>
      <x:c r="R498" s="106" t="str">
        <x:v>由本地 Agent 同步</x:v>
      </x:c>
      <x:c r="S498" s="86"/>
      <x:c r="T498" s="86"/>
      <x:c r="U498" s="86"/>
      <x:c r="V498" s="86"/>
      <x:c r="W498" s="86"/>
      <x:c r="X498" s="86"/>
      <x:c r="Y498" s="86"/>
      <x:c r="Z498" s="86"/>
    </x:row>
    <x:row r="499">
      <x:c r="A499" s="106" t="str">
        <x:v>bf57c49a-f73d-4aad-bcbd-3e7c7f89b664</x:v>
      </x:c>
      <x:c r="B499" s="106" t="str">
        <x:v>600036</x:v>
      </x:c>
      <x:c r="C499" s="106" t="str">
        <x:v>payout_ratio</x:v>
      </x:c>
      <x:c r="D499" s="106" t="str">
        <x:v>2026-09-04</x:v>
      </x:c>
      <x:c r="E499" s="106" t="n">
        <x:v>33.31</x:v>
      </x:c>
      <x:c r="F499" s="106" t="str">
        <x:v>percent</x:v>
      </x:c>
      <x:c r="G499" s="106" t="str">
        <x:v>Value Investment Agent payout-ratio calculation</x:v>
      </x:c>
      <x:c r="H499" s="106" t="str">
        <x:v>internal://value-investment-agent/payout-ratio-v1</x:v>
      </x:c>
      <x:c r="I499" s="106"/>
      <x:c r="J499" s="106"/>
      <x:c r="K499" s="121" t="str">
        <x:v>2026-09-04 08:00:01.029280+00:00</x:v>
      </x:c>
      <x:c r="L499" s="121"/>
      <x:c r="M499" s="106" t="str">
        <x:v>payout-ratio-v1</x:v>
      </x:c>
      <x:c r="N499" s="106" t="str">
        <x:v>504b24b549f5ab85991ca94d0c6e1c32fc677dfae799f4685363f299e7b8cb9a</x:v>
      </x:c>
      <x:c r="O499" s="113"/>
      <x:c r="P499" s="106" t="str">
        <x:v>pending</x:v>
      </x:c>
      <x:c r="Q499" s="106" t="str">
        <x:v>否</x:v>
      </x:c>
      <x:c r="R499" s="106" t="str">
        <x:v>由本地 Agent 同步</x:v>
      </x:c>
      <x:c r="S499" s="86"/>
      <x:c r="T499" s="86"/>
      <x:c r="U499" s="86"/>
      <x:c r="V499" s="86"/>
      <x:c r="W499" s="86"/>
      <x:c r="X499" s="86"/>
      <x:c r="Y499" s="86"/>
      <x:c r="Z499" s="86"/>
    </x:row>
    <x:row r="500">
      <x:c r="A500" s="106" t="str">
        <x:v>19995bfb-2b6f-4b5d-b1fa-23fe08315c74</x:v>
      </x:c>
      <x:c r="B500" s="106" t="str">
        <x:v>601088</x:v>
      </x:c>
      <x:c r="C500" s="106" t="str">
        <x:v>dps_ttm</x:v>
      </x:c>
      <x:c r="D500" s="106" t="str">
        <x:v>2026-09-04</x:v>
      </x:c>
      <x:c r="E500" s="106" t="n">
        <x:v>2.01</x:v>
      </x:c>
      <x:c r="F500" s="106" t="str">
        <x:v>CNY/share</x:v>
      </x:c>
      <x:c r="G500" s="106" t="str">
        <x:v>CNINFO statutory dividend history</x:v>
      </x:c>
      <x:c r="H500" s="106" t="str">
        <x:v>https://webapi.cninfo.com.cn/#/company?companyid=601088</x:v>
      </x:c>
      <x:c r="I500" s="106"/>
      <x:c r="J500" s="106"/>
      <x:c r="K500" s="121" t="str">
        <x:v>2026-09-04 07:59:56.665293+00:00</x:v>
      </x:c>
      <x:c r="L500" s="121" t="str">
        <x:v>2026-07-06 00:00:00+00:00</x:v>
      </x:c>
      <x:c r="M500" s="106" t="str">
        <x:v>akshare-dividend-v1-cninfo</x:v>
      </x:c>
      <x:c r="N500" s="106" t="str">
        <x:v>347c808c12047817974ceedb049bc1eb57f0c81393baa086b84ba1dce7c17dcd</x:v>
      </x:c>
      <x:c r="O500" s="113"/>
      <x:c r="P500" s="106" t="str">
        <x:v>pending</x:v>
      </x:c>
      <x:c r="Q500" s="106" t="str">
        <x:v>否</x:v>
      </x:c>
      <x:c r="R500" s="106" t="str">
        <x:v>由本地 Agent 同步</x:v>
      </x:c>
      <x:c r="S500" s="86"/>
      <x:c r="T500" s="86"/>
      <x:c r="U500" s="86"/>
      <x:c r="V500" s="86"/>
      <x:c r="W500" s="86"/>
      <x:c r="X500" s="86"/>
      <x:c r="Y500" s="86"/>
      <x:c r="Z500" s="86"/>
    </x:row>
    <x:row r="501">
      <x:c r="A501" t="str">
        <x:v>bf2c820d-30e4-41b0-bf0d-d12f0a5155e8</x:v>
      </x:c>
      <x:c r="B501" t="str">
        <x:v>000333</x:v>
      </x:c>
      <x:c r="C501" t="str">
        <x:v>payout_ratio</x:v>
      </x:c>
      <x:c r="D501" t="str">
        <x:v>2026-09-04</x:v>
      </x:c>
      <x:c r="E501" t="n">
        <x:v>73.18</x:v>
      </x:c>
      <x:c r="F501" t="str">
        <x:v>percent</x:v>
      </x:c>
      <x:c r="G501" t="str">
        <x:v>Value Investment Agent payout-ratio calculation</x:v>
      </x:c>
      <x:c r="H501" t="str">
        <x:v>internal://value-investment-agent/payout-ratio-v1</x:v>
      </x:c>
      <x:c r="I501"/>
      <x:c r="J501"/>
      <x:c r="K501" t="str">
        <x:v>2026-09-04 08:00:01.029280+00:00</x:v>
      </x:c>
      <x:c r="L501"/>
      <x:c r="M501" t="str">
        <x:v>payout-ratio-v1</x:v>
      </x:c>
      <x:c r="N501" t="str">
        <x:v>97bae3d4086f25656f2258b2da14a0b723b5a72c12c2c37caf3e117c4578498f</x:v>
      </x:c>
      <x:c r="O501"/>
      <x:c r="P501" t="str">
        <x:v>pending</x:v>
      </x:c>
      <x:c r="Q501" t="str">
        <x:v>否</x:v>
      </x:c>
      <x:c r="R501" t="str">
        <x:v>由本地 Agent 同步</x:v>
      </x:c>
    </x:row>
    <x:row r="502">
      <x:c r="A502" t="str">
        <x:v>3d53efd2-aed8-4da4-9f8c-6073134f6136</x:v>
      </x:c>
      <x:c r="B502" t="str">
        <x:v>600519</x:v>
      </x:c>
      <x:c r="C502" t="str">
        <x:v>payout_ratio</x:v>
      </x:c>
      <x:c r="D502" t="str">
        <x:v>2026-09-04</x:v>
      </x:c>
      <x:c r="E502" t="n">
        <x:v>76.96</x:v>
      </x:c>
      <x:c r="F502" t="str">
        <x:v>percent</x:v>
      </x:c>
      <x:c r="G502" t="str">
        <x:v>Value Investment Agent payout-ratio calculation</x:v>
      </x:c>
      <x:c r="H502" t="str">
        <x:v>internal://value-investment-agent/payout-ratio-v1</x:v>
      </x:c>
      <x:c r="I502"/>
      <x:c r="J502"/>
      <x:c r="K502" t="str">
        <x:v>2026-09-04 08:00:01.029280+00:00</x:v>
      </x:c>
      <x:c r="L502"/>
      <x:c r="M502" t="str">
        <x:v>payout-ratio-v1</x:v>
      </x:c>
      <x:c r="N502" t="str">
        <x:v>2a4ab841759c10c10e728b4cca0bfc839ff8f02702df5b5786fab211e1614233</x:v>
      </x:c>
      <x:c r="O502"/>
      <x:c r="P502" t="str">
        <x:v>pending</x:v>
      </x:c>
      <x:c r="Q502" t="str">
        <x:v>否</x:v>
      </x:c>
      <x:c r="R502" t="str">
        <x:v>由本地 Agent 同步</x:v>
      </x:c>
    </x:row>
    <x:row r="503">
      <x:c r="A503" t="str">
        <x:v>2d9e6937-3d74-43df-a432-78f57b4c3a22</x:v>
      </x:c>
      <x:c r="B503" t="str">
        <x:v>600887</x:v>
      </x:c>
      <x:c r="C503" t="str">
        <x:v>current_price</x:v>
      </x:c>
      <x:c r="D503" t="str">
        <x:v>2026-09-04 07:59</x:v>
      </x:c>
      <x:c r="E503" t="n">
        <x:v>26.56</x:v>
      </x:c>
      <x:c r="F503" t="str">
        <x:v>CNY/share</x:v>
      </x:c>
      <x:c r="G503" t="str">
        <x:v>AkShare / Sina public historical quotes</x:v>
      </x:c>
      <x:c r="H503" t="str">
        <x:v>https://akshare.akfamily.xyz/data/stock/stock.html</x:v>
      </x:c>
      <x:c r="I503"/>
      <x:c r="J503"/>
      <x:c r="K503" t="str">
        <x:v>2026-09-04 07:59:19.465910+00:00</x:v>
      </x:c>
      <x:c r="L503"/>
      <x:c r="M503" t="str">
        <x:v>akshare-price-v3-sina-history</x:v>
      </x:c>
      <x:c r="N503" t="str">
        <x:v>b3a8f9fc122b3f4daf7feeb3f55a1ea63d6b10b0b65393a9ab61f1dd36bf9f8e</x:v>
      </x:c>
      <x:c r="O503"/>
      <x:c r="P503" t="str">
        <x:v>pending</x:v>
      </x:c>
      <x:c r="Q503" t="str">
        <x:v>否</x:v>
      </x:c>
      <x:c r="R503" t="str">
        <x:v>由本地 Agent 同步</x:v>
      </x:c>
    </x:row>
    <x:row r="504">
      <x:c r="A504" t="str">
        <x:v>fb0a3140-5612-4066-9755-ca84d99411b5</x:v>
      </x:c>
      <x:c r="B504" t="str">
        <x:v>600690</x:v>
      </x:c>
      <x:c r="C504" t="str">
        <x:v>current_price</x:v>
      </x:c>
      <x:c r="D504" t="str">
        <x:v>2026-09-04 07:59</x:v>
      </x:c>
      <x:c r="E504" t="n">
        <x:v>21.82</x:v>
      </x:c>
      <x:c r="F504" t="str">
        <x:v>CNY/share</x:v>
      </x:c>
      <x:c r="G504" t="str">
        <x:v>AkShare / Sina public historical quotes</x:v>
      </x:c>
      <x:c r="H504" t="str">
        <x:v>https://akshare.akfamily.xyz/data/stock/stock.html</x:v>
      </x:c>
      <x:c r="I504"/>
      <x:c r="J504"/>
      <x:c r="K504" t="str">
        <x:v>2026-09-04 07:59:19.465910+00:00</x:v>
      </x:c>
      <x:c r="L504"/>
      <x:c r="M504" t="str">
        <x:v>akshare-price-v3-sina-history</x:v>
      </x:c>
      <x:c r="N504" t="str">
        <x:v>14e5a4852193d0087bdae0b2ac5d277345ba54fc10abe1e47ac66193cf626c16</x:v>
      </x:c>
      <x:c r="O504"/>
      <x:c r="P504" t="str">
        <x:v>pending</x:v>
      </x:c>
      <x:c r="Q504" t="str">
        <x:v>否</x:v>
      </x:c>
      <x:c r="R504" t="str">
        <x:v>由本地 Agent 同步</x:v>
      </x:c>
    </x:row>
    <x:row r="505">
      <x:c r="A505" t="str">
        <x:v>d6ece75d-209a-4bcf-bffd-b3583cbd84c8</x:v>
      </x:c>
      <x:c r="B505" t="str">
        <x:v>600900</x:v>
      </x:c>
      <x:c r="C505" t="str">
        <x:v>current_price</x:v>
      </x:c>
      <x:c r="D505" t="str">
        <x:v>2026-09-04 07:59</x:v>
      </x:c>
      <x:c r="E505" t="n">
        <x:v>28.44</x:v>
      </x:c>
      <x:c r="F505" t="str">
        <x:v>CNY/share</x:v>
      </x:c>
      <x:c r="G505" t="str">
        <x:v>AkShare / Sina public historical quotes</x:v>
      </x:c>
      <x:c r="H505" t="str">
        <x:v>https://akshare.akfamily.xyz/data/stock/stock.html</x:v>
      </x:c>
      <x:c r="I505"/>
      <x:c r="J505"/>
      <x:c r="K505" t="str">
        <x:v>2026-09-04 07:59:19.465910+00:00</x:v>
      </x:c>
      <x:c r="L505"/>
      <x:c r="M505" t="str">
        <x:v>akshare-price-v3-sina-history</x:v>
      </x:c>
      <x:c r="N505" t="str">
        <x:v>c7b2c754129ced814d8b123901a84f768fde95a51aebc8216f526490d5d5ca91</x:v>
      </x:c>
      <x:c r="O505"/>
      <x:c r="P505" t="str">
        <x:v>pending</x:v>
      </x:c>
      <x:c r="Q505" t="str">
        <x:v>否</x:v>
      </x:c>
      <x:c r="R505" t="str">
        <x:v>由本地 Agent 同步</x:v>
      </x:c>
    </x:row>
    <x:row r="506">
      <x:c r="A506" t="str">
        <x:v>3da3ccca-6150-479d-97c4-52b1f46f2dd7</x:v>
      </x:c>
      <x:c r="B506" t="str">
        <x:v>600941</x:v>
      </x:c>
      <x:c r="C506" t="str">
        <x:v>current_price</x:v>
      </x:c>
      <x:c r="D506" t="str">
        <x:v>2026-09-04 08:10</x:v>
      </x:c>
      <x:c r="E506" t="n">
        <x:v>100.53</x:v>
      </x:c>
      <x:c r="F506" t="str">
        <x:v>CNY/share</x:v>
      </x:c>
      <x:c r="G506" t="str">
        <x:v>AkShare / Sina public historical quotes</x:v>
      </x:c>
      <x:c r="H506" t="str">
        <x:v>https://akshare.akfamily.xyz/data/stock/stock.html</x:v>
      </x:c>
      <x:c r="I506"/>
      <x:c r="J506"/>
      <x:c r="K506" t="str">
        <x:v>2026-09-04 08:10:44.044758+00:00</x:v>
      </x:c>
      <x:c r="L506"/>
      <x:c r="M506" t="str">
        <x:v>akshare-price-v3-sina-history</x:v>
      </x:c>
      <x:c r="N506" t="str">
        <x:v>15e218d59866cd8441c00bb3e1779b27e382c4d3eae1a72ba472eec6a086d481</x:v>
      </x:c>
      <x:c r="O506"/>
      <x:c r="P506" t="str">
        <x:v>pending</x:v>
      </x:c>
      <x:c r="Q506" t="str">
        <x:v>否</x:v>
      </x:c>
      <x:c r="R506" t="str">
        <x:v>由本地 Agent 同步</x:v>
      </x:c>
    </x:row>
    <x:row r="507">
      <x:c r="A507" t="str">
        <x:v>e3e237f0-1f7e-49b6-9066-747be5b20b81</x:v>
      </x:c>
      <x:c r="B507" t="str">
        <x:v>600519</x:v>
      </x:c>
      <x:c r="C507" t="str">
        <x:v>current_price</x:v>
      </x:c>
      <x:c r="D507" t="str">
        <x:v>2026-09-04 08:10</x:v>
      </x:c>
      <x:c r="E507" t="n">
        <x:v>1298.88</x:v>
      </x:c>
      <x:c r="F507" t="str">
        <x:v>CNY/share</x:v>
      </x:c>
      <x:c r="G507" t="str">
        <x:v>AkShare / Sina public historical quotes</x:v>
      </x:c>
      <x:c r="H507" t="str">
        <x:v>https://akshare.akfamily.xyz/data/stock/stock.html</x:v>
      </x:c>
      <x:c r="I507"/>
      <x:c r="J507"/>
      <x:c r="K507" t="str">
        <x:v>2026-09-04 08:10:44.044758+00:00</x:v>
      </x:c>
      <x:c r="L507"/>
      <x:c r="M507" t="str">
        <x:v>akshare-price-v3-sina-history</x:v>
      </x:c>
      <x:c r="N507" t="str">
        <x:v>8cae531b70bfbf0fb9c03a27adbd58abb504f2b1a305a56c37d04832dca22bfd</x:v>
      </x:c>
      <x:c r="O507"/>
      <x:c r="P507" t="str">
        <x:v>pending</x:v>
      </x:c>
      <x:c r="Q507" t="str">
        <x:v>否</x:v>
      </x:c>
      <x:c r="R507" t="str">
        <x:v>由本地 Agent 同步</x:v>
      </x:c>
    </x:row>
    <x:row r="508">
      <x:c r="A508" t="str">
        <x:v>38272e84-faa6-454f-96b6-f47e35ce8646</x:v>
      </x:c>
      <x:c r="B508" t="str">
        <x:v>601088</x:v>
      </x:c>
      <x:c r="C508" t="str">
        <x:v>current_price</x:v>
      </x:c>
      <x:c r="D508" t="str">
        <x:v>2026-09-04 08:10</x:v>
      </x:c>
      <x:c r="E508" t="n">
        <x:v>47.78</x:v>
      </x:c>
      <x:c r="F508" t="str">
        <x:v>CNY/share</x:v>
      </x:c>
      <x:c r="G508" t="str">
        <x:v>AkShare / Sina public historical quotes</x:v>
      </x:c>
      <x:c r="H508" t="str">
        <x:v>https://akshare.akfamily.xyz/data/stock/stock.html</x:v>
      </x:c>
      <x:c r="I508"/>
      <x:c r="J508"/>
      <x:c r="K508" t="str">
        <x:v>2026-09-04 08:10:44.044758+00:00</x:v>
      </x:c>
      <x:c r="L508"/>
      <x:c r="M508" t="str">
        <x:v>akshare-price-v3-sina-history</x:v>
      </x:c>
      <x:c r="N508" t="str">
        <x:v>dde7ca8e6b7c201c6a16f177ce603e8b4e47a9b3444cd8cd50746f03216e2c3e</x:v>
      </x:c>
      <x:c r="O508"/>
      <x:c r="P508" t="str">
        <x:v>pending</x:v>
      </x:c>
      <x:c r="Q508" t="str">
        <x:v>否</x:v>
      </x:c>
      <x:c r="R508" t="str">
        <x:v>由本地 Agent 同步</x:v>
      </x:c>
    </x:row>
    <x:row r="509">
      <x:c r="A509" t="str">
        <x:v>021cfce0-9869-4abc-a396-dca3494bd753</x:v>
      </x:c>
      <x:c r="B509" t="str">
        <x:v>601288</x:v>
      </x:c>
      <x:c r="C509" t="str">
        <x:v>current_price</x:v>
      </x:c>
      <x:c r="D509" t="str">
        <x:v>2026-09-04 08:10</x:v>
      </x:c>
      <x:c r="E509" t="n">
        <x:v>6.89</x:v>
      </x:c>
      <x:c r="F509" t="str">
        <x:v>CNY/share</x:v>
      </x:c>
      <x:c r="G509" t="str">
        <x:v>AkShare / Sina public historical quotes</x:v>
      </x:c>
      <x:c r="H509" t="str">
        <x:v>https://akshare.akfamily.xyz/data/stock/stock.html</x:v>
      </x:c>
      <x:c r="I509"/>
      <x:c r="J509"/>
      <x:c r="K509" t="str">
        <x:v>2026-09-04 08:10:44.044758+00:00</x:v>
      </x:c>
      <x:c r="L509"/>
      <x:c r="M509" t="str">
        <x:v>akshare-price-v3-sina-history</x:v>
      </x:c>
      <x:c r="N509" t="str">
        <x:v>40f616305b4ce4a412b7d22b5617880560e94d8a16bb6a4100bbf6d3182ea055</x:v>
      </x:c>
      <x:c r="O509"/>
      <x:c r="P509" t="str">
        <x:v>pending</x:v>
      </x:c>
      <x:c r="Q509" t="str">
        <x:v>否</x:v>
      </x:c>
      <x:c r="R509" t="str">
        <x:v>由本地 Agent 同步</x:v>
      </x:c>
    </x:row>
    <x:row r="510">
      <x:c r="A510" t="str">
        <x:v>975278a4-b6d8-408d-9759-bec6fa22c4b7</x:v>
      </x:c>
      <x:c r="B510" t="str">
        <x:v>000333</x:v>
      </x:c>
      <x:c r="C510" t="str">
        <x:v>current_price</x:v>
      </x:c>
      <x:c r="D510" t="str">
        <x:v>2026-09-04 08:10</x:v>
      </x:c>
      <x:c r="E510" t="n">
        <x:v>87.25</x:v>
      </x:c>
      <x:c r="F510" t="str">
        <x:v>CNY/share</x:v>
      </x:c>
      <x:c r="G510" t="str">
        <x:v>AkShare / Sina public historical quotes</x:v>
      </x:c>
      <x:c r="H510" t="str">
        <x:v>https://akshare.akfamily.xyz/data/stock/stock.html</x:v>
      </x:c>
      <x:c r="I510"/>
      <x:c r="J510"/>
      <x:c r="K510" t="str">
        <x:v>2026-09-04 08:10:44.044758+00:00</x:v>
      </x:c>
      <x:c r="L510"/>
      <x:c r="M510" t="str">
        <x:v>akshare-price-v3-sina-history</x:v>
      </x:c>
      <x:c r="N510" t="str">
        <x:v>42f5f99921119ee01a262b9c2924eb2572b33a481a80806bff5ce8f46975f805</x:v>
      </x:c>
      <x:c r="O510"/>
      <x:c r="P510" t="str">
        <x:v>pending</x:v>
      </x:c>
      <x:c r="Q510" t="str">
        <x:v>否</x:v>
      </x:c>
      <x:c r="R510" t="str">
        <x:v>由本地 Agent 同步</x:v>
      </x:c>
    </x:row>
    <x:row r="511">
      <x:c r="A511" t="str">
        <x:v>fb0a3140-5612-4066-9755-ca84d99411b5</x:v>
      </x:c>
      <x:c r="B511" t="str">
        <x:v>600690</x:v>
      </x:c>
      <x:c r="C511" t="str">
        <x:v>current_price</x:v>
      </x:c>
      <x:c r="D511" t="str">
        <x:v>2026-09-04 08:10</x:v>
      </x:c>
      <x:c r="E511" t="n">
        <x:v>21.82</x:v>
      </x:c>
      <x:c r="F511" t="str">
        <x:v>CNY/share</x:v>
      </x:c>
      <x:c r="G511" t="str">
        <x:v>AkShare / Sina public historical quotes</x:v>
      </x:c>
      <x:c r="H511" t="str">
        <x:v>https://akshare.akfamily.xyz/data/stock/stock.html</x:v>
      </x:c>
      <x:c r="I511"/>
      <x:c r="J511"/>
      <x:c r="K511" t="str">
        <x:v>2026-09-04 08:10:44.044758+00:00</x:v>
      </x:c>
      <x:c r="L511"/>
      <x:c r="M511" t="str">
        <x:v>akshare-price-v3-sina-history</x:v>
      </x:c>
      <x:c r="N511" t="str">
        <x:v>14e5a4852193d0087bdae0b2ac5d277345ba54fc10abe1e47ac66193cf626c16</x:v>
      </x:c>
      <x:c r="O511"/>
      <x:c r="P511" t="str">
        <x:v>pending</x:v>
      </x:c>
      <x:c r="Q511" t="str">
        <x:v>否</x:v>
      </x:c>
      <x:c r="R511" t="str">
        <x:v>由本地 Agent 同步</x:v>
      </x:c>
    </x:row>
    <x:row r="512">
      <x:c r="A512" t="str">
        <x:v>95e7b0ba-4c9f-4b92-b316-92024f50a6b8</x:v>
      </x:c>
      <x:c r="B512" t="str">
        <x:v>300750</x:v>
      </x:c>
      <x:c r="C512" t="str">
        <x:v>current_price</x:v>
      </x:c>
      <x:c r="D512" t="str">
        <x:v>2026-09-04 08:10</x:v>
      </x:c>
      <x:c r="E512" t="n">
        <x:v>349.5</x:v>
      </x:c>
      <x:c r="F512" t="str">
        <x:v>CNY/share</x:v>
      </x:c>
      <x:c r="G512" t="str">
        <x:v>AkShare / Sina public historical quotes</x:v>
      </x:c>
      <x:c r="H512" t="str">
        <x:v>https://akshare.akfamily.xyz/data/stock/stock.html</x:v>
      </x:c>
      <x:c r="I512"/>
      <x:c r="J512"/>
      <x:c r="K512" t="str">
        <x:v>2026-09-04 08:10:44.044758+00:00</x:v>
      </x:c>
      <x:c r="L512"/>
      <x:c r="M512" t="str">
        <x:v>akshare-price-v3-sina-history</x:v>
      </x:c>
      <x:c r="N512" t="str">
        <x:v>1847b3f2a9811cf7ef57775ea3b8c2a7e6c96361cd421e0bd78d1db9f64299f2</x:v>
      </x:c>
      <x:c r="O512"/>
      <x:c r="P512" t="str">
        <x:v>pending</x:v>
      </x:c>
      <x:c r="Q512" t="str">
        <x:v>否</x:v>
      </x:c>
      <x:c r="R512" t="str">
        <x:v>由本地 Agent 同步</x:v>
      </x:c>
    </x:row>
    <x:row r="513">
      <x:c r="A513" t="str">
        <x:v>d6ece75d-209a-4bcf-bffd-b3583cbd84c8</x:v>
      </x:c>
      <x:c r="B513" t="str">
        <x:v>600900</x:v>
      </x:c>
      <x:c r="C513" t="str">
        <x:v>current_price</x:v>
      </x:c>
      <x:c r="D513" t="str">
        <x:v>2026-09-04 08:10</x:v>
      </x:c>
      <x:c r="E513" t="n">
        <x:v>28.44</x:v>
      </x:c>
      <x:c r="F513" t="str">
        <x:v>CNY/share</x:v>
      </x:c>
      <x:c r="G513" t="str">
        <x:v>AkShare / Sina public historical quotes</x:v>
      </x:c>
      <x:c r="H513" t="str">
        <x:v>https://akshare.akfamily.xyz/data/stock/stock.html</x:v>
      </x:c>
      <x:c r="I513"/>
      <x:c r="J513"/>
      <x:c r="K513" t="str">
        <x:v>2026-09-04 08:10:44.044758+00:00</x:v>
      </x:c>
      <x:c r="L513"/>
      <x:c r="M513" t="str">
        <x:v>akshare-price-v3-sina-history</x:v>
      </x:c>
      <x:c r="N513" t="str">
        <x:v>c7b2c754129ced814d8b123901a84f768fde95a51aebc8216f526490d5d5ca91</x:v>
      </x:c>
      <x:c r="O513"/>
      <x:c r="P513" t="str">
        <x:v>pending</x:v>
      </x:c>
      <x:c r="Q513" t="str">
        <x:v>否</x:v>
      </x:c>
      <x:c r="R513" t="str">
        <x:v>由本地 Agent 同步</x:v>
      </x:c>
    </x:row>
    <x:row r="514">
      <x:c r="A514" t="str">
        <x:v>2d9e6937-3d74-43df-a432-78f57b4c3a22</x:v>
      </x:c>
      <x:c r="B514" t="str">
        <x:v>600887</x:v>
      </x:c>
      <x:c r="C514" t="str">
        <x:v>current_price</x:v>
      </x:c>
      <x:c r="D514" t="str">
        <x:v>2026-09-04 08:10</x:v>
      </x:c>
      <x:c r="E514" t="n">
        <x:v>26.56</x:v>
      </x:c>
      <x:c r="F514" t="str">
        <x:v>CNY/share</x:v>
      </x:c>
      <x:c r="G514" t="str">
        <x:v>AkShare / Sina public historical quotes</x:v>
      </x:c>
      <x:c r="H514" t="str">
        <x:v>https://akshare.akfamily.xyz/data/stock/stock.html</x:v>
      </x:c>
      <x:c r="I514"/>
      <x:c r="J514"/>
      <x:c r="K514" t="str">
        <x:v>2026-09-04 08:10:44.044758+00:00</x:v>
      </x:c>
      <x:c r="L514"/>
      <x:c r="M514" t="str">
        <x:v>akshare-price-v3-sina-history</x:v>
      </x:c>
      <x:c r="N514" t="str">
        <x:v>b3a8f9fc122b3f4daf7feeb3f55a1ea63d6b10b0b65393a9ab61f1dd36bf9f8e</x:v>
      </x:c>
      <x:c r="O514"/>
      <x:c r="P514" t="str">
        <x:v>pending</x:v>
      </x:c>
      <x:c r="Q514" t="str">
        <x:v>否</x:v>
      </x:c>
      <x:c r="R514" t="str">
        <x:v>由本地 Agent 同步</x:v>
      </x:c>
    </x:row>
    <x:row r="515">
      <x:c r="A515" t="str">
        <x:v>c30809e3-0953-4ffd-9a7a-5454b2e1b608</x:v>
      </x:c>
      <x:c r="B515" t="str">
        <x:v>600036</x:v>
      </x:c>
      <x:c r="C515" t="str">
        <x:v>current_price</x:v>
      </x:c>
      <x:c r="D515" t="str">
        <x:v>2026-09-04 08:10</x:v>
      </x:c>
      <x:c r="E515" t="n">
        <x:v>41.07</x:v>
      </x:c>
      <x:c r="F515" t="str">
        <x:v>CNY/share</x:v>
      </x:c>
      <x:c r="G515" t="str">
        <x:v>AkShare / Sina public historical quotes</x:v>
      </x:c>
      <x:c r="H515" t="str">
        <x:v>https://akshare.akfamily.xyz/data/stock/stock.html</x:v>
      </x:c>
      <x:c r="I515"/>
      <x:c r="J515"/>
      <x:c r="K515" t="str">
        <x:v>2026-09-04 08:10:44.044758+00:00</x:v>
      </x:c>
      <x:c r="L515"/>
      <x:c r="M515" t="str">
        <x:v>akshare-price-v3-sina-history</x:v>
      </x:c>
      <x:c r="N515" t="str">
        <x:v>1b050067ff5ddcf72ff1b8475d39ab278eca37975b11b99763190ddac16d7eb3</x:v>
      </x:c>
      <x:c r="O515"/>
      <x:c r="P515" t="str">
        <x:v>pending</x:v>
      </x:c>
      <x:c r="Q515" t="str">
        <x:v>否</x:v>
      </x:c>
      <x:c r="R515" t="str">
        <x:v>由本地 Agent 同步</x:v>
      </x:c>
    </x:row>
    <x:row r="516">
      <x:c r="A516" t="str">
        <x:v>6e2e92d1-e04a-46cf-a912-29e72b1b4363</x:v>
      </x:c>
      <x:c r="B516" t="str">
        <x:v>600941</x:v>
      </x:c>
      <x:c r="C516" t="str">
        <x:v>roe</x:v>
      </x:c>
      <x:c r="D516" t="str">
        <x:v>2026-06-30</x:v>
      </x:c>
      <x:c r="E516" t="n">
        <x:v>5.6</x:v>
      </x:c>
      <x:c r="F516" t="str">
        <x:v>percent</x:v>
      </x:c>
      <x:c r="G516" t="str">
        <x:v>CNINFO statutory disclosure</x:v>
      </x:c>
      <x:c r="H516" t="str">
        <x:v>https://static.cninfo.com.cn/finalpage/2026-08-14/1225472195.PDF</x:v>
      </x:c>
      <x:c r="I516"/>
      <x:c r="J516"/>
      <x:c r="K516" t="str">
        <x:v>2026-09-04 16:49:45.884696+00:00</x:v>
      </x:c>
      <x:c r="L516" t="str">
        <x:v>2026-08-13 16:00:00+00:00</x:v>
      </x:c>
      <x:c r="M516" t="str">
        <x:v>automatic-cross-source-v1</x:v>
      </x:c>
      <x:c r="N516" t="str">
        <x:v>f1f174314b3aa504dcbf726ac218fa62bb072a4bc89e90c350ec3f4841d70eb7</x:v>
      </x:c>
      <x:c r="O516"/>
      <x:c r="P516" t="str">
        <x:v>verified</x:v>
      </x:c>
      <x:c r="Q516" t="str">
        <x:v>否</x:v>
      </x:c>
      <x:c r="R516" t="str">
        <x:v>由本地 Agent 同步</x:v>
      </x:c>
    </x:row>
  </x:sheetData>
  <x:mergeCells>
    <x:mergeCell ref="A1:R1"/>
  </x:mergeCells>
  <x:conditionalFormatting sqref="P4:P500">
    <x:cfRule type="expression" dxfId="8" priority="1">
      <x:formula>OR(P4="差异超阈值",P4="冲突",P4="缺失")</x:formula>
    </x:cfRule>
  </x:conditionalFormatting>
  <x:dataValidations count="2">
    <x:dataValidation type="list" sqref="P4:P500">
      <x:formula1>"通过,待写入,差异超阈值,冲突,缺失"</x:formula1>
    </x:dataValidation>
    <x:dataValidation type="list" sqref="Q4:Q500">
      <x:formula1>"否,是-通过,是-驳回"</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14" hidden="0" customWidth="1"/>
    <x:col min="3" max="3" width="4" hidden="0" customWidth="1"/>
    <x:col min="4" max="4" width="22" hidden="0" customWidth="1"/>
    <x:col min="5" max="5" width="16" hidden="0" customWidth="1"/>
    <x:col min="6" max="6" width="24" hidden="0" customWidth="1"/>
    <x:col min="7" max="7" width="18" hidden="0" customWidth="1"/>
    <x:col min="8" max="8" width="30" hidden="0" customWidth="1"/>
  </x:cols>
  <x:sheetData>
    <x:row r="1">
      <x:c r="A1" s="5" t="str">
        <x:v>系统设置 / 评分权重 / Agent接口约定</x:v>
      </x:c>
      <x:c r="B1" s="5"/>
      <x:c r="C1" s="5"/>
      <x:c r="D1" s="5"/>
      <x:c r="E1" s="5"/>
      <x:c r="F1" s="5"/>
      <x:c r="G1" s="5"/>
      <x:c r="H1" s="5"/>
      <x:c r="I1" s="86"/>
      <x:c r="J1" s="86"/>
      <x:c r="K1" s="86"/>
      <x:c r="L1" s="86"/>
      <x:c r="M1" s="86"/>
      <x:c r="N1" s="86"/>
      <x:c r="O1" s="86"/>
      <x:c r="P1" s="86"/>
      <x:c r="Q1" s="86"/>
      <x:c r="R1" s="86"/>
      <x:c r="S1" s="86"/>
      <x:c r="T1" s="86"/>
      <x:c r="U1" s="86"/>
      <x:c r="V1" s="86"/>
      <x:c r="W1" s="86"/>
      <x:c r="X1" s="86"/>
      <x:c r="Y1" s="86"/>
      <x:c r="Z1" s="86"/>
    </x:row>
    <x:row r="2">
      <x:c r="A2" s="86"/>
      <x:c r="B2" s="86"/>
      <x:c r="C2" s="86"/>
      <x:c r="D2" s="86"/>
      <x:c r="E2" s="86"/>
      <x:c r="F2" s="86"/>
      <x:c r="G2" s="86"/>
      <x:c r="H2" s="86"/>
      <x:c r="I2" s="86"/>
      <x:c r="J2" s="86"/>
      <x:c r="K2" s="86"/>
      <x:c r="L2" s="86"/>
      <x:c r="M2" s="86"/>
      <x:c r="N2" s="86"/>
      <x:c r="O2" s="86"/>
      <x:c r="P2" s="86"/>
      <x:c r="Q2" s="86"/>
      <x:c r="R2" s="86"/>
      <x:c r="S2" s="86"/>
      <x:c r="T2" s="86"/>
      <x:c r="U2" s="86"/>
      <x:c r="V2" s="86"/>
      <x:c r="W2" s="86"/>
      <x:c r="X2" s="86"/>
      <x:c r="Y2" s="86"/>
      <x:c r="Z2" s="86"/>
    </x:row>
    <x:row r="3">
      <x:c r="A3" s="13" t="str">
        <x:v>质量评分维度</x:v>
      </x:c>
      <x:c r="B3" s="13" t="str">
        <x:v>权重(%)</x:v>
      </x:c>
      <x:c r="C3" s="86"/>
      <x:c r="D3" s="13" t="str">
        <x:v>信号/仓位参数</x:v>
      </x:c>
      <x:c r="E3" s="13" t="str">
        <x:v>数值</x:v>
      </x:c>
      <x:c r="F3" s="86"/>
      <x:c r="G3" s="86"/>
      <x:c r="H3" s="86"/>
      <x:c r="I3" s="86"/>
      <x:c r="J3" s="86"/>
      <x:c r="K3" s="86"/>
      <x:c r="L3" s="86"/>
      <x:c r="M3" s="86"/>
      <x:c r="N3" s="86"/>
      <x:c r="O3" s="86"/>
      <x:c r="P3" s="86"/>
      <x:c r="Q3" s="86"/>
      <x:c r="R3" s="86"/>
      <x:c r="S3" s="86"/>
      <x:c r="T3" s="86"/>
      <x:c r="U3" s="86"/>
      <x:c r="V3" s="86"/>
      <x:c r="W3" s="86"/>
      <x:c r="X3" s="86"/>
      <x:c r="Y3" s="86"/>
      <x:c r="Z3" s="86"/>
    </x:row>
    <x:row r="4">
      <x:c r="A4" s="86" t="str">
        <x:v>行业长期空间</x:v>
      </x:c>
      <x:c r="B4" s="106" t="n">
        <x:v>10</x:v>
      </x:c>
      <x:c r="C4" s="86"/>
      <x:c r="D4" s="86" t="str">
        <x:v>A信号最低综合分</x:v>
      </x:c>
      <x:c r="E4" s="106" t="n">
        <x:v>80</x:v>
      </x:c>
      <x:c r="F4" s="86"/>
      <x:c r="G4" s="86"/>
      <x:c r="H4" s="86"/>
      <x:c r="I4" s="86"/>
      <x:c r="J4" s="86"/>
      <x:c r="K4" s="86"/>
      <x:c r="L4" s="86"/>
      <x:c r="M4" s="86"/>
      <x:c r="N4" s="86"/>
      <x:c r="O4" s="86"/>
      <x:c r="P4" s="86"/>
      <x:c r="Q4" s="86"/>
      <x:c r="R4" s="86"/>
      <x:c r="S4" s="86"/>
      <x:c r="T4" s="86"/>
      <x:c r="U4" s="86"/>
      <x:c r="V4" s="86"/>
      <x:c r="W4" s="86"/>
      <x:c r="X4" s="86"/>
      <x:c r="Y4" s="86"/>
      <x:c r="Z4" s="86"/>
    </x:row>
    <x:row r="5">
      <x:c r="A5" s="86" t="str">
        <x:v>护城河/竞争优势</x:v>
      </x:c>
      <x:c r="B5" s="106" t="n">
        <x:v>15</x:v>
      </x:c>
      <x:c r="C5" s="86"/>
      <x:c r="D5" s="86" t="str">
        <x:v>B信号最低综合分</x:v>
      </x:c>
      <x:c r="E5" s="106" t="n">
        <x:v>75</x:v>
      </x:c>
      <x:c r="F5" s="86"/>
      <x:c r="G5" s="86"/>
      <x:c r="H5" s="86"/>
      <x:c r="I5" s="86"/>
      <x:c r="J5" s="86"/>
      <x:c r="K5" s="86"/>
      <x:c r="L5" s="86"/>
      <x:c r="M5" s="86"/>
      <x:c r="N5" s="86"/>
      <x:c r="O5" s="86"/>
      <x:c r="P5" s="86"/>
      <x:c r="Q5" s="86"/>
      <x:c r="R5" s="86"/>
      <x:c r="S5" s="86"/>
      <x:c r="T5" s="86"/>
      <x:c r="U5" s="86"/>
      <x:c r="V5" s="86"/>
      <x:c r="W5" s="86"/>
      <x:c r="X5" s="86"/>
      <x:c r="Y5" s="86"/>
      <x:c r="Z5" s="86"/>
    </x:row>
    <x:row r="6">
      <x:c r="A6" s="86" t="str">
        <x:v>盈利能力(ROE/ROIC)</x:v>
      </x:c>
      <x:c r="B6" s="106" t="n">
        <x:v>15</x:v>
      </x:c>
      <x:c r="C6" s="86"/>
      <x:c r="D6" s="86" t="str">
        <x:v>C信号最低综合分</x:v>
      </x:c>
      <x:c r="E6" s="106" t="n">
        <x:v>70</x:v>
      </x:c>
      <x:c r="F6" s="86"/>
      <x:c r="G6" s="86"/>
      <x:c r="H6" s="86"/>
      <x:c r="I6" s="86"/>
      <x:c r="J6" s="86"/>
      <x:c r="K6" s="86"/>
      <x:c r="L6" s="86"/>
      <x:c r="M6" s="86"/>
      <x:c r="N6" s="86"/>
      <x:c r="O6" s="86"/>
      <x:c r="P6" s="86"/>
      <x:c r="Q6" s="86"/>
      <x:c r="R6" s="86"/>
      <x:c r="S6" s="86"/>
      <x:c r="T6" s="86"/>
      <x:c r="U6" s="86"/>
      <x:c r="V6" s="86"/>
      <x:c r="W6" s="86"/>
      <x:c r="X6" s="86"/>
      <x:c r="Y6" s="86"/>
      <x:c r="Z6" s="86"/>
    </x:row>
    <x:row r="7">
      <x:c r="A7" s="86" t="str">
        <x:v>成长质量</x:v>
      </x:c>
      <x:c r="B7" s="106" t="n">
        <x:v>12</x:v>
      </x:c>
      <x:c r="C7" s="86"/>
      <x:c r="D7" s="86" t="str">
        <x:v>深度低估安全边际</x:v>
      </x:c>
      <x:c r="E7" s="113" t="n">
        <x:v>0.3</x:v>
      </x:c>
      <x:c r="F7" s="86"/>
      <x:c r="G7" s="86"/>
      <x:c r="H7" s="86"/>
      <x:c r="I7" s="86"/>
      <x:c r="J7" s="86"/>
      <x:c r="K7" s="86"/>
      <x:c r="L7" s="86"/>
      <x:c r="M7" s="86"/>
      <x:c r="N7" s="86"/>
      <x:c r="O7" s="86"/>
      <x:c r="P7" s="86"/>
      <x:c r="Q7" s="86"/>
      <x:c r="R7" s="86"/>
      <x:c r="S7" s="86"/>
      <x:c r="T7" s="86"/>
      <x:c r="U7" s="86"/>
      <x:c r="V7" s="86"/>
      <x:c r="W7" s="86"/>
      <x:c r="X7" s="86"/>
      <x:c r="Y7" s="86"/>
      <x:c r="Z7" s="86"/>
    </x:row>
    <x:row r="8">
      <x:c r="A8" s="86" t="str">
        <x:v>现金流质量</x:v>
      </x:c>
      <x:c r="B8" s="106" t="n">
        <x:v>12</x:v>
      </x:c>
      <x:c r="C8" s="86"/>
      <x:c r="D8" s="86" t="str">
        <x:v>低估安全边际</x:v>
      </x:c>
      <x:c r="E8" s="113" t="n">
        <x:v>0.15</x:v>
      </x:c>
      <x:c r="F8" s="86"/>
      <x:c r="G8" s="86"/>
      <x:c r="H8" s="86"/>
      <x:c r="I8" s="86"/>
      <x:c r="J8" s="86"/>
      <x:c r="K8" s="86"/>
      <x:c r="L8" s="86"/>
      <x:c r="M8" s="86"/>
      <x:c r="N8" s="86"/>
      <x:c r="O8" s="86"/>
      <x:c r="P8" s="86"/>
      <x:c r="Q8" s="86"/>
      <x:c r="R8" s="86"/>
      <x:c r="S8" s="86"/>
      <x:c r="T8" s="86"/>
      <x:c r="U8" s="86"/>
      <x:c r="V8" s="86"/>
      <x:c r="W8" s="86"/>
      <x:c r="X8" s="86"/>
      <x:c r="Y8" s="86"/>
      <x:c r="Z8" s="86"/>
    </x:row>
    <x:row r="9">
      <x:c r="A9" s="86" t="str">
        <x:v>负债与财务稳健</x:v>
      </x:c>
      <x:c r="B9" s="106" t="n">
        <x:v>10</x:v>
      </x:c>
      <x:c r="C9" s="86"/>
      <x:c r="D9" s="86" t="str">
        <x:v>A信号目标仓位</x:v>
      </x:c>
      <x:c r="E9" s="113" t="n">
        <x:v>0.08</x:v>
      </x:c>
      <x:c r="F9" s="86"/>
      <x:c r="G9" s="86"/>
      <x:c r="H9" s="86"/>
      <x:c r="I9" s="86"/>
      <x:c r="J9" s="86"/>
      <x:c r="K9" s="86"/>
      <x:c r="L9" s="86"/>
      <x:c r="M9" s="86"/>
      <x:c r="N9" s="86"/>
      <x:c r="O9" s="86"/>
      <x:c r="P9" s="86"/>
      <x:c r="Q9" s="86"/>
      <x:c r="R9" s="86"/>
      <x:c r="S9" s="86"/>
      <x:c r="T9" s="86"/>
      <x:c r="U9" s="86"/>
      <x:c r="V9" s="86"/>
      <x:c r="W9" s="86"/>
      <x:c r="X9" s="86"/>
      <x:c r="Y9" s="86"/>
      <x:c r="Z9" s="86"/>
    </x:row>
    <x:row r="10">
      <x:c r="A10" s="86" t="str">
        <x:v>管理层与治理</x:v>
      </x:c>
      <x:c r="B10" s="106" t="n">
        <x:v>8</x:v>
      </x:c>
      <x:c r="C10" s="86"/>
      <x:c r="D10" s="86" t="str">
        <x:v>B信号目标仓位</x:v>
      </x:c>
      <x:c r="E10" s="113" t="n">
        <x:v>0.05</x:v>
      </x:c>
      <x:c r="F10" s="86"/>
      <x:c r="G10" s="86"/>
      <x:c r="H10" s="86"/>
      <x:c r="I10" s="86"/>
      <x:c r="J10" s="86"/>
      <x:c r="K10" s="86"/>
      <x:c r="L10" s="86"/>
      <x:c r="M10" s="86"/>
      <x:c r="N10" s="86"/>
      <x:c r="O10" s="86"/>
      <x:c r="P10" s="86"/>
      <x:c r="Q10" s="86"/>
      <x:c r="R10" s="86"/>
      <x:c r="S10" s="86"/>
      <x:c r="T10" s="86"/>
      <x:c r="U10" s="86"/>
      <x:c r="V10" s="86"/>
      <x:c r="W10" s="86"/>
      <x:c r="X10" s="86"/>
      <x:c r="Y10" s="86"/>
      <x:c r="Z10" s="86"/>
    </x:row>
    <x:row r="11">
      <x:c r="A11" s="86" t="str">
        <x:v>股东回报</x:v>
      </x:c>
      <x:c r="B11" s="106" t="n">
        <x:v>8</x:v>
      </x:c>
      <x:c r="C11" s="86"/>
      <x:c r="D11" s="86" t="str">
        <x:v>C信号观察仓位</x:v>
      </x:c>
      <x:c r="E11" s="113" t="n">
        <x:v>0.02</x:v>
      </x:c>
      <x:c r="F11" s="86"/>
      <x:c r="G11" s="86"/>
      <x:c r="H11" s="86"/>
      <x:c r="I11" s="86"/>
      <x:c r="J11" s="86"/>
      <x:c r="K11" s="86"/>
      <x:c r="L11" s="86"/>
      <x:c r="M11" s="86"/>
      <x:c r="N11" s="86"/>
      <x:c r="O11" s="86"/>
      <x:c r="P11" s="86"/>
      <x:c r="Q11" s="86"/>
      <x:c r="R11" s="86"/>
      <x:c r="S11" s="86"/>
      <x:c r="T11" s="86"/>
      <x:c r="U11" s="86"/>
      <x:c r="V11" s="86"/>
      <x:c r="W11" s="86"/>
      <x:c r="X11" s="86"/>
      <x:c r="Y11" s="86"/>
      <x:c r="Z11" s="86"/>
    </x:row>
    <x:row r="12">
      <x:c r="A12" s="86" t="str">
        <x:v>估值合理性</x:v>
      </x:c>
      <x:c r="B12" s="106" t="n">
        <x:v>10</x:v>
      </x:c>
      <x:c r="C12" s="86"/>
      <x:c r="D12" s="86" t="str">
        <x:v>单一公司最大仓位</x:v>
      </x:c>
      <x:c r="E12" s="113" t="n">
        <x:v>0.1</x:v>
      </x:c>
      <x:c r="F12" s="86"/>
      <x:c r="G12" s="86"/>
      <x:c r="H12" s="86"/>
      <x:c r="I12" s="86"/>
      <x:c r="J12" s="86"/>
      <x:c r="K12" s="86"/>
      <x:c r="L12" s="86"/>
      <x:c r="M12" s="86"/>
      <x:c r="N12" s="86"/>
      <x:c r="O12" s="86"/>
      <x:c r="P12" s="86"/>
      <x:c r="Q12" s="86"/>
      <x:c r="R12" s="86"/>
      <x:c r="S12" s="86"/>
      <x:c r="T12" s="86"/>
      <x:c r="U12" s="86"/>
      <x:c r="V12" s="86"/>
      <x:c r="W12" s="86"/>
      <x:c r="X12" s="86"/>
      <x:c r="Y12" s="86"/>
      <x:c r="Z12" s="86"/>
    </x:row>
    <x:row r="13">
      <x:c r="A13" s="86"/>
      <x:c r="B13" s="86"/>
      <x:c r="C13" s="86"/>
      <x:c r="D13" s="86" t="str">
        <x:v>股票总仓位上限</x:v>
      </x:c>
      <x:c r="E13" s="113" t="n">
        <x:v>0.8</x:v>
      </x:c>
      <x:c r="F13" s="86"/>
      <x:c r="G13" s="86"/>
      <x:c r="H13" s="86"/>
      <x:c r="I13" s="86"/>
      <x:c r="J13" s="86"/>
      <x:c r="K13" s="86"/>
      <x:c r="L13" s="86"/>
      <x:c r="M13" s="86"/>
      <x:c r="N13" s="86"/>
      <x:c r="O13" s="86"/>
      <x:c r="P13" s="86"/>
      <x:c r="Q13" s="86"/>
      <x:c r="R13" s="86"/>
      <x:c r="S13" s="86"/>
      <x:c r="T13" s="86"/>
      <x:c r="U13" s="86"/>
      <x:c r="V13" s="86"/>
      <x:c r="W13" s="86"/>
      <x:c r="X13" s="86"/>
      <x:c r="Y13" s="86"/>
      <x:c r="Z13" s="86"/>
    </x:row>
    <x:row r="14">
      <x:c r="A14" s="86"/>
      <x:c r="B14" s="86"/>
      <x:c r="C14" s="86"/>
      <x:c r="D14" s="86" t="str">
        <x:v>数据过期阈值(天)</x:v>
      </x:c>
      <x:c r="E14" s="106" t="n">
        <x:v>10</x:v>
      </x:c>
      <x:c r="F14" s="86"/>
      <x:c r="G14" s="86"/>
      <x:c r="H14" s="86"/>
      <x:c r="I14" s="86"/>
      <x:c r="J14" s="86"/>
      <x:c r="K14" s="86"/>
      <x:c r="L14" s="86"/>
      <x:c r="M14" s="86"/>
      <x:c r="N14" s="86"/>
      <x:c r="O14" s="86"/>
      <x:c r="P14" s="86"/>
      <x:c r="Q14" s="86"/>
      <x:c r="R14" s="86"/>
      <x:c r="S14" s="86"/>
      <x:c r="T14" s="86"/>
      <x:c r="U14" s="86"/>
      <x:c r="V14" s="86"/>
      <x:c r="W14" s="86"/>
      <x:c r="X14" s="86"/>
      <x:c r="Y14" s="86"/>
      <x:c r="Z14" s="86"/>
    </x:row>
    <x:row r="15">
      <x:c r="A15" s="87" t="str">
        <x:v>评分口径：每个维度0-10分，综合分=Σ(维度得分×权重)/10；示例评分只用于演示结构。</x:v>
      </x:c>
      <x:c r="B15" s="87"/>
      <x:c r="C15" s="87"/>
      <x:c r="D15" s="87"/>
      <x:c r="E15" s="87"/>
      <x:c r="F15" s="87"/>
      <x:c r="G15" s="87"/>
      <x:c r="H15" s="87"/>
      <x:c r="I15" s="86"/>
      <x:c r="J15" s="86"/>
      <x:c r="K15" s="86"/>
      <x:c r="L15" s="86"/>
      <x:c r="M15" s="86"/>
      <x:c r="N15" s="86"/>
      <x:c r="O15" s="86"/>
      <x:c r="P15" s="86"/>
      <x:c r="Q15" s="86"/>
      <x:c r="R15" s="86"/>
      <x:c r="S15" s="86"/>
      <x:c r="T15" s="86"/>
      <x:c r="U15" s="86"/>
      <x:c r="V15" s="86"/>
      <x:c r="W15" s="86"/>
      <x:c r="X15" s="86"/>
      <x:c r="Y15" s="86"/>
      <x:c r="Z15" s="86"/>
    </x:row>
    <x:row r="16">
      <x:c r="A16" s="86"/>
      <x:c r="B16" s="86"/>
      <x:c r="C16" s="86"/>
      <x:c r="D16" s="13" t="str">
        <x:v>颜色约定</x:v>
      </x:c>
      <x:c r="E16" s="13" t="str">
        <x:v>含义</x:v>
      </x:c>
      <x:c r="F16" s="13" t="str">
        <x:v>用途</x:v>
      </x:c>
      <x:c r="G16" s="86"/>
      <x:c r="H16" s="86"/>
      <x:c r="I16" s="86"/>
      <x:c r="J16" s="86"/>
      <x:c r="K16" s="86"/>
      <x:c r="L16" s="86"/>
      <x:c r="M16" s="86"/>
      <x:c r="N16" s="86"/>
      <x:c r="O16" s="86"/>
      <x:c r="P16" s="86"/>
      <x:c r="Q16" s="86"/>
      <x:c r="R16" s="86"/>
      <x:c r="S16" s="86"/>
      <x:c r="T16" s="86"/>
      <x:c r="U16" s="86"/>
      <x:c r="V16" s="86"/>
      <x:c r="W16" s="86"/>
      <x:c r="X16" s="86"/>
      <x:c r="Y16" s="86"/>
      <x:c r="Z16" s="86"/>
    </x:row>
    <x:row r="17">
      <x:c r="A17" s="91" t="str">
        <x:v>数据源优先级（官方披露 &gt; 交易所 &gt; 权威行情/聚合 &gt; 人工录入）</x:v>
      </x:c>
      <x:c r="B17" s="91"/>
      <x:c r="C17" s="91"/>
      <x:c r="D17" s="91" t="str">
        <x:v>蓝色字体</x:v>
      </x:c>
      <x:c r="E17" s="91" t="str">
        <x:v>硬编码/Agent写入</x:v>
      </x:c>
      <x:c r="F17" s="91" t="str">
        <x:v>可变输入</x:v>
      </x:c>
      <x:c r="G17" s="86"/>
      <x:c r="H17" s="86"/>
      <x:c r="I17" s="86"/>
      <x:c r="J17" s="86"/>
      <x:c r="K17" s="86"/>
      <x:c r="L17" s="86"/>
      <x:c r="M17" s="86"/>
      <x:c r="N17" s="86"/>
      <x:c r="O17" s="86"/>
      <x:c r="P17" s="86"/>
      <x:c r="Q17" s="86"/>
      <x:c r="R17" s="86"/>
      <x:c r="S17" s="86"/>
      <x:c r="T17" s="86"/>
      <x:c r="U17" s="86"/>
      <x:c r="V17" s="86"/>
      <x:c r="W17" s="86"/>
      <x:c r="X17" s="86"/>
      <x:c r="Y17" s="86"/>
      <x:c r="Z17" s="86"/>
    </x:row>
    <x:row r="18">
      <x:c r="A18" s="13" t="str">
        <x:v>优先级</x:v>
      </x:c>
      <x:c r="B18" s="13" t="str">
        <x:v>数据类型</x:v>
      </x:c>
      <x:c r="C18" s="13" t="str">
        <x:v>首选来源</x:v>
      </x:c>
      <x:c r="D18" s="13" t="str">
        <x:v>绿色字体</x:v>
      </x:c>
      <x:c r="E18" s="13" t="str">
        <x:v>跨Tab引用公式</x:v>
      </x:c>
      <x:c r="F18" s="13" t="str">
        <x:v>联动结果</x:v>
      </x:c>
      <x:c r="G18" s="86"/>
      <x:c r="H18" s="86"/>
      <x:c r="I18" s="86"/>
      <x:c r="J18" s="86"/>
      <x:c r="K18" s="86"/>
      <x:c r="L18" s="86"/>
      <x:c r="M18" s="86"/>
      <x:c r="N18" s="86"/>
      <x:c r="O18" s="86"/>
      <x:c r="P18" s="86"/>
      <x:c r="Q18" s="86"/>
      <x:c r="R18" s="86"/>
      <x:c r="S18" s="86"/>
      <x:c r="T18" s="86"/>
      <x:c r="U18" s="86"/>
      <x:c r="V18" s="86"/>
      <x:c r="W18" s="86"/>
      <x:c r="X18" s="86"/>
      <x:c r="Y18" s="86"/>
      <x:c r="Z18" s="86"/>
    </x:row>
    <x:row r="19">
      <x:c r="A19" s="86" t="n">
        <x:v>1</x:v>
      </x:c>
      <x:c r="B19" s="86" t="str">
        <x:v>财报/公告</x:v>
      </x:c>
      <x:c r="C19" s="86" t="str">
        <x:v>交易所公告、巨潮资讯、上市公司IR</x:v>
      </x:c>
      <x:c r="D19" s="86" t="str">
        <x:v>黑色字体</x:v>
      </x:c>
      <x:c r="E19" s="86" t="str">
        <x:v>同Tab计算公式</x:v>
      </x:c>
      <x:c r="F19" s="86" t="str">
        <x:v>计算结果</x:v>
      </x:c>
      <x:c r="G19" s="86"/>
      <x:c r="H19" s="86"/>
      <x:c r="I19" s="86"/>
      <x:c r="J19" s="86"/>
      <x:c r="K19" s="86"/>
      <x:c r="L19" s="86"/>
      <x:c r="M19" s="86"/>
      <x:c r="N19" s="86"/>
      <x:c r="O19" s="86"/>
      <x:c r="P19" s="86"/>
      <x:c r="Q19" s="86"/>
      <x:c r="R19" s="86"/>
      <x:c r="S19" s="86"/>
      <x:c r="T19" s="86"/>
      <x:c r="U19" s="86"/>
      <x:c r="V19" s="86"/>
      <x:c r="W19" s="86"/>
      <x:c r="X19" s="86"/>
      <x:c r="Y19" s="86"/>
      <x:c r="Z19" s="86"/>
    </x:row>
    <x:row r="20">
      <x:c r="A20" s="86" t="n">
        <x:v>2</x:v>
      </x:c>
      <x:c r="B20" s="86" t="str">
        <x:v>股本/分红/重大事项</x:v>
      </x:c>
      <x:c r="C20" s="86" t="str">
        <x:v>交易所、公司公告</x:v>
      </x:c>
      <x:c r="D20" s="86" t="str">
        <x:v>黄色底</x:v>
      </x:c>
      <x:c r="E20" s="86" t="str">
        <x:v>注意事项/待确认</x:v>
      </x:c>
      <x:c r="F20" s="86" t="str">
        <x:v>上线前检查</x:v>
      </x:c>
      <x:c r="G20" s="86"/>
      <x:c r="H20" s="86"/>
      <x:c r="I20" s="86"/>
      <x:c r="J20" s="86"/>
      <x:c r="K20" s="86"/>
      <x:c r="L20" s="86"/>
      <x:c r="M20" s="86"/>
      <x:c r="N20" s="86"/>
      <x:c r="O20" s="86"/>
      <x:c r="P20" s="86"/>
      <x:c r="Q20" s="86"/>
      <x:c r="R20" s="86"/>
      <x:c r="S20" s="86"/>
      <x:c r="T20" s="86"/>
      <x:c r="U20" s="86"/>
      <x:c r="V20" s="86"/>
      <x:c r="W20" s="86"/>
      <x:c r="X20" s="86"/>
      <x:c r="Y20" s="86"/>
      <x:c r="Z20" s="86"/>
    </x:row>
    <x:row r="21">
      <x:c r="A21" s="86" t="n">
        <x:v>3</x:v>
      </x:c>
      <x:c r="B21" s="86" t="str">
        <x:v>行情/估值</x:v>
      </x:c>
      <x:c r="C21" s="86" t="str">
        <x:v>交易所授权行情/券商开放接口</x:v>
      </x:c>
      <x:c r="D21" s="86" t="str">
        <x:v>商业行情API</x:v>
      </x:c>
      <x:c r="E21" s="86" t="str">
        <x:v>时间戳+多源差异阈值</x:v>
      </x:c>
      <x:c r="F21" s="86" t="str">
        <x:v>实时/准实时</x:v>
      </x:c>
      <x:c r="G21" s="86"/>
      <x:c r="H21" s="86"/>
      <x:c r="I21" s="86"/>
      <x:c r="J21" s="86"/>
      <x:c r="K21" s="86"/>
      <x:c r="L21" s="86"/>
      <x:c r="M21" s="86"/>
      <x:c r="N21" s="86"/>
      <x:c r="O21" s="86"/>
      <x:c r="P21" s="86"/>
      <x:c r="Q21" s="86"/>
      <x:c r="R21" s="86"/>
      <x:c r="S21" s="86"/>
      <x:c r="T21" s="86"/>
      <x:c r="U21" s="86"/>
      <x:c r="V21" s="86"/>
      <x:c r="W21" s="86"/>
      <x:c r="X21" s="86"/>
      <x:c r="Y21" s="86"/>
      <x:c r="Z21" s="86"/>
    </x:row>
    <x:row r="22">
      <x:c r="A22" s="86" t="n">
        <x:v>4</x:v>
      </x:c>
      <x:c r="B22" s="86" t="str">
        <x:v>行业分类/一致预期</x:v>
      </x:c>
      <x:c r="C22" s="86" t="str">
        <x:v>权威金融数据商</x:v>
      </x:c>
      <x:c r="D22" s="86" t="str">
        <x:v>公开聚合</x:v>
      </x:c>
      <x:c r="E22" s="86" t="str">
        <x:v>版本记录</x:v>
      </x:c>
      <x:c r="F22" s="86" t="str">
        <x:v>辅助字段</x:v>
      </x:c>
      <x:c r="G22" s="86"/>
      <x:c r="H22" s="86"/>
      <x:c r="I22" s="86"/>
      <x:c r="J22" s="86"/>
      <x:c r="K22" s="86"/>
      <x:c r="L22" s="86"/>
      <x:c r="M22" s="86"/>
      <x:c r="N22" s="86"/>
      <x:c r="O22" s="86"/>
      <x:c r="P22" s="86"/>
      <x:c r="Q22" s="86"/>
      <x:c r="R22" s="86"/>
      <x:c r="S22" s="86"/>
      <x:c r="T22" s="86"/>
      <x:c r="U22" s="86"/>
      <x:c r="V22" s="86"/>
      <x:c r="W22" s="86"/>
      <x:c r="X22" s="86"/>
      <x:c r="Y22" s="86"/>
      <x:c r="Z22" s="86"/>
    </x:row>
    <x:row r="23">
      <x:c r="A23" s="86" t="n">
        <x:v>5</x:v>
      </x:c>
      <x:c r="B23" s="86" t="str">
        <x:v>人工输入</x:v>
      </x:c>
      <x:c r="C23" s="86" t="str">
        <x:v>用户确认</x:v>
      </x:c>
      <x:c r="D23" s="86" t="str">
        <x:v>无</x:v>
      </x:c>
      <x:c r="E23" s="86" t="str">
        <x:v>操作人+时间</x:v>
      </x:c>
      <x:c r="F23" s="86" t="str">
        <x:v>仅用于假设/研究</x:v>
      </x:c>
      <x:c r="G23" s="86"/>
      <x:c r="H23" s="86"/>
      <x:c r="I23" s="86"/>
      <x:c r="J23" s="86"/>
      <x:c r="K23" s="86"/>
      <x:c r="L23" s="86"/>
      <x:c r="M23" s="86"/>
      <x:c r="N23" s="86"/>
      <x:c r="O23" s="86"/>
      <x:c r="P23" s="86"/>
      <x:c r="Q23" s="86"/>
      <x:c r="R23" s="86"/>
      <x:c r="S23" s="86"/>
      <x:c r="T23" s="86"/>
      <x:c r="U23" s="86"/>
      <x:c r="V23" s="86"/>
      <x:c r="W23" s="86"/>
      <x:c r="X23" s="86"/>
      <x:c r="Y23" s="86"/>
      <x:c r="Z23" s="86"/>
    </x:row>
    <x:row r="24">
      <x:c r="A24" s="86"/>
      <x:c r="B24" s="86"/>
      <x:c r="C24" s="86"/>
      <x:c r="D24" s="86"/>
      <x:c r="E24" s="86"/>
      <x:c r="F24" s="86"/>
      <x:c r="G24" s="86"/>
      <x:c r="H24" s="86"/>
      <x:c r="I24" s="86"/>
      <x:c r="J24" s="86"/>
      <x:c r="K24" s="86"/>
      <x:c r="L24" s="86"/>
      <x:c r="M24" s="86"/>
      <x:c r="N24" s="86"/>
      <x:c r="O24" s="86"/>
      <x:c r="P24" s="86"/>
      <x:c r="Q24" s="86"/>
      <x:c r="R24" s="86"/>
      <x:c r="S24" s="86"/>
      <x:c r="T24" s="86"/>
      <x:c r="U24" s="86"/>
      <x:c r="V24" s="86"/>
      <x:c r="W24" s="86"/>
      <x:c r="X24" s="86"/>
      <x:c r="Y24" s="86"/>
      <x:c r="Z24" s="86"/>
    </x:row>
    <x:row r="25">
      <x:c r="A25" s="91" t="str">
        <x:v>Agent写入字段约定</x:v>
      </x:c>
      <x:c r="B25" s="91"/>
      <x:c r="C25" s="91"/>
      <x:c r="D25" s="91"/>
      <x:c r="E25" s="91"/>
      <x:c r="F25" s="91"/>
      <x:c r="G25" s="91"/>
      <x:c r="H25" s="91"/>
      <x:c r="I25" s="86"/>
      <x:c r="J25" s="86"/>
      <x:c r="K25" s="86"/>
      <x:c r="L25" s="86"/>
      <x:c r="M25" s="86"/>
      <x:c r="N25" s="86"/>
      <x:c r="O25" s="86"/>
      <x:c r="P25" s="86"/>
      <x:c r="Q25" s="86"/>
      <x:c r="R25" s="86"/>
      <x:c r="S25" s="86"/>
      <x:c r="T25" s="86"/>
      <x:c r="U25" s="86"/>
      <x:c r="V25" s="86"/>
      <x:c r="W25" s="86"/>
      <x:c r="X25" s="86"/>
      <x:c r="Y25" s="86"/>
      <x:c r="Z25" s="86"/>
    </x:row>
    <x:row r="26">
      <x:c r="A26" s="13" t="str">
        <x:v>字段</x:v>
      </x:c>
      <x:c r="B26" s="13" t="str">
        <x:v>示例</x:v>
      </x:c>
      <x:c r="C26" s="13" t="str">
        <x:v>类型</x:v>
      </x:c>
      <x:c r="D26" s="13" t="str">
        <x:v>必填</x:v>
      </x:c>
      <x:c r="E26" s="13" t="str">
        <x:v>写入Tab</x:v>
      </x:c>
      <x:c r="F26" s="13" t="str">
        <x:v>校验</x:v>
      </x:c>
      <x:c r="G26" s="13" t="str">
        <x:v>溯源字段</x:v>
      </x:c>
      <x:c r="H26" s="13" t="str">
        <x:v>说明</x:v>
      </x:c>
      <x:c r="I26" s="86"/>
      <x:c r="J26" s="86"/>
      <x:c r="K26" s="86"/>
      <x:c r="L26" s="86"/>
      <x:c r="M26" s="86"/>
      <x:c r="N26" s="86"/>
      <x:c r="O26" s="86"/>
      <x:c r="P26" s="86"/>
      <x:c r="Q26" s="86"/>
      <x:c r="R26" s="86"/>
      <x:c r="S26" s="86"/>
      <x:c r="T26" s="86"/>
      <x:c r="U26" s="86"/>
      <x:c r="V26" s="86"/>
      <x:c r="W26" s="86"/>
      <x:c r="X26" s="86"/>
      <x:c r="Y26" s="86"/>
      <x:c r="Z26" s="86"/>
    </x:row>
    <x:row r="27">
      <x:c r="A27" s="86" t="str">
        <x:v>stock_code</x:v>
      </x:c>
      <x:c r="B27" s="86" t="str">
        <x:v>600941</x:v>
      </x:c>
      <x:c r="C27" s="86" t="str">
        <x:v>string</x:v>
      </x:c>
      <x:c r="D27" s="86" t="str">
        <x:v>是</x:v>
      </x:c>
      <x:c r="E27" s="86" t="str">
        <x:v>所有主表</x:v>
      </x:c>
      <x:c r="F27" s="86" t="str">
        <x:v>A股代码格式</x:v>
      </x:c>
      <x:c r="G27" s="86" t="str">
        <x:v>source_id</x:v>
      </x:c>
      <x:c r="H27" s="86" t="str">
        <x:v>主键之一</x:v>
      </x:c>
      <x:c r="I27" s="86"/>
      <x:c r="J27" s="86"/>
      <x:c r="K27" s="86"/>
      <x:c r="L27" s="86"/>
      <x:c r="M27" s="86"/>
      <x:c r="N27" s="86"/>
      <x:c r="O27" s="86"/>
      <x:c r="P27" s="86"/>
      <x:c r="Q27" s="86"/>
      <x:c r="R27" s="86"/>
      <x:c r="S27" s="86"/>
      <x:c r="T27" s="86"/>
      <x:c r="U27" s="86"/>
      <x:c r="V27" s="86"/>
      <x:c r="W27" s="86"/>
      <x:c r="X27" s="86"/>
      <x:c r="Y27" s="86"/>
      <x:c r="Z27" s="86"/>
    </x:row>
    <x:row r="28">
      <x:c r="A28" s="86" t="str">
        <x:v>as_of</x:v>
      </x:c>
      <x:c r="B28" s="86" t="str">
        <x:v>2026-09-01 15:00</x:v>
      </x:c>
      <x:c r="C28" s="86" t="str">
        <x:v>datetime</x:v>
      </x:c>
      <x:c r="D28" s="86" t="str">
        <x:v>是</x:v>
      </x:c>
      <x:c r="E28" s="86" t="str">
        <x:v>估值/跟踪</x:v>
      </x:c>
      <x:c r="F28" s="86" t="str">
        <x:v>不得晚于抓取时间</x:v>
      </x:c>
      <x:c r="G28" s="86" t="str">
        <x:v>fetched_at</x:v>
      </x:c>
      <x:c r="H28" s="86" t="str">
        <x:v>数据时点</x:v>
      </x:c>
      <x:c r="I28" s="86"/>
      <x:c r="J28" s="86"/>
      <x:c r="K28" s="86"/>
      <x:c r="L28" s="86"/>
      <x:c r="M28" s="86"/>
      <x:c r="N28" s="86"/>
      <x:c r="O28" s="86"/>
      <x:c r="P28" s="86"/>
      <x:c r="Q28" s="86"/>
      <x:c r="R28" s="86"/>
      <x:c r="S28" s="86"/>
      <x:c r="T28" s="86"/>
      <x:c r="U28" s="86"/>
      <x:c r="V28" s="86"/>
      <x:c r="W28" s="86"/>
      <x:c r="X28" s="86"/>
      <x:c r="Y28" s="86"/>
      <x:c r="Z28" s="86"/>
    </x:row>
    <x:row r="29">
      <x:c r="A29" s="86" t="str">
        <x:v>current_price</x:v>
      </x:c>
      <x:c r="B29" s="86" t="str">
        <x:v>-</x:v>
      </x:c>
      <x:c r="C29" s="86" t="str">
        <x:v>decimal</x:v>
      </x:c>
      <x:c r="D29" s="86" t="str">
        <x:v>行情时是</x:v>
      </x:c>
      <x:c r="E29" s="86" t="str">
        <x:v>04_估值跟踪</x:v>
      </x:c>
      <x:c r="F29" s="86" t="str">
        <x:v>&gt;0</x:v>
      </x:c>
      <x:c r="G29" s="86" t="str">
        <x:v>source_url</x:v>
      </x:c>
      <x:c r="H29" s="86" t="str">
        <x:v>行情价</x:v>
      </x:c>
      <x:c r="I29" s="86"/>
      <x:c r="J29" s="86"/>
      <x:c r="K29" s="86"/>
      <x:c r="L29" s="86"/>
      <x:c r="M29" s="86"/>
      <x:c r="N29" s="86"/>
      <x:c r="O29" s="86"/>
      <x:c r="P29" s="86"/>
      <x:c r="Q29" s="86"/>
      <x:c r="R29" s="86"/>
      <x:c r="S29" s="86"/>
      <x:c r="T29" s="86"/>
      <x:c r="U29" s="86"/>
      <x:c r="V29" s="86"/>
      <x:c r="W29" s="86"/>
      <x:c r="X29" s="86"/>
      <x:c r="Y29" s="86"/>
      <x:c r="Z29" s="86"/>
    </x:row>
    <x:row r="30">
      <x:c r="A30" s="86" t="str">
        <x:v>roe_ttm</x:v>
      </x:c>
      <x:c r="B30" s="86" t="str">
        <x:v>-</x:v>
      </x:c>
      <x:c r="C30" s="86" t="str">
        <x:v>decimal</x:v>
      </x:c>
      <x:c r="D30" s="86" t="str">
        <x:v>财务时是</x:v>
      </x:c>
      <x:c r="E30" s="86" t="str">
        <x:v>03_财务指标</x:v>
      </x:c>
      <x:c r="F30" s="86" t="str">
        <x:v>范围/勾稽</x:v>
      </x:c>
      <x:c r="G30" s="86" t="str">
        <x:v>source_id</x:v>
      </x:c>
      <x:c r="H30" s="86" t="str">
        <x:v>ROE</x:v>
      </x:c>
      <x:c r="I30" s="86"/>
      <x:c r="J30" s="86"/>
      <x:c r="K30" s="86"/>
      <x:c r="L30" s="86"/>
      <x:c r="M30" s="86"/>
      <x:c r="N30" s="86"/>
      <x:c r="O30" s="86"/>
      <x:c r="P30" s="86"/>
      <x:c r="Q30" s="86"/>
      <x:c r="R30" s="86"/>
      <x:c r="S30" s="86"/>
      <x:c r="T30" s="86"/>
      <x:c r="U30" s="86"/>
      <x:c r="V30" s="86"/>
      <x:c r="W30" s="86"/>
      <x:c r="X30" s="86"/>
      <x:c r="Y30" s="86"/>
      <x:c r="Z30" s="86"/>
    </x:row>
    <x:row r="31">
      <x:c r="A31" s="86" t="str">
        <x:v>fcf</x:v>
      </x:c>
      <x:c r="B31" s="86" t="str">
        <x:v>-</x:v>
      </x:c>
      <x:c r="C31" s="86" t="str">
        <x:v>decimal</x:v>
      </x:c>
      <x:c r="D31" s="86" t="str">
        <x:v>财务时是</x:v>
      </x:c>
      <x:c r="E31" s="86" t="str">
        <x:v>03_财务指标</x:v>
      </x:c>
      <x:c r="F31" s="86" t="str">
        <x:v>现金流勾稽</x:v>
      </x:c>
      <x:c r="G31" s="86" t="str">
        <x:v>source_id</x:v>
      </x:c>
      <x:c r="H31" s="86" t="str">
        <x:v>自由现金流</x:v>
      </x:c>
      <x:c r="I31" s="86"/>
      <x:c r="J31" s="86"/>
      <x:c r="K31" s="86"/>
      <x:c r="L31" s="86"/>
      <x:c r="M31" s="86"/>
      <x:c r="N31" s="86"/>
      <x:c r="O31" s="86"/>
      <x:c r="P31" s="86"/>
      <x:c r="Q31" s="86"/>
      <x:c r="R31" s="86"/>
      <x:c r="S31" s="86"/>
      <x:c r="T31" s="86"/>
      <x:c r="U31" s="86"/>
      <x:c r="V31" s="86"/>
      <x:c r="W31" s="86"/>
      <x:c r="X31" s="86"/>
      <x:c r="Y31" s="86"/>
      <x:c r="Z31" s="86"/>
    </x:row>
    <x:row r="32">
      <x:c r="A32" s="86" t="str">
        <x:v>fair_value</x:v>
      </x:c>
      <x:c r="B32" s="86" t="str">
        <x:v>-</x:v>
      </x:c>
      <x:c r="C32" s="86" t="str">
        <x:v>decimal</x:v>
      </x:c>
      <x:c r="D32" s="86" t="str">
        <x:v>模型时是</x:v>
      </x:c>
      <x:c r="E32" s="86" t="str">
        <x:v>04_估值跟踪</x:v>
      </x:c>
      <x:c r="F32" s="86" t="str">
        <x:v>模型版本</x:v>
      </x:c>
      <x:c r="G32" s="86" t="str">
        <x:v>model_version</x:v>
      </x:c>
      <x:c r="H32" s="86" t="str">
        <x:v>综合合理价值</x:v>
      </x:c>
      <x:c r="I32" s="86"/>
      <x:c r="J32" s="86"/>
      <x:c r="K32" s="86"/>
      <x:c r="L32" s="86"/>
      <x:c r="M32" s="86"/>
      <x:c r="N32" s="86"/>
      <x:c r="O32" s="86"/>
      <x:c r="P32" s="86"/>
      <x:c r="Q32" s="86"/>
      <x:c r="R32" s="86"/>
      <x:c r="S32" s="86"/>
      <x:c r="T32" s="86"/>
      <x:c r="U32" s="86"/>
      <x:c r="V32" s="86"/>
      <x:c r="W32" s="86"/>
      <x:c r="X32" s="86"/>
      <x:c r="Y32" s="86"/>
      <x:c r="Z32" s="86"/>
    </x:row>
    <x:row r="33">
      <x:c r="A33" s="86" t="str">
        <x:v>data_status</x:v>
      </x:c>
      <x:c r="B33" s="86" t="str">
        <x:v>正常</x:v>
      </x:c>
      <x:c r="C33" s="86" t="str">
        <x:v>enum</x:v>
      </x:c>
      <x:c r="D33" s="86" t="str">
        <x:v>是</x:v>
      </x:c>
      <x:c r="E33" s="86" t="str">
        <x:v>01/04/11</x:v>
      </x:c>
      <x:c r="F33" s="86" t="str">
        <x:v>正常/待更新/冲突/缺失</x:v>
      </x:c>
      <x:c r="G33" s="86" t="str">
        <x:v>audit_id</x:v>
      </x:c>
      <x:c r="H33" s="86" t="str">
        <x:v>最终状态</x:v>
      </x:c>
      <x:c r="I33" s="86"/>
      <x:c r="J33" s="86"/>
      <x:c r="K33" s="86"/>
      <x:c r="L33" s="86"/>
      <x:c r="M33" s="86"/>
      <x:c r="N33" s="86"/>
      <x:c r="O33" s="86"/>
      <x:c r="P33" s="86"/>
      <x:c r="Q33" s="86"/>
      <x:c r="R33" s="86"/>
      <x:c r="S33" s="86"/>
      <x:c r="T33" s="86"/>
      <x:c r="U33" s="86"/>
      <x:c r="V33" s="86"/>
      <x:c r="W33" s="86"/>
      <x:c r="X33" s="86"/>
      <x:c r="Y33" s="86"/>
      <x:c r="Z33" s="86"/>
    </x:row>
    <x:row r="34">
      <x:c r="A34" s="86"/>
      <x:c r="B34" s="86"/>
      <x:c r="C34" s="86"/>
      <x:c r="D34" s="86"/>
      <x:c r="E34" s="86"/>
      <x:c r="F34" s="86"/>
      <x:c r="G34" s="86"/>
      <x:c r="H34" s="86"/>
      <x:c r="I34" s="86"/>
      <x:c r="J34" s="86"/>
      <x:c r="K34" s="86"/>
      <x:c r="L34" s="86"/>
      <x:c r="M34" s="86"/>
      <x:c r="N34" s="86"/>
      <x:c r="O34" s="86"/>
      <x:c r="P34" s="86"/>
      <x:c r="Q34" s="86"/>
      <x:c r="R34" s="86"/>
      <x:c r="S34" s="86"/>
      <x:c r="T34" s="86"/>
      <x:c r="U34" s="86"/>
      <x:c r="V34" s="86"/>
      <x:c r="W34" s="86"/>
      <x:c r="X34" s="86"/>
      <x:c r="Y34" s="86"/>
      <x:c r="Z34" s="86"/>
    </x:row>
    <x:row r="35">
      <x:c r="A35" s="86"/>
      <x:c r="B35" s="86"/>
      <x:c r="C35" s="86"/>
      <x:c r="D35" s="86"/>
      <x:c r="E35" s="86"/>
      <x:c r="F35" s="86"/>
      <x:c r="G35" s="86"/>
      <x:c r="H35" s="86"/>
      <x:c r="I35" s="86"/>
      <x:c r="J35" s="86"/>
      <x:c r="K35" s="86"/>
      <x:c r="L35" s="86"/>
      <x:c r="M35" s="86"/>
      <x:c r="N35" s="86"/>
      <x:c r="O35" s="86"/>
      <x:c r="P35" s="86"/>
      <x:c r="Q35" s="86"/>
      <x:c r="R35" s="86"/>
      <x:c r="S35" s="86"/>
      <x:c r="T35" s="86"/>
      <x:c r="U35" s="86"/>
      <x:c r="V35" s="86"/>
      <x:c r="W35" s="86"/>
      <x:c r="X35" s="86"/>
      <x:c r="Y35" s="86"/>
      <x:c r="Z35" s="86"/>
    </x:row>
    <x:row r="36">
      <x:c r="A36" s="86"/>
      <x:c r="B36" s="86"/>
      <x:c r="C36" s="86"/>
      <x:c r="D36" s="86"/>
      <x:c r="E36" s="86"/>
      <x:c r="F36" s="86"/>
      <x:c r="G36" s="86"/>
      <x:c r="H36" s="86"/>
      <x:c r="I36" s="86"/>
      <x:c r="J36" s="86"/>
      <x:c r="K36" s="86"/>
      <x:c r="L36" s="86"/>
      <x:c r="M36" s="86"/>
      <x:c r="N36" s="86"/>
      <x:c r="O36" s="86"/>
      <x:c r="P36" s="86"/>
      <x:c r="Q36" s="86"/>
      <x:c r="R36" s="86"/>
      <x:c r="S36" s="86"/>
      <x:c r="T36" s="86"/>
      <x:c r="U36" s="86"/>
      <x:c r="V36" s="86"/>
      <x:c r="W36" s="86"/>
      <x:c r="X36" s="86"/>
      <x:c r="Y36" s="86"/>
      <x:c r="Z36" s="86"/>
    </x:row>
    <x:row r="37">
      <x:c r="A37" s="86"/>
      <x:c r="B37" s="86"/>
      <x:c r="C37" s="86"/>
      <x:c r="D37" s="86"/>
      <x:c r="E37" s="86"/>
      <x:c r="F37" s="86"/>
      <x:c r="G37" s="86"/>
      <x:c r="H37" s="86"/>
      <x:c r="I37" s="86"/>
      <x:c r="J37" s="86"/>
      <x:c r="K37" s="86"/>
      <x:c r="L37" s="86"/>
      <x:c r="M37" s="86"/>
      <x:c r="N37" s="86"/>
      <x:c r="O37" s="86"/>
      <x:c r="P37" s="86"/>
      <x:c r="Q37" s="86"/>
      <x:c r="R37" s="86"/>
      <x:c r="S37" s="86"/>
      <x:c r="T37" s="86"/>
      <x:c r="U37" s="86"/>
      <x:c r="V37" s="86"/>
      <x:c r="W37" s="86"/>
      <x:c r="X37" s="86"/>
      <x:c r="Y37" s="86"/>
      <x:c r="Z37" s="86"/>
    </x:row>
    <x:row r="38">
      <x:c r="A38" s="86"/>
      <x:c r="B38" s="86"/>
      <x:c r="C38" s="86"/>
      <x:c r="D38" s="86"/>
      <x:c r="E38" s="86"/>
      <x:c r="F38" s="86"/>
      <x:c r="G38" s="86"/>
      <x:c r="H38" s="86"/>
      <x:c r="I38" s="86"/>
      <x:c r="J38" s="86"/>
      <x:c r="K38" s="86"/>
      <x:c r="L38" s="86"/>
      <x:c r="M38" s="86"/>
      <x:c r="N38" s="86"/>
      <x:c r="O38" s="86"/>
      <x:c r="P38" s="86"/>
      <x:c r="Q38" s="86"/>
      <x:c r="R38" s="86"/>
      <x:c r="S38" s="86"/>
      <x:c r="T38" s="86"/>
      <x:c r="U38" s="86"/>
      <x:c r="V38" s="86"/>
      <x:c r="W38" s="86"/>
      <x:c r="X38" s="86"/>
      <x:c r="Y38" s="86"/>
      <x:c r="Z38" s="86"/>
    </x:row>
    <x:row r="39">
      <x:c r="A39" s="86"/>
      <x:c r="B39" s="86"/>
      <x:c r="C39" s="86"/>
      <x:c r="D39" s="86"/>
      <x:c r="E39" s="86"/>
      <x:c r="F39" s="86"/>
      <x:c r="G39" s="86"/>
      <x:c r="H39" s="86"/>
      <x:c r="I39" s="86"/>
      <x:c r="J39" s="86"/>
      <x:c r="K39" s="86"/>
      <x:c r="L39" s="86"/>
      <x:c r="M39" s="86"/>
      <x:c r="N39" s="86"/>
      <x:c r="O39" s="86"/>
      <x:c r="P39" s="86"/>
      <x:c r="Q39" s="86"/>
      <x:c r="R39" s="86"/>
      <x:c r="S39" s="86"/>
      <x:c r="T39" s="86"/>
      <x:c r="U39" s="86"/>
      <x:c r="V39" s="86"/>
      <x:c r="W39" s="86"/>
      <x:c r="X39" s="86"/>
      <x:c r="Y39" s="86"/>
      <x:c r="Z39" s="86"/>
    </x:row>
    <x:row r="40">
      <x:c r="A40" s="86"/>
      <x:c r="B40" s="86"/>
      <x:c r="C40" s="86"/>
      <x:c r="D40" s="86"/>
      <x:c r="E40" s="86"/>
      <x:c r="F40" s="86"/>
      <x:c r="G40" s="86"/>
      <x:c r="H40" s="86"/>
      <x:c r="I40" s="86"/>
      <x:c r="J40" s="86"/>
      <x:c r="K40" s="86"/>
      <x:c r="L40" s="86"/>
      <x:c r="M40" s="86"/>
      <x:c r="N40" s="86"/>
      <x:c r="O40" s="86"/>
      <x:c r="P40" s="86"/>
      <x:c r="Q40" s="86"/>
      <x:c r="R40" s="86"/>
      <x:c r="S40" s="86"/>
      <x:c r="T40" s="86"/>
      <x:c r="U40" s="86"/>
      <x:c r="V40" s="86"/>
      <x:c r="W40" s="86"/>
      <x:c r="X40" s="86"/>
      <x:c r="Y40" s="86"/>
      <x:c r="Z40" s="86"/>
    </x:row>
    <x:row r="41">
      <x:c r="A41" s="86"/>
      <x:c r="B41" s="86"/>
      <x:c r="C41" s="86"/>
      <x:c r="D41" s="86"/>
      <x:c r="E41" s="86"/>
      <x:c r="F41" s="86"/>
      <x:c r="G41" s="86"/>
      <x:c r="H41" s="86"/>
      <x:c r="I41" s="86"/>
      <x:c r="J41" s="86"/>
      <x:c r="K41" s="86"/>
      <x:c r="L41" s="86"/>
      <x:c r="M41" s="86"/>
      <x:c r="N41" s="86"/>
      <x:c r="O41" s="86"/>
      <x:c r="P41" s="86"/>
      <x:c r="Q41" s="86"/>
      <x:c r="R41" s="86"/>
      <x:c r="S41" s="86"/>
      <x:c r="T41" s="86"/>
      <x:c r="U41" s="86"/>
      <x:c r="V41" s="86"/>
      <x:c r="W41" s="86"/>
      <x:c r="X41" s="86"/>
      <x:c r="Y41" s="86"/>
      <x:c r="Z41" s="86"/>
    </x:row>
    <x:row r="42">
      <x:c r="A42" s="86"/>
      <x:c r="B42" s="86"/>
      <x:c r="C42" s="86"/>
      <x:c r="D42" s="86"/>
      <x:c r="E42" s="86"/>
      <x:c r="F42" s="86"/>
      <x:c r="G42" s="86"/>
      <x:c r="H42" s="86"/>
      <x:c r="I42" s="86"/>
      <x:c r="J42" s="86"/>
      <x:c r="K42" s="86"/>
      <x:c r="L42" s="86"/>
      <x:c r="M42" s="86"/>
      <x:c r="N42" s="86"/>
      <x:c r="O42" s="86"/>
      <x:c r="P42" s="86"/>
      <x:c r="Q42" s="86"/>
      <x:c r="R42" s="86"/>
      <x:c r="S42" s="86"/>
      <x:c r="T42" s="86"/>
      <x:c r="U42" s="86"/>
      <x:c r="V42" s="86"/>
      <x:c r="W42" s="86"/>
      <x:c r="X42" s="86"/>
      <x:c r="Y42" s="86"/>
      <x:c r="Z42" s="86"/>
    </x:row>
    <x:row r="43">
      <x:c r="A43" s="86"/>
      <x:c r="B43" s="86"/>
      <x:c r="C43" s="86"/>
      <x:c r="D43" s="86"/>
      <x:c r="E43" s="86"/>
      <x:c r="F43" s="86"/>
      <x:c r="G43" s="86"/>
      <x:c r="H43" s="86"/>
      <x:c r="I43" s="86"/>
      <x:c r="J43" s="86"/>
      <x:c r="K43" s="86"/>
      <x:c r="L43" s="86"/>
      <x:c r="M43" s="86"/>
      <x:c r="N43" s="86"/>
      <x:c r="O43" s="86"/>
      <x:c r="P43" s="86"/>
      <x:c r="Q43" s="86"/>
      <x:c r="R43" s="86"/>
      <x:c r="S43" s="86"/>
      <x:c r="T43" s="86"/>
      <x:c r="U43" s="86"/>
      <x:c r="V43" s="86"/>
      <x:c r="W43" s="86"/>
      <x:c r="X43" s="86"/>
      <x:c r="Y43" s="86"/>
      <x:c r="Z43" s="86"/>
    </x:row>
    <x:row r="44">
      <x:c r="A44" s="86"/>
      <x:c r="B44" s="86"/>
      <x:c r="C44" s="86"/>
      <x:c r="D44" s="86"/>
      <x:c r="E44" s="86"/>
      <x:c r="F44" s="86"/>
      <x:c r="G44" s="86"/>
      <x:c r="H44" s="86"/>
      <x:c r="I44" s="86"/>
      <x:c r="J44" s="86"/>
      <x:c r="K44" s="86"/>
      <x:c r="L44" s="86"/>
      <x:c r="M44" s="86"/>
      <x:c r="N44" s="86"/>
      <x:c r="O44" s="86"/>
      <x:c r="P44" s="86"/>
      <x:c r="Q44" s="86"/>
      <x:c r="R44" s="86"/>
      <x:c r="S44" s="86"/>
      <x:c r="T44" s="86"/>
      <x:c r="U44" s="86"/>
      <x:c r="V44" s="86"/>
      <x:c r="W44" s="86"/>
      <x:c r="X44" s="86"/>
      <x:c r="Y44" s="86"/>
      <x:c r="Z44" s="86"/>
    </x:row>
    <x:row r="45">
      <x:c r="A45" s="86"/>
      <x:c r="B45" s="86"/>
      <x:c r="C45" s="86"/>
      <x:c r="D45" s="86"/>
      <x:c r="E45" s="86"/>
      <x:c r="F45" s="86"/>
      <x:c r="G45" s="86"/>
      <x:c r="H45" s="86"/>
      <x:c r="I45" s="86"/>
      <x:c r="J45" s="86"/>
      <x:c r="K45" s="86"/>
      <x:c r="L45" s="86"/>
      <x:c r="M45" s="86"/>
      <x:c r="N45" s="86"/>
      <x:c r="O45" s="86"/>
      <x:c r="P45" s="86"/>
      <x:c r="Q45" s="86"/>
      <x:c r="R45" s="86"/>
      <x:c r="S45" s="86"/>
      <x:c r="T45" s="86"/>
      <x:c r="U45" s="86"/>
      <x:c r="V45" s="86"/>
      <x:c r="W45" s="86"/>
      <x:c r="X45" s="86"/>
      <x:c r="Y45" s="86"/>
      <x:c r="Z45" s="86"/>
    </x:row>
    <x:row r="46">
      <x:c r="A46" s="86"/>
      <x:c r="B46" s="86"/>
      <x:c r="C46" s="86"/>
      <x:c r="D46" s="86"/>
      <x:c r="E46" s="86"/>
      <x:c r="F46" s="86"/>
      <x:c r="G46" s="86"/>
      <x:c r="H46" s="86"/>
      <x:c r="I46" s="86"/>
      <x:c r="J46" s="86"/>
      <x:c r="K46" s="86"/>
      <x:c r="L46" s="86"/>
      <x:c r="M46" s="86"/>
      <x:c r="N46" s="86"/>
      <x:c r="O46" s="86"/>
      <x:c r="P46" s="86"/>
      <x:c r="Q46" s="86"/>
      <x:c r="R46" s="86"/>
      <x:c r="S46" s="86"/>
      <x:c r="T46" s="86"/>
      <x:c r="U46" s="86"/>
      <x:c r="V46" s="86"/>
      <x:c r="W46" s="86"/>
      <x:c r="X46" s="86"/>
      <x:c r="Y46" s="86"/>
      <x:c r="Z46" s="86"/>
    </x:row>
    <x:row r="47">
      <x:c r="A47" s="86"/>
      <x:c r="B47" s="86"/>
      <x:c r="C47" s="86"/>
      <x:c r="D47" s="86"/>
      <x:c r="E47" s="86"/>
      <x:c r="F47" s="86"/>
      <x:c r="G47" s="86"/>
      <x:c r="H47" s="86"/>
      <x:c r="I47" s="86"/>
      <x:c r="J47" s="86"/>
      <x:c r="K47" s="86"/>
      <x:c r="L47" s="86"/>
      <x:c r="M47" s="86"/>
      <x:c r="N47" s="86"/>
      <x:c r="O47" s="86"/>
      <x:c r="P47" s="86"/>
      <x:c r="Q47" s="86"/>
      <x:c r="R47" s="86"/>
      <x:c r="S47" s="86"/>
      <x:c r="T47" s="86"/>
      <x:c r="U47" s="86"/>
      <x:c r="V47" s="86"/>
      <x:c r="W47" s="86"/>
      <x:c r="X47" s="86"/>
      <x:c r="Y47" s="86"/>
      <x:c r="Z47" s="86"/>
    </x:row>
    <x:row r="48">
      <x:c r="A48" s="86"/>
      <x:c r="B48" s="86"/>
      <x:c r="C48" s="86"/>
      <x:c r="D48" s="86"/>
      <x:c r="E48" s="86"/>
      <x:c r="F48" s="86"/>
      <x:c r="G48" s="86"/>
      <x:c r="H48" s="86"/>
      <x:c r="I48" s="86"/>
      <x:c r="J48" s="86"/>
      <x:c r="K48" s="86"/>
      <x:c r="L48" s="86"/>
      <x:c r="M48" s="86"/>
      <x:c r="N48" s="86"/>
      <x:c r="O48" s="86"/>
      <x:c r="P48" s="86"/>
      <x:c r="Q48" s="86"/>
      <x:c r="R48" s="86"/>
      <x:c r="S48" s="86"/>
      <x:c r="T48" s="86"/>
      <x:c r="U48" s="86"/>
      <x:c r="V48" s="86"/>
      <x:c r="W48" s="86"/>
      <x:c r="X48" s="86"/>
      <x:c r="Y48" s="86"/>
      <x:c r="Z48" s="86"/>
    </x:row>
    <x:row r="49">
      <x:c r="A49" s="86"/>
      <x:c r="B49" s="86"/>
      <x:c r="C49" s="86"/>
      <x:c r="D49" s="86"/>
      <x:c r="E49" s="86"/>
      <x:c r="F49" s="86"/>
      <x:c r="G49" s="86"/>
      <x:c r="H49" s="86"/>
      <x:c r="I49" s="86"/>
      <x:c r="J49" s="86"/>
      <x:c r="K49" s="86"/>
      <x:c r="L49" s="86"/>
      <x:c r="M49" s="86"/>
      <x:c r="N49" s="86"/>
      <x:c r="O49" s="86"/>
      <x:c r="P49" s="86"/>
      <x:c r="Q49" s="86"/>
      <x:c r="R49" s="86"/>
      <x:c r="S49" s="86"/>
      <x:c r="T49" s="86"/>
      <x:c r="U49" s="86"/>
      <x:c r="V49" s="86"/>
      <x:c r="W49" s="86"/>
      <x:c r="X49" s="86"/>
      <x:c r="Y49" s="86"/>
      <x:c r="Z49" s="86"/>
    </x:row>
    <x:row r="50">
      <x:c r="A50" s="86"/>
      <x:c r="B50" s="86"/>
      <x:c r="C50" s="86"/>
      <x:c r="D50" s="86"/>
      <x:c r="E50" s="86"/>
      <x:c r="F50" s="86"/>
      <x:c r="G50" s="86"/>
      <x:c r="H50" s="86"/>
      <x:c r="I50" s="86"/>
      <x:c r="J50" s="86"/>
      <x:c r="K50" s="86"/>
      <x:c r="L50" s="86"/>
      <x:c r="M50" s="86"/>
      <x:c r="N50" s="86"/>
      <x:c r="O50" s="86"/>
      <x:c r="P50" s="86"/>
      <x:c r="Q50" s="86"/>
      <x:c r="R50" s="86"/>
      <x:c r="S50" s="86"/>
      <x:c r="T50" s="86"/>
      <x:c r="U50" s="86"/>
      <x:c r="V50" s="86"/>
      <x:c r="W50" s="86"/>
      <x:c r="X50" s="86"/>
      <x:c r="Y50" s="86"/>
      <x:c r="Z50" s="86"/>
    </x:row>
    <x:row r="51">
      <x:c r="A51" s="86"/>
      <x:c r="B51" s="86"/>
      <x:c r="C51" s="86"/>
      <x:c r="D51" s="86"/>
      <x:c r="E51" s="86"/>
      <x:c r="F51" s="86"/>
      <x:c r="G51" s="86"/>
      <x:c r="H51" s="86"/>
      <x:c r="I51" s="86"/>
      <x:c r="J51" s="86"/>
      <x:c r="K51" s="86"/>
      <x:c r="L51" s="86"/>
      <x:c r="M51" s="86"/>
      <x:c r="N51" s="86"/>
      <x:c r="O51" s="86"/>
      <x:c r="P51" s="86"/>
      <x:c r="Q51" s="86"/>
      <x:c r="R51" s="86"/>
      <x:c r="S51" s="86"/>
      <x:c r="T51" s="86"/>
      <x:c r="U51" s="86"/>
      <x:c r="V51" s="86"/>
      <x:c r="W51" s="86"/>
      <x:c r="X51" s="86"/>
      <x:c r="Y51" s="86"/>
      <x:c r="Z51" s="86"/>
    </x:row>
    <x:row r="52">
      <x:c r="A52" s="86"/>
      <x:c r="B52" s="86"/>
      <x:c r="C52" s="86"/>
      <x:c r="D52" s="86"/>
      <x:c r="E52" s="86"/>
      <x:c r="F52" s="86"/>
      <x:c r="G52" s="86"/>
      <x:c r="H52" s="86"/>
      <x:c r="I52" s="86"/>
      <x:c r="J52" s="86"/>
      <x:c r="K52" s="86"/>
      <x:c r="L52" s="86"/>
      <x:c r="M52" s="86"/>
      <x:c r="N52" s="86"/>
      <x:c r="O52" s="86"/>
      <x:c r="P52" s="86"/>
      <x:c r="Q52" s="86"/>
      <x:c r="R52" s="86"/>
      <x:c r="S52" s="86"/>
      <x:c r="T52" s="86"/>
      <x:c r="U52" s="86"/>
      <x:c r="V52" s="86"/>
      <x:c r="W52" s="86"/>
      <x:c r="X52" s="86"/>
      <x:c r="Y52" s="86"/>
      <x:c r="Z52" s="86"/>
    </x:row>
    <x:row r="53">
      <x:c r="A53" s="86"/>
      <x:c r="B53" s="86"/>
      <x:c r="C53" s="86"/>
      <x:c r="D53" s="86"/>
      <x:c r="E53" s="86"/>
      <x:c r="F53" s="86"/>
      <x:c r="G53" s="86"/>
      <x:c r="H53" s="86"/>
      <x:c r="I53" s="86"/>
      <x:c r="J53" s="86"/>
      <x:c r="K53" s="86"/>
      <x:c r="L53" s="86"/>
      <x:c r="M53" s="86"/>
      <x:c r="N53" s="86"/>
      <x:c r="O53" s="86"/>
      <x:c r="P53" s="86"/>
      <x:c r="Q53" s="86"/>
      <x:c r="R53" s="86"/>
      <x:c r="S53" s="86"/>
      <x:c r="T53" s="86"/>
      <x:c r="U53" s="86"/>
      <x:c r="V53" s="86"/>
      <x:c r="W53" s="86"/>
      <x:c r="X53" s="86"/>
      <x:c r="Y53" s="86"/>
      <x:c r="Z53" s="86"/>
    </x:row>
    <x:row r="54">
      <x:c r="A54" s="86"/>
      <x:c r="B54" s="86"/>
      <x:c r="C54" s="86"/>
      <x:c r="D54" s="86"/>
      <x:c r="E54" s="86"/>
      <x:c r="F54" s="86"/>
      <x:c r="G54" s="86"/>
      <x:c r="H54" s="86"/>
      <x:c r="I54" s="86"/>
      <x:c r="J54" s="86"/>
      <x:c r="K54" s="86"/>
      <x:c r="L54" s="86"/>
      <x:c r="M54" s="86"/>
      <x:c r="N54" s="86"/>
      <x:c r="O54" s="86"/>
      <x:c r="P54" s="86"/>
      <x:c r="Q54" s="86"/>
      <x:c r="R54" s="86"/>
      <x:c r="S54" s="86"/>
      <x:c r="T54" s="86"/>
      <x:c r="U54" s="86"/>
      <x:c r="V54" s="86"/>
      <x:c r="W54" s="86"/>
      <x:c r="X54" s="86"/>
      <x:c r="Y54" s="86"/>
      <x:c r="Z54" s="86"/>
    </x:row>
    <x:row r="55">
      <x:c r="A55" s="86"/>
      <x:c r="B55" s="86"/>
      <x:c r="C55" s="86"/>
      <x:c r="D55" s="86"/>
      <x:c r="E55" s="86"/>
      <x:c r="F55" s="86"/>
      <x:c r="G55" s="86"/>
      <x:c r="H55" s="86"/>
      <x:c r="I55" s="86"/>
      <x:c r="J55" s="86"/>
      <x:c r="K55" s="86"/>
      <x:c r="L55" s="86"/>
      <x:c r="M55" s="86"/>
      <x:c r="N55" s="86"/>
      <x:c r="O55" s="86"/>
      <x:c r="P55" s="86"/>
      <x:c r="Q55" s="86"/>
      <x:c r="R55" s="86"/>
      <x:c r="S55" s="86"/>
      <x:c r="T55" s="86"/>
      <x:c r="U55" s="86"/>
      <x:c r="V55" s="86"/>
      <x:c r="W55" s="86"/>
      <x:c r="X55" s="86"/>
      <x:c r="Y55" s="86"/>
      <x:c r="Z55" s="86"/>
    </x:row>
    <x:row r="56">
      <x:c r="A56" s="86"/>
      <x:c r="B56" s="86"/>
      <x:c r="C56" s="86"/>
      <x:c r="D56" s="86"/>
      <x:c r="E56" s="86"/>
      <x:c r="F56" s="86"/>
      <x:c r="G56" s="86"/>
      <x:c r="H56" s="86"/>
      <x:c r="I56" s="86"/>
      <x:c r="J56" s="86"/>
      <x:c r="K56" s="86"/>
      <x:c r="L56" s="86"/>
      <x:c r="M56" s="86"/>
      <x:c r="N56" s="86"/>
      <x:c r="O56" s="86"/>
      <x:c r="P56" s="86"/>
      <x:c r="Q56" s="86"/>
      <x:c r="R56" s="86"/>
      <x:c r="S56" s="86"/>
      <x:c r="T56" s="86"/>
      <x:c r="U56" s="86"/>
      <x:c r="V56" s="86"/>
      <x:c r="W56" s="86"/>
      <x:c r="X56" s="86"/>
      <x:c r="Y56" s="86"/>
      <x:c r="Z56" s="86"/>
    </x:row>
    <x:row r="57">
      <x:c r="A57" s="86"/>
      <x:c r="B57" s="86"/>
      <x:c r="C57" s="86"/>
      <x:c r="D57" s="86"/>
      <x:c r="E57" s="86"/>
      <x:c r="F57" s="86"/>
      <x:c r="G57" s="86"/>
      <x:c r="H57" s="86"/>
      <x:c r="I57" s="86"/>
      <x:c r="J57" s="86"/>
      <x:c r="K57" s="86"/>
      <x:c r="L57" s="86"/>
      <x:c r="M57" s="86"/>
      <x:c r="N57" s="86"/>
      <x:c r="O57" s="86"/>
      <x:c r="P57" s="86"/>
      <x:c r="Q57" s="86"/>
      <x:c r="R57" s="86"/>
      <x:c r="S57" s="86"/>
      <x:c r="T57" s="86"/>
      <x:c r="U57" s="86"/>
      <x:c r="V57" s="86"/>
      <x:c r="W57" s="86"/>
      <x:c r="X57" s="86"/>
      <x:c r="Y57" s="86"/>
      <x:c r="Z57" s="86"/>
    </x:row>
    <x:row r="58">
      <x:c r="A58" s="86"/>
      <x:c r="B58" s="86"/>
      <x:c r="C58" s="86"/>
      <x:c r="D58" s="86"/>
      <x:c r="E58" s="86"/>
      <x:c r="F58" s="86"/>
      <x:c r="G58" s="86"/>
      <x:c r="H58" s="86"/>
      <x:c r="I58" s="86"/>
      <x:c r="J58" s="86"/>
      <x:c r="K58" s="86"/>
      <x:c r="L58" s="86"/>
      <x:c r="M58" s="86"/>
      <x:c r="N58" s="86"/>
      <x:c r="O58" s="86"/>
      <x:c r="P58" s="86"/>
      <x:c r="Q58" s="86"/>
      <x:c r="R58" s="86"/>
      <x:c r="S58" s="86"/>
      <x:c r="T58" s="86"/>
      <x:c r="U58" s="86"/>
      <x:c r="V58" s="86"/>
      <x:c r="W58" s="86"/>
      <x:c r="X58" s="86"/>
      <x:c r="Y58" s="86"/>
      <x:c r="Z58" s="86"/>
    </x:row>
    <x:row r="59">
      <x:c r="A59" s="86"/>
      <x:c r="B59" s="86"/>
      <x:c r="C59" s="86"/>
      <x:c r="D59" s="86"/>
      <x:c r="E59" s="86"/>
      <x:c r="F59" s="86"/>
      <x:c r="G59" s="86"/>
      <x:c r="H59" s="86"/>
      <x:c r="I59" s="86"/>
      <x:c r="J59" s="86"/>
      <x:c r="K59" s="86"/>
      <x:c r="L59" s="86"/>
      <x:c r="M59" s="86"/>
      <x:c r="N59" s="86"/>
      <x:c r="O59" s="86"/>
      <x:c r="P59" s="86"/>
      <x:c r="Q59" s="86"/>
      <x:c r="R59" s="86"/>
      <x:c r="S59" s="86"/>
      <x:c r="T59" s="86"/>
      <x:c r="U59" s="86"/>
      <x:c r="V59" s="86"/>
      <x:c r="W59" s="86"/>
      <x:c r="X59" s="86"/>
      <x:c r="Y59" s="86"/>
      <x:c r="Z59" s="86"/>
    </x:row>
    <x:row r="60">
      <x:c r="A60" s="86"/>
      <x:c r="B60" s="86"/>
      <x:c r="C60" s="86"/>
      <x:c r="D60" s="86"/>
      <x:c r="E60" s="86"/>
      <x:c r="F60" s="86"/>
      <x:c r="G60" s="86"/>
      <x:c r="H60" s="86"/>
      <x:c r="I60" s="86"/>
      <x:c r="J60" s="86"/>
      <x:c r="K60" s="86"/>
      <x:c r="L60" s="86"/>
      <x:c r="M60" s="86"/>
      <x:c r="N60" s="86"/>
      <x:c r="O60" s="86"/>
      <x:c r="P60" s="86"/>
      <x:c r="Q60" s="86"/>
      <x:c r="R60" s="86"/>
      <x:c r="S60" s="86"/>
      <x:c r="T60" s="86"/>
      <x:c r="U60" s="86"/>
      <x:c r="V60" s="86"/>
      <x:c r="W60" s="86"/>
      <x:c r="X60" s="86"/>
      <x:c r="Y60" s="86"/>
      <x:c r="Z60" s="86"/>
    </x:row>
    <x:row r="61">
      <x:c r="A61" s="86"/>
      <x:c r="B61" s="86"/>
      <x:c r="C61" s="86"/>
      <x:c r="D61" s="86"/>
      <x:c r="E61" s="86"/>
      <x:c r="F61" s="86"/>
      <x:c r="G61" s="86"/>
      <x:c r="H61" s="86"/>
      <x:c r="I61" s="86"/>
      <x:c r="J61" s="86"/>
      <x:c r="K61" s="86"/>
      <x:c r="L61" s="86"/>
      <x:c r="M61" s="86"/>
      <x:c r="N61" s="86"/>
      <x:c r="O61" s="86"/>
      <x:c r="P61" s="86"/>
      <x:c r="Q61" s="86"/>
      <x:c r="R61" s="86"/>
      <x:c r="S61" s="86"/>
      <x:c r="T61" s="86"/>
      <x:c r="U61" s="86"/>
      <x:c r="V61" s="86"/>
      <x:c r="W61" s="86"/>
      <x:c r="X61" s="86"/>
      <x:c r="Y61" s="86"/>
      <x:c r="Z61" s="86"/>
    </x:row>
    <x:row r="62">
      <x:c r="A62" s="86"/>
      <x:c r="B62" s="86"/>
      <x:c r="C62" s="86"/>
      <x:c r="D62" s="86"/>
      <x:c r="E62" s="86"/>
      <x:c r="F62" s="86"/>
      <x:c r="G62" s="86"/>
      <x:c r="H62" s="86"/>
      <x:c r="I62" s="86"/>
      <x:c r="J62" s="86"/>
      <x:c r="K62" s="86"/>
      <x:c r="L62" s="86"/>
      <x:c r="M62" s="86"/>
      <x:c r="N62" s="86"/>
      <x:c r="O62" s="86"/>
      <x:c r="P62" s="86"/>
      <x:c r="Q62" s="86"/>
      <x:c r="R62" s="86"/>
      <x:c r="S62" s="86"/>
      <x:c r="T62" s="86"/>
      <x:c r="U62" s="86"/>
      <x:c r="V62" s="86"/>
      <x:c r="W62" s="86"/>
      <x:c r="X62" s="86"/>
      <x:c r="Y62" s="86"/>
      <x:c r="Z62" s="86"/>
    </x:row>
    <x:row r="63">
      <x:c r="A63" s="86"/>
      <x:c r="B63" s="86"/>
      <x:c r="C63" s="86"/>
      <x:c r="D63" s="86"/>
      <x:c r="E63" s="86"/>
      <x:c r="F63" s="86"/>
      <x:c r="G63" s="86"/>
      <x:c r="H63" s="86"/>
      <x:c r="I63" s="86"/>
      <x:c r="J63" s="86"/>
      <x:c r="K63" s="86"/>
      <x:c r="L63" s="86"/>
      <x:c r="M63" s="86"/>
      <x:c r="N63" s="86"/>
      <x:c r="O63" s="86"/>
      <x:c r="P63" s="86"/>
      <x:c r="Q63" s="86"/>
      <x:c r="R63" s="86"/>
      <x:c r="S63" s="86"/>
      <x:c r="T63" s="86"/>
      <x:c r="U63" s="86"/>
      <x:c r="V63" s="86"/>
      <x:c r="W63" s="86"/>
      <x:c r="X63" s="86"/>
      <x:c r="Y63" s="86"/>
      <x:c r="Z63" s="86"/>
    </x:row>
    <x:row r="64">
      <x:c r="A64" s="86"/>
      <x:c r="B64" s="86"/>
      <x:c r="C64" s="86"/>
      <x:c r="D64" s="86"/>
      <x:c r="E64" s="86"/>
      <x:c r="F64" s="86"/>
      <x:c r="G64" s="86"/>
      <x:c r="H64" s="86"/>
      <x:c r="I64" s="86"/>
      <x:c r="J64" s="86"/>
      <x:c r="K64" s="86"/>
      <x:c r="L64" s="86"/>
      <x:c r="M64" s="86"/>
      <x:c r="N64" s="86"/>
      <x:c r="O64" s="86"/>
      <x:c r="P64" s="86"/>
      <x:c r="Q64" s="86"/>
      <x:c r="R64" s="86"/>
      <x:c r="S64" s="86"/>
      <x:c r="T64" s="86"/>
      <x:c r="U64" s="86"/>
      <x:c r="V64" s="86"/>
      <x:c r="W64" s="86"/>
      <x:c r="X64" s="86"/>
      <x:c r="Y64" s="86"/>
      <x:c r="Z64" s="86"/>
    </x:row>
    <x:row r="65">
      <x:c r="A65" s="86"/>
      <x:c r="B65" s="86"/>
      <x:c r="C65" s="86"/>
      <x:c r="D65" s="86"/>
      <x:c r="E65" s="86"/>
      <x:c r="F65" s="86"/>
      <x:c r="G65" s="86"/>
      <x:c r="H65" s="86"/>
      <x:c r="I65" s="86"/>
      <x:c r="J65" s="86"/>
      <x:c r="K65" s="86"/>
      <x:c r="L65" s="86"/>
      <x:c r="M65" s="86"/>
      <x:c r="N65" s="86"/>
      <x:c r="O65" s="86"/>
      <x:c r="P65" s="86"/>
      <x:c r="Q65" s="86"/>
      <x:c r="R65" s="86"/>
      <x:c r="S65" s="86"/>
      <x:c r="T65" s="86"/>
      <x:c r="U65" s="86"/>
      <x:c r="V65" s="86"/>
      <x:c r="W65" s="86"/>
      <x:c r="X65" s="86"/>
      <x:c r="Y65" s="86"/>
      <x:c r="Z65" s="86"/>
    </x:row>
    <x:row r="66">
      <x:c r="A66" s="86"/>
      <x:c r="B66" s="86"/>
      <x:c r="C66" s="86"/>
      <x:c r="D66" s="86"/>
      <x:c r="E66" s="86"/>
      <x:c r="F66" s="86"/>
      <x:c r="G66" s="86"/>
      <x:c r="H66" s="86"/>
      <x:c r="I66" s="86"/>
      <x:c r="J66" s="86"/>
      <x:c r="K66" s="86"/>
      <x:c r="L66" s="86"/>
      <x:c r="M66" s="86"/>
      <x:c r="N66" s="86"/>
      <x:c r="O66" s="86"/>
      <x:c r="P66" s="86"/>
      <x:c r="Q66" s="86"/>
      <x:c r="R66" s="86"/>
      <x:c r="S66" s="86"/>
      <x:c r="T66" s="86"/>
      <x:c r="U66" s="86"/>
      <x:c r="V66" s="86"/>
      <x:c r="W66" s="86"/>
      <x:c r="X66" s="86"/>
      <x:c r="Y66" s="86"/>
      <x:c r="Z66" s="86"/>
    </x:row>
    <x:row r="67">
      <x:c r="A67" s="86"/>
      <x:c r="B67" s="86"/>
      <x:c r="C67" s="86"/>
      <x:c r="D67" s="86"/>
      <x:c r="E67" s="86"/>
      <x:c r="F67" s="86"/>
      <x:c r="G67" s="86"/>
      <x:c r="H67" s="86"/>
      <x:c r="I67" s="86"/>
      <x:c r="J67" s="86"/>
      <x:c r="K67" s="86"/>
      <x:c r="L67" s="86"/>
      <x:c r="M67" s="86"/>
      <x:c r="N67" s="86"/>
      <x:c r="O67" s="86"/>
      <x:c r="P67" s="86"/>
      <x:c r="Q67" s="86"/>
      <x:c r="R67" s="86"/>
      <x:c r="S67" s="86"/>
      <x:c r="T67" s="86"/>
      <x:c r="U67" s="86"/>
      <x:c r="V67" s="86"/>
      <x:c r="W67" s="86"/>
      <x:c r="X67" s="86"/>
      <x:c r="Y67" s="86"/>
      <x:c r="Z67" s="86"/>
    </x:row>
    <x:row r="68">
      <x:c r="A68" s="86"/>
      <x:c r="B68" s="86"/>
      <x:c r="C68" s="86"/>
      <x:c r="D68" s="86"/>
      <x:c r="E68" s="86"/>
      <x:c r="F68" s="86"/>
      <x:c r="G68" s="86"/>
      <x:c r="H68" s="86"/>
      <x:c r="I68" s="86"/>
      <x:c r="J68" s="86"/>
      <x:c r="K68" s="86"/>
      <x:c r="L68" s="86"/>
      <x:c r="M68" s="86"/>
      <x:c r="N68" s="86"/>
      <x:c r="O68" s="86"/>
      <x:c r="P68" s="86"/>
      <x:c r="Q68" s="86"/>
      <x:c r="R68" s="86"/>
      <x:c r="S68" s="86"/>
      <x:c r="T68" s="86"/>
      <x:c r="U68" s="86"/>
      <x:c r="V68" s="86"/>
      <x:c r="W68" s="86"/>
      <x:c r="X68" s="86"/>
      <x:c r="Y68" s="86"/>
      <x:c r="Z68" s="86"/>
    </x:row>
    <x:row r="69">
      <x:c r="A69" s="86"/>
      <x:c r="B69" s="86"/>
      <x:c r="C69" s="86"/>
      <x:c r="D69" s="86"/>
      <x:c r="E69" s="86"/>
      <x:c r="F69" s="86"/>
      <x:c r="G69" s="86"/>
      <x:c r="H69" s="86"/>
      <x:c r="I69" s="86"/>
      <x:c r="J69" s="86"/>
      <x:c r="K69" s="86"/>
      <x:c r="L69" s="86"/>
      <x:c r="M69" s="86"/>
      <x:c r="N69" s="86"/>
      <x:c r="O69" s="86"/>
      <x:c r="P69" s="86"/>
      <x:c r="Q69" s="86"/>
      <x:c r="R69" s="86"/>
      <x:c r="S69" s="86"/>
      <x:c r="T69" s="86"/>
      <x:c r="U69" s="86"/>
      <x:c r="V69" s="86"/>
      <x:c r="W69" s="86"/>
      <x:c r="X69" s="86"/>
      <x:c r="Y69" s="86"/>
      <x:c r="Z69" s="86"/>
    </x:row>
    <x:row r="70">
      <x:c r="A70" s="86"/>
      <x:c r="B70" s="86"/>
      <x:c r="C70" s="86"/>
      <x:c r="D70" s="86"/>
      <x:c r="E70" s="86"/>
      <x:c r="F70" s="86"/>
      <x:c r="G70" s="86"/>
      <x:c r="H70" s="86"/>
      <x:c r="I70" s="86"/>
      <x:c r="J70" s="86"/>
      <x:c r="K70" s="86"/>
      <x:c r="L70" s="86"/>
      <x:c r="M70" s="86"/>
      <x:c r="N70" s="86"/>
      <x:c r="O70" s="86"/>
      <x:c r="P70" s="86"/>
      <x:c r="Q70" s="86"/>
      <x:c r="R70" s="86"/>
      <x:c r="S70" s="86"/>
      <x:c r="T70" s="86"/>
      <x:c r="U70" s="86"/>
      <x:c r="V70" s="86"/>
      <x:c r="W70" s="86"/>
      <x:c r="X70" s="86"/>
      <x:c r="Y70" s="86"/>
      <x:c r="Z70" s="86"/>
    </x:row>
    <x:row r="71">
      <x:c r="A71" s="86"/>
      <x:c r="B71" s="86"/>
      <x:c r="C71" s="86"/>
      <x:c r="D71" s="86"/>
      <x:c r="E71" s="86"/>
      <x:c r="F71" s="86"/>
      <x:c r="G71" s="86"/>
      <x:c r="H71" s="86"/>
      <x:c r="I71" s="86"/>
      <x:c r="J71" s="86"/>
      <x:c r="K71" s="86"/>
      <x:c r="L71" s="86"/>
      <x:c r="M71" s="86"/>
      <x:c r="N71" s="86"/>
      <x:c r="O71" s="86"/>
      <x:c r="P71" s="86"/>
      <x:c r="Q71" s="86"/>
      <x:c r="R71" s="86"/>
      <x:c r="S71" s="86"/>
      <x:c r="T71" s="86"/>
      <x:c r="U71" s="86"/>
      <x:c r="V71" s="86"/>
      <x:c r="W71" s="86"/>
      <x:c r="X71" s="86"/>
      <x:c r="Y71" s="86"/>
      <x:c r="Z71" s="86"/>
    </x:row>
    <x:row r="72">
      <x:c r="A72" s="86"/>
      <x:c r="B72" s="86"/>
      <x:c r="C72" s="86"/>
      <x:c r="D72" s="86"/>
      <x:c r="E72" s="86"/>
      <x:c r="F72" s="86"/>
      <x:c r="G72" s="86"/>
      <x:c r="H72" s="86"/>
      <x:c r="I72" s="86"/>
      <x:c r="J72" s="86"/>
      <x:c r="K72" s="86"/>
      <x:c r="L72" s="86"/>
      <x:c r="M72" s="86"/>
      <x:c r="N72" s="86"/>
      <x:c r="O72" s="86"/>
      <x:c r="P72" s="86"/>
      <x:c r="Q72" s="86"/>
      <x:c r="R72" s="86"/>
      <x:c r="S72" s="86"/>
      <x:c r="T72" s="86"/>
      <x:c r="U72" s="86"/>
      <x:c r="V72" s="86"/>
      <x:c r="W72" s="86"/>
      <x:c r="X72" s="86"/>
      <x:c r="Y72" s="86"/>
      <x:c r="Z72" s="86"/>
    </x:row>
    <x:row r="73">
      <x:c r="A73" s="86"/>
      <x:c r="B73" s="86"/>
      <x:c r="C73" s="86"/>
      <x:c r="D73" s="86"/>
      <x:c r="E73" s="86"/>
      <x:c r="F73" s="86"/>
      <x:c r="G73" s="86"/>
      <x:c r="H73" s="86"/>
      <x:c r="I73" s="86"/>
      <x:c r="J73" s="86"/>
      <x:c r="K73" s="86"/>
      <x:c r="L73" s="86"/>
      <x:c r="M73" s="86"/>
      <x:c r="N73" s="86"/>
      <x:c r="O73" s="86"/>
      <x:c r="P73" s="86"/>
      <x:c r="Q73" s="86"/>
      <x:c r="R73" s="86"/>
      <x:c r="S73" s="86"/>
      <x:c r="T73" s="86"/>
      <x:c r="U73" s="86"/>
      <x:c r="V73" s="86"/>
      <x:c r="W73" s="86"/>
      <x:c r="X73" s="86"/>
      <x:c r="Y73" s="86"/>
      <x:c r="Z73" s="86"/>
    </x:row>
    <x:row r="74">
      <x:c r="A74" s="86"/>
      <x:c r="B74" s="86"/>
      <x:c r="C74" s="86"/>
      <x:c r="D74" s="86"/>
      <x:c r="E74" s="86"/>
      <x:c r="F74" s="86"/>
      <x:c r="G74" s="86"/>
      <x:c r="H74" s="86"/>
      <x:c r="I74" s="86"/>
      <x:c r="J74" s="86"/>
      <x:c r="K74" s="86"/>
      <x:c r="L74" s="86"/>
      <x:c r="M74" s="86"/>
      <x:c r="N74" s="86"/>
      <x:c r="O74" s="86"/>
      <x:c r="P74" s="86"/>
      <x:c r="Q74" s="86"/>
      <x:c r="R74" s="86"/>
      <x:c r="S74" s="86"/>
      <x:c r="T74" s="86"/>
      <x:c r="U74" s="86"/>
      <x:c r="V74" s="86"/>
      <x:c r="W74" s="86"/>
      <x:c r="X74" s="86"/>
      <x:c r="Y74" s="86"/>
      <x:c r="Z74" s="86"/>
    </x:row>
    <x:row r="75">
      <x:c r="A75" s="86"/>
      <x:c r="B75" s="86"/>
      <x:c r="C75" s="86"/>
      <x:c r="D75" s="86"/>
      <x:c r="E75" s="86"/>
      <x:c r="F75" s="86"/>
      <x:c r="G75" s="86"/>
      <x:c r="H75" s="86"/>
      <x:c r="I75" s="86"/>
      <x:c r="J75" s="86"/>
      <x:c r="K75" s="86"/>
      <x:c r="L75" s="86"/>
      <x:c r="M75" s="86"/>
      <x:c r="N75" s="86"/>
      <x:c r="O75" s="86"/>
      <x:c r="P75" s="86"/>
      <x:c r="Q75" s="86"/>
      <x:c r="R75" s="86"/>
      <x:c r="S75" s="86"/>
      <x:c r="T75" s="86"/>
      <x:c r="U75" s="86"/>
      <x:c r="V75" s="86"/>
      <x:c r="W75" s="86"/>
      <x:c r="X75" s="86"/>
      <x:c r="Y75" s="86"/>
      <x:c r="Z75" s="86"/>
    </x:row>
    <x:row r="76">
      <x:c r="A76" s="86"/>
      <x:c r="B76" s="86"/>
      <x:c r="C76" s="86"/>
      <x:c r="D76" s="86"/>
      <x:c r="E76" s="86"/>
      <x:c r="F76" s="86"/>
      <x:c r="G76" s="86"/>
      <x:c r="H76" s="86"/>
      <x:c r="I76" s="86"/>
      <x:c r="J76" s="86"/>
      <x:c r="K76" s="86"/>
      <x:c r="L76" s="86"/>
      <x:c r="M76" s="86"/>
      <x:c r="N76" s="86"/>
      <x:c r="O76" s="86"/>
      <x:c r="P76" s="86"/>
      <x:c r="Q76" s="86"/>
      <x:c r="R76" s="86"/>
      <x:c r="S76" s="86"/>
      <x:c r="T76" s="86"/>
      <x:c r="U76" s="86"/>
      <x:c r="V76" s="86"/>
      <x:c r="W76" s="86"/>
      <x:c r="X76" s="86"/>
      <x:c r="Y76" s="86"/>
      <x:c r="Z76" s="86"/>
    </x:row>
    <x:row r="77">
      <x:c r="A77" s="86"/>
      <x:c r="B77" s="86"/>
      <x:c r="C77" s="86"/>
      <x:c r="D77" s="86"/>
      <x:c r="E77" s="86"/>
      <x:c r="F77" s="86"/>
      <x:c r="G77" s="86"/>
      <x:c r="H77" s="86"/>
      <x:c r="I77" s="86"/>
      <x:c r="J77" s="86"/>
      <x:c r="K77" s="86"/>
      <x:c r="L77" s="86"/>
      <x:c r="M77" s="86"/>
      <x:c r="N77" s="86"/>
      <x:c r="O77" s="86"/>
      <x:c r="P77" s="86"/>
      <x:c r="Q77" s="86"/>
      <x:c r="R77" s="86"/>
      <x:c r="S77" s="86"/>
      <x:c r="T77" s="86"/>
      <x:c r="U77" s="86"/>
      <x:c r="V77" s="86"/>
      <x:c r="W77" s="86"/>
      <x:c r="X77" s="86"/>
      <x:c r="Y77" s="86"/>
      <x:c r="Z77" s="86"/>
    </x:row>
    <x:row r="78">
      <x:c r="A78" s="86"/>
      <x:c r="B78" s="86"/>
      <x:c r="C78" s="86"/>
      <x:c r="D78" s="86"/>
      <x:c r="E78" s="86"/>
      <x:c r="F78" s="86"/>
      <x:c r="G78" s="86"/>
      <x:c r="H78" s="86"/>
      <x:c r="I78" s="86"/>
      <x:c r="J78" s="86"/>
      <x:c r="K78" s="86"/>
      <x:c r="L78" s="86"/>
      <x:c r="M78" s="86"/>
      <x:c r="N78" s="86"/>
      <x:c r="O78" s="86"/>
      <x:c r="P78" s="86"/>
      <x:c r="Q78" s="86"/>
      <x:c r="R78" s="86"/>
      <x:c r="S78" s="86"/>
      <x:c r="T78" s="86"/>
      <x:c r="U78" s="86"/>
      <x:c r="V78" s="86"/>
      <x:c r="W78" s="86"/>
      <x:c r="X78" s="86"/>
      <x:c r="Y78" s="86"/>
      <x:c r="Z78" s="86"/>
    </x:row>
    <x:row r="79">
      <x:c r="A79" s="86"/>
      <x:c r="B79" s="86"/>
      <x:c r="C79" s="86"/>
      <x:c r="D79" s="86"/>
      <x:c r="E79" s="86"/>
      <x:c r="F79" s="86"/>
      <x:c r="G79" s="86"/>
      <x:c r="H79" s="86"/>
      <x:c r="I79" s="86"/>
      <x:c r="J79" s="86"/>
      <x:c r="K79" s="86"/>
      <x:c r="L79" s="86"/>
      <x:c r="M79" s="86"/>
      <x:c r="N79" s="86"/>
      <x:c r="O79" s="86"/>
      <x:c r="P79" s="86"/>
      <x:c r="Q79" s="86"/>
      <x:c r="R79" s="86"/>
      <x:c r="S79" s="86"/>
      <x:c r="T79" s="86"/>
      <x:c r="U79" s="86"/>
      <x:c r="V79" s="86"/>
      <x:c r="W79" s="86"/>
      <x:c r="X79" s="86"/>
      <x:c r="Y79" s="86"/>
      <x:c r="Z79" s="86"/>
    </x:row>
    <x:row r="80">
      <x:c r="A80" s="86"/>
      <x:c r="B80" s="86"/>
      <x:c r="C80" s="86"/>
      <x:c r="D80" s="86"/>
      <x:c r="E80" s="86"/>
      <x:c r="F80" s="86"/>
      <x:c r="G80" s="86"/>
      <x:c r="H80" s="86"/>
      <x:c r="I80" s="86"/>
      <x:c r="J80" s="86"/>
      <x:c r="K80" s="86"/>
      <x:c r="L80" s="86"/>
      <x:c r="M80" s="86"/>
      <x:c r="N80" s="86"/>
      <x:c r="O80" s="86"/>
      <x:c r="P80" s="86"/>
      <x:c r="Q80" s="86"/>
      <x:c r="R80" s="86"/>
      <x:c r="S80" s="86"/>
      <x:c r="T80" s="86"/>
      <x:c r="U80" s="86"/>
      <x:c r="V80" s="86"/>
      <x:c r="W80" s="86"/>
      <x:c r="X80" s="86"/>
      <x:c r="Y80" s="86"/>
      <x:c r="Z80" s="86"/>
    </x:row>
    <x:row r="81">
      <x:c r="A81" s="86"/>
      <x:c r="B81" s="86"/>
      <x:c r="C81" s="86"/>
      <x:c r="D81" s="86"/>
      <x:c r="E81" s="86"/>
      <x:c r="F81" s="86"/>
      <x:c r="G81" s="86"/>
      <x:c r="H81" s="86"/>
      <x:c r="I81" s="86"/>
      <x:c r="J81" s="86"/>
      <x:c r="K81" s="86"/>
      <x:c r="L81" s="86"/>
      <x:c r="M81" s="86"/>
      <x:c r="N81" s="86"/>
      <x:c r="O81" s="86"/>
      <x:c r="P81" s="86"/>
      <x:c r="Q81" s="86"/>
      <x:c r="R81" s="86"/>
      <x:c r="S81" s="86"/>
      <x:c r="T81" s="86"/>
      <x:c r="U81" s="86"/>
      <x:c r="V81" s="86"/>
      <x:c r="W81" s="86"/>
      <x:c r="X81" s="86"/>
      <x:c r="Y81" s="86"/>
      <x:c r="Z81" s="86"/>
    </x:row>
    <x:row r="82">
      <x:c r="A82" s="86"/>
      <x:c r="B82" s="86"/>
      <x:c r="C82" s="86"/>
      <x:c r="D82" s="86"/>
      <x:c r="E82" s="86"/>
      <x:c r="F82" s="86"/>
      <x:c r="G82" s="86"/>
      <x:c r="H82" s="86"/>
      <x:c r="I82" s="86"/>
      <x:c r="J82" s="86"/>
      <x:c r="K82" s="86"/>
      <x:c r="L82" s="86"/>
      <x:c r="M82" s="86"/>
      <x:c r="N82" s="86"/>
      <x:c r="O82" s="86"/>
      <x:c r="P82" s="86"/>
      <x:c r="Q82" s="86"/>
      <x:c r="R82" s="86"/>
      <x:c r="S82" s="86"/>
      <x:c r="T82" s="86"/>
      <x:c r="U82" s="86"/>
      <x:c r="V82" s="86"/>
      <x:c r="W82" s="86"/>
      <x:c r="X82" s="86"/>
      <x:c r="Y82" s="86"/>
      <x:c r="Z82" s="86"/>
    </x:row>
    <x:row r="83">
      <x:c r="A83" s="86"/>
      <x:c r="B83" s="86"/>
      <x:c r="C83" s="86"/>
      <x:c r="D83" s="86"/>
      <x:c r="E83" s="86"/>
      <x:c r="F83" s="86"/>
      <x:c r="G83" s="86"/>
      <x:c r="H83" s="86"/>
      <x:c r="I83" s="86"/>
      <x:c r="J83" s="86"/>
      <x:c r="K83" s="86"/>
      <x:c r="L83" s="86"/>
      <x:c r="M83" s="86"/>
      <x:c r="N83" s="86"/>
      <x:c r="O83" s="86"/>
      <x:c r="P83" s="86"/>
      <x:c r="Q83" s="86"/>
      <x:c r="R83" s="86"/>
      <x:c r="S83" s="86"/>
      <x:c r="T83" s="86"/>
      <x:c r="U83" s="86"/>
      <x:c r="V83" s="86"/>
      <x:c r="W83" s="86"/>
      <x:c r="X83" s="86"/>
      <x:c r="Y83" s="86"/>
      <x:c r="Z83" s="86"/>
    </x:row>
    <x:row r="84">
      <x:c r="A84" s="86"/>
      <x:c r="B84" s="86"/>
      <x:c r="C84" s="86"/>
      <x:c r="D84" s="86"/>
      <x:c r="E84" s="86"/>
      <x:c r="F84" s="86"/>
      <x:c r="G84" s="86"/>
      <x:c r="H84" s="86"/>
      <x:c r="I84" s="86"/>
      <x:c r="J84" s="86"/>
      <x:c r="K84" s="86"/>
      <x:c r="L84" s="86"/>
      <x:c r="M84" s="86"/>
      <x:c r="N84" s="86"/>
      <x:c r="O84" s="86"/>
      <x:c r="P84" s="86"/>
      <x:c r="Q84" s="86"/>
      <x:c r="R84" s="86"/>
      <x:c r="S84" s="86"/>
      <x:c r="T84" s="86"/>
      <x:c r="U84" s="86"/>
      <x:c r="V84" s="86"/>
      <x:c r="W84" s="86"/>
      <x:c r="X84" s="86"/>
      <x:c r="Y84" s="86"/>
      <x:c r="Z84" s="86"/>
    </x:row>
    <x:row r="85">
      <x:c r="A85" s="86"/>
      <x:c r="B85" s="86"/>
      <x:c r="C85" s="86"/>
      <x:c r="D85" s="86"/>
      <x:c r="E85" s="86"/>
      <x:c r="F85" s="86"/>
      <x:c r="G85" s="86"/>
      <x:c r="H85" s="86"/>
      <x:c r="I85" s="86"/>
      <x:c r="J85" s="86"/>
      <x:c r="K85" s="86"/>
      <x:c r="L85" s="86"/>
      <x:c r="M85" s="86"/>
      <x:c r="N85" s="86"/>
      <x:c r="O85" s="86"/>
      <x:c r="P85" s="86"/>
      <x:c r="Q85" s="86"/>
      <x:c r="R85" s="86"/>
      <x:c r="S85" s="86"/>
      <x:c r="T85" s="86"/>
      <x:c r="U85" s="86"/>
      <x:c r="V85" s="86"/>
      <x:c r="W85" s="86"/>
      <x:c r="X85" s="86"/>
      <x:c r="Y85" s="86"/>
      <x:c r="Z85" s="86"/>
    </x:row>
    <x:row r="86">
      <x:c r="A86" s="86"/>
      <x:c r="B86" s="86"/>
      <x:c r="C86" s="86"/>
      <x:c r="D86" s="86"/>
      <x:c r="E86" s="86"/>
      <x:c r="F86" s="86"/>
      <x:c r="G86" s="86"/>
      <x:c r="H86" s="86"/>
      <x:c r="I86" s="86"/>
      <x:c r="J86" s="86"/>
      <x:c r="K86" s="86"/>
      <x:c r="L86" s="86"/>
      <x:c r="M86" s="86"/>
      <x:c r="N86" s="86"/>
      <x:c r="O86" s="86"/>
      <x:c r="P86" s="86"/>
      <x:c r="Q86" s="86"/>
      <x:c r="R86" s="86"/>
      <x:c r="S86" s="86"/>
      <x:c r="T86" s="86"/>
      <x:c r="U86" s="86"/>
      <x:c r="V86" s="86"/>
      <x:c r="W86" s="86"/>
      <x:c r="X86" s="86"/>
      <x:c r="Y86" s="86"/>
      <x:c r="Z86" s="86"/>
    </x:row>
    <x:row r="87">
      <x:c r="A87" s="86"/>
      <x:c r="B87" s="86"/>
      <x:c r="C87" s="86"/>
      <x:c r="D87" s="86"/>
      <x:c r="E87" s="86"/>
      <x:c r="F87" s="86"/>
      <x:c r="G87" s="86"/>
      <x:c r="H87" s="86"/>
      <x:c r="I87" s="86"/>
      <x:c r="J87" s="86"/>
      <x:c r="K87" s="86"/>
      <x:c r="L87" s="86"/>
      <x:c r="M87" s="86"/>
      <x:c r="N87" s="86"/>
      <x:c r="O87" s="86"/>
      <x:c r="P87" s="86"/>
      <x:c r="Q87" s="86"/>
      <x:c r="R87" s="86"/>
      <x:c r="S87" s="86"/>
      <x:c r="T87" s="86"/>
      <x:c r="U87" s="86"/>
      <x:c r="V87" s="86"/>
      <x:c r="W87" s="86"/>
      <x:c r="X87" s="86"/>
      <x:c r="Y87" s="86"/>
      <x:c r="Z87" s="86"/>
    </x:row>
    <x:row r="88">
      <x:c r="A88" s="86"/>
      <x:c r="B88" s="86"/>
      <x:c r="C88" s="86"/>
      <x:c r="D88" s="86"/>
      <x:c r="E88" s="86"/>
      <x:c r="F88" s="86"/>
      <x:c r="G88" s="86"/>
      <x:c r="H88" s="86"/>
      <x:c r="I88" s="86"/>
      <x:c r="J88" s="86"/>
      <x:c r="K88" s="86"/>
      <x:c r="L88" s="86"/>
      <x:c r="M88" s="86"/>
      <x:c r="N88" s="86"/>
      <x:c r="O88" s="86"/>
      <x:c r="P88" s="86"/>
      <x:c r="Q88" s="86"/>
      <x:c r="R88" s="86"/>
      <x:c r="S88" s="86"/>
      <x:c r="T88" s="86"/>
      <x:c r="U88" s="86"/>
      <x:c r="V88" s="86"/>
      <x:c r="W88" s="86"/>
      <x:c r="X88" s="86"/>
      <x:c r="Y88" s="86"/>
      <x:c r="Z88" s="86"/>
    </x:row>
    <x:row r="89">
      <x:c r="A89" s="86"/>
      <x:c r="B89" s="86"/>
      <x:c r="C89" s="86"/>
      <x:c r="D89" s="86"/>
      <x:c r="E89" s="86"/>
      <x:c r="F89" s="86"/>
      <x:c r="G89" s="86"/>
      <x:c r="H89" s="86"/>
      <x:c r="I89" s="86"/>
      <x:c r="J89" s="86"/>
      <x:c r="K89" s="86"/>
      <x:c r="L89" s="86"/>
      <x:c r="M89" s="86"/>
      <x:c r="N89" s="86"/>
      <x:c r="O89" s="86"/>
      <x:c r="P89" s="86"/>
      <x:c r="Q89" s="86"/>
      <x:c r="R89" s="86"/>
      <x:c r="S89" s="86"/>
      <x:c r="T89" s="86"/>
      <x:c r="U89" s="86"/>
      <x:c r="V89" s="86"/>
      <x:c r="W89" s="86"/>
      <x:c r="X89" s="86"/>
      <x:c r="Y89" s="86"/>
      <x:c r="Z89" s="86"/>
    </x:row>
    <x:row r="90">
      <x:c r="A90" s="86"/>
      <x:c r="B90" s="86"/>
      <x:c r="C90" s="86"/>
      <x:c r="D90" s="86"/>
      <x:c r="E90" s="86"/>
      <x:c r="F90" s="86"/>
      <x:c r="G90" s="86"/>
      <x:c r="H90" s="86"/>
      <x:c r="I90" s="86"/>
      <x:c r="J90" s="86"/>
      <x:c r="K90" s="86"/>
      <x:c r="L90" s="86"/>
      <x:c r="M90" s="86"/>
      <x:c r="N90" s="86"/>
      <x:c r="O90" s="86"/>
      <x:c r="P90" s="86"/>
      <x:c r="Q90" s="86"/>
      <x:c r="R90" s="86"/>
      <x:c r="S90" s="86"/>
      <x:c r="T90" s="86"/>
      <x:c r="U90" s="86"/>
      <x:c r="V90" s="86"/>
      <x:c r="W90" s="86"/>
      <x:c r="X90" s="86"/>
      <x:c r="Y90" s="86"/>
      <x:c r="Z90" s="86"/>
    </x:row>
    <x:row r="91">
      <x:c r="A91" s="86"/>
      <x:c r="B91" s="86"/>
      <x:c r="C91" s="86"/>
      <x:c r="D91" s="86"/>
      <x:c r="E91" s="86"/>
      <x:c r="F91" s="86"/>
      <x:c r="G91" s="86"/>
      <x:c r="H91" s="86"/>
      <x:c r="I91" s="86"/>
      <x:c r="J91" s="86"/>
      <x:c r="K91" s="86"/>
      <x:c r="L91" s="86"/>
      <x:c r="M91" s="86"/>
      <x:c r="N91" s="86"/>
      <x:c r="O91" s="86"/>
      <x:c r="P91" s="86"/>
      <x:c r="Q91" s="86"/>
      <x:c r="R91" s="86"/>
      <x:c r="S91" s="86"/>
      <x:c r="T91" s="86"/>
      <x:c r="U91" s="86"/>
      <x:c r="V91" s="86"/>
      <x:c r="W91" s="86"/>
      <x:c r="X91" s="86"/>
      <x:c r="Y91" s="86"/>
      <x:c r="Z91" s="86"/>
    </x:row>
    <x:row r="92">
      <x:c r="A92" s="86"/>
      <x:c r="B92" s="86"/>
      <x:c r="C92" s="86"/>
      <x:c r="D92" s="86"/>
      <x:c r="E92" s="86"/>
      <x:c r="F92" s="86"/>
      <x:c r="G92" s="86"/>
      <x:c r="H92" s="86"/>
      <x:c r="I92" s="86"/>
      <x:c r="J92" s="86"/>
      <x:c r="K92" s="86"/>
      <x:c r="L92" s="86"/>
      <x:c r="M92" s="86"/>
      <x:c r="N92" s="86"/>
      <x:c r="O92" s="86"/>
      <x:c r="P92" s="86"/>
      <x:c r="Q92" s="86"/>
      <x:c r="R92" s="86"/>
      <x:c r="S92" s="86"/>
      <x:c r="T92" s="86"/>
      <x:c r="U92" s="86"/>
      <x:c r="V92" s="86"/>
      <x:c r="W92" s="86"/>
      <x:c r="X92" s="86"/>
      <x:c r="Y92" s="86"/>
      <x:c r="Z92" s="86"/>
    </x:row>
    <x:row r="93">
      <x:c r="A93" s="86"/>
      <x:c r="B93" s="86"/>
      <x:c r="C93" s="86"/>
      <x:c r="D93" s="86"/>
      <x:c r="E93" s="86"/>
      <x:c r="F93" s="86"/>
      <x:c r="G93" s="86"/>
      <x:c r="H93" s="86"/>
      <x:c r="I93" s="86"/>
      <x:c r="J93" s="86"/>
      <x:c r="K93" s="86"/>
      <x:c r="L93" s="86"/>
      <x:c r="M93" s="86"/>
      <x:c r="N93" s="86"/>
      <x:c r="O93" s="86"/>
      <x:c r="P93" s="86"/>
      <x:c r="Q93" s="86"/>
      <x:c r="R93" s="86"/>
      <x:c r="S93" s="86"/>
      <x:c r="T93" s="86"/>
      <x:c r="U93" s="86"/>
      <x:c r="V93" s="86"/>
      <x:c r="W93" s="86"/>
      <x:c r="X93" s="86"/>
      <x:c r="Y93" s="86"/>
      <x:c r="Z93" s="86"/>
    </x:row>
    <x:row r="94">
      <x:c r="A94" s="86"/>
      <x:c r="B94" s="86"/>
      <x:c r="C94" s="86"/>
      <x:c r="D94" s="86"/>
      <x:c r="E94" s="86"/>
      <x:c r="F94" s="86"/>
      <x:c r="G94" s="86"/>
      <x:c r="H94" s="86"/>
      <x:c r="I94" s="86"/>
      <x:c r="J94" s="86"/>
      <x:c r="K94" s="86"/>
      <x:c r="L94" s="86"/>
      <x:c r="M94" s="86"/>
      <x:c r="N94" s="86"/>
      <x:c r="O94" s="86"/>
      <x:c r="P94" s="86"/>
      <x:c r="Q94" s="86"/>
      <x:c r="R94" s="86"/>
      <x:c r="S94" s="86"/>
      <x:c r="T94" s="86"/>
      <x:c r="U94" s="86"/>
      <x:c r="V94" s="86"/>
      <x:c r="W94" s="86"/>
      <x:c r="X94" s="86"/>
      <x:c r="Y94" s="86"/>
      <x:c r="Z94" s="86"/>
    </x:row>
    <x:row r="95">
      <x:c r="A95" s="86"/>
      <x:c r="B95" s="86"/>
      <x:c r="C95" s="86"/>
      <x:c r="D95" s="86"/>
      <x:c r="E95" s="86"/>
      <x:c r="F95" s="86"/>
      <x:c r="G95" s="86"/>
      <x:c r="H95" s="86"/>
      <x:c r="I95" s="86"/>
      <x:c r="J95" s="86"/>
      <x:c r="K95" s="86"/>
      <x:c r="L95" s="86"/>
      <x:c r="M95" s="86"/>
      <x:c r="N95" s="86"/>
      <x:c r="O95" s="86"/>
      <x:c r="P95" s="86"/>
      <x:c r="Q95" s="86"/>
      <x:c r="R95" s="86"/>
      <x:c r="S95" s="86"/>
      <x:c r="T95" s="86"/>
      <x:c r="U95" s="86"/>
      <x:c r="V95" s="86"/>
      <x:c r="W95" s="86"/>
      <x:c r="X95" s="86"/>
      <x:c r="Y95" s="86"/>
      <x:c r="Z95" s="86"/>
    </x:row>
    <x:row r="96">
      <x:c r="A96" s="86"/>
      <x:c r="B96" s="86"/>
      <x:c r="C96" s="86"/>
      <x:c r="D96" s="86"/>
      <x:c r="E96" s="86"/>
      <x:c r="F96" s="86"/>
      <x:c r="G96" s="86"/>
      <x:c r="H96" s="86"/>
      <x:c r="I96" s="86"/>
      <x:c r="J96" s="86"/>
      <x:c r="K96" s="86"/>
      <x:c r="L96" s="86"/>
      <x:c r="M96" s="86"/>
      <x:c r="N96" s="86"/>
      <x:c r="O96" s="86"/>
      <x:c r="P96" s="86"/>
      <x:c r="Q96" s="86"/>
      <x:c r="R96" s="86"/>
      <x:c r="S96" s="86"/>
      <x:c r="T96" s="86"/>
      <x:c r="U96" s="86"/>
      <x:c r="V96" s="86"/>
      <x:c r="W96" s="86"/>
      <x:c r="X96" s="86"/>
      <x:c r="Y96" s="86"/>
      <x:c r="Z96" s="86"/>
    </x:row>
    <x:row r="97">
      <x:c r="A97" s="86"/>
      <x:c r="B97" s="86"/>
      <x:c r="C97" s="86"/>
      <x:c r="D97" s="86"/>
      <x:c r="E97" s="86"/>
      <x:c r="F97" s="86"/>
      <x:c r="G97" s="86"/>
      <x:c r="H97" s="86"/>
      <x:c r="I97" s="86"/>
      <x:c r="J97" s="86"/>
      <x:c r="K97" s="86"/>
      <x:c r="L97" s="86"/>
      <x:c r="M97" s="86"/>
      <x:c r="N97" s="86"/>
      <x:c r="O97" s="86"/>
      <x:c r="P97" s="86"/>
      <x:c r="Q97" s="86"/>
      <x:c r="R97" s="86"/>
      <x:c r="S97" s="86"/>
      <x:c r="T97" s="86"/>
      <x:c r="U97" s="86"/>
      <x:c r="V97" s="86"/>
      <x:c r="W97" s="86"/>
      <x:c r="X97" s="86"/>
      <x:c r="Y97" s="86"/>
      <x:c r="Z97" s="86"/>
    </x:row>
    <x:row r="98">
      <x:c r="A98" s="86"/>
      <x:c r="B98" s="86"/>
      <x:c r="C98" s="86"/>
      <x:c r="D98" s="86"/>
      <x:c r="E98" s="86"/>
      <x:c r="F98" s="86"/>
      <x:c r="G98" s="86"/>
      <x:c r="H98" s="86"/>
      <x:c r="I98" s="86"/>
      <x:c r="J98" s="86"/>
      <x:c r="K98" s="86"/>
      <x:c r="L98" s="86"/>
      <x:c r="M98" s="86"/>
      <x:c r="N98" s="86"/>
      <x:c r="O98" s="86"/>
      <x:c r="P98" s="86"/>
      <x:c r="Q98" s="86"/>
      <x:c r="R98" s="86"/>
      <x:c r="S98" s="86"/>
      <x:c r="T98" s="86"/>
      <x:c r="U98" s="86"/>
      <x:c r="V98" s="86"/>
      <x:c r="W98" s="86"/>
      <x:c r="X98" s="86"/>
      <x:c r="Y98" s="86"/>
      <x:c r="Z98" s="86"/>
    </x:row>
    <x:row r="99">
      <x:c r="A99" s="86"/>
      <x:c r="B99" s="86"/>
      <x:c r="C99" s="86"/>
      <x:c r="D99" s="86"/>
      <x:c r="E99" s="86"/>
      <x:c r="F99" s="86"/>
      <x:c r="G99" s="86"/>
      <x:c r="H99" s="86"/>
      <x:c r="I99" s="86"/>
      <x:c r="J99" s="86"/>
      <x:c r="K99" s="86"/>
      <x:c r="L99" s="86"/>
      <x:c r="M99" s="86"/>
      <x:c r="N99" s="86"/>
      <x:c r="O99" s="86"/>
      <x:c r="P99" s="86"/>
      <x:c r="Q99" s="86"/>
      <x:c r="R99" s="86"/>
      <x:c r="S99" s="86"/>
      <x:c r="T99" s="86"/>
      <x:c r="U99" s="86"/>
      <x:c r="V99" s="86"/>
      <x:c r="W99" s="86"/>
      <x:c r="X99" s="86"/>
      <x:c r="Y99" s="86"/>
      <x:c r="Z99" s="86"/>
    </x:row>
    <x:row r="100">
      <x:c r="A100" s="86"/>
      <x:c r="B100" s="86"/>
      <x:c r="C100" s="86"/>
      <x:c r="D100" s="86"/>
      <x:c r="E100" s="86"/>
      <x:c r="F100" s="86"/>
      <x:c r="G100" s="86"/>
      <x:c r="H100" s="86"/>
      <x:c r="I100" s="86"/>
      <x:c r="J100" s="86"/>
      <x:c r="K100" s="86"/>
      <x:c r="L100" s="86"/>
      <x:c r="M100" s="86"/>
      <x:c r="N100" s="86"/>
      <x:c r="O100" s="86"/>
      <x:c r="P100" s="86"/>
      <x:c r="Q100" s="86"/>
      <x:c r="R100" s="86"/>
      <x:c r="S100" s="86"/>
      <x:c r="T100" s="86"/>
      <x:c r="U100" s="86"/>
      <x:c r="V100" s="86"/>
      <x:c r="W100" s="86"/>
      <x:c r="X100" s="86"/>
      <x:c r="Y100" s="86"/>
      <x:c r="Z100" s="86"/>
    </x:row>
    <x:row r="101">
      <x:c r="A101" s="86"/>
      <x:c r="B101" s="86"/>
      <x:c r="C101" s="86"/>
      <x:c r="D101" s="86"/>
      <x:c r="E101" s="86"/>
      <x:c r="F101" s="86"/>
      <x:c r="G101" s="86"/>
      <x:c r="H101" s="86"/>
      <x:c r="I101" s="86"/>
      <x:c r="J101" s="86"/>
      <x:c r="K101" s="86"/>
      <x:c r="L101" s="86"/>
      <x:c r="M101" s="86"/>
      <x:c r="N101" s="86"/>
      <x:c r="O101" s="86"/>
      <x:c r="P101" s="86"/>
      <x:c r="Q101" s="86"/>
      <x:c r="R101" s="86"/>
      <x:c r="S101" s="86"/>
      <x:c r="T101" s="86"/>
      <x:c r="U101" s="86"/>
      <x:c r="V101" s="86"/>
      <x:c r="W101" s="86"/>
      <x:c r="X101" s="86"/>
      <x:c r="Y101" s="86"/>
      <x:c r="Z101" s="86"/>
    </x:row>
    <x:row r="102">
      <x:c r="A102" s="86"/>
      <x:c r="B102" s="86"/>
      <x:c r="C102" s="86"/>
      <x:c r="D102" s="86"/>
      <x:c r="E102" s="86"/>
      <x:c r="F102" s="86"/>
      <x:c r="G102" s="86"/>
      <x:c r="H102" s="86"/>
      <x:c r="I102" s="86"/>
      <x:c r="J102" s="86"/>
      <x:c r="K102" s="86"/>
      <x:c r="L102" s="86"/>
      <x:c r="M102" s="86"/>
      <x:c r="N102" s="86"/>
      <x:c r="O102" s="86"/>
      <x:c r="P102" s="86"/>
      <x:c r="Q102" s="86"/>
      <x:c r="R102" s="86"/>
      <x:c r="S102" s="86"/>
      <x:c r="T102" s="86"/>
      <x:c r="U102" s="86"/>
      <x:c r="V102" s="86"/>
      <x:c r="W102" s="86"/>
      <x:c r="X102" s="86"/>
      <x:c r="Y102" s="86"/>
      <x:c r="Z102" s="86"/>
    </x:row>
    <x:row r="103">
      <x:c r="A103" s="86"/>
      <x:c r="B103" s="86"/>
      <x:c r="C103" s="86"/>
      <x:c r="D103" s="86"/>
      <x:c r="E103" s="86"/>
      <x:c r="F103" s="86"/>
      <x:c r="G103" s="86"/>
      <x:c r="H103" s="86"/>
      <x:c r="I103" s="86"/>
      <x:c r="J103" s="86"/>
      <x:c r="K103" s="86"/>
      <x:c r="L103" s="86"/>
      <x:c r="M103" s="86"/>
      <x:c r="N103" s="86"/>
      <x:c r="O103" s="86"/>
      <x:c r="P103" s="86"/>
      <x:c r="Q103" s="86"/>
      <x:c r="R103" s="86"/>
      <x:c r="S103" s="86"/>
      <x:c r="T103" s="86"/>
      <x:c r="U103" s="86"/>
      <x:c r="V103" s="86"/>
      <x:c r="W103" s="86"/>
      <x:c r="X103" s="86"/>
      <x:c r="Y103" s="86"/>
      <x:c r="Z103" s="86"/>
    </x:row>
    <x:row r="104">
      <x:c r="A104" s="86"/>
      <x:c r="B104" s="86"/>
      <x:c r="C104" s="86"/>
      <x:c r="D104" s="86"/>
      <x:c r="E104" s="86"/>
      <x:c r="F104" s="86"/>
      <x:c r="G104" s="86"/>
      <x:c r="H104" s="86"/>
      <x:c r="I104" s="86"/>
      <x:c r="J104" s="86"/>
      <x:c r="K104" s="86"/>
      <x:c r="L104" s="86"/>
      <x:c r="M104" s="86"/>
      <x:c r="N104" s="86"/>
      <x:c r="O104" s="86"/>
      <x:c r="P104" s="86"/>
      <x:c r="Q104" s="86"/>
      <x:c r="R104" s="86"/>
      <x:c r="S104" s="86"/>
      <x:c r="T104" s="86"/>
      <x:c r="U104" s="86"/>
      <x:c r="V104" s="86"/>
      <x:c r="W104" s="86"/>
      <x:c r="X104" s="86"/>
      <x:c r="Y104" s="86"/>
      <x:c r="Z104" s="86"/>
    </x:row>
    <x:row r="105">
      <x:c r="A105" s="86"/>
      <x:c r="B105" s="86"/>
      <x:c r="C105" s="86"/>
      <x:c r="D105" s="86"/>
      <x:c r="E105" s="86"/>
      <x:c r="F105" s="86"/>
      <x:c r="G105" s="86"/>
      <x:c r="H105" s="86"/>
      <x:c r="I105" s="86"/>
      <x:c r="J105" s="86"/>
      <x:c r="K105" s="86"/>
      <x:c r="L105" s="86"/>
      <x:c r="M105" s="86"/>
      <x:c r="N105" s="86"/>
      <x:c r="O105" s="86"/>
      <x:c r="P105" s="86"/>
      <x:c r="Q105" s="86"/>
      <x:c r="R105" s="86"/>
      <x:c r="S105" s="86"/>
      <x:c r="T105" s="86"/>
      <x:c r="U105" s="86"/>
      <x:c r="V105" s="86"/>
      <x:c r="W105" s="86"/>
      <x:c r="X105" s="86"/>
      <x:c r="Y105" s="86"/>
      <x:c r="Z105" s="86"/>
    </x:row>
    <x:row r="106">
      <x:c r="A106" s="86"/>
      <x:c r="B106" s="86"/>
      <x:c r="C106" s="86"/>
      <x:c r="D106" s="86"/>
      <x:c r="E106" s="86"/>
      <x:c r="F106" s="86"/>
      <x:c r="G106" s="86"/>
      <x:c r="H106" s="86"/>
      <x:c r="I106" s="86"/>
      <x:c r="J106" s="86"/>
      <x:c r="K106" s="86"/>
      <x:c r="L106" s="86"/>
      <x:c r="M106" s="86"/>
      <x:c r="N106" s="86"/>
      <x:c r="O106" s="86"/>
      <x:c r="P106" s="86"/>
      <x:c r="Q106" s="86"/>
      <x:c r="R106" s="86"/>
      <x:c r="S106" s="86"/>
      <x:c r="T106" s="86"/>
      <x:c r="U106" s="86"/>
      <x:c r="V106" s="86"/>
      <x:c r="W106" s="86"/>
      <x:c r="X106" s="86"/>
      <x:c r="Y106" s="86"/>
      <x:c r="Z106" s="86"/>
    </x:row>
    <x:row r="107">
      <x:c r="A107" s="86"/>
      <x:c r="B107" s="86"/>
      <x:c r="C107" s="86"/>
      <x:c r="D107" s="86"/>
      <x:c r="E107" s="86"/>
      <x:c r="F107" s="86"/>
      <x:c r="G107" s="86"/>
      <x:c r="H107" s="86"/>
      <x:c r="I107" s="86"/>
      <x:c r="J107" s="86"/>
      <x:c r="K107" s="86"/>
      <x:c r="L107" s="86"/>
      <x:c r="M107" s="86"/>
      <x:c r="N107" s="86"/>
      <x:c r="O107" s="86"/>
      <x:c r="P107" s="86"/>
      <x:c r="Q107" s="86"/>
      <x:c r="R107" s="86"/>
      <x:c r="S107" s="86"/>
      <x:c r="T107" s="86"/>
      <x:c r="U107" s="86"/>
      <x:c r="V107" s="86"/>
      <x:c r="W107" s="86"/>
      <x:c r="X107" s="86"/>
      <x:c r="Y107" s="86"/>
      <x:c r="Z107" s="86"/>
    </x:row>
    <x:row r="108">
      <x:c r="A108" s="86"/>
      <x:c r="B108" s="86"/>
      <x:c r="C108" s="86"/>
      <x:c r="D108" s="86"/>
      <x:c r="E108" s="86"/>
      <x:c r="F108" s="86"/>
      <x:c r="G108" s="86"/>
      <x:c r="H108" s="86"/>
      <x:c r="I108" s="86"/>
      <x:c r="J108" s="86"/>
      <x:c r="K108" s="86"/>
      <x:c r="L108" s="86"/>
      <x:c r="M108" s="86"/>
      <x:c r="N108" s="86"/>
      <x:c r="O108" s="86"/>
      <x:c r="P108" s="86"/>
      <x:c r="Q108" s="86"/>
      <x:c r="R108" s="86"/>
      <x:c r="S108" s="86"/>
      <x:c r="T108" s="86"/>
      <x:c r="U108" s="86"/>
      <x:c r="V108" s="86"/>
      <x:c r="W108" s="86"/>
      <x:c r="X108" s="86"/>
      <x:c r="Y108" s="86"/>
      <x:c r="Z108" s="86"/>
    </x:row>
    <x:row r="109">
      <x:c r="A109" s="86"/>
      <x:c r="B109" s="86"/>
      <x:c r="C109" s="86"/>
      <x:c r="D109" s="86"/>
      <x:c r="E109" s="86"/>
      <x:c r="F109" s="86"/>
      <x:c r="G109" s="86"/>
      <x:c r="H109" s="86"/>
      <x:c r="I109" s="86"/>
      <x:c r="J109" s="86"/>
      <x:c r="K109" s="86"/>
      <x:c r="L109" s="86"/>
      <x:c r="M109" s="86"/>
      <x:c r="N109" s="86"/>
      <x:c r="O109" s="86"/>
      <x:c r="P109" s="86"/>
      <x:c r="Q109" s="86"/>
      <x:c r="R109" s="86"/>
      <x:c r="S109" s="86"/>
      <x:c r="T109" s="86"/>
      <x:c r="U109" s="86"/>
      <x:c r="V109" s="86"/>
      <x:c r="W109" s="86"/>
      <x:c r="X109" s="86"/>
      <x:c r="Y109" s="86"/>
      <x:c r="Z109" s="86"/>
    </x:row>
    <x:row r="110">
      <x:c r="A110" s="86"/>
      <x:c r="B110" s="86"/>
      <x:c r="C110" s="86"/>
      <x:c r="D110" s="86"/>
      <x:c r="E110" s="86"/>
      <x:c r="F110" s="86"/>
      <x:c r="G110" s="86"/>
      <x:c r="H110" s="86"/>
      <x:c r="I110" s="86"/>
      <x:c r="J110" s="86"/>
      <x:c r="K110" s="86"/>
      <x:c r="L110" s="86"/>
      <x:c r="M110" s="86"/>
      <x:c r="N110" s="86"/>
      <x:c r="O110" s="86"/>
      <x:c r="P110" s="86"/>
      <x:c r="Q110" s="86"/>
      <x:c r="R110" s="86"/>
      <x:c r="S110" s="86"/>
      <x:c r="T110" s="86"/>
      <x:c r="U110" s="86"/>
      <x:c r="V110" s="86"/>
      <x:c r="W110" s="86"/>
      <x:c r="X110" s="86"/>
      <x:c r="Y110" s="86"/>
      <x:c r="Z110" s="86"/>
    </x:row>
    <x:row r="111">
      <x:c r="A111" s="86"/>
      <x:c r="B111" s="86"/>
      <x:c r="C111" s="86"/>
      <x:c r="D111" s="86"/>
      <x:c r="E111" s="86"/>
      <x:c r="F111" s="86"/>
      <x:c r="G111" s="86"/>
      <x:c r="H111" s="86"/>
      <x:c r="I111" s="86"/>
      <x:c r="J111" s="86"/>
      <x:c r="K111" s="86"/>
      <x:c r="L111" s="86"/>
      <x:c r="M111" s="86"/>
      <x:c r="N111" s="86"/>
      <x:c r="O111" s="86"/>
      <x:c r="P111" s="86"/>
      <x:c r="Q111" s="86"/>
      <x:c r="R111" s="86"/>
      <x:c r="S111" s="86"/>
      <x:c r="T111" s="86"/>
      <x:c r="U111" s="86"/>
      <x:c r="V111" s="86"/>
      <x:c r="W111" s="86"/>
      <x:c r="X111" s="86"/>
      <x:c r="Y111" s="86"/>
      <x:c r="Z111" s="86"/>
    </x:row>
    <x:row r="112">
      <x:c r="A112" s="86"/>
      <x:c r="B112" s="86"/>
      <x:c r="C112" s="86"/>
      <x:c r="D112" s="86"/>
      <x:c r="E112" s="86"/>
      <x:c r="F112" s="86"/>
      <x:c r="G112" s="86"/>
      <x:c r="H112" s="86"/>
      <x:c r="I112" s="86"/>
      <x:c r="J112" s="86"/>
      <x:c r="K112" s="86"/>
      <x:c r="L112" s="86"/>
      <x:c r="M112" s="86"/>
      <x:c r="N112" s="86"/>
      <x:c r="O112" s="86"/>
      <x:c r="P112" s="86"/>
      <x:c r="Q112" s="86"/>
      <x:c r="R112" s="86"/>
      <x:c r="S112" s="86"/>
      <x:c r="T112" s="86"/>
      <x:c r="U112" s="86"/>
      <x:c r="V112" s="86"/>
      <x:c r="W112" s="86"/>
      <x:c r="X112" s="86"/>
      <x:c r="Y112" s="86"/>
      <x:c r="Z112" s="86"/>
    </x:row>
    <x:row r="113">
      <x:c r="A113" s="86"/>
      <x:c r="B113" s="86"/>
      <x:c r="C113" s="86"/>
      <x:c r="D113" s="86"/>
      <x:c r="E113" s="86"/>
      <x:c r="F113" s="86"/>
      <x:c r="G113" s="86"/>
      <x:c r="H113" s="86"/>
      <x:c r="I113" s="86"/>
      <x:c r="J113" s="86"/>
      <x:c r="K113" s="86"/>
      <x:c r="L113" s="86"/>
      <x:c r="M113" s="86"/>
      <x:c r="N113" s="86"/>
      <x:c r="O113" s="86"/>
      <x:c r="P113" s="86"/>
      <x:c r="Q113" s="86"/>
      <x:c r="R113" s="86"/>
      <x:c r="S113" s="86"/>
      <x:c r="T113" s="86"/>
      <x:c r="U113" s="86"/>
      <x:c r="V113" s="86"/>
      <x:c r="W113" s="86"/>
      <x:c r="X113" s="86"/>
      <x:c r="Y113" s="86"/>
      <x:c r="Z113" s="86"/>
    </x:row>
    <x:row r="114">
      <x:c r="A114" s="86"/>
      <x:c r="B114" s="86"/>
      <x:c r="C114" s="86"/>
      <x:c r="D114" s="86"/>
      <x:c r="E114" s="86"/>
      <x:c r="F114" s="86"/>
      <x:c r="G114" s="86"/>
      <x:c r="H114" s="86"/>
      <x:c r="I114" s="86"/>
      <x:c r="J114" s="86"/>
      <x:c r="K114" s="86"/>
      <x:c r="L114" s="86"/>
      <x:c r="M114" s="86"/>
      <x:c r="N114" s="86"/>
      <x:c r="O114" s="86"/>
      <x:c r="P114" s="86"/>
      <x:c r="Q114" s="86"/>
      <x:c r="R114" s="86"/>
      <x:c r="S114" s="86"/>
      <x:c r="T114" s="86"/>
      <x:c r="U114" s="86"/>
      <x:c r="V114" s="86"/>
      <x:c r="W114" s="86"/>
      <x:c r="X114" s="86"/>
      <x:c r="Y114" s="86"/>
      <x:c r="Z114" s="86"/>
    </x:row>
    <x:row r="115">
      <x:c r="A115" s="86"/>
      <x:c r="B115" s="86"/>
      <x:c r="C115" s="86"/>
      <x:c r="D115" s="86"/>
      <x:c r="E115" s="86"/>
      <x:c r="F115" s="86"/>
      <x:c r="G115" s="86"/>
      <x:c r="H115" s="86"/>
      <x:c r="I115" s="86"/>
      <x:c r="J115" s="86"/>
      <x:c r="K115" s="86"/>
      <x:c r="L115" s="86"/>
      <x:c r="M115" s="86"/>
      <x:c r="N115" s="86"/>
      <x:c r="O115" s="86"/>
      <x:c r="P115" s="86"/>
      <x:c r="Q115" s="86"/>
      <x:c r="R115" s="86"/>
      <x:c r="S115" s="86"/>
      <x:c r="T115" s="86"/>
      <x:c r="U115" s="86"/>
      <x:c r="V115" s="86"/>
      <x:c r="W115" s="86"/>
      <x:c r="X115" s="86"/>
      <x:c r="Y115" s="86"/>
      <x:c r="Z115" s="86"/>
    </x:row>
    <x:row r="116">
      <x:c r="A116" s="86"/>
      <x:c r="B116" s="86"/>
      <x:c r="C116" s="86"/>
      <x:c r="D116" s="86"/>
      <x:c r="E116" s="86"/>
      <x:c r="F116" s="86"/>
      <x:c r="G116" s="86"/>
      <x:c r="H116" s="86"/>
      <x:c r="I116" s="86"/>
      <x:c r="J116" s="86"/>
      <x:c r="K116" s="86"/>
      <x:c r="L116" s="86"/>
      <x:c r="M116" s="86"/>
      <x:c r="N116" s="86"/>
      <x:c r="O116" s="86"/>
      <x:c r="P116" s="86"/>
      <x:c r="Q116" s="86"/>
      <x:c r="R116" s="86"/>
      <x:c r="S116" s="86"/>
      <x:c r="T116" s="86"/>
      <x:c r="U116" s="86"/>
      <x:c r="V116" s="86"/>
      <x:c r="W116" s="86"/>
      <x:c r="X116" s="86"/>
      <x:c r="Y116" s="86"/>
      <x:c r="Z116" s="86"/>
    </x:row>
    <x:row r="117">
      <x:c r="A117" s="86"/>
      <x:c r="B117" s="86"/>
      <x:c r="C117" s="86"/>
      <x:c r="D117" s="86"/>
      <x:c r="E117" s="86"/>
      <x:c r="F117" s="86"/>
      <x:c r="G117" s="86"/>
      <x:c r="H117" s="86"/>
      <x:c r="I117" s="86"/>
      <x:c r="J117" s="86"/>
      <x:c r="K117" s="86"/>
      <x:c r="L117" s="86"/>
      <x:c r="M117" s="86"/>
      <x:c r="N117" s="86"/>
      <x:c r="O117" s="86"/>
      <x:c r="P117" s="86"/>
      <x:c r="Q117" s="86"/>
      <x:c r="R117" s="86"/>
      <x:c r="S117" s="86"/>
      <x:c r="T117" s="86"/>
      <x:c r="U117" s="86"/>
      <x:c r="V117" s="86"/>
      <x:c r="W117" s="86"/>
      <x:c r="X117" s="86"/>
      <x:c r="Y117" s="86"/>
      <x:c r="Z117" s="86"/>
    </x:row>
    <x:row r="118">
      <x:c r="A118" s="86"/>
      <x:c r="B118" s="86"/>
      <x:c r="C118" s="86"/>
      <x:c r="D118" s="86"/>
      <x:c r="E118" s="86"/>
      <x:c r="F118" s="86"/>
      <x:c r="G118" s="86"/>
      <x:c r="H118" s="86"/>
      <x:c r="I118" s="86"/>
      <x:c r="J118" s="86"/>
      <x:c r="K118" s="86"/>
      <x:c r="L118" s="86"/>
      <x:c r="M118" s="86"/>
      <x:c r="N118" s="86"/>
      <x:c r="O118" s="86"/>
      <x:c r="P118" s="86"/>
      <x:c r="Q118" s="86"/>
      <x:c r="R118" s="86"/>
      <x:c r="S118" s="86"/>
      <x:c r="T118" s="86"/>
      <x:c r="U118" s="86"/>
      <x:c r="V118" s="86"/>
      <x:c r="W118" s="86"/>
      <x:c r="X118" s="86"/>
      <x:c r="Y118" s="86"/>
      <x:c r="Z118" s="86"/>
    </x:row>
    <x:row r="119">
      <x:c r="A119" s="86"/>
      <x:c r="B119" s="86"/>
      <x:c r="C119" s="86"/>
      <x:c r="D119" s="86"/>
      <x:c r="E119" s="86"/>
      <x:c r="F119" s="86"/>
      <x:c r="G119" s="86"/>
      <x:c r="H119" s="86"/>
      <x:c r="I119" s="86"/>
      <x:c r="J119" s="86"/>
      <x:c r="K119" s="86"/>
      <x:c r="L119" s="86"/>
      <x:c r="M119" s="86"/>
      <x:c r="N119" s="86"/>
      <x:c r="O119" s="86"/>
      <x:c r="P119" s="86"/>
      <x:c r="Q119" s="86"/>
      <x:c r="R119" s="86"/>
      <x:c r="S119" s="86"/>
      <x:c r="T119" s="86"/>
      <x:c r="U119" s="86"/>
      <x:c r="V119" s="86"/>
      <x:c r="W119" s="86"/>
      <x:c r="X119" s="86"/>
      <x:c r="Y119" s="86"/>
      <x:c r="Z119" s="86"/>
    </x:row>
    <x:row r="120">
      <x:c r="A120" s="86"/>
      <x:c r="B120" s="86"/>
      <x:c r="C120" s="86"/>
      <x:c r="D120" s="86"/>
      <x:c r="E120" s="86"/>
      <x:c r="F120" s="86"/>
      <x:c r="G120" s="86"/>
      <x:c r="H120" s="86"/>
      <x:c r="I120" s="86"/>
      <x:c r="J120" s="86"/>
      <x:c r="K120" s="86"/>
      <x:c r="L120" s="86"/>
      <x:c r="M120" s="86"/>
      <x:c r="N120" s="86"/>
      <x:c r="O120" s="86"/>
      <x:c r="P120" s="86"/>
      <x:c r="Q120" s="86"/>
      <x:c r="R120" s="86"/>
      <x:c r="S120" s="86"/>
      <x:c r="T120" s="86"/>
      <x:c r="U120" s="86"/>
      <x:c r="V120" s="86"/>
      <x:c r="W120" s="86"/>
      <x:c r="X120" s="86"/>
      <x:c r="Y120" s="86"/>
      <x:c r="Z120" s="86"/>
    </x:row>
    <x:row r="121">
      <x:c r="A121" s="86"/>
      <x:c r="B121" s="86"/>
      <x:c r="C121" s="86"/>
      <x:c r="D121" s="86"/>
      <x:c r="E121" s="86"/>
      <x:c r="F121" s="86"/>
      <x:c r="G121" s="86"/>
      <x:c r="H121" s="86"/>
      <x:c r="I121" s="86"/>
      <x:c r="J121" s="86"/>
      <x:c r="K121" s="86"/>
      <x:c r="L121" s="86"/>
      <x:c r="M121" s="86"/>
      <x:c r="N121" s="86"/>
      <x:c r="O121" s="86"/>
      <x:c r="P121" s="86"/>
      <x:c r="Q121" s="86"/>
      <x:c r="R121" s="86"/>
      <x:c r="S121" s="86"/>
      <x:c r="T121" s="86"/>
      <x:c r="U121" s="86"/>
      <x:c r="V121" s="86"/>
      <x:c r="W121" s="86"/>
      <x:c r="X121" s="86"/>
      <x:c r="Y121" s="86"/>
      <x:c r="Z121" s="86"/>
    </x:row>
    <x:row r="122">
      <x:c r="A122" s="86"/>
      <x:c r="B122" s="86"/>
      <x:c r="C122" s="86"/>
      <x:c r="D122" s="86"/>
      <x:c r="E122" s="86"/>
      <x:c r="F122" s="86"/>
      <x:c r="G122" s="86"/>
      <x:c r="H122" s="86"/>
      <x:c r="I122" s="86"/>
      <x:c r="J122" s="86"/>
      <x:c r="K122" s="86"/>
      <x:c r="L122" s="86"/>
      <x:c r="M122" s="86"/>
      <x:c r="N122" s="86"/>
      <x:c r="O122" s="86"/>
      <x:c r="P122" s="86"/>
      <x:c r="Q122" s="86"/>
      <x:c r="R122" s="86"/>
      <x:c r="S122" s="86"/>
      <x:c r="T122" s="86"/>
      <x:c r="U122" s="86"/>
      <x:c r="V122" s="86"/>
      <x:c r="W122" s="86"/>
      <x:c r="X122" s="86"/>
      <x:c r="Y122" s="86"/>
      <x:c r="Z122" s="86"/>
    </x:row>
    <x:row r="123">
      <x:c r="A123" s="86"/>
      <x:c r="B123" s="86"/>
      <x:c r="C123" s="86"/>
      <x:c r="D123" s="86"/>
      <x:c r="E123" s="86"/>
      <x:c r="F123" s="86"/>
      <x:c r="G123" s="86"/>
      <x:c r="H123" s="86"/>
      <x:c r="I123" s="86"/>
      <x:c r="J123" s="86"/>
      <x:c r="K123" s="86"/>
      <x:c r="L123" s="86"/>
      <x:c r="M123" s="86"/>
      <x:c r="N123" s="86"/>
      <x:c r="O123" s="86"/>
      <x:c r="P123" s="86"/>
      <x:c r="Q123" s="86"/>
      <x:c r="R123" s="86"/>
      <x:c r="S123" s="86"/>
      <x:c r="T123" s="86"/>
      <x:c r="U123" s="86"/>
      <x:c r="V123" s="86"/>
      <x:c r="W123" s="86"/>
      <x:c r="X123" s="86"/>
      <x:c r="Y123" s="86"/>
      <x:c r="Z123" s="86"/>
    </x:row>
    <x:row r="124">
      <x:c r="A124" s="86"/>
      <x:c r="B124" s="86"/>
      <x:c r="C124" s="86"/>
      <x:c r="D124" s="86"/>
      <x:c r="E124" s="86"/>
      <x:c r="F124" s="86"/>
      <x:c r="G124" s="86"/>
      <x:c r="H124" s="86"/>
      <x:c r="I124" s="86"/>
      <x:c r="J124" s="86"/>
      <x:c r="K124" s="86"/>
      <x:c r="L124" s="86"/>
      <x:c r="M124" s="86"/>
      <x:c r="N124" s="86"/>
      <x:c r="O124" s="86"/>
      <x:c r="P124" s="86"/>
      <x:c r="Q124" s="86"/>
      <x:c r="R124" s="86"/>
      <x:c r="S124" s="86"/>
      <x:c r="T124" s="86"/>
      <x:c r="U124" s="86"/>
      <x:c r="V124" s="86"/>
      <x:c r="W124" s="86"/>
      <x:c r="X124" s="86"/>
      <x:c r="Y124" s="86"/>
      <x:c r="Z124" s="86"/>
    </x:row>
    <x:row r="125">
      <x:c r="A125" s="86"/>
      <x:c r="B125" s="86"/>
      <x:c r="C125" s="86"/>
      <x:c r="D125" s="86"/>
      <x:c r="E125" s="86"/>
      <x:c r="F125" s="86"/>
      <x:c r="G125" s="86"/>
      <x:c r="H125" s="86"/>
      <x:c r="I125" s="86"/>
      <x:c r="J125" s="86"/>
      <x:c r="K125" s="86"/>
      <x:c r="L125" s="86"/>
      <x:c r="M125" s="86"/>
      <x:c r="N125" s="86"/>
      <x:c r="O125" s="86"/>
      <x:c r="P125" s="86"/>
      <x:c r="Q125" s="86"/>
      <x:c r="R125" s="86"/>
      <x:c r="S125" s="86"/>
      <x:c r="T125" s="86"/>
      <x:c r="U125" s="86"/>
      <x:c r="V125" s="86"/>
      <x:c r="W125" s="86"/>
      <x:c r="X125" s="86"/>
      <x:c r="Y125" s="86"/>
      <x:c r="Z125" s="86"/>
    </x:row>
    <x:row r="126">
      <x:c r="A126" s="86"/>
      <x:c r="B126" s="86"/>
      <x:c r="C126" s="86"/>
      <x:c r="D126" s="86"/>
      <x:c r="E126" s="86"/>
      <x:c r="F126" s="86"/>
      <x:c r="G126" s="86"/>
      <x:c r="H126" s="86"/>
      <x:c r="I126" s="86"/>
      <x:c r="J126" s="86"/>
      <x:c r="K126" s="86"/>
      <x:c r="L126" s="86"/>
      <x:c r="M126" s="86"/>
      <x:c r="N126" s="86"/>
      <x:c r="O126" s="86"/>
      <x:c r="P126" s="86"/>
      <x:c r="Q126" s="86"/>
      <x:c r="R126" s="86"/>
      <x:c r="S126" s="86"/>
      <x:c r="T126" s="86"/>
      <x:c r="U126" s="86"/>
      <x:c r="V126" s="86"/>
      <x:c r="W126" s="86"/>
      <x:c r="X126" s="86"/>
      <x:c r="Y126" s="86"/>
      <x:c r="Z126" s="86"/>
    </x:row>
    <x:row r="127">
      <x:c r="A127" s="86"/>
      <x:c r="B127" s="86"/>
      <x:c r="C127" s="86"/>
      <x:c r="D127" s="86"/>
      <x:c r="E127" s="86"/>
      <x:c r="F127" s="86"/>
      <x:c r="G127" s="86"/>
      <x:c r="H127" s="86"/>
      <x:c r="I127" s="86"/>
      <x:c r="J127" s="86"/>
      <x:c r="K127" s="86"/>
      <x:c r="L127" s="86"/>
      <x:c r="M127" s="86"/>
      <x:c r="N127" s="86"/>
      <x:c r="O127" s="86"/>
      <x:c r="P127" s="86"/>
      <x:c r="Q127" s="86"/>
      <x:c r="R127" s="86"/>
      <x:c r="S127" s="86"/>
      <x:c r="T127" s="86"/>
      <x:c r="U127" s="86"/>
      <x:c r="V127" s="86"/>
      <x:c r="W127" s="86"/>
      <x:c r="X127" s="86"/>
      <x:c r="Y127" s="86"/>
      <x:c r="Z127" s="86"/>
    </x:row>
    <x:row r="128">
      <x:c r="A128" s="86"/>
      <x:c r="B128" s="86"/>
      <x:c r="C128" s="86"/>
      <x:c r="D128" s="86"/>
      <x:c r="E128" s="86"/>
      <x:c r="F128" s="86"/>
      <x:c r="G128" s="86"/>
      <x:c r="H128" s="86"/>
      <x:c r="I128" s="86"/>
      <x:c r="J128" s="86"/>
      <x:c r="K128" s="86"/>
      <x:c r="L128" s="86"/>
      <x:c r="M128" s="86"/>
      <x:c r="N128" s="86"/>
      <x:c r="O128" s="86"/>
      <x:c r="P128" s="86"/>
      <x:c r="Q128" s="86"/>
      <x:c r="R128" s="86"/>
      <x:c r="S128" s="86"/>
      <x:c r="T128" s="86"/>
      <x:c r="U128" s="86"/>
      <x:c r="V128" s="86"/>
      <x:c r="W128" s="86"/>
      <x:c r="X128" s="86"/>
      <x:c r="Y128" s="86"/>
      <x:c r="Z128" s="86"/>
    </x:row>
    <x:row r="129">
      <x:c r="A129" s="86"/>
      <x:c r="B129" s="86"/>
      <x:c r="C129" s="86"/>
      <x:c r="D129" s="86"/>
      <x:c r="E129" s="86"/>
      <x:c r="F129" s="86"/>
      <x:c r="G129" s="86"/>
      <x:c r="H129" s="86"/>
      <x:c r="I129" s="86"/>
      <x:c r="J129" s="86"/>
      <x:c r="K129" s="86"/>
      <x:c r="L129" s="86"/>
      <x:c r="M129" s="86"/>
      <x:c r="N129" s="86"/>
      <x:c r="O129" s="86"/>
      <x:c r="P129" s="86"/>
      <x:c r="Q129" s="86"/>
      <x:c r="R129" s="86"/>
      <x:c r="S129" s="86"/>
      <x:c r="T129" s="86"/>
      <x:c r="U129" s="86"/>
      <x:c r="V129" s="86"/>
      <x:c r="W129" s="86"/>
      <x:c r="X129" s="86"/>
      <x:c r="Y129" s="86"/>
      <x:c r="Z129" s="86"/>
    </x:row>
    <x:row r="130">
      <x:c r="A130" s="86"/>
      <x:c r="B130" s="86"/>
      <x:c r="C130" s="86"/>
      <x:c r="D130" s="86"/>
      <x:c r="E130" s="86"/>
      <x:c r="F130" s="86"/>
      <x:c r="G130" s="86"/>
      <x:c r="H130" s="86"/>
      <x:c r="I130" s="86"/>
      <x:c r="J130" s="86"/>
      <x:c r="K130" s="86"/>
      <x:c r="L130" s="86"/>
      <x:c r="M130" s="86"/>
      <x:c r="N130" s="86"/>
      <x:c r="O130" s="86"/>
      <x:c r="P130" s="86"/>
      <x:c r="Q130" s="86"/>
      <x:c r="R130" s="86"/>
      <x:c r="S130" s="86"/>
      <x:c r="T130" s="86"/>
      <x:c r="U130" s="86"/>
      <x:c r="V130" s="86"/>
      <x:c r="W130" s="86"/>
      <x:c r="X130" s="86"/>
      <x:c r="Y130" s="86"/>
      <x:c r="Z130" s="86"/>
    </x:row>
    <x:row r="131">
      <x:c r="A131" s="86"/>
      <x:c r="B131" s="86"/>
      <x:c r="C131" s="86"/>
      <x:c r="D131" s="86"/>
      <x:c r="E131" s="86"/>
      <x:c r="F131" s="86"/>
      <x:c r="G131" s="86"/>
      <x:c r="H131" s="86"/>
      <x:c r="I131" s="86"/>
      <x:c r="J131" s="86"/>
      <x:c r="K131" s="86"/>
      <x:c r="L131" s="86"/>
      <x:c r="M131" s="86"/>
      <x:c r="N131" s="86"/>
      <x:c r="O131" s="86"/>
      <x:c r="P131" s="86"/>
      <x:c r="Q131" s="86"/>
      <x:c r="R131" s="86"/>
      <x:c r="S131" s="86"/>
      <x:c r="T131" s="86"/>
      <x:c r="U131" s="86"/>
      <x:c r="V131" s="86"/>
      <x:c r="W131" s="86"/>
      <x:c r="X131" s="86"/>
      <x:c r="Y131" s="86"/>
      <x:c r="Z131" s="86"/>
    </x:row>
    <x:row r="132">
      <x:c r="A132" s="86"/>
      <x:c r="B132" s="86"/>
      <x:c r="C132" s="86"/>
      <x:c r="D132" s="86"/>
      <x:c r="E132" s="86"/>
      <x:c r="F132" s="86"/>
      <x:c r="G132" s="86"/>
      <x:c r="H132" s="86"/>
      <x:c r="I132" s="86"/>
      <x:c r="J132" s="86"/>
      <x:c r="K132" s="86"/>
      <x:c r="L132" s="86"/>
      <x:c r="M132" s="86"/>
      <x:c r="N132" s="86"/>
      <x:c r="O132" s="86"/>
      <x:c r="P132" s="86"/>
      <x:c r="Q132" s="86"/>
      <x:c r="R132" s="86"/>
      <x:c r="S132" s="86"/>
      <x:c r="T132" s="86"/>
      <x:c r="U132" s="86"/>
      <x:c r="V132" s="86"/>
      <x:c r="W132" s="86"/>
      <x:c r="X132" s="86"/>
      <x:c r="Y132" s="86"/>
      <x:c r="Z132" s="86"/>
    </x:row>
    <x:row r="133">
      <x:c r="A133" s="86"/>
      <x:c r="B133" s="86"/>
      <x:c r="C133" s="86"/>
      <x:c r="D133" s="86"/>
      <x:c r="E133" s="86"/>
      <x:c r="F133" s="86"/>
      <x:c r="G133" s="86"/>
      <x:c r="H133" s="86"/>
      <x:c r="I133" s="86"/>
      <x:c r="J133" s="86"/>
      <x:c r="K133" s="86"/>
      <x:c r="L133" s="86"/>
      <x:c r="M133" s="86"/>
      <x:c r="N133" s="86"/>
      <x:c r="O133" s="86"/>
      <x:c r="P133" s="86"/>
      <x:c r="Q133" s="86"/>
      <x:c r="R133" s="86"/>
      <x:c r="S133" s="86"/>
      <x:c r="T133" s="86"/>
      <x:c r="U133" s="86"/>
      <x:c r="V133" s="86"/>
      <x:c r="W133" s="86"/>
      <x:c r="X133" s="86"/>
      <x:c r="Y133" s="86"/>
      <x:c r="Z133" s="86"/>
    </x:row>
    <x:row r="134">
      <x:c r="A134" s="86"/>
      <x:c r="B134" s="86"/>
      <x:c r="C134" s="86"/>
      <x:c r="D134" s="86"/>
      <x:c r="E134" s="86"/>
      <x:c r="F134" s="86"/>
      <x:c r="G134" s="86"/>
      <x:c r="H134" s="86"/>
      <x:c r="I134" s="86"/>
      <x:c r="J134" s="86"/>
      <x:c r="K134" s="86"/>
      <x:c r="L134" s="86"/>
      <x:c r="M134" s="86"/>
      <x:c r="N134" s="86"/>
      <x:c r="O134" s="86"/>
      <x:c r="P134" s="86"/>
      <x:c r="Q134" s="86"/>
      <x:c r="R134" s="86"/>
      <x:c r="S134" s="86"/>
      <x:c r="T134" s="86"/>
      <x:c r="U134" s="86"/>
      <x:c r="V134" s="86"/>
      <x:c r="W134" s="86"/>
      <x:c r="X134" s="86"/>
      <x:c r="Y134" s="86"/>
      <x:c r="Z134" s="86"/>
    </x:row>
    <x:row r="135">
      <x:c r="A135" s="86"/>
      <x:c r="B135" s="86"/>
      <x:c r="C135" s="86"/>
      <x:c r="D135" s="86"/>
      <x:c r="E135" s="86"/>
      <x:c r="F135" s="86"/>
      <x:c r="G135" s="86"/>
      <x:c r="H135" s="86"/>
      <x:c r="I135" s="86"/>
      <x:c r="J135" s="86"/>
      <x:c r="K135" s="86"/>
      <x:c r="L135" s="86"/>
      <x:c r="M135" s="86"/>
      <x:c r="N135" s="86"/>
      <x:c r="O135" s="86"/>
      <x:c r="P135" s="86"/>
      <x:c r="Q135" s="86"/>
      <x:c r="R135" s="86"/>
      <x:c r="S135" s="86"/>
      <x:c r="T135" s="86"/>
      <x:c r="U135" s="86"/>
      <x:c r="V135" s="86"/>
      <x:c r="W135" s="86"/>
      <x:c r="X135" s="86"/>
      <x:c r="Y135" s="86"/>
      <x:c r="Z135" s="86"/>
    </x:row>
    <x:row r="136">
      <x:c r="A136" s="86"/>
      <x:c r="B136" s="86"/>
      <x:c r="C136" s="86"/>
      <x:c r="D136" s="86"/>
      <x:c r="E136" s="86"/>
      <x:c r="F136" s="86"/>
      <x:c r="G136" s="86"/>
      <x:c r="H136" s="86"/>
      <x:c r="I136" s="86"/>
      <x:c r="J136" s="86"/>
      <x:c r="K136" s="86"/>
      <x:c r="L136" s="86"/>
      <x:c r="M136" s="86"/>
      <x:c r="N136" s="86"/>
      <x:c r="O136" s="86"/>
      <x:c r="P136" s="86"/>
      <x:c r="Q136" s="86"/>
      <x:c r="R136" s="86"/>
      <x:c r="S136" s="86"/>
      <x:c r="T136" s="86"/>
      <x:c r="U136" s="86"/>
      <x:c r="V136" s="86"/>
      <x:c r="W136" s="86"/>
      <x:c r="X136" s="86"/>
      <x:c r="Y136" s="86"/>
      <x:c r="Z136" s="86"/>
    </x:row>
    <x:row r="137">
      <x:c r="A137" s="86"/>
      <x:c r="B137" s="86"/>
      <x:c r="C137" s="86"/>
      <x:c r="D137" s="86"/>
      <x:c r="E137" s="86"/>
      <x:c r="F137" s="86"/>
      <x:c r="G137" s="86"/>
      <x:c r="H137" s="86"/>
      <x:c r="I137" s="86"/>
      <x:c r="J137" s="86"/>
      <x:c r="K137" s="86"/>
      <x:c r="L137" s="86"/>
      <x:c r="M137" s="86"/>
      <x:c r="N137" s="86"/>
      <x:c r="O137" s="86"/>
      <x:c r="P137" s="86"/>
      <x:c r="Q137" s="86"/>
      <x:c r="R137" s="86"/>
      <x:c r="S137" s="86"/>
      <x:c r="T137" s="86"/>
      <x:c r="U137" s="86"/>
      <x:c r="V137" s="86"/>
      <x:c r="W137" s="86"/>
      <x:c r="X137" s="86"/>
      <x:c r="Y137" s="86"/>
      <x:c r="Z137" s="86"/>
    </x:row>
    <x:row r="138">
      <x:c r="A138" s="86"/>
      <x:c r="B138" s="86"/>
      <x:c r="C138" s="86"/>
      <x:c r="D138" s="86"/>
      <x:c r="E138" s="86"/>
      <x:c r="F138" s="86"/>
      <x:c r="G138" s="86"/>
      <x:c r="H138" s="86"/>
      <x:c r="I138" s="86"/>
      <x:c r="J138" s="86"/>
      <x:c r="K138" s="86"/>
      <x:c r="L138" s="86"/>
      <x:c r="M138" s="86"/>
      <x:c r="N138" s="86"/>
      <x:c r="O138" s="86"/>
      <x:c r="P138" s="86"/>
      <x:c r="Q138" s="86"/>
      <x:c r="R138" s="86"/>
      <x:c r="S138" s="86"/>
      <x:c r="T138" s="86"/>
      <x:c r="U138" s="86"/>
      <x:c r="V138" s="86"/>
      <x:c r="W138" s="86"/>
      <x:c r="X138" s="86"/>
      <x:c r="Y138" s="86"/>
      <x:c r="Z138" s="86"/>
    </x:row>
    <x:row r="139">
      <x:c r="A139" s="86"/>
      <x:c r="B139" s="86"/>
      <x:c r="C139" s="86"/>
      <x:c r="D139" s="86"/>
      <x:c r="E139" s="86"/>
      <x:c r="F139" s="86"/>
      <x:c r="G139" s="86"/>
      <x:c r="H139" s="86"/>
      <x:c r="I139" s="86"/>
      <x:c r="J139" s="86"/>
      <x:c r="K139" s="86"/>
      <x:c r="L139" s="86"/>
      <x:c r="M139" s="86"/>
      <x:c r="N139" s="86"/>
      <x:c r="O139" s="86"/>
      <x:c r="P139" s="86"/>
      <x:c r="Q139" s="86"/>
      <x:c r="R139" s="86"/>
      <x:c r="S139" s="86"/>
      <x:c r="T139" s="86"/>
      <x:c r="U139" s="86"/>
      <x:c r="V139" s="86"/>
      <x:c r="W139" s="86"/>
      <x:c r="X139" s="86"/>
      <x:c r="Y139" s="86"/>
      <x:c r="Z139" s="86"/>
    </x:row>
    <x:row r="140">
      <x:c r="A140" s="86"/>
      <x:c r="B140" s="86"/>
      <x:c r="C140" s="86"/>
      <x:c r="D140" s="86"/>
      <x:c r="E140" s="86"/>
      <x:c r="F140" s="86"/>
      <x:c r="G140" s="86"/>
      <x:c r="H140" s="86"/>
      <x:c r="I140" s="86"/>
      <x:c r="J140" s="86"/>
      <x:c r="K140" s="86"/>
      <x:c r="L140" s="86"/>
      <x:c r="M140" s="86"/>
      <x:c r="N140" s="86"/>
      <x:c r="O140" s="86"/>
      <x:c r="P140" s="86"/>
      <x:c r="Q140" s="86"/>
      <x:c r="R140" s="86"/>
      <x:c r="S140" s="86"/>
      <x:c r="T140" s="86"/>
      <x:c r="U140" s="86"/>
      <x:c r="V140" s="86"/>
      <x:c r="W140" s="86"/>
      <x:c r="X140" s="86"/>
      <x:c r="Y140" s="86"/>
      <x:c r="Z140" s="86"/>
    </x:row>
    <x:row r="141">
      <x:c r="A141" s="86"/>
      <x:c r="B141" s="86"/>
      <x:c r="C141" s="86"/>
      <x:c r="D141" s="86"/>
      <x:c r="E141" s="86"/>
      <x:c r="F141" s="86"/>
      <x:c r="G141" s="86"/>
      <x:c r="H141" s="86"/>
      <x:c r="I141" s="86"/>
      <x:c r="J141" s="86"/>
      <x:c r="K141" s="86"/>
      <x:c r="L141" s="86"/>
      <x:c r="M141" s="86"/>
      <x:c r="N141" s="86"/>
      <x:c r="O141" s="86"/>
      <x:c r="P141" s="86"/>
      <x:c r="Q141" s="86"/>
      <x:c r="R141" s="86"/>
      <x:c r="S141" s="86"/>
      <x:c r="T141" s="86"/>
      <x:c r="U141" s="86"/>
      <x:c r="V141" s="86"/>
      <x:c r="W141" s="86"/>
      <x:c r="X141" s="86"/>
      <x:c r="Y141" s="86"/>
      <x:c r="Z141" s="86"/>
    </x:row>
    <x:row r="142">
      <x:c r="A142" s="86"/>
      <x:c r="B142" s="86"/>
      <x:c r="C142" s="86"/>
      <x:c r="D142" s="86"/>
      <x:c r="E142" s="86"/>
      <x:c r="F142" s="86"/>
      <x:c r="G142" s="86"/>
      <x:c r="H142" s="86"/>
      <x:c r="I142" s="86"/>
      <x:c r="J142" s="86"/>
      <x:c r="K142" s="86"/>
      <x:c r="L142" s="86"/>
      <x:c r="M142" s="86"/>
      <x:c r="N142" s="86"/>
      <x:c r="O142" s="86"/>
      <x:c r="P142" s="86"/>
      <x:c r="Q142" s="86"/>
      <x:c r="R142" s="86"/>
      <x:c r="S142" s="86"/>
      <x:c r="T142" s="86"/>
      <x:c r="U142" s="86"/>
      <x:c r="V142" s="86"/>
      <x:c r="W142" s="86"/>
      <x:c r="X142" s="86"/>
      <x:c r="Y142" s="86"/>
      <x:c r="Z142" s="86"/>
    </x:row>
    <x:row r="143">
      <x:c r="A143" s="86"/>
      <x:c r="B143" s="86"/>
      <x:c r="C143" s="86"/>
      <x:c r="D143" s="86"/>
      <x:c r="E143" s="86"/>
      <x:c r="F143" s="86"/>
      <x:c r="G143" s="86"/>
      <x:c r="H143" s="86"/>
      <x:c r="I143" s="86"/>
      <x:c r="J143" s="86"/>
      <x:c r="K143" s="86"/>
      <x:c r="L143" s="86"/>
      <x:c r="M143" s="86"/>
      <x:c r="N143" s="86"/>
      <x:c r="O143" s="86"/>
      <x:c r="P143" s="86"/>
      <x:c r="Q143" s="86"/>
      <x:c r="R143" s="86"/>
      <x:c r="S143" s="86"/>
      <x:c r="T143" s="86"/>
      <x:c r="U143" s="86"/>
      <x:c r="V143" s="86"/>
      <x:c r="W143" s="86"/>
      <x:c r="X143" s="86"/>
      <x:c r="Y143" s="86"/>
      <x:c r="Z143" s="86"/>
    </x:row>
    <x:row r="144">
      <x:c r="A144" s="86"/>
      <x:c r="B144" s="86"/>
      <x:c r="C144" s="86"/>
      <x:c r="D144" s="86"/>
      <x:c r="E144" s="86"/>
      <x:c r="F144" s="86"/>
      <x:c r="G144" s="86"/>
      <x:c r="H144" s="86"/>
      <x:c r="I144" s="86"/>
      <x:c r="J144" s="86"/>
      <x:c r="K144" s="86"/>
      <x:c r="L144" s="86"/>
      <x:c r="M144" s="86"/>
      <x:c r="N144" s="86"/>
      <x:c r="O144" s="86"/>
      <x:c r="P144" s="86"/>
      <x:c r="Q144" s="86"/>
      <x:c r="R144" s="86"/>
      <x:c r="S144" s="86"/>
      <x:c r="T144" s="86"/>
      <x:c r="U144" s="86"/>
      <x:c r="V144" s="86"/>
      <x:c r="W144" s="86"/>
      <x:c r="X144" s="86"/>
      <x:c r="Y144" s="86"/>
      <x:c r="Z144" s="86"/>
    </x:row>
    <x:row r="145">
      <x:c r="A145" s="86"/>
      <x:c r="B145" s="86"/>
      <x:c r="C145" s="86"/>
      <x:c r="D145" s="86"/>
      <x:c r="E145" s="86"/>
      <x:c r="F145" s="86"/>
      <x:c r="G145" s="86"/>
      <x:c r="H145" s="86"/>
      <x:c r="I145" s="86"/>
      <x:c r="J145" s="86"/>
      <x:c r="K145" s="86"/>
      <x:c r="L145" s="86"/>
      <x:c r="M145" s="86"/>
      <x:c r="N145" s="86"/>
      <x:c r="O145" s="86"/>
      <x:c r="P145" s="86"/>
      <x:c r="Q145" s="86"/>
      <x:c r="R145" s="86"/>
      <x:c r="S145" s="86"/>
      <x:c r="T145" s="86"/>
      <x:c r="U145" s="86"/>
      <x:c r="V145" s="86"/>
      <x:c r="W145" s="86"/>
      <x:c r="X145" s="86"/>
      <x:c r="Y145" s="86"/>
      <x:c r="Z145" s="86"/>
    </x:row>
    <x:row r="146">
      <x:c r="A146" s="86"/>
      <x:c r="B146" s="86"/>
      <x:c r="C146" s="86"/>
      <x:c r="D146" s="86"/>
      <x:c r="E146" s="86"/>
      <x:c r="F146" s="86"/>
      <x:c r="G146" s="86"/>
      <x:c r="H146" s="86"/>
      <x:c r="I146" s="86"/>
      <x:c r="J146" s="86"/>
      <x:c r="K146" s="86"/>
      <x:c r="L146" s="86"/>
      <x:c r="M146" s="86"/>
      <x:c r="N146" s="86"/>
      <x:c r="O146" s="86"/>
      <x:c r="P146" s="86"/>
      <x:c r="Q146" s="86"/>
      <x:c r="R146" s="86"/>
      <x:c r="S146" s="86"/>
      <x:c r="T146" s="86"/>
      <x:c r="U146" s="86"/>
      <x:c r="V146" s="86"/>
      <x:c r="W146" s="86"/>
      <x:c r="X146" s="86"/>
      <x:c r="Y146" s="86"/>
      <x:c r="Z146" s="86"/>
    </x:row>
    <x:row r="147">
      <x:c r="A147" s="86"/>
      <x:c r="B147" s="86"/>
      <x:c r="C147" s="86"/>
      <x:c r="D147" s="86"/>
      <x:c r="E147" s="86"/>
      <x:c r="F147" s="86"/>
      <x:c r="G147" s="86"/>
      <x:c r="H147" s="86"/>
      <x:c r="I147" s="86"/>
      <x:c r="J147" s="86"/>
      <x:c r="K147" s="86"/>
      <x:c r="L147" s="86"/>
      <x:c r="M147" s="86"/>
      <x:c r="N147" s="86"/>
      <x:c r="O147" s="86"/>
      <x:c r="P147" s="86"/>
      <x:c r="Q147" s="86"/>
      <x:c r="R147" s="86"/>
      <x:c r="S147" s="86"/>
      <x:c r="T147" s="86"/>
      <x:c r="U147" s="86"/>
      <x:c r="V147" s="86"/>
      <x:c r="W147" s="86"/>
      <x:c r="X147" s="86"/>
      <x:c r="Y147" s="86"/>
      <x:c r="Z147" s="86"/>
    </x:row>
    <x:row r="148">
      <x:c r="A148" s="86"/>
      <x:c r="B148" s="86"/>
      <x:c r="C148" s="86"/>
      <x:c r="D148" s="86"/>
      <x:c r="E148" s="86"/>
      <x:c r="F148" s="86"/>
      <x:c r="G148" s="86"/>
      <x:c r="H148" s="86"/>
      <x:c r="I148" s="86"/>
      <x:c r="J148" s="86"/>
      <x:c r="K148" s="86"/>
      <x:c r="L148" s="86"/>
      <x:c r="M148" s="86"/>
      <x:c r="N148" s="86"/>
      <x:c r="O148" s="86"/>
      <x:c r="P148" s="86"/>
      <x:c r="Q148" s="86"/>
      <x:c r="R148" s="86"/>
      <x:c r="S148" s="86"/>
      <x:c r="T148" s="86"/>
      <x:c r="U148" s="86"/>
      <x:c r="V148" s="86"/>
      <x:c r="W148" s="86"/>
      <x:c r="X148" s="86"/>
      <x:c r="Y148" s="86"/>
      <x:c r="Z148" s="86"/>
    </x:row>
    <x:row r="149">
      <x:c r="A149" s="86"/>
      <x:c r="B149" s="86"/>
      <x:c r="C149" s="86"/>
      <x:c r="D149" s="86"/>
      <x:c r="E149" s="86"/>
      <x:c r="F149" s="86"/>
      <x:c r="G149" s="86"/>
      <x:c r="H149" s="86"/>
      <x:c r="I149" s="86"/>
      <x:c r="J149" s="86"/>
      <x:c r="K149" s="86"/>
      <x:c r="L149" s="86"/>
      <x:c r="M149" s="86"/>
      <x:c r="N149" s="86"/>
      <x:c r="O149" s="86"/>
      <x:c r="P149" s="86"/>
      <x:c r="Q149" s="86"/>
      <x:c r="R149" s="86"/>
      <x:c r="S149" s="86"/>
      <x:c r="T149" s="86"/>
      <x:c r="U149" s="86"/>
      <x:c r="V149" s="86"/>
      <x:c r="W149" s="86"/>
      <x:c r="X149" s="86"/>
      <x:c r="Y149" s="86"/>
      <x:c r="Z149" s="86"/>
    </x:row>
    <x:row r="150">
      <x:c r="A150" s="86"/>
      <x:c r="B150" s="86"/>
      <x:c r="C150" s="86"/>
      <x:c r="D150" s="86"/>
      <x:c r="E150" s="86"/>
      <x:c r="F150" s="86"/>
      <x:c r="G150" s="86"/>
      <x:c r="H150" s="86"/>
      <x:c r="I150" s="86"/>
      <x:c r="J150" s="86"/>
      <x:c r="K150" s="86"/>
      <x:c r="L150" s="86"/>
      <x:c r="M150" s="86"/>
      <x:c r="N150" s="86"/>
      <x:c r="O150" s="86"/>
      <x:c r="P150" s="86"/>
      <x:c r="Q150" s="86"/>
      <x:c r="R150" s="86"/>
      <x:c r="S150" s="86"/>
      <x:c r="T150" s="86"/>
      <x:c r="U150" s="86"/>
      <x:c r="V150" s="86"/>
      <x:c r="W150" s="86"/>
      <x:c r="X150" s="86"/>
      <x:c r="Y150" s="86"/>
      <x:c r="Z150" s="86"/>
    </x:row>
    <x:row r="151">
      <x:c r="A151" s="86"/>
      <x:c r="B151" s="86"/>
      <x:c r="C151" s="86"/>
      <x:c r="D151" s="86"/>
      <x:c r="E151" s="86"/>
      <x:c r="F151" s="86"/>
      <x:c r="G151" s="86"/>
      <x:c r="H151" s="86"/>
      <x:c r="I151" s="86"/>
      <x:c r="J151" s="86"/>
      <x:c r="K151" s="86"/>
      <x:c r="L151" s="86"/>
      <x:c r="M151" s="86"/>
      <x:c r="N151" s="86"/>
      <x:c r="O151" s="86"/>
      <x:c r="P151" s="86"/>
      <x:c r="Q151" s="86"/>
      <x:c r="R151" s="86"/>
      <x:c r="S151" s="86"/>
      <x:c r="T151" s="86"/>
      <x:c r="U151" s="86"/>
      <x:c r="V151" s="86"/>
      <x:c r="W151" s="86"/>
      <x:c r="X151" s="86"/>
      <x:c r="Y151" s="86"/>
      <x:c r="Z151" s="86"/>
    </x:row>
    <x:row r="152">
      <x:c r="A152" s="86"/>
      <x:c r="B152" s="86"/>
      <x:c r="C152" s="86"/>
      <x:c r="D152" s="86"/>
      <x:c r="E152" s="86"/>
      <x:c r="F152" s="86"/>
      <x:c r="G152" s="86"/>
      <x:c r="H152" s="86"/>
      <x:c r="I152" s="86"/>
      <x:c r="J152" s="86"/>
      <x:c r="K152" s="86"/>
      <x:c r="L152" s="86"/>
      <x:c r="M152" s="86"/>
      <x:c r="N152" s="86"/>
      <x:c r="O152" s="86"/>
      <x:c r="P152" s="86"/>
      <x:c r="Q152" s="86"/>
      <x:c r="R152" s="86"/>
      <x:c r="S152" s="86"/>
      <x:c r="T152" s="86"/>
      <x:c r="U152" s="86"/>
      <x:c r="V152" s="86"/>
      <x:c r="W152" s="86"/>
      <x:c r="X152" s="86"/>
      <x:c r="Y152" s="86"/>
      <x:c r="Z152" s="86"/>
    </x:row>
    <x:row r="153">
      <x:c r="A153" s="86"/>
      <x:c r="B153" s="86"/>
      <x:c r="C153" s="86"/>
      <x:c r="D153" s="86"/>
      <x:c r="E153" s="86"/>
      <x:c r="F153" s="86"/>
      <x:c r="G153" s="86"/>
      <x:c r="H153" s="86"/>
      <x:c r="I153" s="86"/>
      <x:c r="J153" s="86"/>
      <x:c r="K153" s="86"/>
      <x:c r="L153" s="86"/>
      <x:c r="M153" s="86"/>
      <x:c r="N153" s="86"/>
      <x:c r="O153" s="86"/>
      <x:c r="P153" s="86"/>
      <x:c r="Q153" s="86"/>
      <x:c r="R153" s="86"/>
      <x:c r="S153" s="86"/>
      <x:c r="T153" s="86"/>
      <x:c r="U153" s="86"/>
      <x:c r="V153" s="86"/>
      <x:c r="W153" s="86"/>
      <x:c r="X153" s="86"/>
      <x:c r="Y153" s="86"/>
      <x:c r="Z153" s="86"/>
    </x:row>
    <x:row r="154">
      <x:c r="A154" s="86"/>
      <x:c r="B154" s="86"/>
      <x:c r="C154" s="86"/>
      <x:c r="D154" s="86"/>
      <x:c r="E154" s="86"/>
      <x:c r="F154" s="86"/>
      <x:c r="G154" s="86"/>
      <x:c r="H154" s="86"/>
      <x:c r="I154" s="86"/>
      <x:c r="J154" s="86"/>
      <x:c r="K154" s="86"/>
      <x:c r="L154" s="86"/>
      <x:c r="M154" s="86"/>
      <x:c r="N154" s="86"/>
      <x:c r="O154" s="86"/>
      <x:c r="P154" s="86"/>
      <x:c r="Q154" s="86"/>
      <x:c r="R154" s="86"/>
      <x:c r="S154" s="86"/>
      <x:c r="T154" s="86"/>
      <x:c r="U154" s="86"/>
      <x:c r="V154" s="86"/>
      <x:c r="W154" s="86"/>
      <x:c r="X154" s="86"/>
      <x:c r="Y154" s="86"/>
      <x:c r="Z154" s="86"/>
    </x:row>
    <x:row r="155">
      <x:c r="A155" s="86"/>
      <x:c r="B155" s="86"/>
      <x:c r="C155" s="86"/>
      <x:c r="D155" s="86"/>
      <x:c r="E155" s="86"/>
      <x:c r="F155" s="86"/>
      <x:c r="G155" s="86"/>
      <x:c r="H155" s="86"/>
      <x:c r="I155" s="86"/>
      <x:c r="J155" s="86"/>
      <x:c r="K155" s="86"/>
      <x:c r="L155" s="86"/>
      <x:c r="M155" s="86"/>
      <x:c r="N155" s="86"/>
      <x:c r="O155" s="86"/>
      <x:c r="P155" s="86"/>
      <x:c r="Q155" s="86"/>
      <x:c r="R155" s="86"/>
      <x:c r="S155" s="86"/>
      <x:c r="T155" s="86"/>
      <x:c r="U155" s="86"/>
      <x:c r="V155" s="86"/>
      <x:c r="W155" s="86"/>
      <x:c r="X155" s="86"/>
      <x:c r="Y155" s="86"/>
      <x:c r="Z155" s="86"/>
    </x:row>
    <x:row r="156">
      <x:c r="A156" s="86"/>
      <x:c r="B156" s="86"/>
      <x:c r="C156" s="86"/>
      <x:c r="D156" s="86"/>
      <x:c r="E156" s="86"/>
      <x:c r="F156" s="86"/>
      <x:c r="G156" s="86"/>
      <x:c r="H156" s="86"/>
      <x:c r="I156" s="86"/>
      <x:c r="J156" s="86"/>
      <x:c r="K156" s="86"/>
      <x:c r="L156" s="86"/>
      <x:c r="M156" s="86"/>
      <x:c r="N156" s="86"/>
      <x:c r="O156" s="86"/>
      <x:c r="P156" s="86"/>
      <x:c r="Q156" s="86"/>
      <x:c r="R156" s="86"/>
      <x:c r="S156" s="86"/>
      <x:c r="T156" s="86"/>
      <x:c r="U156" s="86"/>
      <x:c r="V156" s="86"/>
      <x:c r="W156" s="86"/>
      <x:c r="X156" s="86"/>
      <x:c r="Y156" s="86"/>
      <x:c r="Z156" s="86"/>
    </x:row>
    <x:row r="157">
      <x:c r="A157" s="86"/>
      <x:c r="B157" s="86"/>
      <x:c r="C157" s="86"/>
      <x:c r="D157" s="86"/>
      <x:c r="E157" s="86"/>
      <x:c r="F157" s="86"/>
      <x:c r="G157" s="86"/>
      <x:c r="H157" s="86"/>
      <x:c r="I157" s="86"/>
      <x:c r="J157" s="86"/>
      <x:c r="K157" s="86"/>
      <x:c r="L157" s="86"/>
      <x:c r="M157" s="86"/>
      <x:c r="N157" s="86"/>
      <x:c r="O157" s="86"/>
      <x:c r="P157" s="86"/>
      <x:c r="Q157" s="86"/>
      <x:c r="R157" s="86"/>
      <x:c r="S157" s="86"/>
      <x:c r="T157" s="86"/>
      <x:c r="U157" s="86"/>
      <x:c r="V157" s="86"/>
      <x:c r="W157" s="86"/>
      <x:c r="X157" s="86"/>
      <x:c r="Y157" s="86"/>
      <x:c r="Z157" s="86"/>
    </x:row>
    <x:row r="158">
      <x:c r="A158" s="86"/>
      <x:c r="B158" s="86"/>
      <x:c r="C158" s="86"/>
      <x:c r="D158" s="86"/>
      <x:c r="E158" s="86"/>
      <x:c r="F158" s="86"/>
      <x:c r="G158" s="86"/>
      <x:c r="H158" s="86"/>
      <x:c r="I158" s="86"/>
      <x:c r="J158" s="86"/>
      <x:c r="K158" s="86"/>
      <x:c r="L158" s="86"/>
      <x:c r="M158" s="86"/>
      <x:c r="N158" s="86"/>
      <x:c r="O158" s="86"/>
      <x:c r="P158" s="86"/>
      <x:c r="Q158" s="86"/>
      <x:c r="R158" s="86"/>
      <x:c r="S158" s="86"/>
      <x:c r="T158" s="86"/>
      <x:c r="U158" s="86"/>
      <x:c r="V158" s="86"/>
      <x:c r="W158" s="86"/>
      <x:c r="X158" s="86"/>
      <x:c r="Y158" s="86"/>
      <x:c r="Z158" s="86"/>
    </x:row>
    <x:row r="159">
      <x:c r="A159" s="86"/>
      <x:c r="B159" s="86"/>
      <x:c r="C159" s="86"/>
      <x:c r="D159" s="86"/>
      <x:c r="E159" s="86"/>
      <x:c r="F159" s="86"/>
      <x:c r="G159" s="86"/>
      <x:c r="H159" s="86"/>
      <x:c r="I159" s="86"/>
      <x:c r="J159" s="86"/>
      <x:c r="K159" s="86"/>
      <x:c r="L159" s="86"/>
      <x:c r="M159" s="86"/>
      <x:c r="N159" s="86"/>
      <x:c r="O159" s="86"/>
      <x:c r="P159" s="86"/>
      <x:c r="Q159" s="86"/>
      <x:c r="R159" s="86"/>
      <x:c r="S159" s="86"/>
      <x:c r="T159" s="86"/>
      <x:c r="U159" s="86"/>
      <x:c r="V159" s="86"/>
      <x:c r="W159" s="86"/>
      <x:c r="X159" s="86"/>
      <x:c r="Y159" s="86"/>
      <x:c r="Z159" s="86"/>
    </x:row>
    <x:row r="160">
      <x:c r="A160" s="86"/>
      <x:c r="B160" s="86"/>
      <x:c r="C160" s="86"/>
      <x:c r="D160" s="86"/>
      <x:c r="E160" s="86"/>
      <x:c r="F160" s="86"/>
      <x:c r="G160" s="86"/>
      <x:c r="H160" s="86"/>
      <x:c r="I160" s="86"/>
      <x:c r="J160" s="86"/>
      <x:c r="K160" s="86"/>
      <x:c r="L160" s="86"/>
      <x:c r="M160" s="86"/>
      <x:c r="N160" s="86"/>
      <x:c r="O160" s="86"/>
      <x:c r="P160" s="86"/>
      <x:c r="Q160" s="86"/>
      <x:c r="R160" s="86"/>
      <x:c r="S160" s="86"/>
      <x:c r="T160" s="86"/>
      <x:c r="U160" s="86"/>
      <x:c r="V160" s="86"/>
      <x:c r="W160" s="86"/>
      <x:c r="X160" s="86"/>
      <x:c r="Y160" s="86"/>
      <x:c r="Z160" s="86"/>
    </x:row>
    <x:row r="161">
      <x:c r="A161" s="86"/>
      <x:c r="B161" s="86"/>
      <x:c r="C161" s="86"/>
      <x:c r="D161" s="86"/>
      <x:c r="E161" s="86"/>
      <x:c r="F161" s="86"/>
      <x:c r="G161" s="86"/>
      <x:c r="H161" s="86"/>
      <x:c r="I161" s="86"/>
      <x:c r="J161" s="86"/>
      <x:c r="K161" s="86"/>
      <x:c r="L161" s="86"/>
      <x:c r="M161" s="86"/>
      <x:c r="N161" s="86"/>
      <x:c r="O161" s="86"/>
      <x:c r="P161" s="86"/>
      <x:c r="Q161" s="86"/>
      <x:c r="R161" s="86"/>
      <x:c r="S161" s="86"/>
      <x:c r="T161" s="86"/>
      <x:c r="U161" s="86"/>
      <x:c r="V161" s="86"/>
      <x:c r="W161" s="86"/>
      <x:c r="X161" s="86"/>
      <x:c r="Y161" s="86"/>
      <x:c r="Z161" s="86"/>
    </x:row>
    <x:row r="162">
      <x:c r="A162" s="86"/>
      <x:c r="B162" s="86"/>
      <x:c r="C162" s="86"/>
      <x:c r="D162" s="86"/>
      <x:c r="E162" s="86"/>
      <x:c r="F162" s="86"/>
      <x:c r="G162" s="86"/>
      <x:c r="H162" s="86"/>
      <x:c r="I162" s="86"/>
      <x:c r="J162" s="86"/>
      <x:c r="K162" s="86"/>
      <x:c r="L162" s="86"/>
      <x:c r="M162" s="86"/>
      <x:c r="N162" s="86"/>
      <x:c r="O162" s="86"/>
      <x:c r="P162" s="86"/>
      <x:c r="Q162" s="86"/>
      <x:c r="R162" s="86"/>
      <x:c r="S162" s="86"/>
      <x:c r="T162" s="86"/>
      <x:c r="U162" s="86"/>
      <x:c r="V162" s="86"/>
      <x:c r="W162" s="86"/>
      <x:c r="X162" s="86"/>
      <x:c r="Y162" s="86"/>
      <x:c r="Z162" s="86"/>
    </x:row>
    <x:row r="163">
      <x:c r="A163" s="86"/>
      <x:c r="B163" s="86"/>
      <x:c r="C163" s="86"/>
      <x:c r="D163" s="86"/>
      <x:c r="E163" s="86"/>
      <x:c r="F163" s="86"/>
      <x:c r="G163" s="86"/>
      <x:c r="H163" s="86"/>
      <x:c r="I163" s="86"/>
      <x:c r="J163" s="86"/>
      <x:c r="K163" s="86"/>
      <x:c r="L163" s="86"/>
      <x:c r="M163" s="86"/>
      <x:c r="N163" s="86"/>
      <x:c r="O163" s="86"/>
      <x:c r="P163" s="86"/>
      <x:c r="Q163" s="86"/>
      <x:c r="R163" s="86"/>
      <x:c r="S163" s="86"/>
      <x:c r="T163" s="86"/>
      <x:c r="U163" s="86"/>
      <x:c r="V163" s="86"/>
      <x:c r="W163" s="86"/>
      <x:c r="X163" s="86"/>
      <x:c r="Y163" s="86"/>
      <x:c r="Z163" s="86"/>
    </x:row>
    <x:row r="164">
      <x:c r="A164" s="86"/>
      <x:c r="B164" s="86"/>
      <x:c r="C164" s="86"/>
      <x:c r="D164" s="86"/>
      <x:c r="E164" s="86"/>
      <x:c r="F164" s="86"/>
      <x:c r="G164" s="86"/>
      <x:c r="H164" s="86"/>
      <x:c r="I164" s="86"/>
      <x:c r="J164" s="86"/>
      <x:c r="K164" s="86"/>
      <x:c r="L164" s="86"/>
      <x:c r="M164" s="86"/>
      <x:c r="N164" s="86"/>
      <x:c r="O164" s="86"/>
      <x:c r="P164" s="86"/>
      <x:c r="Q164" s="86"/>
      <x:c r="R164" s="86"/>
      <x:c r="S164" s="86"/>
      <x:c r="T164" s="86"/>
      <x:c r="U164" s="86"/>
      <x:c r="V164" s="86"/>
      <x:c r="W164" s="86"/>
      <x:c r="X164" s="86"/>
      <x:c r="Y164" s="86"/>
      <x:c r="Z164" s="86"/>
    </x:row>
    <x:row r="165">
      <x:c r="A165" s="86"/>
      <x:c r="B165" s="86"/>
      <x:c r="C165" s="86"/>
      <x:c r="D165" s="86"/>
      <x:c r="E165" s="86"/>
      <x:c r="F165" s="86"/>
      <x:c r="G165" s="86"/>
      <x:c r="H165" s="86"/>
      <x:c r="I165" s="86"/>
      <x:c r="J165" s="86"/>
      <x:c r="K165" s="86"/>
      <x:c r="L165" s="86"/>
      <x:c r="M165" s="86"/>
      <x:c r="N165" s="86"/>
      <x:c r="O165" s="86"/>
      <x:c r="P165" s="86"/>
      <x:c r="Q165" s="86"/>
      <x:c r="R165" s="86"/>
      <x:c r="S165" s="86"/>
      <x:c r="T165" s="86"/>
      <x:c r="U165" s="86"/>
      <x:c r="V165" s="86"/>
      <x:c r="W165" s="86"/>
      <x:c r="X165" s="86"/>
      <x:c r="Y165" s="86"/>
      <x:c r="Z165" s="86"/>
    </x:row>
    <x:row r="166">
      <x:c r="A166" s="86"/>
      <x:c r="B166" s="86"/>
      <x:c r="C166" s="86"/>
      <x:c r="D166" s="86"/>
      <x:c r="E166" s="86"/>
      <x:c r="F166" s="86"/>
      <x:c r="G166" s="86"/>
      <x:c r="H166" s="86"/>
      <x:c r="I166" s="86"/>
      <x:c r="J166" s="86"/>
      <x:c r="K166" s="86"/>
      <x:c r="L166" s="86"/>
      <x:c r="M166" s="86"/>
      <x:c r="N166" s="86"/>
      <x:c r="O166" s="86"/>
      <x:c r="P166" s="86"/>
      <x:c r="Q166" s="86"/>
      <x:c r="R166" s="86"/>
      <x:c r="S166" s="86"/>
      <x:c r="T166" s="86"/>
      <x:c r="U166" s="86"/>
      <x:c r="V166" s="86"/>
      <x:c r="W166" s="86"/>
      <x:c r="X166" s="86"/>
      <x:c r="Y166" s="86"/>
      <x:c r="Z166" s="86"/>
    </x:row>
    <x:row r="167">
      <x:c r="A167" s="86"/>
      <x:c r="B167" s="86"/>
      <x:c r="C167" s="86"/>
      <x:c r="D167" s="86"/>
      <x:c r="E167" s="86"/>
      <x:c r="F167" s="86"/>
      <x:c r="G167" s="86"/>
      <x:c r="H167" s="86"/>
      <x:c r="I167" s="86"/>
      <x:c r="J167" s="86"/>
      <x:c r="K167" s="86"/>
      <x:c r="L167" s="86"/>
      <x:c r="M167" s="86"/>
      <x:c r="N167" s="86"/>
      <x:c r="O167" s="86"/>
      <x:c r="P167" s="86"/>
      <x:c r="Q167" s="86"/>
      <x:c r="R167" s="86"/>
      <x:c r="S167" s="86"/>
      <x:c r="T167" s="86"/>
      <x:c r="U167" s="86"/>
      <x:c r="V167" s="86"/>
      <x:c r="W167" s="86"/>
      <x:c r="X167" s="86"/>
      <x:c r="Y167" s="86"/>
      <x:c r="Z167" s="86"/>
    </x:row>
    <x:row r="168">
      <x:c r="A168" s="86"/>
      <x:c r="B168" s="86"/>
      <x:c r="C168" s="86"/>
      <x:c r="D168" s="86"/>
      <x:c r="E168" s="86"/>
      <x:c r="F168" s="86"/>
      <x:c r="G168" s="86"/>
      <x:c r="H168" s="86"/>
      <x:c r="I168" s="86"/>
      <x:c r="J168" s="86"/>
      <x:c r="K168" s="86"/>
      <x:c r="L168" s="86"/>
      <x:c r="M168" s="86"/>
      <x:c r="N168" s="86"/>
      <x:c r="O168" s="86"/>
      <x:c r="P168" s="86"/>
      <x:c r="Q168" s="86"/>
      <x:c r="R168" s="86"/>
      <x:c r="S168" s="86"/>
      <x:c r="T168" s="86"/>
      <x:c r="U168" s="86"/>
      <x:c r="V168" s="86"/>
      <x:c r="W168" s="86"/>
      <x:c r="X168" s="86"/>
      <x:c r="Y168" s="86"/>
      <x:c r="Z168" s="86"/>
    </x:row>
    <x:row r="169">
      <x:c r="A169" s="86"/>
      <x:c r="B169" s="86"/>
      <x:c r="C169" s="86"/>
      <x:c r="D169" s="86"/>
      <x:c r="E169" s="86"/>
      <x:c r="F169" s="86"/>
      <x:c r="G169" s="86"/>
      <x:c r="H169" s="86"/>
      <x:c r="I169" s="86"/>
      <x:c r="J169" s="86"/>
      <x:c r="K169" s="86"/>
      <x:c r="L169" s="86"/>
      <x:c r="M169" s="86"/>
      <x:c r="N169" s="86"/>
      <x:c r="O169" s="86"/>
      <x:c r="P169" s="86"/>
      <x:c r="Q169" s="86"/>
      <x:c r="R169" s="86"/>
      <x:c r="S169" s="86"/>
      <x:c r="T169" s="86"/>
      <x:c r="U169" s="86"/>
      <x:c r="V169" s="86"/>
      <x:c r="W169" s="86"/>
      <x:c r="X169" s="86"/>
      <x:c r="Y169" s="86"/>
      <x:c r="Z169" s="86"/>
    </x:row>
    <x:row r="170">
      <x:c r="A170" s="86"/>
      <x:c r="B170" s="86"/>
      <x:c r="C170" s="86"/>
      <x:c r="D170" s="86"/>
      <x:c r="E170" s="86"/>
      <x:c r="F170" s="86"/>
      <x:c r="G170" s="86"/>
      <x:c r="H170" s="86"/>
      <x:c r="I170" s="86"/>
      <x:c r="J170" s="86"/>
      <x:c r="K170" s="86"/>
      <x:c r="L170" s="86"/>
      <x:c r="M170" s="86"/>
      <x:c r="N170" s="86"/>
      <x:c r="O170" s="86"/>
      <x:c r="P170" s="86"/>
      <x:c r="Q170" s="86"/>
      <x:c r="R170" s="86"/>
      <x:c r="S170" s="86"/>
      <x:c r="T170" s="86"/>
      <x:c r="U170" s="86"/>
      <x:c r="V170" s="86"/>
      <x:c r="W170" s="86"/>
      <x:c r="X170" s="86"/>
      <x:c r="Y170" s="86"/>
      <x:c r="Z170" s="86"/>
    </x:row>
    <x:row r="171">
      <x:c r="A171" s="86"/>
      <x:c r="B171" s="86"/>
      <x:c r="C171" s="86"/>
      <x:c r="D171" s="86"/>
      <x:c r="E171" s="86"/>
      <x:c r="F171" s="86"/>
      <x:c r="G171" s="86"/>
      <x:c r="H171" s="86"/>
      <x:c r="I171" s="86"/>
      <x:c r="J171" s="86"/>
      <x:c r="K171" s="86"/>
      <x:c r="L171" s="86"/>
      <x:c r="M171" s="86"/>
      <x:c r="N171" s="86"/>
      <x:c r="O171" s="86"/>
      <x:c r="P171" s="86"/>
      <x:c r="Q171" s="86"/>
      <x:c r="R171" s="86"/>
      <x:c r="S171" s="86"/>
      <x:c r="T171" s="86"/>
      <x:c r="U171" s="86"/>
      <x:c r="V171" s="86"/>
      <x:c r="W171" s="86"/>
      <x:c r="X171" s="86"/>
      <x:c r="Y171" s="86"/>
      <x:c r="Z171" s="86"/>
    </x:row>
    <x:row r="172">
      <x:c r="A172" s="86"/>
      <x:c r="B172" s="86"/>
      <x:c r="C172" s="86"/>
      <x:c r="D172" s="86"/>
      <x:c r="E172" s="86"/>
      <x:c r="F172" s="86"/>
      <x:c r="G172" s="86"/>
      <x:c r="H172" s="86"/>
      <x:c r="I172" s="86"/>
      <x:c r="J172" s="86"/>
      <x:c r="K172" s="86"/>
      <x:c r="L172" s="86"/>
      <x:c r="M172" s="86"/>
      <x:c r="N172" s="86"/>
      <x:c r="O172" s="86"/>
      <x:c r="P172" s="86"/>
      <x:c r="Q172" s="86"/>
      <x:c r="R172" s="86"/>
      <x:c r="S172" s="86"/>
      <x:c r="T172" s="86"/>
      <x:c r="U172" s="86"/>
      <x:c r="V172" s="86"/>
      <x:c r="W172" s="86"/>
      <x:c r="X172" s="86"/>
      <x:c r="Y172" s="86"/>
      <x:c r="Z172" s="86"/>
    </x:row>
    <x:row r="173">
      <x:c r="A173" s="86"/>
      <x:c r="B173" s="86"/>
      <x:c r="C173" s="86"/>
      <x:c r="D173" s="86"/>
      <x:c r="E173" s="86"/>
      <x:c r="F173" s="86"/>
      <x:c r="G173" s="86"/>
      <x:c r="H173" s="86"/>
      <x:c r="I173" s="86"/>
      <x:c r="J173" s="86"/>
      <x:c r="K173" s="86"/>
      <x:c r="L173" s="86"/>
      <x:c r="M173" s="86"/>
      <x:c r="N173" s="86"/>
      <x:c r="O173" s="86"/>
      <x:c r="P173" s="86"/>
      <x:c r="Q173" s="86"/>
      <x:c r="R173" s="86"/>
      <x:c r="S173" s="86"/>
      <x:c r="T173" s="86"/>
      <x:c r="U173" s="86"/>
      <x:c r="V173" s="86"/>
      <x:c r="W173" s="86"/>
      <x:c r="X173" s="86"/>
      <x:c r="Y173" s="86"/>
      <x:c r="Z173" s="86"/>
    </x:row>
    <x:row r="174">
      <x:c r="A174" s="86"/>
      <x:c r="B174" s="86"/>
      <x:c r="C174" s="86"/>
      <x:c r="D174" s="86"/>
      <x:c r="E174" s="86"/>
      <x:c r="F174" s="86"/>
      <x:c r="G174" s="86"/>
      <x:c r="H174" s="86"/>
      <x:c r="I174" s="86"/>
      <x:c r="J174" s="86"/>
      <x:c r="K174" s="86"/>
      <x:c r="L174" s="86"/>
      <x:c r="M174" s="86"/>
      <x:c r="N174" s="86"/>
      <x:c r="O174" s="86"/>
      <x:c r="P174" s="86"/>
      <x:c r="Q174" s="86"/>
      <x:c r="R174" s="86"/>
      <x:c r="S174" s="86"/>
      <x:c r="T174" s="86"/>
      <x:c r="U174" s="86"/>
      <x:c r="V174" s="86"/>
      <x:c r="W174" s="86"/>
      <x:c r="X174" s="86"/>
      <x:c r="Y174" s="86"/>
      <x:c r="Z174" s="86"/>
    </x:row>
    <x:row r="175">
      <x:c r="A175" s="86"/>
      <x:c r="B175" s="86"/>
      <x:c r="C175" s="86"/>
      <x:c r="D175" s="86"/>
      <x:c r="E175" s="86"/>
      <x:c r="F175" s="86"/>
      <x:c r="G175" s="86"/>
      <x:c r="H175" s="86"/>
      <x:c r="I175" s="86"/>
      <x:c r="J175" s="86"/>
      <x:c r="K175" s="86"/>
      <x:c r="L175" s="86"/>
      <x:c r="M175" s="86"/>
      <x:c r="N175" s="86"/>
      <x:c r="O175" s="86"/>
      <x:c r="P175" s="86"/>
      <x:c r="Q175" s="86"/>
      <x:c r="R175" s="86"/>
      <x:c r="S175" s="86"/>
      <x:c r="T175" s="86"/>
      <x:c r="U175" s="86"/>
      <x:c r="V175" s="86"/>
      <x:c r="W175" s="86"/>
      <x:c r="X175" s="86"/>
      <x:c r="Y175" s="86"/>
      <x:c r="Z175" s="86"/>
    </x:row>
    <x:row r="176">
      <x:c r="A176" s="86"/>
      <x:c r="B176" s="86"/>
      <x:c r="C176" s="86"/>
      <x:c r="D176" s="86"/>
      <x:c r="E176" s="86"/>
      <x:c r="F176" s="86"/>
      <x:c r="G176" s="86"/>
      <x:c r="H176" s="86"/>
      <x:c r="I176" s="86"/>
      <x:c r="J176" s="86"/>
      <x:c r="K176" s="86"/>
      <x:c r="L176" s="86"/>
      <x:c r="M176" s="86"/>
      <x:c r="N176" s="86"/>
      <x:c r="O176" s="86"/>
      <x:c r="P176" s="86"/>
      <x:c r="Q176" s="86"/>
      <x:c r="R176" s="86"/>
      <x:c r="S176" s="86"/>
      <x:c r="T176" s="86"/>
      <x:c r="U176" s="86"/>
      <x:c r="V176" s="86"/>
      <x:c r="W176" s="86"/>
      <x:c r="X176" s="86"/>
      <x:c r="Y176" s="86"/>
      <x:c r="Z176" s="86"/>
    </x:row>
    <x:row r="177">
      <x:c r="A177" s="86"/>
      <x:c r="B177" s="86"/>
      <x:c r="C177" s="86"/>
      <x:c r="D177" s="86"/>
      <x:c r="E177" s="86"/>
      <x:c r="F177" s="86"/>
      <x:c r="G177" s="86"/>
      <x:c r="H177" s="86"/>
      <x:c r="I177" s="86"/>
      <x:c r="J177" s="86"/>
      <x:c r="K177" s="86"/>
      <x:c r="L177" s="86"/>
      <x:c r="M177" s="86"/>
      <x:c r="N177" s="86"/>
      <x:c r="O177" s="86"/>
      <x:c r="P177" s="86"/>
      <x:c r="Q177" s="86"/>
      <x:c r="R177" s="86"/>
      <x:c r="S177" s="86"/>
      <x:c r="T177" s="86"/>
      <x:c r="U177" s="86"/>
      <x:c r="V177" s="86"/>
      <x:c r="W177" s="86"/>
      <x:c r="X177" s="86"/>
      <x:c r="Y177" s="86"/>
      <x:c r="Z177" s="86"/>
    </x:row>
    <x:row r="178">
      <x:c r="A178" s="86"/>
      <x:c r="B178" s="86"/>
      <x:c r="C178" s="86"/>
      <x:c r="D178" s="86"/>
      <x:c r="E178" s="86"/>
      <x:c r="F178" s="86"/>
      <x:c r="G178" s="86"/>
      <x:c r="H178" s="86"/>
      <x:c r="I178" s="86"/>
      <x:c r="J178" s="86"/>
      <x:c r="K178" s="86"/>
      <x:c r="L178" s="86"/>
      <x:c r="M178" s="86"/>
      <x:c r="N178" s="86"/>
      <x:c r="O178" s="86"/>
      <x:c r="P178" s="86"/>
      <x:c r="Q178" s="86"/>
      <x:c r="R178" s="86"/>
      <x:c r="S178" s="86"/>
      <x:c r="T178" s="86"/>
      <x:c r="U178" s="86"/>
      <x:c r="V178" s="86"/>
      <x:c r="W178" s="86"/>
      <x:c r="X178" s="86"/>
      <x:c r="Y178" s="86"/>
      <x:c r="Z178" s="86"/>
    </x:row>
    <x:row r="179">
      <x:c r="A179" s="86"/>
      <x:c r="B179" s="86"/>
      <x:c r="C179" s="86"/>
      <x:c r="D179" s="86"/>
      <x:c r="E179" s="86"/>
      <x:c r="F179" s="86"/>
      <x:c r="G179" s="86"/>
      <x:c r="H179" s="86"/>
      <x:c r="I179" s="86"/>
      <x:c r="J179" s="86"/>
      <x:c r="K179" s="86"/>
      <x:c r="L179" s="86"/>
      <x:c r="M179" s="86"/>
      <x:c r="N179" s="86"/>
      <x:c r="O179" s="86"/>
      <x:c r="P179" s="86"/>
      <x:c r="Q179" s="86"/>
      <x:c r="R179" s="86"/>
      <x:c r="S179" s="86"/>
      <x:c r="T179" s="86"/>
      <x:c r="U179" s="86"/>
      <x:c r="V179" s="86"/>
      <x:c r="W179" s="86"/>
      <x:c r="X179" s="86"/>
      <x:c r="Y179" s="86"/>
      <x:c r="Z179" s="86"/>
    </x:row>
    <x:row r="180">
      <x:c r="A180" s="86"/>
      <x:c r="B180" s="86"/>
      <x:c r="C180" s="86"/>
      <x:c r="D180" s="86"/>
      <x:c r="E180" s="86"/>
      <x:c r="F180" s="86"/>
      <x:c r="G180" s="86"/>
      <x:c r="H180" s="86"/>
      <x:c r="I180" s="86"/>
      <x:c r="J180" s="86"/>
      <x:c r="K180" s="86"/>
      <x:c r="L180" s="86"/>
      <x:c r="M180" s="86"/>
      <x:c r="N180" s="86"/>
      <x:c r="O180" s="86"/>
      <x:c r="P180" s="86"/>
      <x:c r="Q180" s="86"/>
      <x:c r="R180" s="86"/>
      <x:c r="S180" s="86"/>
      <x:c r="T180" s="86"/>
      <x:c r="U180" s="86"/>
      <x:c r="V180" s="86"/>
      <x:c r="W180" s="86"/>
      <x:c r="X180" s="86"/>
      <x:c r="Y180" s="86"/>
      <x:c r="Z180" s="86"/>
    </x:row>
    <x:row r="181">
      <x:c r="A181" s="86"/>
      <x:c r="B181" s="86"/>
      <x:c r="C181" s="86"/>
      <x:c r="D181" s="86"/>
      <x:c r="E181" s="86"/>
      <x:c r="F181" s="86"/>
      <x:c r="G181" s="86"/>
      <x:c r="H181" s="86"/>
      <x:c r="I181" s="86"/>
      <x:c r="J181" s="86"/>
      <x:c r="K181" s="86"/>
      <x:c r="L181" s="86"/>
      <x:c r="M181" s="86"/>
      <x:c r="N181" s="86"/>
      <x:c r="O181" s="86"/>
      <x:c r="P181" s="86"/>
      <x:c r="Q181" s="86"/>
      <x:c r="R181" s="86"/>
      <x:c r="S181" s="86"/>
      <x:c r="T181" s="86"/>
      <x:c r="U181" s="86"/>
      <x:c r="V181" s="86"/>
      <x:c r="W181" s="86"/>
      <x:c r="X181" s="86"/>
      <x:c r="Y181" s="86"/>
      <x:c r="Z181" s="86"/>
    </x:row>
    <x:row r="182">
      <x:c r="A182" s="86"/>
      <x:c r="B182" s="86"/>
      <x:c r="C182" s="86"/>
      <x:c r="D182" s="86"/>
      <x:c r="E182" s="86"/>
      <x:c r="F182" s="86"/>
      <x:c r="G182" s="86"/>
      <x:c r="H182" s="86"/>
      <x:c r="I182" s="86"/>
      <x:c r="J182" s="86"/>
      <x:c r="K182" s="86"/>
      <x:c r="L182" s="86"/>
      <x:c r="M182" s="86"/>
      <x:c r="N182" s="86"/>
      <x:c r="O182" s="86"/>
      <x:c r="P182" s="86"/>
      <x:c r="Q182" s="86"/>
      <x:c r="R182" s="86"/>
      <x:c r="S182" s="86"/>
      <x:c r="T182" s="86"/>
      <x:c r="U182" s="86"/>
      <x:c r="V182" s="86"/>
      <x:c r="W182" s="86"/>
      <x:c r="X182" s="86"/>
      <x:c r="Y182" s="86"/>
      <x:c r="Z182" s="86"/>
    </x:row>
    <x:row r="183">
      <x:c r="A183" s="86"/>
      <x:c r="B183" s="86"/>
      <x:c r="C183" s="86"/>
      <x:c r="D183" s="86"/>
      <x:c r="E183" s="86"/>
      <x:c r="F183" s="86"/>
      <x:c r="G183" s="86"/>
      <x:c r="H183" s="86"/>
      <x:c r="I183" s="86"/>
      <x:c r="J183" s="86"/>
      <x:c r="K183" s="86"/>
      <x:c r="L183" s="86"/>
      <x:c r="M183" s="86"/>
      <x:c r="N183" s="86"/>
      <x:c r="O183" s="86"/>
      <x:c r="P183" s="86"/>
      <x:c r="Q183" s="86"/>
      <x:c r="R183" s="86"/>
      <x:c r="S183" s="86"/>
      <x:c r="T183" s="86"/>
      <x:c r="U183" s="86"/>
      <x:c r="V183" s="86"/>
      <x:c r="W183" s="86"/>
      <x:c r="X183" s="86"/>
      <x:c r="Y183" s="86"/>
      <x:c r="Z183" s="86"/>
    </x:row>
    <x:row r="184">
      <x:c r="A184" s="86"/>
      <x:c r="B184" s="86"/>
      <x:c r="C184" s="86"/>
      <x:c r="D184" s="86"/>
      <x:c r="E184" s="86"/>
      <x:c r="F184" s="86"/>
      <x:c r="G184" s="86"/>
      <x:c r="H184" s="86"/>
      <x:c r="I184" s="86"/>
      <x:c r="J184" s="86"/>
      <x:c r="K184" s="86"/>
      <x:c r="L184" s="86"/>
      <x:c r="M184" s="86"/>
      <x:c r="N184" s="86"/>
      <x:c r="O184" s="86"/>
      <x:c r="P184" s="86"/>
      <x:c r="Q184" s="86"/>
      <x:c r="R184" s="86"/>
      <x:c r="S184" s="86"/>
      <x:c r="T184" s="86"/>
      <x:c r="U184" s="86"/>
      <x:c r="V184" s="86"/>
      <x:c r="W184" s="86"/>
      <x:c r="X184" s="86"/>
      <x:c r="Y184" s="86"/>
      <x:c r="Z184" s="86"/>
    </x:row>
    <x:row r="185">
      <x:c r="A185" s="86"/>
      <x:c r="B185" s="86"/>
      <x:c r="C185" s="86"/>
      <x:c r="D185" s="86"/>
      <x:c r="E185" s="86"/>
      <x:c r="F185" s="86"/>
      <x:c r="G185" s="86"/>
      <x:c r="H185" s="86"/>
      <x:c r="I185" s="86"/>
      <x:c r="J185" s="86"/>
      <x:c r="K185" s="86"/>
      <x:c r="L185" s="86"/>
      <x:c r="M185" s="86"/>
      <x:c r="N185" s="86"/>
      <x:c r="O185" s="86"/>
      <x:c r="P185" s="86"/>
      <x:c r="Q185" s="86"/>
      <x:c r="R185" s="86"/>
      <x:c r="S185" s="86"/>
      <x:c r="T185" s="86"/>
      <x:c r="U185" s="86"/>
      <x:c r="V185" s="86"/>
      <x:c r="W185" s="86"/>
      <x:c r="X185" s="86"/>
      <x:c r="Y185" s="86"/>
      <x:c r="Z185" s="86"/>
    </x:row>
    <x:row r="186">
      <x:c r="A186" s="86"/>
      <x:c r="B186" s="86"/>
      <x:c r="C186" s="86"/>
      <x:c r="D186" s="86"/>
      <x:c r="E186" s="86"/>
      <x:c r="F186" s="86"/>
      <x:c r="G186" s="86"/>
      <x:c r="H186" s="86"/>
      <x:c r="I186" s="86"/>
      <x:c r="J186" s="86"/>
      <x:c r="K186" s="86"/>
      <x:c r="L186" s="86"/>
      <x:c r="M186" s="86"/>
      <x:c r="N186" s="86"/>
      <x:c r="O186" s="86"/>
      <x:c r="P186" s="86"/>
      <x:c r="Q186" s="86"/>
      <x:c r="R186" s="86"/>
      <x:c r="S186" s="86"/>
      <x:c r="T186" s="86"/>
      <x:c r="U186" s="86"/>
      <x:c r="V186" s="86"/>
      <x:c r="W186" s="86"/>
      <x:c r="X186" s="86"/>
      <x:c r="Y186" s="86"/>
      <x:c r="Z186" s="86"/>
    </x:row>
    <x:row r="187">
      <x:c r="A187" s="86"/>
      <x:c r="B187" s="86"/>
      <x:c r="C187" s="86"/>
      <x:c r="D187" s="86"/>
      <x:c r="E187" s="86"/>
      <x:c r="F187" s="86"/>
      <x:c r="G187" s="86"/>
      <x:c r="H187" s="86"/>
      <x:c r="I187" s="86"/>
      <x:c r="J187" s="86"/>
      <x:c r="K187" s="86"/>
      <x:c r="L187" s="86"/>
      <x:c r="M187" s="86"/>
      <x:c r="N187" s="86"/>
      <x:c r="O187" s="86"/>
      <x:c r="P187" s="86"/>
      <x:c r="Q187" s="86"/>
      <x:c r="R187" s="86"/>
      <x:c r="S187" s="86"/>
      <x:c r="T187" s="86"/>
      <x:c r="U187" s="86"/>
      <x:c r="V187" s="86"/>
      <x:c r="W187" s="86"/>
      <x:c r="X187" s="86"/>
      <x:c r="Y187" s="86"/>
      <x:c r="Z187" s="86"/>
    </x:row>
    <x:row r="188">
      <x:c r="A188" s="86"/>
      <x:c r="B188" s="86"/>
      <x:c r="C188" s="86"/>
      <x:c r="D188" s="86"/>
      <x:c r="E188" s="86"/>
      <x:c r="F188" s="86"/>
      <x:c r="G188" s="86"/>
      <x:c r="H188" s="86"/>
      <x:c r="I188" s="86"/>
      <x:c r="J188" s="86"/>
      <x:c r="K188" s="86"/>
      <x:c r="L188" s="86"/>
      <x:c r="M188" s="86"/>
      <x:c r="N188" s="86"/>
      <x:c r="O188" s="86"/>
      <x:c r="P188" s="86"/>
      <x:c r="Q188" s="86"/>
      <x:c r="R188" s="86"/>
      <x:c r="S188" s="86"/>
      <x:c r="T188" s="86"/>
      <x:c r="U188" s="86"/>
      <x:c r="V188" s="86"/>
      <x:c r="W188" s="86"/>
      <x:c r="X188" s="86"/>
      <x:c r="Y188" s="86"/>
      <x:c r="Z188" s="86"/>
    </x:row>
    <x:row r="189">
      <x:c r="A189" s="86"/>
      <x:c r="B189" s="86"/>
      <x:c r="C189" s="86"/>
      <x:c r="D189" s="86"/>
      <x:c r="E189" s="86"/>
      <x:c r="F189" s="86"/>
      <x:c r="G189" s="86"/>
      <x:c r="H189" s="86"/>
      <x:c r="I189" s="86"/>
      <x:c r="J189" s="86"/>
      <x:c r="K189" s="86"/>
      <x:c r="L189" s="86"/>
      <x:c r="M189" s="86"/>
      <x:c r="N189" s="86"/>
      <x:c r="O189" s="86"/>
      <x:c r="P189" s="86"/>
      <x:c r="Q189" s="86"/>
      <x:c r="R189" s="86"/>
      <x:c r="S189" s="86"/>
      <x:c r="T189" s="86"/>
      <x:c r="U189" s="86"/>
      <x:c r="V189" s="86"/>
      <x:c r="W189" s="86"/>
      <x:c r="X189" s="86"/>
      <x:c r="Y189" s="86"/>
      <x:c r="Z189" s="86"/>
    </x:row>
    <x:row r="190">
      <x:c r="A190" s="86"/>
      <x:c r="B190" s="86"/>
      <x:c r="C190" s="86"/>
      <x:c r="D190" s="86"/>
      <x:c r="E190" s="86"/>
      <x:c r="F190" s="86"/>
      <x:c r="G190" s="86"/>
      <x:c r="H190" s="86"/>
      <x:c r="I190" s="86"/>
      <x:c r="J190" s="86"/>
      <x:c r="K190" s="86"/>
      <x:c r="L190" s="86"/>
      <x:c r="M190" s="86"/>
      <x:c r="N190" s="86"/>
      <x:c r="O190" s="86"/>
      <x:c r="P190" s="86"/>
      <x:c r="Q190" s="86"/>
      <x:c r="R190" s="86"/>
      <x:c r="S190" s="86"/>
      <x:c r="T190" s="86"/>
      <x:c r="U190" s="86"/>
      <x:c r="V190" s="86"/>
      <x:c r="W190" s="86"/>
      <x:c r="X190" s="86"/>
      <x:c r="Y190" s="86"/>
      <x:c r="Z190" s="86"/>
    </x:row>
    <x:row r="191">
      <x:c r="A191" s="86"/>
      <x:c r="B191" s="86"/>
      <x:c r="C191" s="86"/>
      <x:c r="D191" s="86"/>
      <x:c r="E191" s="86"/>
      <x:c r="F191" s="86"/>
      <x:c r="G191" s="86"/>
      <x:c r="H191" s="86"/>
      <x:c r="I191" s="86"/>
      <x:c r="J191" s="86"/>
      <x:c r="K191" s="86"/>
      <x:c r="L191" s="86"/>
      <x:c r="M191" s="86"/>
      <x:c r="N191" s="86"/>
      <x:c r="O191" s="86"/>
      <x:c r="P191" s="86"/>
      <x:c r="Q191" s="86"/>
      <x:c r="R191" s="86"/>
      <x:c r="S191" s="86"/>
      <x:c r="T191" s="86"/>
      <x:c r="U191" s="86"/>
      <x:c r="V191" s="86"/>
      <x:c r="W191" s="86"/>
      <x:c r="X191" s="86"/>
      <x:c r="Y191" s="86"/>
      <x:c r="Z191" s="86"/>
    </x:row>
    <x:row r="192">
      <x:c r="A192" s="86"/>
      <x:c r="B192" s="86"/>
      <x:c r="C192" s="86"/>
      <x:c r="D192" s="86"/>
      <x:c r="E192" s="86"/>
      <x:c r="F192" s="86"/>
      <x:c r="G192" s="86"/>
      <x:c r="H192" s="86"/>
      <x:c r="I192" s="86"/>
      <x:c r="J192" s="86"/>
      <x:c r="K192" s="86"/>
      <x:c r="L192" s="86"/>
      <x:c r="M192" s="86"/>
      <x:c r="N192" s="86"/>
      <x:c r="O192" s="86"/>
      <x:c r="P192" s="86"/>
      <x:c r="Q192" s="86"/>
      <x:c r="R192" s="86"/>
      <x:c r="S192" s="86"/>
      <x:c r="T192" s="86"/>
      <x:c r="U192" s="86"/>
      <x:c r="V192" s="86"/>
      <x:c r="W192" s="86"/>
      <x:c r="X192" s="86"/>
      <x:c r="Y192" s="86"/>
      <x:c r="Z192" s="86"/>
    </x:row>
    <x:row r="193">
      <x:c r="A193" s="86"/>
      <x:c r="B193" s="86"/>
      <x:c r="C193" s="86"/>
      <x:c r="D193" s="86"/>
      <x:c r="E193" s="86"/>
      <x:c r="F193" s="86"/>
      <x:c r="G193" s="86"/>
      <x:c r="H193" s="86"/>
      <x:c r="I193" s="86"/>
      <x:c r="J193" s="86"/>
      <x:c r="K193" s="86"/>
      <x:c r="L193" s="86"/>
      <x:c r="M193" s="86"/>
      <x:c r="N193" s="86"/>
      <x:c r="O193" s="86"/>
      <x:c r="P193" s="86"/>
      <x:c r="Q193" s="86"/>
      <x:c r="R193" s="86"/>
      <x:c r="S193" s="86"/>
      <x:c r="T193" s="86"/>
      <x:c r="U193" s="86"/>
      <x:c r="V193" s="86"/>
      <x:c r="W193" s="86"/>
      <x:c r="X193" s="86"/>
      <x:c r="Y193" s="86"/>
      <x:c r="Z193" s="86"/>
    </x:row>
    <x:row r="194">
      <x:c r="A194" s="86"/>
      <x:c r="B194" s="86"/>
      <x:c r="C194" s="86"/>
      <x:c r="D194" s="86"/>
      <x:c r="E194" s="86"/>
      <x:c r="F194" s="86"/>
      <x:c r="G194" s="86"/>
      <x:c r="H194" s="86"/>
      <x:c r="I194" s="86"/>
      <x:c r="J194" s="86"/>
      <x:c r="K194" s="86"/>
      <x:c r="L194" s="86"/>
      <x:c r="M194" s="86"/>
      <x:c r="N194" s="86"/>
      <x:c r="O194" s="86"/>
      <x:c r="P194" s="86"/>
      <x:c r="Q194" s="86"/>
      <x:c r="R194" s="86"/>
      <x:c r="S194" s="86"/>
      <x:c r="T194" s="86"/>
      <x:c r="U194" s="86"/>
      <x:c r="V194" s="86"/>
      <x:c r="W194" s="86"/>
      <x:c r="X194" s="86"/>
      <x:c r="Y194" s="86"/>
      <x:c r="Z194" s="86"/>
    </x:row>
    <x:row r="195">
      <x:c r="A195" s="86"/>
      <x:c r="B195" s="86"/>
      <x:c r="C195" s="86"/>
      <x:c r="D195" s="86"/>
      <x:c r="E195" s="86"/>
      <x:c r="F195" s="86"/>
      <x:c r="G195" s="86"/>
      <x:c r="H195" s="86"/>
      <x:c r="I195" s="86"/>
      <x:c r="J195" s="86"/>
      <x:c r="K195" s="86"/>
      <x:c r="L195" s="86"/>
      <x:c r="M195" s="86"/>
      <x:c r="N195" s="86"/>
      <x:c r="O195" s="86"/>
      <x:c r="P195" s="86"/>
      <x:c r="Q195" s="86"/>
      <x:c r="R195" s="86"/>
      <x:c r="S195" s="86"/>
      <x:c r="T195" s="86"/>
      <x:c r="U195" s="86"/>
      <x:c r="V195" s="86"/>
      <x:c r="W195" s="86"/>
      <x:c r="X195" s="86"/>
      <x:c r="Y195" s="86"/>
      <x:c r="Z195" s="86"/>
    </x:row>
    <x:row r="196">
      <x:c r="A196" s="86"/>
      <x:c r="B196" s="86"/>
      <x:c r="C196" s="86"/>
      <x:c r="D196" s="86"/>
      <x:c r="E196" s="86"/>
      <x:c r="F196" s="86"/>
      <x:c r="G196" s="86"/>
      <x:c r="H196" s="86"/>
      <x:c r="I196" s="86"/>
      <x:c r="J196" s="86"/>
      <x:c r="K196" s="86"/>
      <x:c r="L196" s="86"/>
      <x:c r="M196" s="86"/>
      <x:c r="N196" s="86"/>
      <x:c r="O196" s="86"/>
      <x:c r="P196" s="86"/>
      <x:c r="Q196" s="86"/>
      <x:c r="R196" s="86"/>
      <x:c r="S196" s="86"/>
      <x:c r="T196" s="86"/>
      <x:c r="U196" s="86"/>
      <x:c r="V196" s="86"/>
      <x:c r="W196" s="86"/>
      <x:c r="X196" s="86"/>
      <x:c r="Y196" s="86"/>
      <x:c r="Z196" s="86"/>
    </x:row>
    <x:row r="197">
      <x:c r="A197" s="86"/>
      <x:c r="B197" s="86"/>
      <x:c r="C197" s="86"/>
      <x:c r="D197" s="86"/>
      <x:c r="E197" s="86"/>
      <x:c r="F197" s="86"/>
      <x:c r="G197" s="86"/>
      <x:c r="H197" s="86"/>
      <x:c r="I197" s="86"/>
      <x:c r="J197" s="86"/>
      <x:c r="K197" s="86"/>
      <x:c r="L197" s="86"/>
      <x:c r="M197" s="86"/>
      <x:c r="N197" s="86"/>
      <x:c r="O197" s="86"/>
      <x:c r="P197" s="86"/>
      <x:c r="Q197" s="86"/>
      <x:c r="R197" s="86"/>
      <x:c r="S197" s="86"/>
      <x:c r="T197" s="86"/>
      <x:c r="U197" s="86"/>
      <x:c r="V197" s="86"/>
      <x:c r="W197" s="86"/>
      <x:c r="X197" s="86"/>
      <x:c r="Y197" s="86"/>
      <x:c r="Z197" s="86"/>
    </x:row>
    <x:row r="198">
      <x:c r="A198" s="86"/>
      <x:c r="B198" s="86"/>
      <x:c r="C198" s="86"/>
      <x:c r="D198" s="86"/>
      <x:c r="E198" s="86"/>
      <x:c r="F198" s="86"/>
      <x:c r="G198" s="86"/>
      <x:c r="H198" s="86"/>
      <x:c r="I198" s="86"/>
      <x:c r="J198" s="86"/>
      <x:c r="K198" s="86"/>
      <x:c r="L198" s="86"/>
      <x:c r="M198" s="86"/>
      <x:c r="N198" s="86"/>
      <x:c r="O198" s="86"/>
      <x:c r="P198" s="86"/>
      <x:c r="Q198" s="86"/>
      <x:c r="R198" s="86"/>
      <x:c r="S198" s="86"/>
      <x:c r="T198" s="86"/>
      <x:c r="U198" s="86"/>
      <x:c r="V198" s="86"/>
      <x:c r="W198" s="86"/>
      <x:c r="X198" s="86"/>
      <x:c r="Y198" s="86"/>
      <x:c r="Z198" s="86"/>
    </x:row>
    <x:row r="199">
      <x:c r="A199" s="86"/>
      <x:c r="B199" s="86"/>
      <x:c r="C199" s="86"/>
      <x:c r="D199" s="86"/>
      <x:c r="E199" s="86"/>
      <x:c r="F199" s="86"/>
      <x:c r="G199" s="86"/>
      <x:c r="H199" s="86"/>
      <x:c r="I199" s="86"/>
      <x:c r="J199" s="86"/>
      <x:c r="K199" s="86"/>
      <x:c r="L199" s="86"/>
      <x:c r="M199" s="86"/>
      <x:c r="N199" s="86"/>
      <x:c r="O199" s="86"/>
      <x:c r="P199" s="86"/>
      <x:c r="Q199" s="86"/>
      <x:c r="R199" s="86"/>
      <x:c r="S199" s="86"/>
      <x:c r="T199" s="86"/>
      <x:c r="U199" s="86"/>
      <x:c r="V199" s="86"/>
      <x:c r="W199" s="86"/>
      <x:c r="X199" s="86"/>
      <x:c r="Y199" s="86"/>
      <x:c r="Z199" s="86"/>
    </x:row>
    <x:row r="200">
      <x:c r="A200" s="86"/>
      <x:c r="B200" s="86"/>
      <x:c r="C200" s="86"/>
      <x:c r="D200" s="86"/>
      <x:c r="E200" s="86"/>
      <x:c r="F200" s="86"/>
      <x:c r="G200" s="86"/>
      <x:c r="H200" s="86"/>
      <x:c r="I200" s="86"/>
      <x:c r="J200" s="86"/>
      <x:c r="K200" s="86"/>
      <x:c r="L200" s="86"/>
      <x:c r="M200" s="86"/>
      <x:c r="N200" s="86"/>
      <x:c r="O200" s="86"/>
      <x:c r="P200" s="86"/>
      <x:c r="Q200" s="86"/>
      <x:c r="R200" s="86"/>
      <x:c r="S200" s="86"/>
      <x:c r="T200" s="86"/>
      <x:c r="U200" s="86"/>
      <x:c r="V200" s="86"/>
      <x:c r="W200" s="86"/>
      <x:c r="X200" s="86"/>
      <x:c r="Y200" s="86"/>
      <x:c r="Z200" s="86"/>
    </x:row>
    <x:row r="201">
      <x:c r="A201" s="86"/>
      <x:c r="B201" s="86"/>
      <x:c r="C201" s="86"/>
      <x:c r="D201" s="86"/>
      <x:c r="E201" s="86"/>
      <x:c r="F201" s="86"/>
      <x:c r="G201" s="86"/>
      <x:c r="H201" s="86"/>
      <x:c r="I201" s="86"/>
      <x:c r="J201" s="86"/>
      <x:c r="K201" s="86"/>
      <x:c r="L201" s="86"/>
      <x:c r="M201" s="86"/>
      <x:c r="N201" s="86"/>
      <x:c r="O201" s="86"/>
      <x:c r="P201" s="86"/>
      <x:c r="Q201" s="86"/>
      <x:c r="R201" s="86"/>
      <x:c r="S201" s="86"/>
      <x:c r="T201" s="86"/>
      <x:c r="U201" s="86"/>
      <x:c r="V201" s="86"/>
      <x:c r="W201" s="86"/>
      <x:c r="X201" s="86"/>
      <x:c r="Y201" s="86"/>
      <x:c r="Z201" s="86"/>
    </x:row>
    <x:row r="202">
      <x:c r="A202" s="86"/>
      <x:c r="B202" s="86"/>
      <x:c r="C202" s="86"/>
      <x:c r="D202" s="86"/>
      <x:c r="E202" s="86"/>
      <x:c r="F202" s="86"/>
      <x:c r="G202" s="86"/>
      <x:c r="H202" s="86"/>
      <x:c r="I202" s="86"/>
      <x:c r="J202" s="86"/>
      <x:c r="K202" s="86"/>
      <x:c r="L202" s="86"/>
      <x:c r="M202" s="86"/>
      <x:c r="N202" s="86"/>
      <x:c r="O202" s="86"/>
      <x:c r="P202" s="86"/>
      <x:c r="Q202" s="86"/>
      <x:c r="R202" s="86"/>
      <x:c r="S202" s="86"/>
      <x:c r="T202" s="86"/>
      <x:c r="U202" s="86"/>
      <x:c r="V202" s="86"/>
      <x:c r="W202" s="86"/>
      <x:c r="X202" s="86"/>
      <x:c r="Y202" s="86"/>
      <x:c r="Z202" s="86"/>
    </x:row>
    <x:row r="203">
      <x:c r="A203" s="86"/>
      <x:c r="B203" s="86"/>
      <x:c r="C203" s="86"/>
      <x:c r="D203" s="86"/>
      <x:c r="E203" s="86"/>
      <x:c r="F203" s="86"/>
      <x:c r="G203" s="86"/>
      <x:c r="H203" s="86"/>
      <x:c r="I203" s="86"/>
      <x:c r="J203" s="86"/>
      <x:c r="K203" s="86"/>
      <x:c r="L203" s="86"/>
      <x:c r="M203" s="86"/>
      <x:c r="N203" s="86"/>
      <x:c r="O203" s="86"/>
      <x:c r="P203" s="86"/>
      <x:c r="Q203" s="86"/>
      <x:c r="R203" s="86"/>
      <x:c r="S203" s="86"/>
      <x:c r="T203" s="86"/>
      <x:c r="U203" s="86"/>
      <x:c r="V203" s="86"/>
      <x:c r="W203" s="86"/>
      <x:c r="X203" s="86"/>
      <x:c r="Y203" s="86"/>
      <x:c r="Z203" s="86"/>
    </x:row>
    <x:row r="204">
      <x:c r="A204" s="86"/>
      <x:c r="B204" s="86"/>
      <x:c r="C204" s="86"/>
      <x:c r="D204" s="86"/>
      <x:c r="E204" s="86"/>
      <x:c r="F204" s="86"/>
      <x:c r="G204" s="86"/>
      <x:c r="H204" s="86"/>
      <x:c r="I204" s="86"/>
      <x:c r="J204" s="86"/>
      <x:c r="K204" s="86"/>
      <x:c r="L204" s="86"/>
      <x:c r="M204" s="86"/>
      <x:c r="N204" s="86"/>
      <x:c r="O204" s="86"/>
      <x:c r="P204" s="86"/>
      <x:c r="Q204" s="86"/>
      <x:c r="R204" s="86"/>
      <x:c r="S204" s="86"/>
      <x:c r="T204" s="86"/>
      <x:c r="U204" s="86"/>
      <x:c r="V204" s="86"/>
      <x:c r="W204" s="86"/>
      <x:c r="X204" s="86"/>
      <x:c r="Y204" s="86"/>
      <x:c r="Z204" s="86"/>
    </x:row>
    <x:row r="205">
      <x:c r="A205" s="86"/>
      <x:c r="B205" s="86"/>
      <x:c r="C205" s="86"/>
      <x:c r="D205" s="86"/>
      <x:c r="E205" s="86"/>
      <x:c r="F205" s="86"/>
      <x:c r="G205" s="86"/>
      <x:c r="H205" s="86"/>
      <x:c r="I205" s="86"/>
      <x:c r="J205" s="86"/>
      <x:c r="K205" s="86"/>
      <x:c r="L205" s="86"/>
      <x:c r="M205" s="86"/>
      <x:c r="N205" s="86"/>
      <x:c r="O205" s="86"/>
      <x:c r="P205" s="86"/>
      <x:c r="Q205" s="86"/>
      <x:c r="R205" s="86"/>
      <x:c r="S205" s="86"/>
      <x:c r="T205" s="86"/>
      <x:c r="U205" s="86"/>
      <x:c r="V205" s="86"/>
      <x:c r="W205" s="86"/>
      <x:c r="X205" s="86"/>
      <x:c r="Y205" s="86"/>
      <x:c r="Z205" s="86"/>
    </x:row>
    <x:row r="206">
      <x:c r="A206" s="86"/>
      <x:c r="B206" s="86"/>
      <x:c r="C206" s="86"/>
      <x:c r="D206" s="86"/>
      <x:c r="E206" s="86"/>
      <x:c r="F206" s="86"/>
      <x:c r="G206" s="86"/>
      <x:c r="H206" s="86"/>
      <x:c r="I206" s="86"/>
      <x:c r="J206" s="86"/>
      <x:c r="K206" s="86"/>
      <x:c r="L206" s="86"/>
      <x:c r="M206" s="86"/>
      <x:c r="N206" s="86"/>
      <x:c r="O206" s="86"/>
      <x:c r="P206" s="86"/>
      <x:c r="Q206" s="86"/>
      <x:c r="R206" s="86"/>
      <x:c r="S206" s="86"/>
      <x:c r="T206" s="86"/>
      <x:c r="U206" s="86"/>
      <x:c r="V206" s="86"/>
      <x:c r="W206" s="86"/>
      <x:c r="X206" s="86"/>
      <x:c r="Y206" s="86"/>
      <x:c r="Z206" s="86"/>
    </x:row>
    <x:row r="207">
      <x:c r="A207" s="86"/>
      <x:c r="B207" s="86"/>
      <x:c r="C207" s="86"/>
      <x:c r="D207" s="86"/>
      <x:c r="E207" s="86"/>
      <x:c r="F207" s="86"/>
      <x:c r="G207" s="86"/>
      <x:c r="H207" s="86"/>
      <x:c r="I207" s="86"/>
      <x:c r="J207" s="86"/>
      <x:c r="K207" s="86"/>
      <x:c r="L207" s="86"/>
      <x:c r="M207" s="86"/>
      <x:c r="N207" s="86"/>
      <x:c r="O207" s="86"/>
      <x:c r="P207" s="86"/>
      <x:c r="Q207" s="86"/>
      <x:c r="R207" s="86"/>
      <x:c r="S207" s="86"/>
      <x:c r="T207" s="86"/>
      <x:c r="U207" s="86"/>
      <x:c r="V207" s="86"/>
      <x:c r="W207" s="86"/>
      <x:c r="X207" s="86"/>
      <x:c r="Y207" s="86"/>
      <x:c r="Z207" s="86"/>
    </x:row>
    <x:row r="208">
      <x:c r="A208" s="86"/>
      <x:c r="B208" s="86"/>
      <x:c r="C208" s="86"/>
      <x:c r="D208" s="86"/>
      <x:c r="E208" s="86"/>
      <x:c r="F208" s="86"/>
      <x:c r="G208" s="86"/>
      <x:c r="H208" s="86"/>
      <x:c r="I208" s="86"/>
      <x:c r="J208" s="86"/>
      <x:c r="K208" s="86"/>
      <x:c r="L208" s="86"/>
      <x:c r="M208" s="86"/>
      <x:c r="N208" s="86"/>
      <x:c r="O208" s="86"/>
      <x:c r="P208" s="86"/>
      <x:c r="Q208" s="86"/>
      <x:c r="R208" s="86"/>
      <x:c r="S208" s="86"/>
      <x:c r="T208" s="86"/>
      <x:c r="U208" s="86"/>
      <x:c r="V208" s="86"/>
      <x:c r="W208" s="86"/>
      <x:c r="X208" s="86"/>
      <x:c r="Y208" s="86"/>
      <x:c r="Z208" s="86"/>
    </x:row>
    <x:row r="209">
      <x:c r="A209" s="86"/>
      <x:c r="B209" s="86"/>
      <x:c r="C209" s="86"/>
      <x:c r="D209" s="86"/>
      <x:c r="E209" s="86"/>
      <x:c r="F209" s="86"/>
      <x:c r="G209" s="86"/>
      <x:c r="H209" s="86"/>
      <x:c r="I209" s="86"/>
      <x:c r="J209" s="86"/>
      <x:c r="K209" s="86"/>
      <x:c r="L209" s="86"/>
      <x:c r="M209" s="86"/>
      <x:c r="N209" s="86"/>
      <x:c r="O209" s="86"/>
      <x:c r="P209" s="86"/>
      <x:c r="Q209" s="86"/>
      <x:c r="R209" s="86"/>
      <x:c r="S209" s="86"/>
      <x:c r="T209" s="86"/>
      <x:c r="U209" s="86"/>
      <x:c r="V209" s="86"/>
      <x:c r="W209" s="86"/>
      <x:c r="X209" s="86"/>
      <x:c r="Y209" s="86"/>
      <x:c r="Z209" s="86"/>
    </x:row>
    <x:row r="210">
      <x:c r="A210" s="86"/>
      <x:c r="B210" s="86"/>
      <x:c r="C210" s="86"/>
      <x:c r="D210" s="86"/>
      <x:c r="E210" s="86"/>
      <x:c r="F210" s="86"/>
      <x:c r="G210" s="86"/>
      <x:c r="H210" s="86"/>
      <x:c r="I210" s="86"/>
      <x:c r="J210" s="86"/>
      <x:c r="K210" s="86"/>
      <x:c r="L210" s="86"/>
      <x:c r="M210" s="86"/>
      <x:c r="N210" s="86"/>
      <x:c r="O210" s="86"/>
      <x:c r="P210" s="86"/>
      <x:c r="Q210" s="86"/>
      <x:c r="R210" s="86"/>
      <x:c r="S210" s="86"/>
      <x:c r="T210" s="86"/>
      <x:c r="U210" s="86"/>
      <x:c r="V210" s="86"/>
      <x:c r="W210" s="86"/>
      <x:c r="X210" s="86"/>
      <x:c r="Y210" s="86"/>
      <x:c r="Z210" s="86"/>
    </x:row>
    <x:row r="211">
      <x:c r="A211" s="86"/>
      <x:c r="B211" s="86"/>
      <x:c r="C211" s="86"/>
      <x:c r="D211" s="86"/>
      <x:c r="E211" s="86"/>
      <x:c r="F211" s="86"/>
      <x:c r="G211" s="86"/>
      <x:c r="H211" s="86"/>
      <x:c r="I211" s="86"/>
      <x:c r="J211" s="86"/>
      <x:c r="K211" s="86"/>
      <x:c r="L211" s="86"/>
      <x:c r="M211" s="86"/>
      <x:c r="N211" s="86"/>
      <x:c r="O211" s="86"/>
      <x:c r="P211" s="86"/>
      <x:c r="Q211" s="86"/>
      <x:c r="R211" s="86"/>
      <x:c r="S211" s="86"/>
      <x:c r="T211" s="86"/>
      <x:c r="U211" s="86"/>
      <x:c r="V211" s="86"/>
      <x:c r="W211" s="86"/>
      <x:c r="X211" s="86"/>
      <x:c r="Y211" s="86"/>
      <x:c r="Z211" s="86"/>
    </x:row>
    <x:row r="212">
      <x:c r="A212" s="86"/>
      <x:c r="B212" s="86"/>
      <x:c r="C212" s="86"/>
      <x:c r="D212" s="86"/>
      <x:c r="E212" s="86"/>
      <x:c r="F212" s="86"/>
      <x:c r="G212" s="86"/>
      <x:c r="H212" s="86"/>
      <x:c r="I212" s="86"/>
      <x:c r="J212" s="86"/>
      <x:c r="K212" s="86"/>
      <x:c r="L212" s="86"/>
      <x:c r="M212" s="86"/>
      <x:c r="N212" s="86"/>
      <x:c r="O212" s="86"/>
      <x:c r="P212" s="86"/>
      <x:c r="Q212" s="86"/>
      <x:c r="R212" s="86"/>
      <x:c r="S212" s="86"/>
      <x:c r="T212" s="86"/>
      <x:c r="U212" s="86"/>
      <x:c r="V212" s="86"/>
      <x:c r="W212" s="86"/>
      <x:c r="X212" s="86"/>
      <x:c r="Y212" s="86"/>
      <x:c r="Z212" s="86"/>
    </x:row>
    <x:row r="213">
      <x:c r="A213" s="86"/>
      <x:c r="B213" s="86"/>
      <x:c r="C213" s="86"/>
      <x:c r="D213" s="86"/>
      <x:c r="E213" s="86"/>
      <x:c r="F213" s="86"/>
      <x:c r="G213" s="86"/>
      <x:c r="H213" s="86"/>
      <x:c r="I213" s="86"/>
      <x:c r="J213" s="86"/>
      <x:c r="K213" s="86"/>
      <x:c r="L213" s="86"/>
      <x:c r="M213" s="86"/>
      <x:c r="N213" s="86"/>
      <x:c r="O213" s="86"/>
      <x:c r="P213" s="86"/>
      <x:c r="Q213" s="86"/>
      <x:c r="R213" s="86"/>
      <x:c r="S213" s="86"/>
      <x:c r="T213" s="86"/>
      <x:c r="U213" s="86"/>
      <x:c r="V213" s="86"/>
      <x:c r="W213" s="86"/>
      <x:c r="X213" s="86"/>
      <x:c r="Y213" s="86"/>
      <x:c r="Z213" s="86"/>
    </x:row>
    <x:row r="214">
      <x:c r="A214" s="86"/>
      <x:c r="B214" s="86"/>
      <x:c r="C214" s="86"/>
      <x:c r="D214" s="86"/>
      <x:c r="E214" s="86"/>
      <x:c r="F214" s="86"/>
      <x:c r="G214" s="86"/>
      <x:c r="H214" s="86"/>
      <x:c r="I214" s="86"/>
      <x:c r="J214" s="86"/>
      <x:c r="K214" s="86"/>
      <x:c r="L214" s="86"/>
      <x:c r="M214" s="86"/>
      <x:c r="N214" s="86"/>
      <x:c r="O214" s="86"/>
      <x:c r="P214" s="86"/>
      <x:c r="Q214" s="86"/>
      <x:c r="R214" s="86"/>
      <x:c r="S214" s="86"/>
      <x:c r="T214" s="86"/>
      <x:c r="U214" s="86"/>
      <x:c r="V214" s="86"/>
      <x:c r="W214" s="86"/>
      <x:c r="X214" s="86"/>
      <x:c r="Y214" s="86"/>
      <x:c r="Z214" s="86"/>
    </x:row>
    <x:row r="215">
      <x:c r="A215" s="86"/>
      <x:c r="B215" s="86"/>
      <x:c r="C215" s="86"/>
      <x:c r="D215" s="86"/>
      <x:c r="E215" s="86"/>
      <x:c r="F215" s="86"/>
      <x:c r="G215" s="86"/>
      <x:c r="H215" s="86"/>
      <x:c r="I215" s="86"/>
      <x:c r="J215" s="86"/>
      <x:c r="K215" s="86"/>
      <x:c r="L215" s="86"/>
      <x:c r="M215" s="86"/>
      <x:c r="N215" s="86"/>
      <x:c r="O215" s="86"/>
      <x:c r="P215" s="86"/>
      <x:c r="Q215" s="86"/>
      <x:c r="R215" s="86"/>
      <x:c r="S215" s="86"/>
      <x:c r="T215" s="86"/>
      <x:c r="U215" s="86"/>
      <x:c r="V215" s="86"/>
      <x:c r="W215" s="86"/>
      <x:c r="X215" s="86"/>
      <x:c r="Y215" s="86"/>
      <x:c r="Z215" s="86"/>
    </x:row>
    <x:row r="216">
      <x:c r="A216" s="86"/>
      <x:c r="B216" s="86"/>
      <x:c r="C216" s="86"/>
      <x:c r="D216" s="86"/>
      <x:c r="E216" s="86"/>
      <x:c r="F216" s="86"/>
      <x:c r="G216" s="86"/>
      <x:c r="H216" s="86"/>
      <x:c r="I216" s="86"/>
      <x:c r="J216" s="86"/>
      <x:c r="K216" s="86"/>
      <x:c r="L216" s="86"/>
      <x:c r="M216" s="86"/>
      <x:c r="N216" s="86"/>
      <x:c r="O216" s="86"/>
      <x:c r="P216" s="86"/>
      <x:c r="Q216" s="86"/>
      <x:c r="R216" s="86"/>
      <x:c r="S216" s="86"/>
      <x:c r="T216" s="86"/>
      <x:c r="U216" s="86"/>
      <x:c r="V216" s="86"/>
      <x:c r="W216" s="86"/>
      <x:c r="X216" s="86"/>
      <x:c r="Y216" s="86"/>
      <x:c r="Z216" s="86"/>
    </x:row>
    <x:row r="217">
      <x:c r="A217" s="86"/>
      <x:c r="B217" s="86"/>
      <x:c r="C217" s="86"/>
      <x:c r="D217" s="86"/>
      <x:c r="E217" s="86"/>
      <x:c r="F217" s="86"/>
      <x:c r="G217" s="86"/>
      <x:c r="H217" s="86"/>
      <x:c r="I217" s="86"/>
      <x:c r="J217" s="86"/>
      <x:c r="K217" s="86"/>
      <x:c r="L217" s="86"/>
      <x:c r="M217" s="86"/>
      <x:c r="N217" s="86"/>
      <x:c r="O217" s="86"/>
      <x:c r="P217" s="86"/>
      <x:c r="Q217" s="86"/>
      <x:c r="R217" s="86"/>
      <x:c r="S217" s="86"/>
      <x:c r="T217" s="86"/>
      <x:c r="U217" s="86"/>
      <x:c r="V217" s="86"/>
      <x:c r="W217" s="86"/>
      <x:c r="X217" s="86"/>
      <x:c r="Y217" s="86"/>
      <x:c r="Z217" s="86"/>
    </x:row>
    <x:row r="218">
      <x:c r="A218" s="86"/>
      <x:c r="B218" s="86"/>
      <x:c r="C218" s="86"/>
      <x:c r="D218" s="86"/>
      <x:c r="E218" s="86"/>
      <x:c r="F218" s="86"/>
      <x:c r="G218" s="86"/>
      <x:c r="H218" s="86"/>
      <x:c r="I218" s="86"/>
      <x:c r="J218" s="86"/>
      <x:c r="K218" s="86"/>
      <x:c r="L218" s="86"/>
      <x:c r="M218" s="86"/>
      <x:c r="N218" s="86"/>
      <x:c r="O218" s="86"/>
      <x:c r="P218" s="86"/>
      <x:c r="Q218" s="86"/>
      <x:c r="R218" s="86"/>
      <x:c r="S218" s="86"/>
      <x:c r="T218" s="86"/>
      <x:c r="U218" s="86"/>
      <x:c r="V218" s="86"/>
      <x:c r="W218" s="86"/>
      <x:c r="X218" s="86"/>
      <x:c r="Y218" s="86"/>
      <x:c r="Z218" s="86"/>
    </x:row>
    <x:row r="219">
      <x:c r="A219" s="86"/>
      <x:c r="B219" s="86"/>
      <x:c r="C219" s="86"/>
      <x:c r="D219" s="86"/>
      <x:c r="E219" s="86"/>
      <x:c r="F219" s="86"/>
      <x:c r="G219" s="86"/>
      <x:c r="H219" s="86"/>
      <x:c r="I219" s="86"/>
      <x:c r="J219" s="86"/>
      <x:c r="K219" s="86"/>
      <x:c r="L219" s="86"/>
      <x:c r="M219" s="86"/>
      <x:c r="N219" s="86"/>
      <x:c r="O219" s="86"/>
      <x:c r="P219" s="86"/>
      <x:c r="Q219" s="86"/>
      <x:c r="R219" s="86"/>
      <x:c r="S219" s="86"/>
      <x:c r="T219" s="86"/>
      <x:c r="U219" s="86"/>
      <x:c r="V219" s="86"/>
      <x:c r="W219" s="86"/>
      <x:c r="X219" s="86"/>
      <x:c r="Y219" s="86"/>
      <x:c r="Z219" s="86"/>
    </x:row>
    <x:row r="220">
      <x:c r="A220" s="86"/>
      <x:c r="B220" s="86"/>
      <x:c r="C220" s="86"/>
      <x:c r="D220" s="86"/>
      <x:c r="E220" s="86"/>
      <x:c r="F220" s="86"/>
      <x:c r="G220" s="86"/>
      <x:c r="H220" s="86"/>
      <x:c r="I220" s="86"/>
      <x:c r="J220" s="86"/>
      <x:c r="K220" s="86"/>
      <x:c r="L220" s="86"/>
      <x:c r="M220" s="86"/>
      <x:c r="N220" s="86"/>
      <x:c r="O220" s="86"/>
      <x:c r="P220" s="86"/>
      <x:c r="Q220" s="86"/>
      <x:c r="R220" s="86"/>
      <x:c r="S220" s="86"/>
      <x:c r="T220" s="86"/>
      <x:c r="U220" s="86"/>
      <x:c r="V220" s="86"/>
      <x:c r="W220" s="86"/>
      <x:c r="X220" s="86"/>
      <x:c r="Y220" s="86"/>
      <x:c r="Z220" s="86"/>
    </x:row>
    <x:row r="221">
      <x:c r="A221" s="86"/>
      <x:c r="B221" s="86"/>
      <x:c r="C221" s="86"/>
      <x:c r="D221" s="86"/>
      <x:c r="E221" s="86"/>
      <x:c r="F221" s="86"/>
      <x:c r="G221" s="86"/>
      <x:c r="H221" s="86"/>
      <x:c r="I221" s="86"/>
      <x:c r="J221" s="86"/>
      <x:c r="K221" s="86"/>
      <x:c r="L221" s="86"/>
      <x:c r="M221" s="86"/>
      <x:c r="N221" s="86"/>
      <x:c r="O221" s="86"/>
      <x:c r="P221" s="86"/>
      <x:c r="Q221" s="86"/>
      <x:c r="R221" s="86"/>
      <x:c r="S221" s="86"/>
      <x:c r="T221" s="86"/>
      <x:c r="U221" s="86"/>
      <x:c r="V221" s="86"/>
      <x:c r="W221" s="86"/>
      <x:c r="X221" s="86"/>
      <x:c r="Y221" s="86"/>
      <x:c r="Z221" s="86"/>
    </x:row>
    <x:row r="222">
      <x:c r="A222" s="86"/>
      <x:c r="B222" s="86"/>
      <x:c r="C222" s="86"/>
      <x:c r="D222" s="86"/>
      <x:c r="E222" s="86"/>
      <x:c r="F222" s="86"/>
      <x:c r="G222" s="86"/>
      <x:c r="H222" s="86"/>
      <x:c r="I222" s="86"/>
      <x:c r="J222" s="86"/>
      <x:c r="K222" s="86"/>
      <x:c r="L222" s="86"/>
      <x:c r="M222" s="86"/>
      <x:c r="N222" s="86"/>
      <x:c r="O222" s="86"/>
      <x:c r="P222" s="86"/>
      <x:c r="Q222" s="86"/>
      <x:c r="R222" s="86"/>
      <x:c r="S222" s="86"/>
      <x:c r="T222" s="86"/>
      <x:c r="U222" s="86"/>
      <x:c r="V222" s="86"/>
      <x:c r="W222" s="86"/>
      <x:c r="X222" s="86"/>
      <x:c r="Y222" s="86"/>
      <x:c r="Z222" s="86"/>
    </x:row>
    <x:row r="223">
      <x:c r="A223" s="86"/>
      <x:c r="B223" s="86"/>
      <x:c r="C223" s="86"/>
      <x:c r="D223" s="86"/>
      <x:c r="E223" s="86"/>
      <x:c r="F223" s="86"/>
      <x:c r="G223" s="86"/>
      <x:c r="H223" s="86"/>
      <x:c r="I223" s="86"/>
      <x:c r="J223" s="86"/>
      <x:c r="K223" s="86"/>
      <x:c r="L223" s="86"/>
      <x:c r="M223" s="86"/>
      <x:c r="N223" s="86"/>
      <x:c r="O223" s="86"/>
      <x:c r="P223" s="86"/>
      <x:c r="Q223" s="86"/>
      <x:c r="R223" s="86"/>
      <x:c r="S223" s="86"/>
      <x:c r="T223" s="86"/>
      <x:c r="U223" s="86"/>
      <x:c r="V223" s="86"/>
      <x:c r="W223" s="86"/>
      <x:c r="X223" s="86"/>
      <x:c r="Y223" s="86"/>
      <x:c r="Z223" s="86"/>
    </x:row>
    <x:row r="224">
      <x:c r="A224" s="86"/>
      <x:c r="B224" s="86"/>
      <x:c r="C224" s="86"/>
      <x:c r="D224" s="86"/>
      <x:c r="E224" s="86"/>
      <x:c r="F224" s="86"/>
      <x:c r="G224" s="86"/>
      <x:c r="H224" s="86"/>
      <x:c r="I224" s="86"/>
      <x:c r="J224" s="86"/>
      <x:c r="K224" s="86"/>
      <x:c r="L224" s="86"/>
      <x:c r="M224" s="86"/>
      <x:c r="N224" s="86"/>
      <x:c r="O224" s="86"/>
      <x:c r="P224" s="86"/>
      <x:c r="Q224" s="86"/>
      <x:c r="R224" s="86"/>
      <x:c r="S224" s="86"/>
      <x:c r="T224" s="86"/>
      <x:c r="U224" s="86"/>
      <x:c r="V224" s="86"/>
      <x:c r="W224" s="86"/>
      <x:c r="X224" s="86"/>
      <x:c r="Y224" s="86"/>
      <x:c r="Z224" s="86"/>
    </x:row>
    <x:row r="225">
      <x:c r="A225" s="86"/>
      <x:c r="B225" s="86"/>
      <x:c r="C225" s="86"/>
      <x:c r="D225" s="86"/>
      <x:c r="E225" s="86"/>
      <x:c r="F225" s="86"/>
      <x:c r="G225" s="86"/>
      <x:c r="H225" s="86"/>
      <x:c r="I225" s="86"/>
      <x:c r="J225" s="86"/>
      <x:c r="K225" s="86"/>
      <x:c r="L225" s="86"/>
      <x:c r="M225" s="86"/>
      <x:c r="N225" s="86"/>
      <x:c r="O225" s="86"/>
      <x:c r="P225" s="86"/>
      <x:c r="Q225" s="86"/>
      <x:c r="R225" s="86"/>
      <x:c r="S225" s="86"/>
      <x:c r="T225" s="86"/>
      <x:c r="U225" s="86"/>
      <x:c r="V225" s="86"/>
      <x:c r="W225" s="86"/>
      <x:c r="X225" s="86"/>
      <x:c r="Y225" s="86"/>
      <x:c r="Z225" s="86"/>
    </x:row>
    <x:row r="226">
      <x:c r="A226" s="86"/>
      <x:c r="B226" s="86"/>
      <x:c r="C226" s="86"/>
      <x:c r="D226" s="86"/>
      <x:c r="E226" s="86"/>
      <x:c r="F226" s="86"/>
      <x:c r="G226" s="86"/>
      <x:c r="H226" s="86"/>
      <x:c r="I226" s="86"/>
      <x:c r="J226" s="86"/>
      <x:c r="K226" s="86"/>
      <x:c r="L226" s="86"/>
      <x:c r="M226" s="86"/>
      <x:c r="N226" s="86"/>
      <x:c r="O226" s="86"/>
      <x:c r="P226" s="86"/>
      <x:c r="Q226" s="86"/>
      <x:c r="R226" s="86"/>
      <x:c r="S226" s="86"/>
      <x:c r="T226" s="86"/>
      <x:c r="U226" s="86"/>
      <x:c r="V226" s="86"/>
      <x:c r="W226" s="86"/>
      <x:c r="X226" s="86"/>
      <x:c r="Y226" s="86"/>
      <x:c r="Z226" s="86"/>
    </x:row>
    <x:row r="227">
      <x:c r="A227" s="86"/>
      <x:c r="B227" s="86"/>
      <x:c r="C227" s="86"/>
      <x:c r="D227" s="86"/>
      <x:c r="E227" s="86"/>
      <x:c r="F227" s="86"/>
      <x:c r="G227" s="86"/>
      <x:c r="H227" s="86"/>
      <x:c r="I227" s="86"/>
      <x:c r="J227" s="86"/>
      <x:c r="K227" s="86"/>
      <x:c r="L227" s="86"/>
      <x:c r="M227" s="86"/>
      <x:c r="N227" s="86"/>
      <x:c r="O227" s="86"/>
      <x:c r="P227" s="86"/>
      <x:c r="Q227" s="86"/>
      <x:c r="R227" s="86"/>
      <x:c r="S227" s="86"/>
      <x:c r="T227" s="86"/>
      <x:c r="U227" s="86"/>
      <x:c r="V227" s="86"/>
      <x:c r="W227" s="86"/>
      <x:c r="X227" s="86"/>
      <x:c r="Y227" s="86"/>
      <x:c r="Z227" s="86"/>
    </x:row>
    <x:row r="228">
      <x:c r="A228" s="86"/>
      <x:c r="B228" s="86"/>
      <x:c r="C228" s="86"/>
      <x:c r="D228" s="86"/>
      <x:c r="E228" s="86"/>
      <x:c r="F228" s="86"/>
      <x:c r="G228" s="86"/>
      <x:c r="H228" s="86"/>
      <x:c r="I228" s="86"/>
      <x:c r="J228" s="86"/>
      <x:c r="K228" s="86"/>
      <x:c r="L228" s="86"/>
      <x:c r="M228" s="86"/>
      <x:c r="N228" s="86"/>
      <x:c r="O228" s="86"/>
      <x:c r="P228" s="86"/>
      <x:c r="Q228" s="86"/>
      <x:c r="R228" s="86"/>
      <x:c r="S228" s="86"/>
      <x:c r="T228" s="86"/>
      <x:c r="U228" s="86"/>
      <x:c r="V228" s="86"/>
      <x:c r="W228" s="86"/>
      <x:c r="X228" s="86"/>
      <x:c r="Y228" s="86"/>
      <x:c r="Z228" s="86"/>
    </x:row>
    <x:row r="229">
      <x:c r="A229" s="86"/>
      <x:c r="B229" s="86"/>
      <x:c r="C229" s="86"/>
      <x:c r="D229" s="86"/>
      <x:c r="E229" s="86"/>
      <x:c r="F229" s="86"/>
      <x:c r="G229" s="86"/>
      <x:c r="H229" s="86"/>
      <x:c r="I229" s="86"/>
      <x:c r="J229" s="86"/>
      <x:c r="K229" s="86"/>
      <x:c r="L229" s="86"/>
      <x:c r="M229" s="86"/>
      <x:c r="N229" s="86"/>
      <x:c r="O229" s="86"/>
      <x:c r="P229" s="86"/>
      <x:c r="Q229" s="86"/>
      <x:c r="R229" s="86"/>
      <x:c r="S229" s="86"/>
      <x:c r="T229" s="86"/>
      <x:c r="U229" s="86"/>
      <x:c r="V229" s="86"/>
      <x:c r="W229" s="86"/>
      <x:c r="X229" s="86"/>
      <x:c r="Y229" s="86"/>
      <x:c r="Z229" s="86"/>
    </x:row>
    <x:row r="230">
      <x:c r="A230" s="86"/>
      <x:c r="B230" s="86"/>
      <x:c r="C230" s="86"/>
      <x:c r="D230" s="86"/>
      <x:c r="E230" s="86"/>
      <x:c r="F230" s="86"/>
      <x:c r="G230" s="86"/>
      <x:c r="H230" s="86"/>
      <x:c r="I230" s="86"/>
      <x:c r="J230" s="86"/>
      <x:c r="K230" s="86"/>
      <x:c r="L230" s="86"/>
      <x:c r="M230" s="86"/>
      <x:c r="N230" s="86"/>
      <x:c r="O230" s="86"/>
      <x:c r="P230" s="86"/>
      <x:c r="Q230" s="86"/>
      <x:c r="R230" s="86"/>
      <x:c r="S230" s="86"/>
      <x:c r="T230" s="86"/>
      <x:c r="U230" s="86"/>
      <x:c r="V230" s="86"/>
      <x:c r="W230" s="86"/>
      <x:c r="X230" s="86"/>
      <x:c r="Y230" s="86"/>
      <x:c r="Z230" s="86"/>
    </x:row>
    <x:row r="231">
      <x:c r="A231" s="86"/>
      <x:c r="B231" s="86"/>
      <x:c r="C231" s="86"/>
      <x:c r="D231" s="86"/>
      <x:c r="E231" s="86"/>
      <x:c r="F231" s="86"/>
      <x:c r="G231" s="86"/>
      <x:c r="H231" s="86"/>
      <x:c r="I231" s="86"/>
      <x:c r="J231" s="86"/>
      <x:c r="K231" s="86"/>
      <x:c r="L231" s="86"/>
      <x:c r="M231" s="86"/>
      <x:c r="N231" s="86"/>
      <x:c r="O231" s="86"/>
      <x:c r="P231" s="86"/>
      <x:c r="Q231" s="86"/>
      <x:c r="R231" s="86"/>
      <x:c r="S231" s="86"/>
      <x:c r="T231" s="86"/>
      <x:c r="U231" s="86"/>
      <x:c r="V231" s="86"/>
      <x:c r="W231" s="86"/>
      <x:c r="X231" s="86"/>
      <x:c r="Y231" s="86"/>
      <x:c r="Z231" s="86"/>
    </x:row>
    <x:row r="232">
      <x:c r="A232" s="86"/>
      <x:c r="B232" s="86"/>
      <x:c r="C232" s="86"/>
      <x:c r="D232" s="86"/>
      <x:c r="E232" s="86"/>
      <x:c r="F232" s="86"/>
      <x:c r="G232" s="86"/>
      <x:c r="H232" s="86"/>
      <x:c r="I232" s="86"/>
      <x:c r="J232" s="86"/>
      <x:c r="K232" s="86"/>
      <x:c r="L232" s="86"/>
      <x:c r="M232" s="86"/>
      <x:c r="N232" s="86"/>
      <x:c r="O232" s="86"/>
      <x:c r="P232" s="86"/>
      <x:c r="Q232" s="86"/>
      <x:c r="R232" s="86"/>
      <x:c r="S232" s="86"/>
      <x:c r="T232" s="86"/>
      <x:c r="U232" s="86"/>
      <x:c r="V232" s="86"/>
      <x:c r="W232" s="86"/>
      <x:c r="X232" s="86"/>
      <x:c r="Y232" s="86"/>
      <x:c r="Z232" s="86"/>
    </x:row>
    <x:row r="233">
      <x:c r="A233" s="86"/>
      <x:c r="B233" s="86"/>
      <x:c r="C233" s="86"/>
      <x:c r="D233" s="86"/>
      <x:c r="E233" s="86"/>
      <x:c r="F233" s="86"/>
      <x:c r="G233" s="86"/>
      <x:c r="H233" s="86"/>
      <x:c r="I233" s="86"/>
      <x:c r="J233" s="86"/>
      <x:c r="K233" s="86"/>
      <x:c r="L233" s="86"/>
      <x:c r="M233" s="86"/>
      <x:c r="N233" s="86"/>
      <x:c r="O233" s="86"/>
      <x:c r="P233" s="86"/>
      <x:c r="Q233" s="86"/>
      <x:c r="R233" s="86"/>
      <x:c r="S233" s="86"/>
      <x:c r="T233" s="86"/>
      <x:c r="U233" s="86"/>
      <x:c r="V233" s="86"/>
      <x:c r="W233" s="86"/>
      <x:c r="X233" s="86"/>
      <x:c r="Y233" s="86"/>
      <x:c r="Z233" s="86"/>
    </x:row>
    <x:row r="234">
      <x:c r="A234" s="86"/>
      <x:c r="B234" s="86"/>
      <x:c r="C234" s="86"/>
      <x:c r="D234" s="86"/>
      <x:c r="E234" s="86"/>
      <x:c r="F234" s="86"/>
      <x:c r="G234" s="86"/>
      <x:c r="H234" s="86"/>
      <x:c r="I234" s="86"/>
      <x:c r="J234" s="86"/>
      <x:c r="K234" s="86"/>
      <x:c r="L234" s="86"/>
      <x:c r="M234" s="86"/>
      <x:c r="N234" s="86"/>
      <x:c r="O234" s="86"/>
      <x:c r="P234" s="86"/>
      <x:c r="Q234" s="86"/>
      <x:c r="R234" s="86"/>
      <x:c r="S234" s="86"/>
      <x:c r="T234" s="86"/>
      <x:c r="U234" s="86"/>
      <x:c r="V234" s="86"/>
      <x:c r="W234" s="86"/>
      <x:c r="X234" s="86"/>
      <x:c r="Y234" s="86"/>
      <x:c r="Z234" s="86"/>
    </x:row>
    <x:row r="235">
      <x:c r="A235" s="86"/>
      <x:c r="B235" s="86"/>
      <x:c r="C235" s="86"/>
      <x:c r="D235" s="86"/>
      <x:c r="E235" s="86"/>
      <x:c r="F235" s="86"/>
      <x:c r="G235" s="86"/>
      <x:c r="H235" s="86"/>
      <x:c r="I235" s="86"/>
      <x:c r="J235" s="86"/>
      <x:c r="K235" s="86"/>
      <x:c r="L235" s="86"/>
      <x:c r="M235" s="86"/>
      <x:c r="N235" s="86"/>
      <x:c r="O235" s="86"/>
      <x:c r="P235" s="86"/>
      <x:c r="Q235" s="86"/>
      <x:c r="R235" s="86"/>
      <x:c r="S235" s="86"/>
      <x:c r="T235" s="86"/>
      <x:c r="U235" s="86"/>
      <x:c r="V235" s="86"/>
      <x:c r="W235" s="86"/>
      <x:c r="X235" s="86"/>
      <x:c r="Y235" s="86"/>
      <x:c r="Z235" s="86"/>
    </x:row>
    <x:row r="236">
      <x:c r="A236" s="86"/>
      <x:c r="B236" s="86"/>
      <x:c r="C236" s="86"/>
      <x:c r="D236" s="86"/>
      <x:c r="E236" s="86"/>
      <x:c r="F236" s="86"/>
      <x:c r="G236" s="86"/>
      <x:c r="H236" s="86"/>
      <x:c r="I236" s="86"/>
      <x:c r="J236" s="86"/>
      <x:c r="K236" s="86"/>
      <x:c r="L236" s="86"/>
      <x:c r="M236" s="86"/>
      <x:c r="N236" s="86"/>
      <x:c r="O236" s="86"/>
      <x:c r="P236" s="86"/>
      <x:c r="Q236" s="86"/>
      <x:c r="R236" s="86"/>
      <x:c r="S236" s="86"/>
      <x:c r="T236" s="86"/>
      <x:c r="U236" s="86"/>
      <x:c r="V236" s="86"/>
      <x:c r="W236" s="86"/>
      <x:c r="X236" s="86"/>
      <x:c r="Y236" s="86"/>
      <x:c r="Z236" s="86"/>
    </x:row>
    <x:row r="237">
      <x:c r="A237" s="86"/>
      <x:c r="B237" s="86"/>
      <x:c r="C237" s="86"/>
      <x:c r="D237" s="86"/>
      <x:c r="E237" s="86"/>
      <x:c r="F237" s="86"/>
      <x:c r="G237" s="86"/>
      <x:c r="H237" s="86"/>
      <x:c r="I237" s="86"/>
      <x:c r="J237" s="86"/>
      <x:c r="K237" s="86"/>
      <x:c r="L237" s="86"/>
      <x:c r="M237" s="86"/>
      <x:c r="N237" s="86"/>
      <x:c r="O237" s="86"/>
      <x:c r="P237" s="86"/>
      <x:c r="Q237" s="86"/>
      <x:c r="R237" s="86"/>
      <x:c r="S237" s="86"/>
      <x:c r="T237" s="86"/>
      <x:c r="U237" s="86"/>
      <x:c r="V237" s="86"/>
      <x:c r="W237" s="86"/>
      <x:c r="X237" s="86"/>
      <x:c r="Y237" s="86"/>
      <x:c r="Z237" s="86"/>
    </x:row>
    <x:row r="238">
      <x:c r="A238" s="86"/>
      <x:c r="B238" s="86"/>
      <x:c r="C238" s="86"/>
      <x:c r="D238" s="86"/>
      <x:c r="E238" s="86"/>
      <x:c r="F238" s="86"/>
      <x:c r="G238" s="86"/>
      <x:c r="H238" s="86"/>
      <x:c r="I238" s="86"/>
      <x:c r="J238" s="86"/>
      <x:c r="K238" s="86"/>
      <x:c r="L238" s="86"/>
      <x:c r="M238" s="86"/>
      <x:c r="N238" s="86"/>
      <x:c r="O238" s="86"/>
      <x:c r="P238" s="86"/>
      <x:c r="Q238" s="86"/>
      <x:c r="R238" s="86"/>
      <x:c r="S238" s="86"/>
      <x:c r="T238" s="86"/>
      <x:c r="U238" s="86"/>
      <x:c r="V238" s="86"/>
      <x:c r="W238" s="86"/>
      <x:c r="X238" s="86"/>
      <x:c r="Y238" s="86"/>
      <x:c r="Z238" s="86"/>
    </x:row>
    <x:row r="239">
      <x:c r="A239" s="86"/>
      <x:c r="B239" s="86"/>
      <x:c r="C239" s="86"/>
      <x:c r="D239" s="86"/>
      <x:c r="E239" s="86"/>
      <x:c r="F239" s="86"/>
      <x:c r="G239" s="86"/>
      <x:c r="H239" s="86"/>
      <x:c r="I239" s="86"/>
      <x:c r="J239" s="86"/>
      <x:c r="K239" s="86"/>
      <x:c r="L239" s="86"/>
      <x:c r="M239" s="86"/>
      <x:c r="N239" s="86"/>
      <x:c r="O239" s="86"/>
      <x:c r="P239" s="86"/>
      <x:c r="Q239" s="86"/>
      <x:c r="R239" s="86"/>
      <x:c r="S239" s="86"/>
      <x:c r="T239" s="86"/>
      <x:c r="U239" s="86"/>
      <x:c r="V239" s="86"/>
      <x:c r="W239" s="86"/>
      <x:c r="X239" s="86"/>
      <x:c r="Y239" s="86"/>
      <x:c r="Z239" s="86"/>
    </x:row>
    <x:row r="240">
      <x:c r="A240" s="86"/>
      <x:c r="B240" s="86"/>
      <x:c r="C240" s="86"/>
      <x:c r="D240" s="86"/>
      <x:c r="E240" s="86"/>
      <x:c r="F240" s="86"/>
      <x:c r="G240" s="86"/>
      <x:c r="H240" s="86"/>
      <x:c r="I240" s="86"/>
      <x:c r="J240" s="86"/>
      <x:c r="K240" s="86"/>
      <x:c r="L240" s="86"/>
      <x:c r="M240" s="86"/>
      <x:c r="N240" s="86"/>
      <x:c r="O240" s="86"/>
      <x:c r="P240" s="86"/>
      <x:c r="Q240" s="86"/>
      <x:c r="R240" s="86"/>
      <x:c r="S240" s="86"/>
      <x:c r="T240" s="86"/>
      <x:c r="U240" s="86"/>
      <x:c r="V240" s="86"/>
      <x:c r="W240" s="86"/>
      <x:c r="X240" s="86"/>
      <x:c r="Y240" s="86"/>
      <x:c r="Z240" s="86"/>
    </x:row>
    <x:row r="241">
      <x:c r="A241" s="86"/>
      <x:c r="B241" s="86"/>
      <x:c r="C241" s="86"/>
      <x:c r="D241" s="86"/>
      <x:c r="E241" s="86"/>
      <x:c r="F241" s="86"/>
      <x:c r="G241" s="86"/>
      <x:c r="H241" s="86"/>
      <x:c r="I241" s="86"/>
      <x:c r="J241" s="86"/>
      <x:c r="K241" s="86"/>
      <x:c r="L241" s="86"/>
      <x:c r="M241" s="86"/>
      <x:c r="N241" s="86"/>
      <x:c r="O241" s="86"/>
      <x:c r="P241" s="86"/>
      <x:c r="Q241" s="86"/>
      <x:c r="R241" s="86"/>
      <x:c r="S241" s="86"/>
      <x:c r="T241" s="86"/>
      <x:c r="U241" s="86"/>
      <x:c r="V241" s="86"/>
      <x:c r="W241" s="86"/>
      <x:c r="X241" s="86"/>
      <x:c r="Y241" s="86"/>
      <x:c r="Z241" s="86"/>
    </x:row>
    <x:row r="242">
      <x:c r="A242" s="86"/>
      <x:c r="B242" s="86"/>
      <x:c r="C242" s="86"/>
      <x:c r="D242" s="86"/>
      <x:c r="E242" s="86"/>
      <x:c r="F242" s="86"/>
      <x:c r="G242" s="86"/>
      <x:c r="H242" s="86"/>
      <x:c r="I242" s="86"/>
      <x:c r="J242" s="86"/>
      <x:c r="K242" s="86"/>
      <x:c r="L242" s="86"/>
      <x:c r="M242" s="86"/>
      <x:c r="N242" s="86"/>
      <x:c r="O242" s="86"/>
      <x:c r="P242" s="86"/>
      <x:c r="Q242" s="86"/>
      <x:c r="R242" s="86"/>
      <x:c r="S242" s="86"/>
      <x:c r="T242" s="86"/>
      <x:c r="U242" s="86"/>
      <x:c r="V242" s="86"/>
      <x:c r="W242" s="86"/>
      <x:c r="X242" s="86"/>
      <x:c r="Y242" s="86"/>
      <x:c r="Z242" s="86"/>
    </x:row>
    <x:row r="243">
      <x:c r="A243" s="86"/>
      <x:c r="B243" s="86"/>
      <x:c r="C243" s="86"/>
      <x:c r="D243" s="86"/>
      <x:c r="E243" s="86"/>
      <x:c r="F243" s="86"/>
      <x:c r="G243" s="86"/>
      <x:c r="H243" s="86"/>
      <x:c r="I243" s="86"/>
      <x:c r="J243" s="86"/>
      <x:c r="K243" s="86"/>
      <x:c r="L243" s="86"/>
      <x:c r="M243" s="86"/>
      <x:c r="N243" s="86"/>
      <x:c r="O243" s="86"/>
      <x:c r="P243" s="86"/>
      <x:c r="Q243" s="86"/>
      <x:c r="R243" s="86"/>
      <x:c r="S243" s="86"/>
      <x:c r="T243" s="86"/>
      <x:c r="U243" s="86"/>
      <x:c r="V243" s="86"/>
      <x:c r="W243" s="86"/>
      <x:c r="X243" s="86"/>
      <x:c r="Y243" s="86"/>
      <x:c r="Z243" s="86"/>
    </x:row>
    <x:row r="244">
      <x:c r="A244" s="86"/>
      <x:c r="B244" s="86"/>
      <x:c r="C244" s="86"/>
      <x:c r="D244" s="86"/>
      <x:c r="E244" s="86"/>
      <x:c r="F244" s="86"/>
      <x:c r="G244" s="86"/>
      <x:c r="H244" s="86"/>
      <x:c r="I244" s="86"/>
      <x:c r="J244" s="86"/>
      <x:c r="K244" s="86"/>
      <x:c r="L244" s="86"/>
      <x:c r="M244" s="86"/>
      <x:c r="N244" s="86"/>
      <x:c r="O244" s="86"/>
      <x:c r="P244" s="86"/>
      <x:c r="Q244" s="86"/>
      <x:c r="R244" s="86"/>
      <x:c r="S244" s="86"/>
      <x:c r="T244" s="86"/>
      <x:c r="U244" s="86"/>
      <x:c r="V244" s="86"/>
      <x:c r="W244" s="86"/>
      <x:c r="X244" s="86"/>
      <x:c r="Y244" s="86"/>
      <x:c r="Z244" s="86"/>
    </x:row>
    <x:row r="245">
      <x:c r="A245" s="86"/>
      <x:c r="B245" s="86"/>
      <x:c r="C245" s="86"/>
      <x:c r="D245" s="86"/>
      <x:c r="E245" s="86"/>
      <x:c r="F245" s="86"/>
      <x:c r="G245" s="86"/>
      <x:c r="H245" s="86"/>
      <x:c r="I245" s="86"/>
      <x:c r="J245" s="86"/>
      <x:c r="K245" s="86"/>
      <x:c r="L245" s="86"/>
      <x:c r="M245" s="86"/>
      <x:c r="N245" s="86"/>
      <x:c r="O245" s="86"/>
      <x:c r="P245" s="86"/>
      <x:c r="Q245" s="86"/>
      <x:c r="R245" s="86"/>
      <x:c r="S245" s="86"/>
      <x:c r="T245" s="86"/>
      <x:c r="U245" s="86"/>
      <x:c r="V245" s="86"/>
      <x:c r="W245" s="86"/>
      <x:c r="X245" s="86"/>
      <x:c r="Y245" s="86"/>
      <x:c r="Z245" s="86"/>
    </x:row>
    <x:row r="246">
      <x:c r="A246" s="86"/>
      <x:c r="B246" s="86"/>
      <x:c r="C246" s="86"/>
      <x:c r="D246" s="86"/>
      <x:c r="E246" s="86"/>
      <x:c r="F246" s="86"/>
      <x:c r="G246" s="86"/>
      <x:c r="H246" s="86"/>
      <x:c r="I246" s="86"/>
      <x:c r="J246" s="86"/>
      <x:c r="K246" s="86"/>
      <x:c r="L246" s="86"/>
      <x:c r="M246" s="86"/>
      <x:c r="N246" s="86"/>
      <x:c r="O246" s="86"/>
      <x:c r="P246" s="86"/>
      <x:c r="Q246" s="86"/>
      <x:c r="R246" s="86"/>
      <x:c r="S246" s="86"/>
      <x:c r="T246" s="86"/>
      <x:c r="U246" s="86"/>
      <x:c r="V246" s="86"/>
      <x:c r="W246" s="86"/>
      <x:c r="X246" s="86"/>
      <x:c r="Y246" s="86"/>
      <x:c r="Z246" s="86"/>
    </x:row>
    <x:row r="247">
      <x:c r="A247" s="86"/>
      <x:c r="B247" s="86"/>
      <x:c r="C247" s="86"/>
      <x:c r="D247" s="86"/>
      <x:c r="E247" s="86"/>
      <x:c r="F247" s="86"/>
      <x:c r="G247" s="86"/>
      <x:c r="H247" s="86"/>
      <x:c r="I247" s="86"/>
      <x:c r="J247" s="86"/>
      <x:c r="K247" s="86"/>
      <x:c r="L247" s="86"/>
      <x:c r="M247" s="86"/>
      <x:c r="N247" s="86"/>
      <x:c r="O247" s="86"/>
      <x:c r="P247" s="86"/>
      <x:c r="Q247" s="86"/>
      <x:c r="R247" s="86"/>
      <x:c r="S247" s="86"/>
      <x:c r="T247" s="86"/>
      <x:c r="U247" s="86"/>
      <x:c r="V247" s="86"/>
      <x:c r="W247" s="86"/>
      <x:c r="X247" s="86"/>
      <x:c r="Y247" s="86"/>
      <x:c r="Z247" s="86"/>
    </x:row>
    <x:row r="248">
      <x:c r="A248" s="86"/>
      <x:c r="B248" s="86"/>
      <x:c r="C248" s="86"/>
      <x:c r="D248" s="86"/>
      <x:c r="E248" s="86"/>
      <x:c r="F248" s="86"/>
      <x:c r="G248" s="86"/>
      <x:c r="H248" s="86"/>
      <x:c r="I248" s="86"/>
      <x:c r="J248" s="86"/>
      <x:c r="K248" s="86"/>
      <x:c r="L248" s="86"/>
      <x:c r="M248" s="86"/>
      <x:c r="N248" s="86"/>
      <x:c r="O248" s="86"/>
      <x:c r="P248" s="86"/>
      <x:c r="Q248" s="86"/>
      <x:c r="R248" s="86"/>
      <x:c r="S248" s="86"/>
      <x:c r="T248" s="86"/>
      <x:c r="U248" s="86"/>
      <x:c r="V248" s="86"/>
      <x:c r="W248" s="86"/>
      <x:c r="X248" s="86"/>
      <x:c r="Y248" s="86"/>
      <x:c r="Z248" s="86"/>
    </x:row>
    <x:row r="249">
      <x:c r="A249" s="86"/>
      <x:c r="B249" s="86"/>
      <x:c r="C249" s="86"/>
      <x:c r="D249" s="86"/>
      <x:c r="E249" s="86"/>
      <x:c r="F249" s="86"/>
      <x:c r="G249" s="86"/>
      <x:c r="H249" s="86"/>
      <x:c r="I249" s="86"/>
      <x:c r="J249" s="86"/>
      <x:c r="K249" s="86"/>
      <x:c r="L249" s="86"/>
      <x:c r="M249" s="86"/>
      <x:c r="N249" s="86"/>
      <x:c r="O249" s="86"/>
      <x:c r="P249" s="86"/>
      <x:c r="Q249" s="86"/>
      <x:c r="R249" s="86"/>
      <x:c r="S249" s="86"/>
      <x:c r="T249" s="86"/>
      <x:c r="U249" s="86"/>
      <x:c r="V249" s="86"/>
      <x:c r="W249" s="86"/>
      <x:c r="X249" s="86"/>
      <x:c r="Y249" s="86"/>
      <x:c r="Z249" s="86"/>
    </x:row>
    <x:row r="250">
      <x:c r="A250" s="86"/>
      <x:c r="B250" s="86"/>
      <x:c r="C250" s="86"/>
      <x:c r="D250" s="86"/>
      <x:c r="E250" s="86"/>
      <x:c r="F250" s="86"/>
      <x:c r="G250" s="86"/>
      <x:c r="H250" s="86"/>
      <x:c r="I250" s="86"/>
      <x:c r="J250" s="86"/>
      <x:c r="K250" s="86"/>
      <x:c r="L250" s="86"/>
      <x:c r="M250" s="86"/>
      <x:c r="N250" s="86"/>
      <x:c r="O250" s="86"/>
      <x:c r="P250" s="86"/>
      <x:c r="Q250" s="86"/>
      <x:c r="R250" s="86"/>
      <x:c r="S250" s="86"/>
      <x:c r="T250" s="86"/>
      <x:c r="U250" s="86"/>
      <x:c r="V250" s="86"/>
      <x:c r="W250" s="86"/>
      <x:c r="X250" s="86"/>
      <x:c r="Y250" s="86"/>
      <x:c r="Z250" s="86"/>
    </x:row>
    <x:row r="251">
      <x:c r="A251" s="86"/>
      <x:c r="B251" s="86"/>
      <x:c r="C251" s="86"/>
      <x:c r="D251" s="86"/>
      <x:c r="E251" s="86"/>
      <x:c r="F251" s="86"/>
      <x:c r="G251" s="86"/>
      <x:c r="H251" s="86"/>
      <x:c r="I251" s="86"/>
      <x:c r="J251" s="86"/>
      <x:c r="K251" s="86"/>
      <x:c r="L251" s="86"/>
      <x:c r="M251" s="86"/>
      <x:c r="N251" s="86"/>
      <x:c r="O251" s="86"/>
      <x:c r="P251" s="86"/>
      <x:c r="Q251" s="86"/>
      <x:c r="R251" s="86"/>
      <x:c r="S251" s="86"/>
      <x:c r="T251" s="86"/>
      <x:c r="U251" s="86"/>
      <x:c r="V251" s="86"/>
      <x:c r="W251" s="86"/>
      <x:c r="X251" s="86"/>
      <x:c r="Y251" s="86"/>
      <x:c r="Z251" s="86"/>
    </x:row>
    <x:row r="252">
      <x:c r="A252" s="86"/>
      <x:c r="B252" s="86"/>
      <x:c r="C252" s="86"/>
      <x:c r="D252" s="86"/>
      <x:c r="E252" s="86"/>
      <x:c r="F252" s="86"/>
      <x:c r="G252" s="86"/>
      <x:c r="H252" s="86"/>
      <x:c r="I252" s="86"/>
      <x:c r="J252" s="86"/>
      <x:c r="K252" s="86"/>
      <x:c r="L252" s="86"/>
      <x:c r="M252" s="86"/>
      <x:c r="N252" s="86"/>
      <x:c r="O252" s="86"/>
      <x:c r="P252" s="86"/>
      <x:c r="Q252" s="86"/>
      <x:c r="R252" s="86"/>
      <x:c r="S252" s="86"/>
      <x:c r="T252" s="86"/>
      <x:c r="U252" s="86"/>
      <x:c r="V252" s="86"/>
      <x:c r="W252" s="86"/>
      <x:c r="X252" s="86"/>
      <x:c r="Y252" s="86"/>
      <x:c r="Z252" s="86"/>
    </x:row>
    <x:row r="253">
      <x:c r="A253" s="86"/>
      <x:c r="B253" s="86"/>
      <x:c r="C253" s="86"/>
      <x:c r="D253" s="86"/>
      <x:c r="E253" s="86"/>
      <x:c r="F253" s="86"/>
      <x:c r="G253" s="86"/>
      <x:c r="H253" s="86"/>
      <x:c r="I253" s="86"/>
      <x:c r="J253" s="86"/>
      <x:c r="K253" s="86"/>
      <x:c r="L253" s="86"/>
      <x:c r="M253" s="86"/>
      <x:c r="N253" s="86"/>
      <x:c r="O253" s="86"/>
      <x:c r="P253" s="86"/>
      <x:c r="Q253" s="86"/>
      <x:c r="R253" s="86"/>
      <x:c r="S253" s="86"/>
      <x:c r="T253" s="86"/>
      <x:c r="U253" s="86"/>
      <x:c r="V253" s="86"/>
      <x:c r="W253" s="86"/>
      <x:c r="X253" s="86"/>
      <x:c r="Y253" s="86"/>
      <x:c r="Z253" s="86"/>
    </x:row>
    <x:row r="254">
      <x:c r="A254" s="86"/>
      <x:c r="B254" s="86"/>
      <x:c r="C254" s="86"/>
      <x:c r="D254" s="86"/>
      <x:c r="E254" s="86"/>
      <x:c r="F254" s="86"/>
      <x:c r="G254" s="86"/>
      <x:c r="H254" s="86"/>
      <x:c r="I254" s="86"/>
      <x:c r="J254" s="86"/>
      <x:c r="K254" s="86"/>
      <x:c r="L254" s="86"/>
      <x:c r="M254" s="86"/>
      <x:c r="N254" s="86"/>
      <x:c r="O254" s="86"/>
      <x:c r="P254" s="86"/>
      <x:c r="Q254" s="86"/>
      <x:c r="R254" s="86"/>
      <x:c r="S254" s="86"/>
      <x:c r="T254" s="86"/>
      <x:c r="U254" s="86"/>
      <x:c r="V254" s="86"/>
      <x:c r="W254" s="86"/>
      <x:c r="X254" s="86"/>
      <x:c r="Y254" s="86"/>
      <x:c r="Z254" s="86"/>
    </x:row>
    <x:row r="255">
      <x:c r="A255" s="86"/>
      <x:c r="B255" s="86"/>
      <x:c r="C255" s="86"/>
      <x:c r="D255" s="86"/>
      <x:c r="E255" s="86"/>
      <x:c r="F255" s="86"/>
      <x:c r="G255" s="86"/>
      <x:c r="H255" s="86"/>
      <x:c r="I255" s="86"/>
      <x:c r="J255" s="86"/>
      <x:c r="K255" s="86"/>
      <x:c r="L255" s="86"/>
      <x:c r="M255" s="86"/>
      <x:c r="N255" s="86"/>
      <x:c r="O255" s="86"/>
      <x:c r="P255" s="86"/>
      <x:c r="Q255" s="86"/>
      <x:c r="R255" s="86"/>
      <x:c r="S255" s="86"/>
      <x:c r="T255" s="86"/>
      <x:c r="U255" s="86"/>
      <x:c r="V255" s="86"/>
      <x:c r="W255" s="86"/>
      <x:c r="X255" s="86"/>
      <x:c r="Y255" s="86"/>
      <x:c r="Z255" s="86"/>
    </x:row>
    <x:row r="256">
      <x:c r="A256" s="86"/>
      <x:c r="B256" s="86"/>
      <x:c r="C256" s="86"/>
      <x:c r="D256" s="86"/>
      <x:c r="E256" s="86"/>
      <x:c r="F256" s="86"/>
      <x:c r="G256" s="86"/>
      <x:c r="H256" s="86"/>
      <x:c r="I256" s="86"/>
      <x:c r="J256" s="86"/>
      <x:c r="K256" s="86"/>
      <x:c r="L256" s="86"/>
      <x:c r="M256" s="86"/>
      <x:c r="N256" s="86"/>
      <x:c r="O256" s="86"/>
      <x:c r="P256" s="86"/>
      <x:c r="Q256" s="86"/>
      <x:c r="R256" s="86"/>
      <x:c r="S256" s="86"/>
      <x:c r="T256" s="86"/>
      <x:c r="U256" s="86"/>
      <x:c r="V256" s="86"/>
      <x:c r="W256" s="86"/>
      <x:c r="X256" s="86"/>
      <x:c r="Y256" s="86"/>
      <x:c r="Z256" s="86"/>
    </x:row>
    <x:row r="257">
      <x:c r="A257" s="86"/>
      <x:c r="B257" s="86"/>
      <x:c r="C257" s="86"/>
      <x:c r="D257" s="86"/>
      <x:c r="E257" s="86"/>
      <x:c r="F257" s="86"/>
      <x:c r="G257" s="86"/>
      <x:c r="H257" s="86"/>
      <x:c r="I257" s="86"/>
      <x:c r="J257" s="86"/>
      <x:c r="K257" s="86"/>
      <x:c r="L257" s="86"/>
      <x:c r="M257" s="86"/>
      <x:c r="N257" s="86"/>
      <x:c r="O257" s="86"/>
      <x:c r="P257" s="86"/>
      <x:c r="Q257" s="86"/>
      <x:c r="R257" s="86"/>
      <x:c r="S257" s="86"/>
      <x:c r="T257" s="86"/>
      <x:c r="U257" s="86"/>
      <x:c r="V257" s="86"/>
      <x:c r="W257" s="86"/>
      <x:c r="X257" s="86"/>
      <x:c r="Y257" s="86"/>
      <x:c r="Z257" s="86"/>
    </x:row>
    <x:row r="258">
      <x:c r="A258" s="86"/>
      <x:c r="B258" s="86"/>
      <x:c r="C258" s="86"/>
      <x:c r="D258" s="86"/>
      <x:c r="E258" s="86"/>
      <x:c r="F258" s="86"/>
      <x:c r="G258" s="86"/>
      <x:c r="H258" s="86"/>
      <x:c r="I258" s="86"/>
      <x:c r="J258" s="86"/>
      <x:c r="K258" s="86"/>
      <x:c r="L258" s="86"/>
      <x:c r="M258" s="86"/>
      <x:c r="N258" s="86"/>
      <x:c r="O258" s="86"/>
      <x:c r="P258" s="86"/>
      <x:c r="Q258" s="86"/>
      <x:c r="R258" s="86"/>
      <x:c r="S258" s="86"/>
      <x:c r="T258" s="86"/>
      <x:c r="U258" s="86"/>
      <x:c r="V258" s="86"/>
      <x:c r="W258" s="86"/>
      <x:c r="X258" s="86"/>
      <x:c r="Y258" s="86"/>
      <x:c r="Z258" s="86"/>
    </x:row>
    <x:row r="259">
      <x:c r="A259" s="86"/>
      <x:c r="B259" s="86"/>
      <x:c r="C259" s="86"/>
      <x:c r="D259" s="86"/>
      <x:c r="E259" s="86"/>
      <x:c r="F259" s="86"/>
      <x:c r="G259" s="86"/>
      <x:c r="H259" s="86"/>
      <x:c r="I259" s="86"/>
      <x:c r="J259" s="86"/>
      <x:c r="K259" s="86"/>
      <x:c r="L259" s="86"/>
      <x:c r="M259" s="86"/>
      <x:c r="N259" s="86"/>
      <x:c r="O259" s="86"/>
      <x:c r="P259" s="86"/>
      <x:c r="Q259" s="86"/>
      <x:c r="R259" s="86"/>
      <x:c r="S259" s="86"/>
      <x:c r="T259" s="86"/>
      <x:c r="U259" s="86"/>
      <x:c r="V259" s="86"/>
      <x:c r="W259" s="86"/>
      <x:c r="X259" s="86"/>
      <x:c r="Y259" s="86"/>
      <x:c r="Z259" s="86"/>
    </x:row>
    <x:row r="260">
      <x:c r="A260" s="86"/>
      <x:c r="B260" s="86"/>
      <x:c r="C260" s="86"/>
      <x:c r="D260" s="86"/>
      <x:c r="E260" s="86"/>
      <x:c r="F260" s="86"/>
      <x:c r="G260" s="86"/>
      <x:c r="H260" s="86"/>
      <x:c r="I260" s="86"/>
      <x:c r="J260" s="86"/>
      <x:c r="K260" s="86"/>
      <x:c r="L260" s="86"/>
      <x:c r="M260" s="86"/>
      <x:c r="N260" s="86"/>
      <x:c r="O260" s="86"/>
      <x:c r="P260" s="86"/>
      <x:c r="Q260" s="86"/>
      <x:c r="R260" s="86"/>
      <x:c r="S260" s="86"/>
      <x:c r="T260" s="86"/>
      <x:c r="U260" s="86"/>
      <x:c r="V260" s="86"/>
      <x:c r="W260" s="86"/>
      <x:c r="X260" s="86"/>
      <x:c r="Y260" s="86"/>
      <x:c r="Z260" s="86"/>
    </x:row>
    <x:row r="261">
      <x:c r="A261" s="86"/>
      <x:c r="B261" s="86"/>
      <x:c r="C261" s="86"/>
      <x:c r="D261" s="86"/>
      <x:c r="E261" s="86"/>
      <x:c r="F261" s="86"/>
      <x:c r="G261" s="86"/>
      <x:c r="H261" s="86"/>
      <x:c r="I261" s="86"/>
      <x:c r="J261" s="86"/>
      <x:c r="K261" s="86"/>
      <x:c r="L261" s="86"/>
      <x:c r="M261" s="86"/>
      <x:c r="N261" s="86"/>
      <x:c r="O261" s="86"/>
      <x:c r="P261" s="86"/>
      <x:c r="Q261" s="86"/>
      <x:c r="R261" s="86"/>
      <x:c r="S261" s="86"/>
      <x:c r="T261" s="86"/>
      <x:c r="U261" s="86"/>
      <x:c r="V261" s="86"/>
      <x:c r="W261" s="86"/>
      <x:c r="X261" s="86"/>
      <x:c r="Y261" s="86"/>
      <x:c r="Z261" s="86"/>
    </x:row>
    <x:row r="262">
      <x:c r="A262" s="86"/>
      <x:c r="B262" s="86"/>
      <x:c r="C262" s="86"/>
      <x:c r="D262" s="86"/>
      <x:c r="E262" s="86"/>
      <x:c r="F262" s="86"/>
      <x:c r="G262" s="86"/>
      <x:c r="H262" s="86"/>
      <x:c r="I262" s="86"/>
      <x:c r="J262" s="86"/>
      <x:c r="K262" s="86"/>
      <x:c r="L262" s="86"/>
      <x:c r="M262" s="86"/>
      <x:c r="N262" s="86"/>
      <x:c r="O262" s="86"/>
      <x:c r="P262" s="86"/>
      <x:c r="Q262" s="86"/>
      <x:c r="R262" s="86"/>
      <x:c r="S262" s="86"/>
      <x:c r="T262" s="86"/>
      <x:c r="U262" s="86"/>
      <x:c r="V262" s="86"/>
      <x:c r="W262" s="86"/>
      <x:c r="X262" s="86"/>
      <x:c r="Y262" s="86"/>
      <x:c r="Z262" s="86"/>
    </x:row>
    <x:row r="263">
      <x:c r="A263" s="86"/>
      <x:c r="B263" s="86"/>
      <x:c r="C263" s="86"/>
      <x:c r="D263" s="86"/>
      <x:c r="E263" s="86"/>
      <x:c r="F263" s="86"/>
      <x:c r="G263" s="86"/>
      <x:c r="H263" s="86"/>
      <x:c r="I263" s="86"/>
      <x:c r="J263" s="86"/>
      <x:c r="K263" s="86"/>
      <x:c r="L263" s="86"/>
      <x:c r="M263" s="86"/>
      <x:c r="N263" s="86"/>
      <x:c r="O263" s="86"/>
      <x:c r="P263" s="86"/>
      <x:c r="Q263" s="86"/>
      <x:c r="R263" s="86"/>
      <x:c r="S263" s="86"/>
      <x:c r="T263" s="86"/>
      <x:c r="U263" s="86"/>
      <x:c r="V263" s="86"/>
      <x:c r="W263" s="86"/>
      <x:c r="X263" s="86"/>
      <x:c r="Y263" s="86"/>
      <x:c r="Z263" s="86"/>
    </x:row>
    <x:row r="264">
      <x:c r="A264" s="86"/>
      <x:c r="B264" s="86"/>
      <x:c r="C264" s="86"/>
      <x:c r="D264" s="86"/>
      <x:c r="E264" s="86"/>
      <x:c r="F264" s="86"/>
      <x:c r="G264" s="86"/>
      <x:c r="H264" s="86"/>
      <x:c r="I264" s="86"/>
      <x:c r="J264" s="86"/>
      <x:c r="K264" s="86"/>
      <x:c r="L264" s="86"/>
      <x:c r="M264" s="86"/>
      <x:c r="N264" s="86"/>
      <x:c r="O264" s="86"/>
      <x:c r="P264" s="86"/>
      <x:c r="Q264" s="86"/>
      <x:c r="R264" s="86"/>
      <x:c r="S264" s="86"/>
      <x:c r="T264" s="86"/>
      <x:c r="U264" s="86"/>
      <x:c r="V264" s="86"/>
      <x:c r="W264" s="86"/>
      <x:c r="X264" s="86"/>
      <x:c r="Y264" s="86"/>
      <x:c r="Z264" s="86"/>
    </x:row>
    <x:row r="265">
      <x:c r="A265" s="86"/>
      <x:c r="B265" s="86"/>
      <x:c r="C265" s="86"/>
      <x:c r="D265" s="86"/>
      <x:c r="E265" s="86"/>
      <x:c r="F265" s="86"/>
      <x:c r="G265" s="86"/>
      <x:c r="H265" s="86"/>
      <x:c r="I265" s="86"/>
      <x:c r="J265" s="86"/>
      <x:c r="K265" s="86"/>
      <x:c r="L265" s="86"/>
      <x:c r="M265" s="86"/>
      <x:c r="N265" s="86"/>
      <x:c r="O265" s="86"/>
      <x:c r="P265" s="86"/>
      <x:c r="Q265" s="86"/>
      <x:c r="R265" s="86"/>
      <x:c r="S265" s="86"/>
      <x:c r="T265" s="86"/>
      <x:c r="U265" s="86"/>
      <x:c r="V265" s="86"/>
      <x:c r="W265" s="86"/>
      <x:c r="X265" s="86"/>
      <x:c r="Y265" s="86"/>
      <x:c r="Z265" s="86"/>
    </x:row>
    <x:row r="266">
      <x:c r="A266" s="86"/>
      <x:c r="B266" s="86"/>
      <x:c r="C266" s="86"/>
      <x:c r="D266" s="86"/>
      <x:c r="E266" s="86"/>
      <x:c r="F266" s="86"/>
      <x:c r="G266" s="86"/>
      <x:c r="H266" s="86"/>
      <x:c r="I266" s="86"/>
      <x:c r="J266" s="86"/>
      <x:c r="K266" s="86"/>
      <x:c r="L266" s="86"/>
      <x:c r="M266" s="86"/>
      <x:c r="N266" s="86"/>
      <x:c r="O266" s="86"/>
      <x:c r="P266" s="86"/>
      <x:c r="Q266" s="86"/>
      <x:c r="R266" s="86"/>
      <x:c r="S266" s="86"/>
      <x:c r="T266" s="86"/>
      <x:c r="U266" s="86"/>
      <x:c r="V266" s="86"/>
      <x:c r="W266" s="86"/>
      <x:c r="X266" s="86"/>
      <x:c r="Y266" s="86"/>
      <x:c r="Z266" s="86"/>
    </x:row>
    <x:row r="267">
      <x:c r="A267" s="86"/>
      <x:c r="B267" s="86"/>
      <x:c r="C267" s="86"/>
      <x:c r="D267" s="86"/>
      <x:c r="E267" s="86"/>
      <x:c r="F267" s="86"/>
      <x:c r="G267" s="86"/>
      <x:c r="H267" s="86"/>
      <x:c r="I267" s="86"/>
      <x:c r="J267" s="86"/>
      <x:c r="K267" s="86"/>
      <x:c r="L267" s="86"/>
      <x:c r="M267" s="86"/>
      <x:c r="N267" s="86"/>
      <x:c r="O267" s="86"/>
      <x:c r="P267" s="86"/>
      <x:c r="Q267" s="86"/>
      <x:c r="R267" s="86"/>
      <x:c r="S267" s="86"/>
      <x:c r="T267" s="86"/>
      <x:c r="U267" s="86"/>
      <x:c r="V267" s="86"/>
      <x:c r="W267" s="86"/>
      <x:c r="X267" s="86"/>
      <x:c r="Y267" s="86"/>
      <x:c r="Z267" s="86"/>
    </x:row>
    <x:row r="268">
      <x:c r="A268" s="86"/>
      <x:c r="B268" s="86"/>
      <x:c r="C268" s="86"/>
      <x:c r="D268" s="86"/>
      <x:c r="E268" s="86"/>
      <x:c r="F268" s="86"/>
      <x:c r="G268" s="86"/>
      <x:c r="H268" s="86"/>
      <x:c r="I268" s="86"/>
      <x:c r="J268" s="86"/>
      <x:c r="K268" s="86"/>
      <x:c r="L268" s="86"/>
      <x:c r="M268" s="86"/>
      <x:c r="N268" s="86"/>
      <x:c r="O268" s="86"/>
      <x:c r="P268" s="86"/>
      <x:c r="Q268" s="86"/>
      <x:c r="R268" s="86"/>
      <x:c r="S268" s="86"/>
      <x:c r="T268" s="86"/>
      <x:c r="U268" s="86"/>
      <x:c r="V268" s="86"/>
      <x:c r="W268" s="86"/>
      <x:c r="X268" s="86"/>
      <x:c r="Y268" s="86"/>
      <x:c r="Z268" s="86"/>
    </x:row>
    <x:row r="269">
      <x:c r="A269" s="86"/>
      <x:c r="B269" s="86"/>
      <x:c r="C269" s="86"/>
      <x:c r="D269" s="86"/>
      <x:c r="E269" s="86"/>
      <x:c r="F269" s="86"/>
      <x:c r="G269" s="86"/>
      <x:c r="H269" s="86"/>
      <x:c r="I269" s="86"/>
      <x:c r="J269" s="86"/>
      <x:c r="K269" s="86"/>
      <x:c r="L269" s="86"/>
      <x:c r="M269" s="86"/>
      <x:c r="N269" s="86"/>
      <x:c r="O269" s="86"/>
      <x:c r="P269" s="86"/>
      <x:c r="Q269" s="86"/>
      <x:c r="R269" s="86"/>
      <x:c r="S269" s="86"/>
      <x:c r="T269" s="86"/>
      <x:c r="U269" s="86"/>
      <x:c r="V269" s="86"/>
      <x:c r="W269" s="86"/>
      <x:c r="X269" s="86"/>
      <x:c r="Y269" s="86"/>
      <x:c r="Z269" s="86"/>
    </x:row>
    <x:row r="270">
      <x:c r="A270" s="86"/>
      <x:c r="B270" s="86"/>
      <x:c r="C270" s="86"/>
      <x:c r="D270" s="86"/>
      <x:c r="E270" s="86"/>
      <x:c r="F270" s="86"/>
      <x:c r="G270" s="86"/>
      <x:c r="H270" s="86"/>
      <x:c r="I270" s="86"/>
      <x:c r="J270" s="86"/>
      <x:c r="K270" s="86"/>
      <x:c r="L270" s="86"/>
      <x:c r="M270" s="86"/>
      <x:c r="N270" s="86"/>
      <x:c r="O270" s="86"/>
      <x:c r="P270" s="86"/>
      <x:c r="Q270" s="86"/>
      <x:c r="R270" s="86"/>
      <x:c r="S270" s="86"/>
      <x:c r="T270" s="86"/>
      <x:c r="U270" s="86"/>
      <x:c r="V270" s="86"/>
      <x:c r="W270" s="86"/>
      <x:c r="X270" s="86"/>
      <x:c r="Y270" s="86"/>
      <x:c r="Z270" s="86"/>
    </x:row>
    <x:row r="271">
      <x:c r="A271" s="86"/>
      <x:c r="B271" s="86"/>
      <x:c r="C271" s="86"/>
      <x:c r="D271" s="86"/>
      <x:c r="E271" s="86"/>
      <x:c r="F271" s="86"/>
      <x:c r="G271" s="86"/>
      <x:c r="H271" s="86"/>
      <x:c r="I271" s="86"/>
      <x:c r="J271" s="86"/>
      <x:c r="K271" s="86"/>
      <x:c r="L271" s="86"/>
      <x:c r="M271" s="86"/>
      <x:c r="N271" s="86"/>
      <x:c r="O271" s="86"/>
      <x:c r="P271" s="86"/>
      <x:c r="Q271" s="86"/>
      <x:c r="R271" s="86"/>
      <x:c r="S271" s="86"/>
      <x:c r="T271" s="86"/>
      <x:c r="U271" s="86"/>
      <x:c r="V271" s="86"/>
      <x:c r="W271" s="86"/>
      <x:c r="X271" s="86"/>
      <x:c r="Y271" s="86"/>
      <x:c r="Z271" s="86"/>
    </x:row>
    <x:row r="272">
      <x:c r="A272" s="86"/>
      <x:c r="B272" s="86"/>
      <x:c r="C272" s="86"/>
      <x:c r="D272" s="86"/>
      <x:c r="E272" s="86"/>
      <x:c r="F272" s="86"/>
      <x:c r="G272" s="86"/>
      <x:c r="H272" s="86"/>
      <x:c r="I272" s="86"/>
      <x:c r="J272" s="86"/>
      <x:c r="K272" s="86"/>
      <x:c r="L272" s="86"/>
      <x:c r="M272" s="86"/>
      <x:c r="N272" s="86"/>
      <x:c r="O272" s="86"/>
      <x:c r="P272" s="86"/>
      <x:c r="Q272" s="86"/>
      <x:c r="R272" s="86"/>
      <x:c r="S272" s="86"/>
      <x:c r="T272" s="86"/>
      <x:c r="U272" s="86"/>
      <x:c r="V272" s="86"/>
      <x:c r="W272" s="86"/>
      <x:c r="X272" s="86"/>
      <x:c r="Y272" s="86"/>
      <x:c r="Z272" s="86"/>
    </x:row>
    <x:row r="273">
      <x:c r="A273" s="86"/>
      <x:c r="B273" s="86"/>
      <x:c r="C273" s="86"/>
      <x:c r="D273" s="86"/>
      <x:c r="E273" s="86"/>
      <x:c r="F273" s="86"/>
      <x:c r="G273" s="86"/>
      <x:c r="H273" s="86"/>
      <x:c r="I273" s="86"/>
      <x:c r="J273" s="86"/>
      <x:c r="K273" s="86"/>
      <x:c r="L273" s="86"/>
      <x:c r="M273" s="86"/>
      <x:c r="N273" s="86"/>
      <x:c r="O273" s="86"/>
      <x:c r="P273" s="86"/>
      <x:c r="Q273" s="86"/>
      <x:c r="R273" s="86"/>
      <x:c r="S273" s="86"/>
      <x:c r="T273" s="86"/>
      <x:c r="U273" s="86"/>
      <x:c r="V273" s="86"/>
      <x:c r="W273" s="86"/>
      <x:c r="X273" s="86"/>
      <x:c r="Y273" s="86"/>
      <x:c r="Z273" s="86"/>
    </x:row>
    <x:row r="274">
      <x:c r="A274" s="86"/>
      <x:c r="B274" s="86"/>
      <x:c r="C274" s="86"/>
      <x:c r="D274" s="86"/>
      <x:c r="E274" s="86"/>
      <x:c r="F274" s="86"/>
      <x:c r="G274" s="86"/>
      <x:c r="H274" s="86"/>
      <x:c r="I274" s="86"/>
      <x:c r="J274" s="86"/>
      <x:c r="K274" s="86"/>
      <x:c r="L274" s="86"/>
      <x:c r="M274" s="86"/>
      <x:c r="N274" s="86"/>
      <x:c r="O274" s="86"/>
      <x:c r="P274" s="86"/>
      <x:c r="Q274" s="86"/>
      <x:c r="R274" s="86"/>
      <x:c r="S274" s="86"/>
      <x:c r="T274" s="86"/>
      <x:c r="U274" s="86"/>
      <x:c r="V274" s="86"/>
      <x:c r="W274" s="86"/>
      <x:c r="X274" s="86"/>
      <x:c r="Y274" s="86"/>
      <x:c r="Z274" s="86"/>
    </x:row>
    <x:row r="275">
      <x:c r="A275" s="86"/>
      <x:c r="B275" s="86"/>
      <x:c r="C275" s="86"/>
      <x:c r="D275" s="86"/>
      <x:c r="E275" s="86"/>
      <x:c r="F275" s="86"/>
      <x:c r="G275" s="86"/>
      <x:c r="H275" s="86"/>
      <x:c r="I275" s="86"/>
      <x:c r="J275" s="86"/>
      <x:c r="K275" s="86"/>
      <x:c r="L275" s="86"/>
      <x:c r="M275" s="86"/>
      <x:c r="N275" s="86"/>
      <x:c r="O275" s="86"/>
      <x:c r="P275" s="86"/>
      <x:c r="Q275" s="86"/>
      <x:c r="R275" s="86"/>
      <x:c r="S275" s="86"/>
      <x:c r="T275" s="86"/>
      <x:c r="U275" s="86"/>
      <x:c r="V275" s="86"/>
      <x:c r="W275" s="86"/>
      <x:c r="X275" s="86"/>
      <x:c r="Y275" s="86"/>
      <x:c r="Z275" s="86"/>
    </x:row>
    <x:row r="276">
      <x:c r="A276" s="86"/>
      <x:c r="B276" s="86"/>
      <x:c r="C276" s="86"/>
      <x:c r="D276" s="86"/>
      <x:c r="E276" s="86"/>
      <x:c r="F276" s="86"/>
      <x:c r="G276" s="86"/>
      <x:c r="H276" s="86"/>
      <x:c r="I276" s="86"/>
      <x:c r="J276" s="86"/>
      <x:c r="K276" s="86"/>
      <x:c r="L276" s="86"/>
      <x:c r="M276" s="86"/>
      <x:c r="N276" s="86"/>
      <x:c r="O276" s="86"/>
      <x:c r="P276" s="86"/>
      <x:c r="Q276" s="86"/>
      <x:c r="R276" s="86"/>
      <x:c r="S276" s="86"/>
      <x:c r="T276" s="86"/>
      <x:c r="U276" s="86"/>
      <x:c r="V276" s="86"/>
      <x:c r="W276" s="86"/>
      <x:c r="X276" s="86"/>
      <x:c r="Y276" s="86"/>
      <x:c r="Z276" s="86"/>
    </x:row>
    <x:row r="277">
      <x:c r="A277" s="86"/>
      <x:c r="B277" s="86"/>
      <x:c r="C277" s="86"/>
      <x:c r="D277" s="86"/>
      <x:c r="E277" s="86"/>
      <x:c r="F277" s="86"/>
      <x:c r="G277" s="86"/>
      <x:c r="H277" s="86"/>
      <x:c r="I277" s="86"/>
      <x:c r="J277" s="86"/>
      <x:c r="K277" s="86"/>
      <x:c r="L277" s="86"/>
      <x:c r="M277" s="86"/>
      <x:c r="N277" s="86"/>
      <x:c r="O277" s="86"/>
      <x:c r="P277" s="86"/>
      <x:c r="Q277" s="86"/>
      <x:c r="R277" s="86"/>
      <x:c r="S277" s="86"/>
      <x:c r="T277" s="86"/>
      <x:c r="U277" s="86"/>
      <x:c r="V277" s="86"/>
      <x:c r="W277" s="86"/>
      <x:c r="X277" s="86"/>
      <x:c r="Y277" s="86"/>
      <x:c r="Z277" s="86"/>
    </x:row>
    <x:row r="278">
      <x:c r="A278" s="86"/>
      <x:c r="B278" s="86"/>
      <x:c r="C278" s="86"/>
      <x:c r="D278" s="86"/>
      <x:c r="E278" s="86"/>
      <x:c r="F278" s="86"/>
      <x:c r="G278" s="86"/>
      <x:c r="H278" s="86"/>
      <x:c r="I278" s="86"/>
      <x:c r="J278" s="86"/>
      <x:c r="K278" s="86"/>
      <x:c r="L278" s="86"/>
      <x:c r="M278" s="86"/>
      <x:c r="N278" s="86"/>
      <x:c r="O278" s="86"/>
      <x:c r="P278" s="86"/>
      <x:c r="Q278" s="86"/>
      <x:c r="R278" s="86"/>
      <x:c r="S278" s="86"/>
      <x:c r="T278" s="86"/>
      <x:c r="U278" s="86"/>
      <x:c r="V278" s="86"/>
      <x:c r="W278" s="86"/>
      <x:c r="X278" s="86"/>
      <x:c r="Y278" s="86"/>
      <x:c r="Z278" s="86"/>
    </x:row>
    <x:row r="279">
      <x:c r="A279" s="86"/>
      <x:c r="B279" s="86"/>
      <x:c r="C279" s="86"/>
      <x:c r="D279" s="86"/>
      <x:c r="E279" s="86"/>
      <x:c r="F279" s="86"/>
      <x:c r="G279" s="86"/>
      <x:c r="H279" s="86"/>
      <x:c r="I279" s="86"/>
      <x:c r="J279" s="86"/>
      <x:c r="K279" s="86"/>
      <x:c r="L279" s="86"/>
      <x:c r="M279" s="86"/>
      <x:c r="N279" s="86"/>
      <x:c r="O279" s="86"/>
      <x:c r="P279" s="86"/>
      <x:c r="Q279" s="86"/>
      <x:c r="R279" s="86"/>
      <x:c r="S279" s="86"/>
      <x:c r="T279" s="86"/>
      <x:c r="U279" s="86"/>
      <x:c r="V279" s="86"/>
      <x:c r="W279" s="86"/>
      <x:c r="X279" s="86"/>
      <x:c r="Y279" s="86"/>
      <x:c r="Z279" s="86"/>
    </x:row>
    <x:row r="280">
      <x:c r="A280" s="86"/>
      <x:c r="B280" s="86"/>
      <x:c r="C280" s="86"/>
      <x:c r="D280" s="86"/>
      <x:c r="E280" s="86"/>
      <x:c r="F280" s="86"/>
      <x:c r="G280" s="86"/>
      <x:c r="H280" s="86"/>
      <x:c r="I280" s="86"/>
      <x:c r="J280" s="86"/>
      <x:c r="K280" s="86"/>
      <x:c r="L280" s="86"/>
      <x:c r="M280" s="86"/>
      <x:c r="N280" s="86"/>
      <x:c r="O280" s="86"/>
      <x:c r="P280" s="86"/>
      <x:c r="Q280" s="86"/>
      <x:c r="R280" s="86"/>
      <x:c r="S280" s="86"/>
      <x:c r="T280" s="86"/>
      <x:c r="U280" s="86"/>
      <x:c r="V280" s="86"/>
      <x:c r="W280" s="86"/>
      <x:c r="X280" s="86"/>
      <x:c r="Y280" s="86"/>
      <x:c r="Z280" s="86"/>
    </x:row>
    <x:row r="281">
      <x:c r="A281" s="86"/>
      <x:c r="B281" s="86"/>
      <x:c r="C281" s="86"/>
      <x:c r="D281" s="86"/>
      <x:c r="E281" s="86"/>
      <x:c r="F281" s="86"/>
      <x:c r="G281" s="86"/>
      <x:c r="H281" s="86"/>
      <x:c r="I281" s="86"/>
      <x:c r="J281" s="86"/>
      <x:c r="K281" s="86"/>
      <x:c r="L281" s="86"/>
      <x:c r="M281" s="86"/>
      <x:c r="N281" s="86"/>
      <x:c r="O281" s="86"/>
      <x:c r="P281" s="86"/>
      <x:c r="Q281" s="86"/>
      <x:c r="R281" s="86"/>
      <x:c r="S281" s="86"/>
      <x:c r="T281" s="86"/>
      <x:c r="U281" s="86"/>
      <x:c r="V281" s="86"/>
      <x:c r="W281" s="86"/>
      <x:c r="X281" s="86"/>
      <x:c r="Y281" s="86"/>
      <x:c r="Z281" s="86"/>
    </x:row>
    <x:row r="282">
      <x:c r="A282" s="86"/>
      <x:c r="B282" s="86"/>
      <x:c r="C282" s="86"/>
      <x:c r="D282" s="86"/>
      <x:c r="E282" s="86"/>
      <x:c r="F282" s="86"/>
      <x:c r="G282" s="86"/>
      <x:c r="H282" s="86"/>
      <x:c r="I282" s="86"/>
      <x:c r="J282" s="86"/>
      <x:c r="K282" s="86"/>
      <x:c r="L282" s="86"/>
      <x:c r="M282" s="86"/>
      <x:c r="N282" s="86"/>
      <x:c r="O282" s="86"/>
      <x:c r="P282" s="86"/>
      <x:c r="Q282" s="86"/>
      <x:c r="R282" s="86"/>
      <x:c r="S282" s="86"/>
      <x:c r="T282" s="86"/>
      <x:c r="U282" s="86"/>
      <x:c r="V282" s="86"/>
      <x:c r="W282" s="86"/>
      <x:c r="X282" s="86"/>
      <x:c r="Y282" s="86"/>
      <x:c r="Z282" s="86"/>
    </x:row>
    <x:row r="283">
      <x:c r="A283" s="86"/>
      <x:c r="B283" s="86"/>
      <x:c r="C283" s="86"/>
      <x:c r="D283" s="86"/>
      <x:c r="E283" s="86"/>
      <x:c r="F283" s="86"/>
      <x:c r="G283" s="86"/>
      <x:c r="H283" s="86"/>
      <x:c r="I283" s="86"/>
      <x:c r="J283" s="86"/>
      <x:c r="K283" s="86"/>
      <x:c r="L283" s="86"/>
      <x:c r="M283" s="86"/>
      <x:c r="N283" s="86"/>
      <x:c r="O283" s="86"/>
      <x:c r="P283" s="86"/>
      <x:c r="Q283" s="86"/>
      <x:c r="R283" s="86"/>
      <x:c r="S283" s="86"/>
      <x:c r="T283" s="86"/>
      <x:c r="U283" s="86"/>
      <x:c r="V283" s="86"/>
      <x:c r="W283" s="86"/>
      <x:c r="X283" s="86"/>
      <x:c r="Y283" s="86"/>
      <x:c r="Z283" s="86"/>
    </x:row>
    <x:row r="284">
      <x:c r="A284" s="86"/>
      <x:c r="B284" s="86"/>
      <x:c r="C284" s="86"/>
      <x:c r="D284" s="86"/>
      <x:c r="E284" s="86"/>
      <x:c r="F284" s="86"/>
      <x:c r="G284" s="86"/>
      <x:c r="H284" s="86"/>
      <x:c r="I284" s="86"/>
      <x:c r="J284" s="86"/>
      <x:c r="K284" s="86"/>
      <x:c r="L284" s="86"/>
      <x:c r="M284" s="86"/>
      <x:c r="N284" s="86"/>
      <x:c r="O284" s="86"/>
      <x:c r="P284" s="86"/>
      <x:c r="Q284" s="86"/>
      <x:c r="R284" s="86"/>
      <x:c r="S284" s="86"/>
      <x:c r="T284" s="86"/>
      <x:c r="U284" s="86"/>
      <x:c r="V284" s="86"/>
      <x:c r="W284" s="86"/>
      <x:c r="X284" s="86"/>
      <x:c r="Y284" s="86"/>
      <x:c r="Z284" s="86"/>
    </x:row>
    <x:row r="285">
      <x:c r="A285" s="86"/>
      <x:c r="B285" s="86"/>
      <x:c r="C285" s="86"/>
      <x:c r="D285" s="86"/>
      <x:c r="E285" s="86"/>
      <x:c r="F285" s="86"/>
      <x:c r="G285" s="86"/>
      <x:c r="H285" s="86"/>
      <x:c r="I285" s="86"/>
      <x:c r="J285" s="86"/>
      <x:c r="K285" s="86"/>
      <x:c r="L285" s="86"/>
      <x:c r="M285" s="86"/>
      <x:c r="N285" s="86"/>
      <x:c r="O285" s="86"/>
      <x:c r="P285" s="86"/>
      <x:c r="Q285" s="86"/>
      <x:c r="R285" s="86"/>
      <x:c r="S285" s="86"/>
      <x:c r="T285" s="86"/>
      <x:c r="U285" s="86"/>
      <x:c r="V285" s="86"/>
      <x:c r="W285" s="86"/>
      <x:c r="X285" s="86"/>
      <x:c r="Y285" s="86"/>
      <x:c r="Z285" s="86"/>
    </x:row>
    <x:row r="286">
      <x:c r="A286" s="86"/>
      <x:c r="B286" s="86"/>
      <x:c r="C286" s="86"/>
      <x:c r="D286" s="86"/>
      <x:c r="E286" s="86"/>
      <x:c r="F286" s="86"/>
      <x:c r="G286" s="86"/>
      <x:c r="H286" s="86"/>
      <x:c r="I286" s="86"/>
      <x:c r="J286" s="86"/>
      <x:c r="K286" s="86"/>
      <x:c r="L286" s="86"/>
      <x:c r="M286" s="86"/>
      <x:c r="N286" s="86"/>
      <x:c r="O286" s="86"/>
      <x:c r="P286" s="86"/>
      <x:c r="Q286" s="86"/>
      <x:c r="R286" s="86"/>
      <x:c r="S286" s="86"/>
      <x:c r="T286" s="86"/>
      <x:c r="U286" s="86"/>
      <x:c r="V286" s="86"/>
      <x:c r="W286" s="86"/>
      <x:c r="X286" s="86"/>
      <x:c r="Y286" s="86"/>
      <x:c r="Z286" s="86"/>
    </x:row>
    <x:row r="287">
      <x:c r="A287" s="86"/>
      <x:c r="B287" s="86"/>
      <x:c r="C287" s="86"/>
      <x:c r="D287" s="86"/>
      <x:c r="E287" s="86"/>
      <x:c r="F287" s="86"/>
      <x:c r="G287" s="86"/>
      <x:c r="H287" s="86"/>
      <x:c r="I287" s="86"/>
      <x:c r="J287" s="86"/>
      <x:c r="K287" s="86"/>
      <x:c r="L287" s="86"/>
      <x:c r="M287" s="86"/>
      <x:c r="N287" s="86"/>
      <x:c r="O287" s="86"/>
      <x:c r="P287" s="86"/>
      <x:c r="Q287" s="86"/>
      <x:c r="R287" s="86"/>
      <x:c r="S287" s="86"/>
      <x:c r="T287" s="86"/>
      <x:c r="U287" s="86"/>
      <x:c r="V287" s="86"/>
      <x:c r="W287" s="86"/>
      <x:c r="X287" s="86"/>
      <x:c r="Y287" s="86"/>
      <x:c r="Z287" s="86"/>
    </x:row>
    <x:row r="288">
      <x:c r="A288" s="86"/>
      <x:c r="B288" s="86"/>
      <x:c r="C288" s="86"/>
      <x:c r="D288" s="86"/>
      <x:c r="E288" s="86"/>
      <x:c r="F288" s="86"/>
      <x:c r="G288" s="86"/>
      <x:c r="H288" s="86"/>
      <x:c r="I288" s="86"/>
      <x:c r="J288" s="86"/>
      <x:c r="K288" s="86"/>
      <x:c r="L288" s="86"/>
      <x:c r="M288" s="86"/>
      <x:c r="N288" s="86"/>
      <x:c r="O288" s="86"/>
      <x:c r="P288" s="86"/>
      <x:c r="Q288" s="86"/>
      <x:c r="R288" s="86"/>
      <x:c r="S288" s="86"/>
      <x:c r="T288" s="86"/>
      <x:c r="U288" s="86"/>
      <x:c r="V288" s="86"/>
      <x:c r="W288" s="86"/>
      <x:c r="X288" s="86"/>
      <x:c r="Y288" s="86"/>
      <x:c r="Z288" s="86"/>
    </x:row>
    <x:row r="289">
      <x:c r="A289" s="86"/>
      <x:c r="B289" s="86"/>
      <x:c r="C289" s="86"/>
      <x:c r="D289" s="86"/>
      <x:c r="E289" s="86"/>
      <x:c r="F289" s="86"/>
      <x:c r="G289" s="86"/>
      <x:c r="H289" s="86"/>
      <x:c r="I289" s="86"/>
      <x:c r="J289" s="86"/>
      <x:c r="K289" s="86"/>
      <x:c r="L289" s="86"/>
      <x:c r="M289" s="86"/>
      <x:c r="N289" s="86"/>
      <x:c r="O289" s="86"/>
      <x:c r="P289" s="86"/>
      <x:c r="Q289" s="86"/>
      <x:c r="R289" s="86"/>
      <x:c r="S289" s="86"/>
      <x:c r="T289" s="86"/>
      <x:c r="U289" s="86"/>
      <x:c r="V289" s="86"/>
      <x:c r="W289" s="86"/>
      <x:c r="X289" s="86"/>
      <x:c r="Y289" s="86"/>
      <x:c r="Z289" s="86"/>
    </x:row>
    <x:row r="290">
      <x:c r="A290" s="86"/>
      <x:c r="B290" s="86"/>
      <x:c r="C290" s="86"/>
      <x:c r="D290" s="86"/>
      <x:c r="E290" s="86"/>
      <x:c r="F290" s="86"/>
      <x:c r="G290" s="86"/>
      <x:c r="H290" s="86"/>
      <x:c r="I290" s="86"/>
      <x:c r="J290" s="86"/>
      <x:c r="K290" s="86"/>
      <x:c r="L290" s="86"/>
      <x:c r="M290" s="86"/>
      <x:c r="N290" s="86"/>
      <x:c r="O290" s="86"/>
      <x:c r="P290" s="86"/>
      <x:c r="Q290" s="86"/>
      <x:c r="R290" s="86"/>
      <x:c r="S290" s="86"/>
      <x:c r="T290" s="86"/>
      <x:c r="U290" s="86"/>
      <x:c r="V290" s="86"/>
      <x:c r="W290" s="86"/>
      <x:c r="X290" s="86"/>
      <x:c r="Y290" s="86"/>
      <x:c r="Z290" s="86"/>
    </x:row>
    <x:row r="291">
      <x:c r="A291" s="86"/>
      <x:c r="B291" s="86"/>
      <x:c r="C291" s="86"/>
      <x:c r="D291" s="86"/>
      <x:c r="E291" s="86"/>
      <x:c r="F291" s="86"/>
      <x:c r="G291" s="86"/>
      <x:c r="H291" s="86"/>
      <x:c r="I291" s="86"/>
      <x:c r="J291" s="86"/>
      <x:c r="K291" s="86"/>
      <x:c r="L291" s="86"/>
      <x:c r="M291" s="86"/>
      <x:c r="N291" s="86"/>
      <x:c r="O291" s="86"/>
      <x:c r="P291" s="86"/>
      <x:c r="Q291" s="86"/>
      <x:c r="R291" s="86"/>
      <x:c r="S291" s="86"/>
      <x:c r="T291" s="86"/>
      <x:c r="U291" s="86"/>
      <x:c r="V291" s="86"/>
      <x:c r="W291" s="86"/>
      <x:c r="X291" s="86"/>
      <x:c r="Y291" s="86"/>
      <x:c r="Z291" s="86"/>
    </x:row>
    <x:row r="292">
      <x:c r="A292" s="86"/>
      <x:c r="B292" s="86"/>
      <x:c r="C292" s="86"/>
      <x:c r="D292" s="86"/>
      <x:c r="E292" s="86"/>
      <x:c r="F292" s="86"/>
      <x:c r="G292" s="86"/>
      <x:c r="H292" s="86"/>
      <x:c r="I292" s="86"/>
      <x:c r="J292" s="86"/>
      <x:c r="K292" s="86"/>
      <x:c r="L292" s="86"/>
      <x:c r="M292" s="86"/>
      <x:c r="N292" s="86"/>
      <x:c r="O292" s="86"/>
      <x:c r="P292" s="86"/>
      <x:c r="Q292" s="86"/>
      <x:c r="R292" s="86"/>
      <x:c r="S292" s="86"/>
      <x:c r="T292" s="86"/>
      <x:c r="U292" s="86"/>
      <x:c r="V292" s="86"/>
      <x:c r="W292" s="86"/>
      <x:c r="X292" s="86"/>
      <x:c r="Y292" s="86"/>
      <x:c r="Z292" s="86"/>
    </x:row>
    <x:row r="293">
      <x:c r="A293" s="86"/>
      <x:c r="B293" s="86"/>
      <x:c r="C293" s="86"/>
      <x:c r="D293" s="86"/>
      <x:c r="E293" s="86"/>
      <x:c r="F293" s="86"/>
      <x:c r="G293" s="86"/>
      <x:c r="H293" s="86"/>
      <x:c r="I293" s="86"/>
      <x:c r="J293" s="86"/>
      <x:c r="K293" s="86"/>
      <x:c r="L293" s="86"/>
      <x:c r="M293" s="86"/>
      <x:c r="N293" s="86"/>
      <x:c r="O293" s="86"/>
      <x:c r="P293" s="86"/>
      <x:c r="Q293" s="86"/>
      <x:c r="R293" s="86"/>
      <x:c r="S293" s="86"/>
      <x:c r="T293" s="86"/>
      <x:c r="U293" s="86"/>
      <x:c r="V293" s="86"/>
      <x:c r="W293" s="86"/>
      <x:c r="X293" s="86"/>
      <x:c r="Y293" s="86"/>
      <x:c r="Z293" s="86"/>
    </x:row>
    <x:row r="294">
      <x:c r="A294" s="86"/>
      <x:c r="B294" s="86"/>
      <x:c r="C294" s="86"/>
      <x:c r="D294" s="86"/>
      <x:c r="E294" s="86"/>
      <x:c r="F294" s="86"/>
      <x:c r="G294" s="86"/>
      <x:c r="H294" s="86"/>
      <x:c r="I294" s="86"/>
      <x:c r="J294" s="86"/>
      <x:c r="K294" s="86"/>
      <x:c r="L294" s="86"/>
      <x:c r="M294" s="86"/>
      <x:c r="N294" s="86"/>
      <x:c r="O294" s="86"/>
      <x:c r="P294" s="86"/>
      <x:c r="Q294" s="86"/>
      <x:c r="R294" s="86"/>
      <x:c r="S294" s="86"/>
      <x:c r="T294" s="86"/>
      <x:c r="U294" s="86"/>
      <x:c r="V294" s="86"/>
      <x:c r="W294" s="86"/>
      <x:c r="X294" s="86"/>
      <x:c r="Y294" s="86"/>
      <x:c r="Z294" s="86"/>
    </x:row>
    <x:row r="295">
      <x:c r="A295" s="86"/>
      <x:c r="B295" s="86"/>
      <x:c r="C295" s="86"/>
      <x:c r="D295" s="86"/>
      <x:c r="E295" s="86"/>
      <x:c r="F295" s="86"/>
      <x:c r="G295" s="86"/>
      <x:c r="H295" s="86"/>
      <x:c r="I295" s="86"/>
      <x:c r="J295" s="86"/>
      <x:c r="K295" s="86"/>
      <x:c r="L295" s="86"/>
      <x:c r="M295" s="86"/>
      <x:c r="N295" s="86"/>
      <x:c r="O295" s="86"/>
      <x:c r="P295" s="86"/>
      <x:c r="Q295" s="86"/>
      <x:c r="R295" s="86"/>
      <x:c r="S295" s="86"/>
      <x:c r="T295" s="86"/>
      <x:c r="U295" s="86"/>
      <x:c r="V295" s="86"/>
      <x:c r="W295" s="86"/>
      <x:c r="X295" s="86"/>
      <x:c r="Y295" s="86"/>
      <x:c r="Z295" s="86"/>
    </x:row>
    <x:row r="296">
      <x:c r="A296" s="86"/>
      <x:c r="B296" s="86"/>
      <x:c r="C296" s="86"/>
      <x:c r="D296" s="86"/>
      <x:c r="E296" s="86"/>
      <x:c r="F296" s="86"/>
      <x:c r="G296" s="86"/>
      <x:c r="H296" s="86"/>
      <x:c r="I296" s="86"/>
      <x:c r="J296" s="86"/>
      <x:c r="K296" s="86"/>
      <x:c r="L296" s="86"/>
      <x:c r="M296" s="86"/>
      <x:c r="N296" s="86"/>
      <x:c r="O296" s="86"/>
      <x:c r="P296" s="86"/>
      <x:c r="Q296" s="86"/>
      <x:c r="R296" s="86"/>
      <x:c r="S296" s="86"/>
      <x:c r="T296" s="86"/>
      <x:c r="U296" s="86"/>
      <x:c r="V296" s="86"/>
      <x:c r="W296" s="86"/>
      <x:c r="X296" s="86"/>
      <x:c r="Y296" s="86"/>
      <x:c r="Z296" s="86"/>
    </x:row>
    <x:row r="297">
      <x:c r="A297" s="86"/>
      <x:c r="B297" s="86"/>
      <x:c r="C297" s="86"/>
      <x:c r="D297" s="86"/>
      <x:c r="E297" s="86"/>
      <x:c r="F297" s="86"/>
      <x:c r="G297" s="86"/>
      <x:c r="H297" s="86"/>
      <x:c r="I297" s="86"/>
      <x:c r="J297" s="86"/>
      <x:c r="K297" s="86"/>
      <x:c r="L297" s="86"/>
      <x:c r="M297" s="86"/>
      <x:c r="N297" s="86"/>
      <x:c r="O297" s="86"/>
      <x:c r="P297" s="86"/>
      <x:c r="Q297" s="86"/>
      <x:c r="R297" s="86"/>
      <x:c r="S297" s="86"/>
      <x:c r="T297" s="86"/>
      <x:c r="U297" s="86"/>
      <x:c r="V297" s="86"/>
      <x:c r="W297" s="86"/>
      <x:c r="X297" s="86"/>
      <x:c r="Y297" s="86"/>
      <x:c r="Z297" s="86"/>
    </x:row>
    <x:row r="298">
      <x:c r="A298" s="86"/>
      <x:c r="B298" s="86"/>
      <x:c r="C298" s="86"/>
      <x:c r="D298" s="86"/>
      <x:c r="E298" s="86"/>
      <x:c r="F298" s="86"/>
      <x:c r="G298" s="86"/>
      <x:c r="H298" s="86"/>
      <x:c r="I298" s="86"/>
      <x:c r="J298" s="86"/>
      <x:c r="K298" s="86"/>
      <x:c r="L298" s="86"/>
      <x:c r="M298" s="86"/>
      <x:c r="N298" s="86"/>
      <x:c r="O298" s="86"/>
      <x:c r="P298" s="86"/>
      <x:c r="Q298" s="86"/>
      <x:c r="R298" s="86"/>
      <x:c r="S298" s="86"/>
      <x:c r="T298" s="86"/>
      <x:c r="U298" s="86"/>
      <x:c r="V298" s="86"/>
      <x:c r="W298" s="86"/>
      <x:c r="X298" s="86"/>
      <x:c r="Y298" s="86"/>
      <x:c r="Z298" s="86"/>
    </x:row>
    <x:row r="299">
      <x:c r="A299" s="86"/>
      <x:c r="B299" s="86"/>
      <x:c r="C299" s="86"/>
      <x:c r="D299" s="86"/>
      <x:c r="E299" s="86"/>
      <x:c r="F299" s="86"/>
      <x:c r="G299" s="86"/>
      <x:c r="H299" s="86"/>
      <x:c r="I299" s="86"/>
      <x:c r="J299" s="86"/>
      <x:c r="K299" s="86"/>
      <x:c r="L299" s="86"/>
      <x:c r="M299" s="86"/>
      <x:c r="N299" s="86"/>
      <x:c r="O299" s="86"/>
      <x:c r="P299" s="86"/>
      <x:c r="Q299" s="86"/>
      <x:c r="R299" s="86"/>
      <x:c r="S299" s="86"/>
      <x:c r="T299" s="86"/>
      <x:c r="U299" s="86"/>
      <x:c r="V299" s="86"/>
      <x:c r="W299" s="86"/>
      <x:c r="X299" s="86"/>
      <x:c r="Y299" s="86"/>
      <x:c r="Z299" s="86"/>
    </x:row>
    <x:row r="300">
      <x:c r="A300" s="86"/>
      <x:c r="B300" s="86"/>
      <x:c r="C300" s="86"/>
      <x:c r="D300" s="86"/>
      <x:c r="E300" s="86"/>
      <x:c r="F300" s="86"/>
      <x:c r="G300" s="86"/>
      <x:c r="H300" s="86"/>
      <x:c r="I300" s="86"/>
      <x:c r="J300" s="86"/>
      <x:c r="K300" s="86"/>
      <x:c r="L300" s="86"/>
      <x:c r="M300" s="86"/>
      <x:c r="N300" s="86"/>
      <x:c r="O300" s="86"/>
      <x:c r="P300" s="86"/>
      <x:c r="Q300" s="86"/>
      <x:c r="R300" s="86"/>
      <x:c r="S300" s="86"/>
      <x:c r="T300" s="86"/>
      <x:c r="U300" s="86"/>
      <x:c r="V300" s="86"/>
      <x:c r="W300" s="86"/>
      <x:c r="X300" s="86"/>
      <x:c r="Y300" s="86"/>
      <x:c r="Z300" s="86"/>
    </x:row>
    <x:row r="301">
      <x:c r="A301" s="86"/>
      <x:c r="B301" s="86"/>
      <x:c r="C301" s="86"/>
      <x:c r="D301" s="86"/>
      <x:c r="E301" s="86"/>
      <x:c r="F301" s="86"/>
      <x:c r="G301" s="86"/>
      <x:c r="H301" s="86"/>
      <x:c r="I301" s="86"/>
      <x:c r="J301" s="86"/>
      <x:c r="K301" s="86"/>
      <x:c r="L301" s="86"/>
      <x:c r="M301" s="86"/>
      <x:c r="N301" s="86"/>
      <x:c r="O301" s="86"/>
      <x:c r="P301" s="86"/>
      <x:c r="Q301" s="86"/>
      <x:c r="R301" s="86"/>
      <x:c r="S301" s="86"/>
      <x:c r="T301" s="86"/>
      <x:c r="U301" s="86"/>
      <x:c r="V301" s="86"/>
      <x:c r="W301" s="86"/>
      <x:c r="X301" s="86"/>
      <x:c r="Y301" s="86"/>
      <x:c r="Z301" s="86"/>
    </x:row>
    <x:row r="302">
      <x:c r="A302" s="86"/>
      <x:c r="B302" s="86"/>
      <x:c r="C302" s="86"/>
      <x:c r="D302" s="86"/>
      <x:c r="E302" s="86"/>
      <x:c r="F302" s="86"/>
      <x:c r="G302" s="86"/>
      <x:c r="H302" s="86"/>
      <x:c r="I302" s="86"/>
      <x:c r="J302" s="86"/>
      <x:c r="K302" s="86"/>
      <x:c r="L302" s="86"/>
      <x:c r="M302" s="86"/>
      <x:c r="N302" s="86"/>
      <x:c r="O302" s="86"/>
      <x:c r="P302" s="86"/>
      <x:c r="Q302" s="86"/>
      <x:c r="R302" s="86"/>
      <x:c r="S302" s="86"/>
      <x:c r="T302" s="86"/>
      <x:c r="U302" s="86"/>
      <x:c r="V302" s="86"/>
      <x:c r="W302" s="86"/>
      <x:c r="X302" s="86"/>
      <x:c r="Y302" s="86"/>
      <x:c r="Z302" s="86"/>
    </x:row>
    <x:row r="303">
      <x:c r="A303" s="86"/>
      <x:c r="B303" s="86"/>
      <x:c r="C303" s="86"/>
      <x:c r="D303" s="86"/>
      <x:c r="E303" s="86"/>
      <x:c r="F303" s="86"/>
      <x:c r="G303" s="86"/>
      <x:c r="H303" s="86"/>
      <x:c r="I303" s="86"/>
      <x:c r="J303" s="86"/>
      <x:c r="K303" s="86"/>
      <x:c r="L303" s="86"/>
      <x:c r="M303" s="86"/>
      <x:c r="N303" s="86"/>
      <x:c r="O303" s="86"/>
      <x:c r="P303" s="86"/>
      <x:c r="Q303" s="86"/>
      <x:c r="R303" s="86"/>
      <x:c r="S303" s="86"/>
      <x:c r="T303" s="86"/>
      <x:c r="U303" s="86"/>
      <x:c r="V303" s="86"/>
      <x:c r="W303" s="86"/>
      <x:c r="X303" s="86"/>
      <x:c r="Y303" s="86"/>
      <x:c r="Z303" s="86"/>
    </x:row>
    <x:row r="304">
      <x:c r="A304" s="86"/>
      <x:c r="B304" s="86"/>
      <x:c r="C304" s="86"/>
      <x:c r="D304" s="86"/>
      <x:c r="E304" s="86"/>
      <x:c r="F304" s="86"/>
      <x:c r="G304" s="86"/>
      <x:c r="H304" s="86"/>
      <x:c r="I304" s="86"/>
      <x:c r="J304" s="86"/>
      <x:c r="K304" s="86"/>
      <x:c r="L304" s="86"/>
      <x:c r="M304" s="86"/>
      <x:c r="N304" s="86"/>
      <x:c r="O304" s="86"/>
      <x:c r="P304" s="86"/>
      <x:c r="Q304" s="86"/>
      <x:c r="R304" s="86"/>
      <x:c r="S304" s="86"/>
      <x:c r="T304" s="86"/>
      <x:c r="U304" s="86"/>
      <x:c r="V304" s="86"/>
      <x:c r="W304" s="86"/>
      <x:c r="X304" s="86"/>
      <x:c r="Y304" s="86"/>
      <x:c r="Z304" s="86"/>
    </x:row>
    <x:row r="305">
      <x:c r="A305" s="86"/>
      <x:c r="B305" s="86"/>
      <x:c r="C305" s="86"/>
      <x:c r="D305" s="86"/>
      <x:c r="E305" s="86"/>
      <x:c r="F305" s="86"/>
      <x:c r="G305" s="86"/>
      <x:c r="H305" s="86"/>
      <x:c r="I305" s="86"/>
      <x:c r="J305" s="86"/>
      <x:c r="K305" s="86"/>
      <x:c r="L305" s="86"/>
      <x:c r="M305" s="86"/>
      <x:c r="N305" s="86"/>
      <x:c r="O305" s="86"/>
      <x:c r="P305" s="86"/>
      <x:c r="Q305" s="86"/>
      <x:c r="R305" s="86"/>
      <x:c r="S305" s="86"/>
      <x:c r="T305" s="86"/>
      <x:c r="U305" s="86"/>
      <x:c r="V305" s="86"/>
      <x:c r="W305" s="86"/>
      <x:c r="X305" s="86"/>
      <x:c r="Y305" s="86"/>
      <x:c r="Z305" s="86"/>
    </x:row>
    <x:row r="306">
      <x:c r="A306" s="86"/>
      <x:c r="B306" s="86"/>
      <x:c r="C306" s="86"/>
      <x:c r="D306" s="86"/>
      <x:c r="E306" s="86"/>
      <x:c r="F306" s="86"/>
      <x:c r="G306" s="86"/>
      <x:c r="H306" s="86"/>
      <x:c r="I306" s="86"/>
      <x:c r="J306" s="86"/>
      <x:c r="K306" s="86"/>
      <x:c r="L306" s="86"/>
      <x:c r="M306" s="86"/>
      <x:c r="N306" s="86"/>
      <x:c r="O306" s="86"/>
      <x:c r="P306" s="86"/>
      <x:c r="Q306" s="86"/>
      <x:c r="R306" s="86"/>
      <x:c r="S306" s="86"/>
      <x:c r="T306" s="86"/>
      <x:c r="U306" s="86"/>
      <x:c r="V306" s="86"/>
      <x:c r="W306" s="86"/>
      <x:c r="X306" s="86"/>
      <x:c r="Y306" s="86"/>
      <x:c r="Z306" s="86"/>
    </x:row>
    <x:row r="307">
      <x:c r="A307" s="86"/>
      <x:c r="B307" s="86"/>
      <x:c r="C307" s="86"/>
      <x:c r="D307" s="86"/>
      <x:c r="E307" s="86"/>
      <x:c r="F307" s="86"/>
      <x:c r="G307" s="86"/>
      <x:c r="H307" s="86"/>
      <x:c r="I307" s="86"/>
      <x:c r="J307" s="86"/>
      <x:c r="K307" s="86"/>
      <x:c r="L307" s="86"/>
      <x:c r="M307" s="86"/>
      <x:c r="N307" s="86"/>
      <x:c r="O307" s="86"/>
      <x:c r="P307" s="86"/>
      <x:c r="Q307" s="86"/>
      <x:c r="R307" s="86"/>
      <x:c r="S307" s="86"/>
      <x:c r="T307" s="86"/>
      <x:c r="U307" s="86"/>
      <x:c r="V307" s="86"/>
      <x:c r="W307" s="86"/>
      <x:c r="X307" s="86"/>
      <x:c r="Y307" s="86"/>
      <x:c r="Z307" s="86"/>
    </x:row>
    <x:row r="308">
      <x:c r="A308" s="86"/>
      <x:c r="B308" s="86"/>
      <x:c r="C308" s="86"/>
      <x:c r="D308" s="86"/>
      <x:c r="E308" s="86"/>
      <x:c r="F308" s="86"/>
      <x:c r="G308" s="86"/>
      <x:c r="H308" s="86"/>
      <x:c r="I308" s="86"/>
      <x:c r="J308" s="86"/>
      <x:c r="K308" s="86"/>
      <x:c r="L308" s="86"/>
      <x:c r="M308" s="86"/>
      <x:c r="N308" s="86"/>
      <x:c r="O308" s="86"/>
      <x:c r="P308" s="86"/>
      <x:c r="Q308" s="86"/>
      <x:c r="R308" s="86"/>
      <x:c r="S308" s="86"/>
      <x:c r="T308" s="86"/>
      <x:c r="U308" s="86"/>
      <x:c r="V308" s="86"/>
      <x:c r="W308" s="86"/>
      <x:c r="X308" s="86"/>
      <x:c r="Y308" s="86"/>
      <x:c r="Z308" s="86"/>
    </x:row>
    <x:row r="309">
      <x:c r="A309" s="86"/>
      <x:c r="B309" s="86"/>
      <x:c r="C309" s="86"/>
      <x:c r="D309" s="86"/>
      <x:c r="E309" s="86"/>
      <x:c r="F309" s="86"/>
      <x:c r="G309" s="86"/>
      <x:c r="H309" s="86"/>
      <x:c r="I309" s="86"/>
      <x:c r="J309" s="86"/>
      <x:c r="K309" s="86"/>
      <x:c r="L309" s="86"/>
      <x:c r="M309" s="86"/>
      <x:c r="N309" s="86"/>
      <x:c r="O309" s="86"/>
      <x:c r="P309" s="86"/>
      <x:c r="Q309" s="86"/>
      <x:c r="R309" s="86"/>
      <x:c r="S309" s="86"/>
      <x:c r="T309" s="86"/>
      <x:c r="U309" s="86"/>
      <x:c r="V309" s="86"/>
      <x:c r="W309" s="86"/>
      <x:c r="X309" s="86"/>
      <x:c r="Y309" s="86"/>
      <x:c r="Z309" s="86"/>
    </x:row>
    <x:row r="310">
      <x:c r="A310" s="86"/>
      <x:c r="B310" s="86"/>
      <x:c r="C310" s="86"/>
      <x:c r="D310" s="86"/>
      <x:c r="E310" s="86"/>
      <x:c r="F310" s="86"/>
      <x:c r="G310" s="86"/>
      <x:c r="H310" s="86"/>
      <x:c r="I310" s="86"/>
      <x:c r="J310" s="86"/>
      <x:c r="K310" s="86"/>
      <x:c r="L310" s="86"/>
      <x:c r="M310" s="86"/>
      <x:c r="N310" s="86"/>
      <x:c r="O310" s="86"/>
      <x:c r="P310" s="86"/>
      <x:c r="Q310" s="86"/>
      <x:c r="R310" s="86"/>
      <x:c r="S310" s="86"/>
      <x:c r="T310" s="86"/>
      <x:c r="U310" s="86"/>
      <x:c r="V310" s="86"/>
      <x:c r="W310" s="86"/>
      <x:c r="X310" s="86"/>
      <x:c r="Y310" s="86"/>
      <x:c r="Z310" s="86"/>
    </x:row>
    <x:row r="311">
      <x:c r="A311" s="86"/>
      <x:c r="B311" s="86"/>
      <x:c r="C311" s="86"/>
      <x:c r="D311" s="86"/>
      <x:c r="E311" s="86"/>
      <x:c r="F311" s="86"/>
      <x:c r="G311" s="86"/>
      <x:c r="H311" s="86"/>
      <x:c r="I311" s="86"/>
      <x:c r="J311" s="86"/>
      <x:c r="K311" s="86"/>
      <x:c r="L311" s="86"/>
      <x:c r="M311" s="86"/>
      <x:c r="N311" s="86"/>
      <x:c r="O311" s="86"/>
      <x:c r="P311" s="86"/>
      <x:c r="Q311" s="86"/>
      <x:c r="R311" s="86"/>
      <x:c r="S311" s="86"/>
      <x:c r="T311" s="86"/>
      <x:c r="U311" s="86"/>
      <x:c r="V311" s="86"/>
      <x:c r="W311" s="86"/>
      <x:c r="X311" s="86"/>
      <x:c r="Y311" s="86"/>
      <x:c r="Z311" s="86"/>
    </x:row>
    <x:row r="312">
      <x:c r="A312" s="86"/>
      <x:c r="B312" s="86"/>
      <x:c r="C312" s="86"/>
      <x:c r="D312" s="86"/>
      <x:c r="E312" s="86"/>
      <x:c r="F312" s="86"/>
      <x:c r="G312" s="86"/>
      <x:c r="H312" s="86"/>
      <x:c r="I312" s="86"/>
      <x:c r="J312" s="86"/>
      <x:c r="K312" s="86"/>
      <x:c r="L312" s="86"/>
      <x:c r="M312" s="86"/>
      <x:c r="N312" s="86"/>
      <x:c r="O312" s="86"/>
      <x:c r="P312" s="86"/>
      <x:c r="Q312" s="86"/>
      <x:c r="R312" s="86"/>
      <x:c r="S312" s="86"/>
      <x:c r="T312" s="86"/>
      <x:c r="U312" s="86"/>
      <x:c r="V312" s="86"/>
      <x:c r="W312" s="86"/>
      <x:c r="X312" s="86"/>
      <x:c r="Y312" s="86"/>
      <x:c r="Z312" s="86"/>
    </x:row>
    <x:row r="313">
      <x:c r="A313" s="86"/>
      <x:c r="B313" s="86"/>
      <x:c r="C313" s="86"/>
      <x:c r="D313" s="86"/>
      <x:c r="E313" s="86"/>
      <x:c r="F313" s="86"/>
      <x:c r="G313" s="86"/>
      <x:c r="H313" s="86"/>
      <x:c r="I313" s="86"/>
      <x:c r="J313" s="86"/>
      <x:c r="K313" s="86"/>
      <x:c r="L313" s="86"/>
      <x:c r="M313" s="86"/>
      <x:c r="N313" s="86"/>
      <x:c r="O313" s="86"/>
      <x:c r="P313" s="86"/>
      <x:c r="Q313" s="86"/>
      <x:c r="R313" s="86"/>
      <x:c r="S313" s="86"/>
      <x:c r="T313" s="86"/>
      <x:c r="U313" s="86"/>
      <x:c r="V313" s="86"/>
      <x:c r="W313" s="86"/>
      <x:c r="X313" s="86"/>
      <x:c r="Y313" s="86"/>
      <x:c r="Z313" s="86"/>
    </x:row>
    <x:row r="314">
      <x:c r="A314" s="86"/>
      <x:c r="B314" s="86"/>
      <x:c r="C314" s="86"/>
      <x:c r="D314" s="86"/>
      <x:c r="E314" s="86"/>
      <x:c r="F314" s="86"/>
      <x:c r="G314" s="86"/>
      <x:c r="H314" s="86"/>
      <x:c r="I314" s="86"/>
      <x:c r="J314" s="86"/>
      <x:c r="K314" s="86"/>
      <x:c r="L314" s="86"/>
      <x:c r="M314" s="86"/>
      <x:c r="N314" s="86"/>
      <x:c r="O314" s="86"/>
      <x:c r="P314" s="86"/>
      <x:c r="Q314" s="86"/>
      <x:c r="R314" s="86"/>
      <x:c r="S314" s="86"/>
      <x:c r="T314" s="86"/>
      <x:c r="U314" s="86"/>
      <x:c r="V314" s="86"/>
      <x:c r="W314" s="86"/>
      <x:c r="X314" s="86"/>
      <x:c r="Y314" s="86"/>
      <x:c r="Z314" s="86"/>
    </x:row>
    <x:row r="315">
      <x:c r="A315" s="86"/>
      <x:c r="B315" s="86"/>
      <x:c r="C315" s="86"/>
      <x:c r="D315" s="86"/>
      <x:c r="E315" s="86"/>
      <x:c r="F315" s="86"/>
      <x:c r="G315" s="86"/>
      <x:c r="H315" s="86"/>
      <x:c r="I315" s="86"/>
      <x:c r="J315" s="86"/>
      <x:c r="K315" s="86"/>
      <x:c r="L315" s="86"/>
      <x:c r="M315" s="86"/>
      <x:c r="N315" s="86"/>
      <x:c r="O315" s="86"/>
      <x:c r="P315" s="86"/>
      <x:c r="Q315" s="86"/>
      <x:c r="R315" s="86"/>
      <x:c r="S315" s="86"/>
      <x:c r="T315" s="86"/>
      <x:c r="U315" s="86"/>
      <x:c r="V315" s="86"/>
      <x:c r="W315" s="86"/>
      <x:c r="X315" s="86"/>
      <x:c r="Y315" s="86"/>
      <x:c r="Z315" s="86"/>
    </x:row>
    <x:row r="316">
      <x:c r="A316" s="86"/>
      <x:c r="B316" s="86"/>
      <x:c r="C316" s="86"/>
      <x:c r="D316" s="86"/>
      <x:c r="E316" s="86"/>
      <x:c r="F316" s="86"/>
      <x:c r="G316" s="86"/>
      <x:c r="H316" s="86"/>
      <x:c r="I316" s="86"/>
      <x:c r="J316" s="86"/>
      <x:c r="K316" s="86"/>
      <x:c r="L316" s="86"/>
      <x:c r="M316" s="86"/>
      <x:c r="N316" s="86"/>
      <x:c r="O316" s="86"/>
      <x:c r="P316" s="86"/>
      <x:c r="Q316" s="86"/>
      <x:c r="R316" s="86"/>
      <x:c r="S316" s="86"/>
      <x:c r="T316" s="86"/>
      <x:c r="U316" s="86"/>
      <x:c r="V316" s="86"/>
      <x:c r="W316" s="86"/>
      <x:c r="X316" s="86"/>
      <x:c r="Y316" s="86"/>
      <x:c r="Z316" s="86"/>
    </x:row>
    <x:row r="317">
      <x:c r="A317" s="86"/>
      <x:c r="B317" s="86"/>
      <x:c r="C317" s="86"/>
      <x:c r="D317" s="86"/>
      <x:c r="E317" s="86"/>
      <x:c r="F317" s="86"/>
      <x:c r="G317" s="86"/>
      <x:c r="H317" s="86"/>
      <x:c r="I317" s="86"/>
      <x:c r="J317" s="86"/>
      <x:c r="K317" s="86"/>
      <x:c r="L317" s="86"/>
      <x:c r="M317" s="86"/>
      <x:c r="N317" s="86"/>
      <x:c r="O317" s="86"/>
      <x:c r="P317" s="86"/>
      <x:c r="Q317" s="86"/>
      <x:c r="R317" s="86"/>
      <x:c r="S317" s="86"/>
      <x:c r="T317" s="86"/>
      <x:c r="U317" s="86"/>
      <x:c r="V317" s="86"/>
      <x:c r="W317" s="86"/>
      <x:c r="X317" s="86"/>
      <x:c r="Y317" s="86"/>
      <x:c r="Z317" s="86"/>
    </x:row>
    <x:row r="318">
      <x:c r="A318" s="86"/>
      <x:c r="B318" s="86"/>
      <x:c r="C318" s="86"/>
      <x:c r="D318" s="86"/>
      <x:c r="E318" s="86"/>
      <x:c r="F318" s="86"/>
      <x:c r="G318" s="86"/>
      <x:c r="H318" s="86"/>
      <x:c r="I318" s="86"/>
      <x:c r="J318" s="86"/>
      <x:c r="K318" s="86"/>
      <x:c r="L318" s="86"/>
      <x:c r="M318" s="86"/>
      <x:c r="N318" s="86"/>
      <x:c r="O318" s="86"/>
      <x:c r="P318" s="86"/>
      <x:c r="Q318" s="86"/>
      <x:c r="R318" s="86"/>
      <x:c r="S318" s="86"/>
      <x:c r="T318" s="86"/>
      <x:c r="U318" s="86"/>
      <x:c r="V318" s="86"/>
      <x:c r="W318" s="86"/>
      <x:c r="X318" s="86"/>
      <x:c r="Y318" s="86"/>
      <x:c r="Z318" s="86"/>
    </x:row>
    <x:row r="319">
      <x:c r="A319" s="86"/>
      <x:c r="B319" s="86"/>
      <x:c r="C319" s="86"/>
      <x:c r="D319" s="86"/>
      <x:c r="E319" s="86"/>
      <x:c r="F319" s="86"/>
      <x:c r="G319" s="86"/>
      <x:c r="H319" s="86"/>
      <x:c r="I319" s="86"/>
      <x:c r="J319" s="86"/>
      <x:c r="K319" s="86"/>
      <x:c r="L319" s="86"/>
      <x:c r="M319" s="86"/>
      <x:c r="N319" s="86"/>
      <x:c r="O319" s="86"/>
      <x:c r="P319" s="86"/>
      <x:c r="Q319" s="86"/>
      <x:c r="R319" s="86"/>
      <x:c r="S319" s="86"/>
      <x:c r="T319" s="86"/>
      <x:c r="U319" s="86"/>
      <x:c r="V319" s="86"/>
      <x:c r="W319" s="86"/>
      <x:c r="X319" s="86"/>
      <x:c r="Y319" s="86"/>
      <x:c r="Z319" s="86"/>
    </x:row>
    <x:row r="320">
      <x:c r="A320" s="86"/>
      <x:c r="B320" s="86"/>
      <x:c r="C320" s="86"/>
      <x:c r="D320" s="86"/>
      <x:c r="E320" s="86"/>
      <x:c r="F320" s="86"/>
      <x:c r="G320" s="86"/>
      <x:c r="H320" s="86"/>
      <x:c r="I320" s="86"/>
      <x:c r="J320" s="86"/>
      <x:c r="K320" s="86"/>
      <x:c r="L320" s="86"/>
      <x:c r="M320" s="86"/>
      <x:c r="N320" s="86"/>
      <x:c r="O320" s="86"/>
      <x:c r="P320" s="86"/>
      <x:c r="Q320" s="86"/>
      <x:c r="R320" s="86"/>
      <x:c r="S320" s="86"/>
      <x:c r="T320" s="86"/>
      <x:c r="U320" s="86"/>
      <x:c r="V320" s="86"/>
      <x:c r="W320" s="86"/>
      <x:c r="X320" s="86"/>
      <x:c r="Y320" s="86"/>
      <x:c r="Z320" s="86"/>
    </x:row>
    <x:row r="321">
      <x:c r="A321" s="86"/>
      <x:c r="B321" s="86"/>
      <x:c r="C321" s="86"/>
      <x:c r="D321" s="86"/>
      <x:c r="E321" s="86"/>
      <x:c r="F321" s="86"/>
      <x:c r="G321" s="86"/>
      <x:c r="H321" s="86"/>
      <x:c r="I321" s="86"/>
      <x:c r="J321" s="86"/>
      <x:c r="K321" s="86"/>
      <x:c r="L321" s="86"/>
      <x:c r="M321" s="86"/>
      <x:c r="N321" s="86"/>
      <x:c r="O321" s="86"/>
      <x:c r="P321" s="86"/>
      <x:c r="Q321" s="86"/>
      <x:c r="R321" s="86"/>
      <x:c r="S321" s="86"/>
      <x:c r="T321" s="86"/>
      <x:c r="U321" s="86"/>
      <x:c r="V321" s="86"/>
      <x:c r="W321" s="86"/>
      <x:c r="X321" s="86"/>
      <x:c r="Y321" s="86"/>
      <x:c r="Z321" s="86"/>
    </x:row>
    <x:row r="322">
      <x:c r="A322" s="86"/>
      <x:c r="B322" s="86"/>
      <x:c r="C322" s="86"/>
      <x:c r="D322" s="86"/>
      <x:c r="E322" s="86"/>
      <x:c r="F322" s="86"/>
      <x:c r="G322" s="86"/>
      <x:c r="H322" s="86"/>
      <x:c r="I322" s="86"/>
      <x:c r="J322" s="86"/>
      <x:c r="K322" s="86"/>
      <x:c r="L322" s="86"/>
      <x:c r="M322" s="86"/>
      <x:c r="N322" s="86"/>
      <x:c r="O322" s="86"/>
      <x:c r="P322" s="86"/>
      <x:c r="Q322" s="86"/>
      <x:c r="R322" s="86"/>
      <x:c r="S322" s="86"/>
      <x:c r="T322" s="86"/>
      <x:c r="U322" s="86"/>
      <x:c r="V322" s="86"/>
      <x:c r="W322" s="86"/>
      <x:c r="X322" s="86"/>
      <x:c r="Y322" s="86"/>
      <x:c r="Z322" s="86"/>
    </x:row>
    <x:row r="323">
      <x:c r="A323" s="86"/>
      <x:c r="B323" s="86"/>
      <x:c r="C323" s="86"/>
      <x:c r="D323" s="86"/>
      <x:c r="E323" s="86"/>
      <x:c r="F323" s="86"/>
      <x:c r="G323" s="86"/>
      <x:c r="H323" s="86"/>
      <x:c r="I323" s="86"/>
      <x:c r="J323" s="86"/>
      <x:c r="K323" s="86"/>
      <x:c r="L323" s="86"/>
      <x:c r="M323" s="86"/>
      <x:c r="N323" s="86"/>
      <x:c r="O323" s="86"/>
      <x:c r="P323" s="86"/>
      <x:c r="Q323" s="86"/>
      <x:c r="R323" s="86"/>
      <x:c r="S323" s="86"/>
      <x:c r="T323" s="86"/>
      <x:c r="U323" s="86"/>
      <x:c r="V323" s="86"/>
      <x:c r="W323" s="86"/>
      <x:c r="X323" s="86"/>
      <x:c r="Y323" s="86"/>
      <x:c r="Z323" s="86"/>
    </x:row>
    <x:row r="324">
      <x:c r="A324" s="86"/>
      <x:c r="B324" s="86"/>
      <x:c r="C324" s="86"/>
      <x:c r="D324" s="86"/>
      <x:c r="E324" s="86"/>
      <x:c r="F324" s="86"/>
      <x:c r="G324" s="86"/>
      <x:c r="H324" s="86"/>
      <x:c r="I324" s="86"/>
      <x:c r="J324" s="86"/>
      <x:c r="K324" s="86"/>
      <x:c r="L324" s="86"/>
      <x:c r="M324" s="86"/>
      <x:c r="N324" s="86"/>
      <x:c r="O324" s="86"/>
      <x:c r="P324" s="86"/>
      <x:c r="Q324" s="86"/>
      <x:c r="R324" s="86"/>
      <x:c r="S324" s="86"/>
      <x:c r="T324" s="86"/>
      <x:c r="U324" s="86"/>
      <x:c r="V324" s="86"/>
      <x:c r="W324" s="86"/>
      <x:c r="X324" s="86"/>
      <x:c r="Y324" s="86"/>
      <x:c r="Z324" s="86"/>
    </x:row>
    <x:row r="325">
      <x:c r="A325" s="86"/>
      <x:c r="B325" s="86"/>
      <x:c r="C325" s="86"/>
      <x:c r="D325" s="86"/>
      <x:c r="E325" s="86"/>
      <x:c r="F325" s="86"/>
      <x:c r="G325" s="86"/>
      <x:c r="H325" s="86"/>
      <x:c r="I325" s="86"/>
      <x:c r="J325" s="86"/>
      <x:c r="K325" s="86"/>
      <x:c r="L325" s="86"/>
      <x:c r="M325" s="86"/>
      <x:c r="N325" s="86"/>
      <x:c r="O325" s="86"/>
      <x:c r="P325" s="86"/>
      <x:c r="Q325" s="86"/>
      <x:c r="R325" s="86"/>
      <x:c r="S325" s="86"/>
      <x:c r="T325" s="86"/>
      <x:c r="U325" s="86"/>
      <x:c r="V325" s="86"/>
      <x:c r="W325" s="86"/>
      <x:c r="X325" s="86"/>
      <x:c r="Y325" s="86"/>
      <x:c r="Z325" s="86"/>
    </x:row>
    <x:row r="326">
      <x:c r="A326" s="86"/>
      <x:c r="B326" s="86"/>
      <x:c r="C326" s="86"/>
      <x:c r="D326" s="86"/>
      <x:c r="E326" s="86"/>
      <x:c r="F326" s="86"/>
      <x:c r="G326" s="86"/>
      <x:c r="H326" s="86"/>
      <x:c r="I326" s="86"/>
      <x:c r="J326" s="86"/>
      <x:c r="K326" s="86"/>
      <x:c r="L326" s="86"/>
      <x:c r="M326" s="86"/>
      <x:c r="N326" s="86"/>
      <x:c r="O326" s="86"/>
      <x:c r="P326" s="86"/>
      <x:c r="Q326" s="86"/>
      <x:c r="R326" s="86"/>
      <x:c r="S326" s="86"/>
      <x:c r="T326" s="86"/>
      <x:c r="U326" s="86"/>
      <x:c r="V326" s="86"/>
      <x:c r="W326" s="86"/>
      <x:c r="X326" s="86"/>
      <x:c r="Y326" s="86"/>
      <x:c r="Z326" s="86"/>
    </x:row>
    <x:row r="327">
      <x:c r="A327" s="86"/>
      <x:c r="B327" s="86"/>
      <x:c r="C327" s="86"/>
      <x:c r="D327" s="86"/>
      <x:c r="E327" s="86"/>
      <x:c r="F327" s="86"/>
      <x:c r="G327" s="86"/>
      <x:c r="H327" s="86"/>
      <x:c r="I327" s="86"/>
      <x:c r="J327" s="86"/>
      <x:c r="K327" s="86"/>
      <x:c r="L327" s="86"/>
      <x:c r="M327" s="86"/>
      <x:c r="N327" s="86"/>
      <x:c r="O327" s="86"/>
      <x:c r="P327" s="86"/>
      <x:c r="Q327" s="86"/>
      <x:c r="R327" s="86"/>
      <x:c r="S327" s="86"/>
      <x:c r="T327" s="86"/>
      <x:c r="U327" s="86"/>
      <x:c r="V327" s="86"/>
      <x:c r="W327" s="86"/>
      <x:c r="X327" s="86"/>
      <x:c r="Y327" s="86"/>
      <x:c r="Z327" s="86"/>
    </x:row>
    <x:row r="328">
      <x:c r="A328" s="86"/>
      <x:c r="B328" s="86"/>
      <x:c r="C328" s="86"/>
      <x:c r="D328" s="86"/>
      <x:c r="E328" s="86"/>
      <x:c r="F328" s="86"/>
      <x:c r="G328" s="86"/>
      <x:c r="H328" s="86"/>
      <x:c r="I328" s="86"/>
      <x:c r="J328" s="86"/>
      <x:c r="K328" s="86"/>
      <x:c r="L328" s="86"/>
      <x:c r="M328" s="86"/>
      <x:c r="N328" s="86"/>
      <x:c r="O328" s="86"/>
      <x:c r="P328" s="86"/>
      <x:c r="Q328" s="86"/>
      <x:c r="R328" s="86"/>
      <x:c r="S328" s="86"/>
      <x:c r="T328" s="86"/>
      <x:c r="U328" s="86"/>
      <x:c r="V328" s="86"/>
      <x:c r="W328" s="86"/>
      <x:c r="X328" s="86"/>
      <x:c r="Y328" s="86"/>
      <x:c r="Z328" s="86"/>
    </x:row>
    <x:row r="329">
      <x:c r="A329" s="86"/>
      <x:c r="B329" s="86"/>
      <x:c r="C329" s="86"/>
      <x:c r="D329" s="86"/>
      <x:c r="E329" s="86"/>
      <x:c r="F329" s="86"/>
      <x:c r="G329" s="86"/>
      <x:c r="H329" s="86"/>
      <x:c r="I329" s="86"/>
      <x:c r="J329" s="86"/>
      <x:c r="K329" s="86"/>
      <x:c r="L329" s="86"/>
      <x:c r="M329" s="86"/>
      <x:c r="N329" s="86"/>
      <x:c r="O329" s="86"/>
      <x:c r="P329" s="86"/>
      <x:c r="Q329" s="86"/>
      <x:c r="R329" s="86"/>
      <x:c r="S329" s="86"/>
      <x:c r="T329" s="86"/>
      <x:c r="U329" s="86"/>
      <x:c r="V329" s="86"/>
      <x:c r="W329" s="86"/>
      <x:c r="X329" s="86"/>
      <x:c r="Y329" s="86"/>
      <x:c r="Z329" s="86"/>
    </x:row>
    <x:row r="330">
      <x:c r="A330" s="86"/>
      <x:c r="B330" s="86"/>
      <x:c r="C330" s="86"/>
      <x:c r="D330" s="86"/>
      <x:c r="E330" s="86"/>
      <x:c r="F330" s="86"/>
      <x:c r="G330" s="86"/>
      <x:c r="H330" s="86"/>
      <x:c r="I330" s="86"/>
      <x:c r="J330" s="86"/>
      <x:c r="K330" s="86"/>
      <x:c r="L330" s="86"/>
      <x:c r="M330" s="86"/>
      <x:c r="N330" s="86"/>
      <x:c r="O330" s="86"/>
      <x:c r="P330" s="86"/>
      <x:c r="Q330" s="86"/>
      <x:c r="R330" s="86"/>
      <x:c r="S330" s="86"/>
      <x:c r="T330" s="86"/>
      <x:c r="U330" s="86"/>
      <x:c r="V330" s="86"/>
      <x:c r="W330" s="86"/>
      <x:c r="X330" s="86"/>
      <x:c r="Y330" s="86"/>
      <x:c r="Z330" s="86"/>
    </x:row>
    <x:row r="331">
      <x:c r="A331" s="86"/>
      <x:c r="B331" s="86"/>
      <x:c r="C331" s="86"/>
      <x:c r="D331" s="86"/>
      <x:c r="E331" s="86"/>
      <x:c r="F331" s="86"/>
      <x:c r="G331" s="86"/>
      <x:c r="H331" s="86"/>
      <x:c r="I331" s="86"/>
      <x:c r="J331" s="86"/>
      <x:c r="K331" s="86"/>
      <x:c r="L331" s="86"/>
      <x:c r="M331" s="86"/>
      <x:c r="N331" s="86"/>
      <x:c r="O331" s="86"/>
      <x:c r="P331" s="86"/>
      <x:c r="Q331" s="86"/>
      <x:c r="R331" s="86"/>
      <x:c r="S331" s="86"/>
      <x:c r="T331" s="86"/>
      <x:c r="U331" s="86"/>
      <x:c r="V331" s="86"/>
      <x:c r="W331" s="86"/>
      <x:c r="X331" s="86"/>
      <x:c r="Y331" s="86"/>
      <x:c r="Z331" s="86"/>
    </x:row>
    <x:row r="332">
      <x:c r="A332" s="86"/>
      <x:c r="B332" s="86"/>
      <x:c r="C332" s="86"/>
      <x:c r="D332" s="86"/>
      <x:c r="E332" s="86"/>
      <x:c r="F332" s="86"/>
      <x:c r="G332" s="86"/>
      <x:c r="H332" s="86"/>
      <x:c r="I332" s="86"/>
      <x:c r="J332" s="86"/>
      <x:c r="K332" s="86"/>
      <x:c r="L332" s="86"/>
      <x:c r="M332" s="86"/>
      <x:c r="N332" s="86"/>
      <x:c r="O332" s="86"/>
      <x:c r="P332" s="86"/>
      <x:c r="Q332" s="86"/>
      <x:c r="R332" s="86"/>
      <x:c r="S332" s="86"/>
      <x:c r="T332" s="86"/>
      <x:c r="U332" s="86"/>
      <x:c r="V332" s="86"/>
      <x:c r="W332" s="86"/>
      <x:c r="X332" s="86"/>
      <x:c r="Y332" s="86"/>
      <x:c r="Z332" s="86"/>
    </x:row>
    <x:row r="333">
      <x:c r="A333" s="86"/>
      <x:c r="B333" s="86"/>
      <x:c r="C333" s="86"/>
      <x:c r="D333" s="86"/>
      <x:c r="E333" s="86"/>
      <x:c r="F333" s="86"/>
      <x:c r="G333" s="86"/>
      <x:c r="H333" s="86"/>
      <x:c r="I333" s="86"/>
      <x:c r="J333" s="86"/>
      <x:c r="K333" s="86"/>
      <x:c r="L333" s="86"/>
      <x:c r="M333" s="86"/>
      <x:c r="N333" s="86"/>
      <x:c r="O333" s="86"/>
      <x:c r="P333" s="86"/>
      <x:c r="Q333" s="86"/>
      <x:c r="R333" s="86"/>
      <x:c r="S333" s="86"/>
      <x:c r="T333" s="86"/>
      <x:c r="U333" s="86"/>
      <x:c r="V333" s="86"/>
      <x:c r="W333" s="86"/>
      <x:c r="X333" s="86"/>
      <x:c r="Y333" s="86"/>
      <x:c r="Z333" s="86"/>
    </x:row>
    <x:row r="334">
      <x:c r="A334" s="86"/>
      <x:c r="B334" s="86"/>
      <x:c r="C334" s="86"/>
      <x:c r="D334" s="86"/>
      <x:c r="E334" s="86"/>
      <x:c r="F334" s="86"/>
      <x:c r="G334" s="86"/>
      <x:c r="H334" s="86"/>
      <x:c r="I334" s="86"/>
      <x:c r="J334" s="86"/>
      <x:c r="K334" s="86"/>
      <x:c r="L334" s="86"/>
      <x:c r="M334" s="86"/>
      <x:c r="N334" s="86"/>
      <x:c r="O334" s="86"/>
      <x:c r="P334" s="86"/>
      <x:c r="Q334" s="86"/>
      <x:c r="R334" s="86"/>
      <x:c r="S334" s="86"/>
      <x:c r="T334" s="86"/>
      <x:c r="U334" s="86"/>
      <x:c r="V334" s="86"/>
      <x:c r="W334" s="86"/>
      <x:c r="X334" s="86"/>
      <x:c r="Y334" s="86"/>
      <x:c r="Z334" s="86"/>
    </x:row>
    <x:row r="335">
      <x:c r="A335" s="86"/>
      <x:c r="B335" s="86"/>
      <x:c r="C335" s="86"/>
      <x:c r="D335" s="86"/>
      <x:c r="E335" s="86"/>
      <x:c r="F335" s="86"/>
      <x:c r="G335" s="86"/>
      <x:c r="H335" s="86"/>
      <x:c r="I335" s="86"/>
      <x:c r="J335" s="86"/>
      <x:c r="K335" s="86"/>
      <x:c r="L335" s="86"/>
      <x:c r="M335" s="86"/>
      <x:c r="N335" s="86"/>
      <x:c r="O335" s="86"/>
      <x:c r="P335" s="86"/>
      <x:c r="Q335" s="86"/>
      <x:c r="R335" s="86"/>
      <x:c r="S335" s="86"/>
      <x:c r="T335" s="86"/>
      <x:c r="U335" s="86"/>
      <x:c r="V335" s="86"/>
      <x:c r="W335" s="86"/>
      <x:c r="X335" s="86"/>
      <x:c r="Y335" s="86"/>
      <x:c r="Z335" s="86"/>
    </x:row>
    <x:row r="336">
      <x:c r="A336" s="86"/>
      <x:c r="B336" s="86"/>
      <x:c r="C336" s="86"/>
      <x:c r="D336" s="86"/>
      <x:c r="E336" s="86"/>
      <x:c r="F336" s="86"/>
      <x:c r="G336" s="86"/>
      <x:c r="H336" s="86"/>
      <x:c r="I336" s="86"/>
      <x:c r="J336" s="86"/>
      <x:c r="K336" s="86"/>
      <x:c r="L336" s="86"/>
      <x:c r="M336" s="86"/>
      <x:c r="N336" s="86"/>
      <x:c r="O336" s="86"/>
      <x:c r="P336" s="86"/>
      <x:c r="Q336" s="86"/>
      <x:c r="R336" s="86"/>
      <x:c r="S336" s="86"/>
      <x:c r="T336" s="86"/>
      <x:c r="U336" s="86"/>
      <x:c r="V336" s="86"/>
      <x:c r="W336" s="86"/>
      <x:c r="X336" s="86"/>
      <x:c r="Y336" s="86"/>
      <x:c r="Z336" s="86"/>
    </x:row>
    <x:row r="337">
      <x:c r="A337" s="86"/>
      <x:c r="B337" s="86"/>
      <x:c r="C337" s="86"/>
      <x:c r="D337" s="86"/>
      <x:c r="E337" s="86"/>
      <x:c r="F337" s="86"/>
      <x:c r="G337" s="86"/>
      <x:c r="H337" s="86"/>
      <x:c r="I337" s="86"/>
      <x:c r="J337" s="86"/>
      <x:c r="K337" s="86"/>
      <x:c r="L337" s="86"/>
      <x:c r="M337" s="86"/>
      <x:c r="N337" s="86"/>
      <x:c r="O337" s="86"/>
      <x:c r="P337" s="86"/>
      <x:c r="Q337" s="86"/>
      <x:c r="R337" s="86"/>
      <x:c r="S337" s="86"/>
      <x:c r="T337" s="86"/>
      <x:c r="U337" s="86"/>
      <x:c r="V337" s="86"/>
      <x:c r="W337" s="86"/>
      <x:c r="X337" s="86"/>
      <x:c r="Y337" s="86"/>
      <x:c r="Z337" s="86"/>
    </x:row>
    <x:row r="338">
      <x:c r="A338" s="86"/>
      <x:c r="B338" s="86"/>
      <x:c r="C338" s="86"/>
      <x:c r="D338" s="86"/>
      <x:c r="E338" s="86"/>
      <x:c r="F338" s="86"/>
      <x:c r="G338" s="86"/>
      <x:c r="H338" s="86"/>
      <x:c r="I338" s="86"/>
      <x:c r="J338" s="86"/>
      <x:c r="K338" s="86"/>
      <x:c r="L338" s="86"/>
      <x:c r="M338" s="86"/>
      <x:c r="N338" s="86"/>
      <x:c r="O338" s="86"/>
      <x:c r="P338" s="86"/>
      <x:c r="Q338" s="86"/>
      <x:c r="R338" s="86"/>
      <x:c r="S338" s="86"/>
      <x:c r="T338" s="86"/>
      <x:c r="U338" s="86"/>
      <x:c r="V338" s="86"/>
      <x:c r="W338" s="86"/>
      <x:c r="X338" s="86"/>
      <x:c r="Y338" s="86"/>
      <x:c r="Z338" s="86"/>
    </x:row>
    <x:row r="339">
      <x:c r="A339" s="86"/>
      <x:c r="B339" s="86"/>
      <x:c r="C339" s="86"/>
      <x:c r="D339" s="86"/>
      <x:c r="E339" s="86"/>
      <x:c r="F339" s="86"/>
      <x:c r="G339" s="86"/>
      <x:c r="H339" s="86"/>
      <x:c r="I339" s="86"/>
      <x:c r="J339" s="86"/>
      <x:c r="K339" s="86"/>
      <x:c r="L339" s="86"/>
      <x:c r="M339" s="86"/>
      <x:c r="N339" s="86"/>
      <x:c r="O339" s="86"/>
      <x:c r="P339" s="86"/>
      <x:c r="Q339" s="86"/>
      <x:c r="R339" s="86"/>
      <x:c r="S339" s="86"/>
      <x:c r="T339" s="86"/>
      <x:c r="U339" s="86"/>
      <x:c r="V339" s="86"/>
      <x:c r="W339" s="86"/>
      <x:c r="X339" s="86"/>
      <x:c r="Y339" s="86"/>
      <x:c r="Z339" s="86"/>
    </x:row>
    <x:row r="340">
      <x:c r="A340" s="86"/>
      <x:c r="B340" s="86"/>
      <x:c r="C340" s="86"/>
      <x:c r="D340" s="86"/>
      <x:c r="E340" s="86"/>
      <x:c r="F340" s="86"/>
      <x:c r="G340" s="86"/>
      <x:c r="H340" s="86"/>
      <x:c r="I340" s="86"/>
      <x:c r="J340" s="86"/>
      <x:c r="K340" s="86"/>
      <x:c r="L340" s="86"/>
      <x:c r="M340" s="86"/>
      <x:c r="N340" s="86"/>
      <x:c r="O340" s="86"/>
      <x:c r="P340" s="86"/>
      <x:c r="Q340" s="86"/>
      <x:c r="R340" s="86"/>
      <x:c r="S340" s="86"/>
      <x:c r="T340" s="86"/>
      <x:c r="U340" s="86"/>
      <x:c r="V340" s="86"/>
      <x:c r="W340" s="86"/>
      <x:c r="X340" s="86"/>
      <x:c r="Y340" s="86"/>
      <x:c r="Z340" s="86"/>
    </x:row>
    <x:row r="341">
      <x:c r="A341" s="86"/>
      <x:c r="B341" s="86"/>
      <x:c r="C341" s="86"/>
      <x:c r="D341" s="86"/>
      <x:c r="E341" s="86"/>
      <x:c r="F341" s="86"/>
      <x:c r="G341" s="86"/>
      <x:c r="H341" s="86"/>
      <x:c r="I341" s="86"/>
      <x:c r="J341" s="86"/>
      <x:c r="K341" s="86"/>
      <x:c r="L341" s="86"/>
      <x:c r="M341" s="86"/>
      <x:c r="N341" s="86"/>
      <x:c r="O341" s="86"/>
      <x:c r="P341" s="86"/>
      <x:c r="Q341" s="86"/>
      <x:c r="R341" s="86"/>
      <x:c r="S341" s="86"/>
      <x:c r="T341" s="86"/>
      <x:c r="U341" s="86"/>
      <x:c r="V341" s="86"/>
      <x:c r="W341" s="86"/>
      <x:c r="X341" s="86"/>
      <x:c r="Y341" s="86"/>
      <x:c r="Z341" s="86"/>
    </x:row>
    <x:row r="342">
      <x:c r="A342" s="86"/>
      <x:c r="B342" s="86"/>
      <x:c r="C342" s="86"/>
      <x:c r="D342" s="86"/>
      <x:c r="E342" s="86"/>
      <x:c r="F342" s="86"/>
      <x:c r="G342" s="86"/>
      <x:c r="H342" s="86"/>
      <x:c r="I342" s="86"/>
      <x:c r="J342" s="86"/>
      <x:c r="K342" s="86"/>
      <x:c r="L342" s="86"/>
      <x:c r="M342" s="86"/>
      <x:c r="N342" s="86"/>
      <x:c r="O342" s="86"/>
      <x:c r="P342" s="86"/>
      <x:c r="Q342" s="86"/>
      <x:c r="R342" s="86"/>
      <x:c r="S342" s="86"/>
      <x:c r="T342" s="86"/>
      <x:c r="U342" s="86"/>
      <x:c r="V342" s="86"/>
      <x:c r="W342" s="86"/>
      <x:c r="X342" s="86"/>
      <x:c r="Y342" s="86"/>
      <x:c r="Z342" s="86"/>
    </x:row>
    <x:row r="343">
      <x:c r="A343" s="86"/>
      <x:c r="B343" s="86"/>
      <x:c r="C343" s="86"/>
      <x:c r="D343" s="86"/>
      <x:c r="E343" s="86"/>
      <x:c r="F343" s="86"/>
      <x:c r="G343" s="86"/>
      <x:c r="H343" s="86"/>
      <x:c r="I343" s="86"/>
      <x:c r="J343" s="86"/>
      <x:c r="K343" s="86"/>
      <x:c r="L343" s="86"/>
      <x:c r="M343" s="86"/>
      <x:c r="N343" s="86"/>
      <x:c r="O343" s="86"/>
      <x:c r="P343" s="86"/>
      <x:c r="Q343" s="86"/>
      <x:c r="R343" s="86"/>
      <x:c r="S343" s="86"/>
      <x:c r="T343" s="86"/>
      <x:c r="U343" s="86"/>
      <x:c r="V343" s="86"/>
      <x:c r="W343" s="86"/>
      <x:c r="X343" s="86"/>
      <x:c r="Y343" s="86"/>
      <x:c r="Z343" s="86"/>
    </x:row>
    <x:row r="344">
      <x:c r="A344" s="86"/>
      <x:c r="B344" s="86"/>
      <x:c r="C344" s="86"/>
      <x:c r="D344" s="86"/>
      <x:c r="E344" s="86"/>
      <x:c r="F344" s="86"/>
      <x:c r="G344" s="86"/>
      <x:c r="H344" s="86"/>
      <x:c r="I344" s="86"/>
      <x:c r="J344" s="86"/>
      <x:c r="K344" s="86"/>
      <x:c r="L344" s="86"/>
      <x:c r="M344" s="86"/>
      <x:c r="N344" s="86"/>
      <x:c r="O344" s="86"/>
      <x:c r="P344" s="86"/>
      <x:c r="Q344" s="86"/>
      <x:c r="R344" s="86"/>
      <x:c r="S344" s="86"/>
      <x:c r="T344" s="86"/>
      <x:c r="U344" s="86"/>
      <x:c r="V344" s="86"/>
      <x:c r="W344" s="86"/>
      <x:c r="X344" s="86"/>
      <x:c r="Y344" s="86"/>
      <x:c r="Z344" s="86"/>
    </x:row>
    <x:row r="345">
      <x:c r="A345" s="86"/>
      <x:c r="B345" s="86"/>
      <x:c r="C345" s="86"/>
      <x:c r="D345" s="86"/>
      <x:c r="E345" s="86"/>
      <x:c r="F345" s="86"/>
      <x:c r="G345" s="86"/>
      <x:c r="H345" s="86"/>
      <x:c r="I345" s="86"/>
      <x:c r="J345" s="86"/>
      <x:c r="K345" s="86"/>
      <x:c r="L345" s="86"/>
      <x:c r="M345" s="86"/>
      <x:c r="N345" s="86"/>
      <x:c r="O345" s="86"/>
      <x:c r="P345" s="86"/>
      <x:c r="Q345" s="86"/>
      <x:c r="R345" s="86"/>
      <x:c r="S345" s="86"/>
      <x:c r="T345" s="86"/>
      <x:c r="U345" s="86"/>
      <x:c r="V345" s="86"/>
      <x:c r="W345" s="86"/>
      <x:c r="X345" s="86"/>
      <x:c r="Y345" s="86"/>
      <x:c r="Z345" s="86"/>
    </x:row>
    <x:row r="346">
      <x:c r="A346" s="86"/>
      <x:c r="B346" s="86"/>
      <x:c r="C346" s="86"/>
      <x:c r="D346" s="86"/>
      <x:c r="E346" s="86"/>
      <x:c r="F346" s="86"/>
      <x:c r="G346" s="86"/>
      <x:c r="H346" s="86"/>
      <x:c r="I346" s="86"/>
      <x:c r="J346" s="86"/>
      <x:c r="K346" s="86"/>
      <x:c r="L346" s="86"/>
      <x:c r="M346" s="86"/>
      <x:c r="N346" s="86"/>
      <x:c r="O346" s="86"/>
      <x:c r="P346" s="86"/>
      <x:c r="Q346" s="86"/>
      <x:c r="R346" s="86"/>
      <x:c r="S346" s="86"/>
      <x:c r="T346" s="86"/>
      <x:c r="U346" s="86"/>
      <x:c r="V346" s="86"/>
      <x:c r="W346" s="86"/>
      <x:c r="X346" s="86"/>
      <x:c r="Y346" s="86"/>
      <x:c r="Z346" s="86"/>
    </x:row>
    <x:row r="347">
      <x:c r="A347" s="86"/>
      <x:c r="B347" s="86"/>
      <x:c r="C347" s="86"/>
      <x:c r="D347" s="86"/>
      <x:c r="E347" s="86"/>
      <x:c r="F347" s="86"/>
      <x:c r="G347" s="86"/>
      <x:c r="H347" s="86"/>
      <x:c r="I347" s="86"/>
      <x:c r="J347" s="86"/>
      <x:c r="K347" s="86"/>
      <x:c r="L347" s="86"/>
      <x:c r="M347" s="86"/>
      <x:c r="N347" s="86"/>
      <x:c r="O347" s="86"/>
      <x:c r="P347" s="86"/>
      <x:c r="Q347" s="86"/>
      <x:c r="R347" s="86"/>
      <x:c r="S347" s="86"/>
      <x:c r="T347" s="86"/>
      <x:c r="U347" s="86"/>
      <x:c r="V347" s="86"/>
      <x:c r="W347" s="86"/>
      <x:c r="X347" s="86"/>
      <x:c r="Y347" s="86"/>
      <x:c r="Z347" s="86"/>
    </x:row>
    <x:row r="348">
      <x:c r="A348" s="86"/>
      <x:c r="B348" s="86"/>
      <x:c r="C348" s="86"/>
      <x:c r="D348" s="86"/>
      <x:c r="E348" s="86"/>
      <x:c r="F348" s="86"/>
      <x:c r="G348" s="86"/>
      <x:c r="H348" s="86"/>
      <x:c r="I348" s="86"/>
      <x:c r="J348" s="86"/>
      <x:c r="K348" s="86"/>
      <x:c r="L348" s="86"/>
      <x:c r="M348" s="86"/>
      <x:c r="N348" s="86"/>
      <x:c r="O348" s="86"/>
      <x:c r="P348" s="86"/>
      <x:c r="Q348" s="86"/>
      <x:c r="R348" s="86"/>
      <x:c r="S348" s="86"/>
      <x:c r="T348" s="86"/>
      <x:c r="U348" s="86"/>
      <x:c r="V348" s="86"/>
      <x:c r="W348" s="86"/>
      <x:c r="X348" s="86"/>
      <x:c r="Y348" s="86"/>
      <x:c r="Z348" s="86"/>
    </x:row>
    <x:row r="349">
      <x:c r="A349" s="86"/>
      <x:c r="B349" s="86"/>
      <x:c r="C349" s="86"/>
      <x:c r="D349" s="86"/>
      <x:c r="E349" s="86"/>
      <x:c r="F349" s="86"/>
      <x:c r="G349" s="86"/>
      <x:c r="H349" s="86"/>
      <x:c r="I349" s="86"/>
      <x:c r="J349" s="86"/>
      <x:c r="K349" s="86"/>
      <x:c r="L349" s="86"/>
      <x:c r="M349" s="86"/>
      <x:c r="N349" s="86"/>
      <x:c r="O349" s="86"/>
      <x:c r="P349" s="86"/>
      <x:c r="Q349" s="86"/>
      <x:c r="R349" s="86"/>
      <x:c r="S349" s="86"/>
      <x:c r="T349" s="86"/>
      <x:c r="U349" s="86"/>
      <x:c r="V349" s="86"/>
      <x:c r="W349" s="86"/>
      <x:c r="X349" s="86"/>
      <x:c r="Y349" s="86"/>
      <x:c r="Z349" s="86"/>
    </x:row>
    <x:row r="350">
      <x:c r="A350" s="86"/>
      <x:c r="B350" s="86"/>
      <x:c r="C350" s="86"/>
      <x:c r="D350" s="86"/>
      <x:c r="E350" s="86"/>
      <x:c r="F350" s="86"/>
      <x:c r="G350" s="86"/>
      <x:c r="H350" s="86"/>
      <x:c r="I350" s="86"/>
      <x:c r="J350" s="86"/>
      <x:c r="K350" s="86"/>
      <x:c r="L350" s="86"/>
      <x:c r="M350" s="86"/>
      <x:c r="N350" s="86"/>
      <x:c r="O350" s="86"/>
      <x:c r="P350" s="86"/>
      <x:c r="Q350" s="86"/>
      <x:c r="R350" s="86"/>
      <x:c r="S350" s="86"/>
      <x:c r="T350" s="86"/>
      <x:c r="U350" s="86"/>
      <x:c r="V350" s="86"/>
      <x:c r="W350" s="86"/>
      <x:c r="X350" s="86"/>
      <x:c r="Y350" s="86"/>
      <x:c r="Z350" s="86"/>
    </x:row>
    <x:row r="351">
      <x:c r="A351" s="86"/>
      <x:c r="B351" s="86"/>
      <x:c r="C351" s="86"/>
      <x:c r="D351" s="86"/>
      <x:c r="E351" s="86"/>
      <x:c r="F351" s="86"/>
      <x:c r="G351" s="86"/>
      <x:c r="H351" s="86"/>
      <x:c r="I351" s="86"/>
      <x:c r="J351" s="86"/>
      <x:c r="K351" s="86"/>
      <x:c r="L351" s="86"/>
      <x:c r="M351" s="86"/>
      <x:c r="N351" s="86"/>
      <x:c r="O351" s="86"/>
      <x:c r="P351" s="86"/>
      <x:c r="Q351" s="86"/>
      <x:c r="R351" s="86"/>
      <x:c r="S351" s="86"/>
      <x:c r="T351" s="86"/>
      <x:c r="U351" s="86"/>
      <x:c r="V351" s="86"/>
      <x:c r="W351" s="86"/>
      <x:c r="X351" s="86"/>
      <x:c r="Y351" s="86"/>
      <x:c r="Z351" s="86"/>
    </x:row>
    <x:row r="352">
      <x:c r="A352" s="86"/>
      <x:c r="B352" s="86"/>
      <x:c r="C352" s="86"/>
      <x:c r="D352" s="86"/>
      <x:c r="E352" s="86"/>
      <x:c r="F352" s="86"/>
      <x:c r="G352" s="86"/>
      <x:c r="H352" s="86"/>
      <x:c r="I352" s="86"/>
      <x:c r="J352" s="86"/>
      <x:c r="K352" s="86"/>
      <x:c r="L352" s="86"/>
      <x:c r="M352" s="86"/>
      <x:c r="N352" s="86"/>
      <x:c r="O352" s="86"/>
      <x:c r="P352" s="86"/>
      <x:c r="Q352" s="86"/>
      <x:c r="R352" s="86"/>
      <x:c r="S352" s="86"/>
      <x:c r="T352" s="86"/>
      <x:c r="U352" s="86"/>
      <x:c r="V352" s="86"/>
      <x:c r="W352" s="86"/>
      <x:c r="X352" s="86"/>
      <x:c r="Y352" s="86"/>
      <x:c r="Z352" s="86"/>
    </x:row>
    <x:row r="353">
      <x:c r="A353" s="86"/>
      <x:c r="B353" s="86"/>
      <x:c r="C353" s="86"/>
      <x:c r="D353" s="86"/>
      <x:c r="E353" s="86"/>
      <x:c r="F353" s="86"/>
      <x:c r="G353" s="86"/>
      <x:c r="H353" s="86"/>
      <x:c r="I353" s="86"/>
      <x:c r="J353" s="86"/>
      <x:c r="K353" s="86"/>
      <x:c r="L353" s="86"/>
      <x:c r="M353" s="86"/>
      <x:c r="N353" s="86"/>
      <x:c r="O353" s="86"/>
      <x:c r="P353" s="86"/>
      <x:c r="Q353" s="86"/>
      <x:c r="R353" s="86"/>
      <x:c r="S353" s="86"/>
      <x:c r="T353" s="86"/>
      <x:c r="U353" s="86"/>
      <x:c r="V353" s="86"/>
      <x:c r="W353" s="86"/>
      <x:c r="X353" s="86"/>
      <x:c r="Y353" s="86"/>
      <x:c r="Z353" s="86"/>
    </x:row>
    <x:row r="354">
      <x:c r="A354" s="86"/>
      <x:c r="B354" s="86"/>
      <x:c r="C354" s="86"/>
      <x:c r="D354" s="86"/>
      <x:c r="E354" s="86"/>
      <x:c r="F354" s="86"/>
      <x:c r="G354" s="86"/>
      <x:c r="H354" s="86"/>
      <x:c r="I354" s="86"/>
      <x:c r="J354" s="86"/>
      <x:c r="K354" s="86"/>
      <x:c r="L354" s="86"/>
      <x:c r="M354" s="86"/>
      <x:c r="N354" s="86"/>
      <x:c r="O354" s="86"/>
      <x:c r="P354" s="86"/>
      <x:c r="Q354" s="86"/>
      <x:c r="R354" s="86"/>
      <x:c r="S354" s="86"/>
      <x:c r="T354" s="86"/>
      <x:c r="U354" s="86"/>
      <x:c r="V354" s="86"/>
      <x:c r="W354" s="86"/>
      <x:c r="X354" s="86"/>
      <x:c r="Y354" s="86"/>
      <x:c r="Z354" s="86"/>
    </x:row>
    <x:row r="355">
      <x:c r="A355" s="86"/>
      <x:c r="B355" s="86"/>
      <x:c r="C355" s="86"/>
      <x:c r="D355" s="86"/>
      <x:c r="E355" s="86"/>
      <x:c r="F355" s="86"/>
      <x:c r="G355" s="86"/>
      <x:c r="H355" s="86"/>
      <x:c r="I355" s="86"/>
      <x:c r="J355" s="86"/>
      <x:c r="K355" s="86"/>
      <x:c r="L355" s="86"/>
      <x:c r="M355" s="86"/>
      <x:c r="N355" s="86"/>
      <x:c r="O355" s="86"/>
      <x:c r="P355" s="86"/>
      <x:c r="Q355" s="86"/>
      <x:c r="R355" s="86"/>
      <x:c r="S355" s="86"/>
      <x:c r="T355" s="86"/>
      <x:c r="U355" s="86"/>
      <x:c r="V355" s="86"/>
      <x:c r="W355" s="86"/>
      <x:c r="X355" s="86"/>
      <x:c r="Y355" s="86"/>
      <x:c r="Z355" s="86"/>
    </x:row>
    <x:row r="356">
      <x:c r="A356" s="86"/>
      <x:c r="B356" s="86"/>
      <x:c r="C356" s="86"/>
      <x:c r="D356" s="86"/>
      <x:c r="E356" s="86"/>
      <x:c r="F356" s="86"/>
      <x:c r="G356" s="86"/>
      <x:c r="H356" s="86"/>
      <x:c r="I356" s="86"/>
      <x:c r="J356" s="86"/>
      <x:c r="K356" s="86"/>
      <x:c r="L356" s="86"/>
      <x:c r="M356" s="86"/>
      <x:c r="N356" s="86"/>
      <x:c r="O356" s="86"/>
      <x:c r="P356" s="86"/>
      <x:c r="Q356" s="86"/>
      <x:c r="R356" s="86"/>
      <x:c r="S356" s="86"/>
      <x:c r="T356" s="86"/>
      <x:c r="U356" s="86"/>
      <x:c r="V356" s="86"/>
      <x:c r="W356" s="86"/>
      <x:c r="X356" s="86"/>
      <x:c r="Y356" s="86"/>
      <x:c r="Z356" s="86"/>
    </x:row>
    <x:row r="357">
      <x:c r="A357" s="86"/>
      <x:c r="B357" s="86"/>
      <x:c r="C357" s="86"/>
      <x:c r="D357" s="86"/>
      <x:c r="E357" s="86"/>
      <x:c r="F357" s="86"/>
      <x:c r="G357" s="86"/>
      <x:c r="H357" s="86"/>
      <x:c r="I357" s="86"/>
      <x:c r="J357" s="86"/>
      <x:c r="K357" s="86"/>
      <x:c r="L357" s="86"/>
      <x:c r="M357" s="86"/>
      <x:c r="N357" s="86"/>
      <x:c r="O357" s="86"/>
      <x:c r="P357" s="86"/>
      <x:c r="Q357" s="86"/>
      <x:c r="R357" s="86"/>
      <x:c r="S357" s="86"/>
      <x:c r="T357" s="86"/>
      <x:c r="U357" s="86"/>
      <x:c r="V357" s="86"/>
      <x:c r="W357" s="86"/>
      <x:c r="X357" s="86"/>
      <x:c r="Y357" s="86"/>
      <x:c r="Z357" s="86"/>
    </x:row>
    <x:row r="358">
      <x:c r="A358" s="86"/>
      <x:c r="B358" s="86"/>
      <x:c r="C358" s="86"/>
      <x:c r="D358" s="86"/>
      <x:c r="E358" s="86"/>
      <x:c r="F358" s="86"/>
      <x:c r="G358" s="86"/>
      <x:c r="H358" s="86"/>
      <x:c r="I358" s="86"/>
      <x:c r="J358" s="86"/>
      <x:c r="K358" s="86"/>
      <x:c r="L358" s="86"/>
      <x:c r="M358" s="86"/>
      <x:c r="N358" s="86"/>
      <x:c r="O358" s="86"/>
      <x:c r="P358" s="86"/>
      <x:c r="Q358" s="86"/>
      <x:c r="R358" s="86"/>
      <x:c r="S358" s="86"/>
      <x:c r="T358" s="86"/>
      <x:c r="U358" s="86"/>
      <x:c r="V358" s="86"/>
      <x:c r="W358" s="86"/>
      <x:c r="X358" s="86"/>
      <x:c r="Y358" s="86"/>
      <x:c r="Z358" s="86"/>
    </x:row>
    <x:row r="359">
      <x:c r="A359" s="86"/>
      <x:c r="B359" s="86"/>
      <x:c r="C359" s="86"/>
      <x:c r="D359" s="86"/>
      <x:c r="E359" s="86"/>
      <x:c r="F359" s="86"/>
      <x:c r="G359" s="86"/>
      <x:c r="H359" s="86"/>
      <x:c r="I359" s="86"/>
      <x:c r="J359" s="86"/>
      <x:c r="K359" s="86"/>
      <x:c r="L359" s="86"/>
      <x:c r="M359" s="86"/>
      <x:c r="N359" s="86"/>
      <x:c r="O359" s="86"/>
      <x:c r="P359" s="86"/>
      <x:c r="Q359" s="86"/>
      <x:c r="R359" s="86"/>
      <x:c r="S359" s="86"/>
      <x:c r="T359" s="86"/>
      <x:c r="U359" s="86"/>
      <x:c r="V359" s="86"/>
      <x:c r="W359" s="86"/>
      <x:c r="X359" s="86"/>
      <x:c r="Y359" s="86"/>
      <x:c r="Z359" s="86"/>
    </x:row>
    <x:row r="360">
      <x:c r="A360" s="86"/>
      <x:c r="B360" s="86"/>
      <x:c r="C360" s="86"/>
      <x:c r="D360" s="86"/>
      <x:c r="E360" s="86"/>
      <x:c r="F360" s="86"/>
      <x:c r="G360" s="86"/>
      <x:c r="H360" s="86"/>
      <x:c r="I360" s="86"/>
      <x:c r="J360" s="86"/>
      <x:c r="K360" s="86"/>
      <x:c r="L360" s="86"/>
      <x:c r="M360" s="86"/>
      <x:c r="N360" s="86"/>
      <x:c r="O360" s="86"/>
      <x:c r="P360" s="86"/>
      <x:c r="Q360" s="86"/>
      <x:c r="R360" s="86"/>
      <x:c r="S360" s="86"/>
      <x:c r="T360" s="86"/>
      <x:c r="U360" s="86"/>
      <x:c r="V360" s="86"/>
      <x:c r="W360" s="86"/>
      <x:c r="X360" s="86"/>
      <x:c r="Y360" s="86"/>
      <x:c r="Z360" s="86"/>
    </x:row>
    <x:row r="361">
      <x:c r="A361" s="86"/>
      <x:c r="B361" s="86"/>
      <x:c r="C361" s="86"/>
      <x:c r="D361" s="86"/>
      <x:c r="E361" s="86"/>
      <x:c r="F361" s="86"/>
      <x:c r="G361" s="86"/>
      <x:c r="H361" s="86"/>
      <x:c r="I361" s="86"/>
      <x:c r="J361" s="86"/>
      <x:c r="K361" s="86"/>
      <x:c r="L361" s="86"/>
      <x:c r="M361" s="86"/>
      <x:c r="N361" s="86"/>
      <x:c r="O361" s="86"/>
      <x:c r="P361" s="86"/>
      <x:c r="Q361" s="86"/>
      <x:c r="R361" s="86"/>
      <x:c r="S361" s="86"/>
      <x:c r="T361" s="86"/>
      <x:c r="U361" s="86"/>
      <x:c r="V361" s="86"/>
      <x:c r="W361" s="86"/>
      <x:c r="X361" s="86"/>
      <x:c r="Y361" s="86"/>
      <x:c r="Z361" s="86"/>
    </x:row>
    <x:row r="362">
      <x:c r="A362" s="86"/>
      <x:c r="B362" s="86"/>
      <x:c r="C362" s="86"/>
      <x:c r="D362" s="86"/>
      <x:c r="E362" s="86"/>
      <x:c r="F362" s="86"/>
      <x:c r="G362" s="86"/>
      <x:c r="H362" s="86"/>
      <x:c r="I362" s="86"/>
      <x:c r="J362" s="86"/>
      <x:c r="K362" s="86"/>
      <x:c r="L362" s="86"/>
      <x:c r="M362" s="86"/>
      <x:c r="N362" s="86"/>
      <x:c r="O362" s="86"/>
      <x:c r="P362" s="86"/>
      <x:c r="Q362" s="86"/>
      <x:c r="R362" s="86"/>
      <x:c r="S362" s="86"/>
      <x:c r="T362" s="86"/>
      <x:c r="U362" s="86"/>
      <x:c r="V362" s="86"/>
      <x:c r="W362" s="86"/>
      <x:c r="X362" s="86"/>
      <x:c r="Y362" s="86"/>
      <x:c r="Z362" s="86"/>
    </x:row>
    <x:row r="363">
      <x:c r="A363" s="86"/>
      <x:c r="B363" s="86"/>
      <x:c r="C363" s="86"/>
      <x:c r="D363" s="86"/>
      <x:c r="E363" s="86"/>
      <x:c r="F363" s="86"/>
      <x:c r="G363" s="86"/>
      <x:c r="H363" s="86"/>
      <x:c r="I363" s="86"/>
      <x:c r="J363" s="86"/>
      <x:c r="K363" s="86"/>
      <x:c r="L363" s="86"/>
      <x:c r="M363" s="86"/>
      <x:c r="N363" s="86"/>
      <x:c r="O363" s="86"/>
      <x:c r="P363" s="86"/>
      <x:c r="Q363" s="86"/>
      <x:c r="R363" s="86"/>
      <x:c r="S363" s="86"/>
      <x:c r="T363" s="86"/>
      <x:c r="U363" s="86"/>
      <x:c r="V363" s="86"/>
      <x:c r="W363" s="86"/>
      <x:c r="X363" s="86"/>
      <x:c r="Y363" s="86"/>
      <x:c r="Z363" s="86"/>
    </x:row>
    <x:row r="364">
      <x:c r="A364" s="86"/>
      <x:c r="B364" s="86"/>
      <x:c r="C364" s="86"/>
      <x:c r="D364" s="86"/>
      <x:c r="E364" s="86"/>
      <x:c r="F364" s="86"/>
      <x:c r="G364" s="86"/>
      <x:c r="H364" s="86"/>
      <x:c r="I364" s="86"/>
      <x:c r="J364" s="86"/>
      <x:c r="K364" s="86"/>
      <x:c r="L364" s="86"/>
      <x:c r="M364" s="86"/>
      <x:c r="N364" s="86"/>
      <x:c r="O364" s="86"/>
      <x:c r="P364" s="86"/>
      <x:c r="Q364" s="86"/>
      <x:c r="R364" s="86"/>
      <x:c r="S364" s="86"/>
      <x:c r="T364" s="86"/>
      <x:c r="U364" s="86"/>
      <x:c r="V364" s="86"/>
      <x:c r="W364" s="86"/>
      <x:c r="X364" s="86"/>
      <x:c r="Y364" s="86"/>
      <x:c r="Z364" s="86"/>
    </x:row>
    <x:row r="365">
      <x:c r="A365" s="86"/>
      <x:c r="B365" s="86"/>
      <x:c r="C365" s="86"/>
      <x:c r="D365" s="86"/>
      <x:c r="E365" s="86"/>
      <x:c r="F365" s="86"/>
      <x:c r="G365" s="86"/>
      <x:c r="H365" s="86"/>
      <x:c r="I365" s="86"/>
      <x:c r="J365" s="86"/>
      <x:c r="K365" s="86"/>
      <x:c r="L365" s="86"/>
      <x:c r="M365" s="86"/>
      <x:c r="N365" s="86"/>
      <x:c r="O365" s="86"/>
      <x:c r="P365" s="86"/>
      <x:c r="Q365" s="86"/>
      <x:c r="R365" s="86"/>
      <x:c r="S365" s="86"/>
      <x:c r="T365" s="86"/>
      <x:c r="U365" s="86"/>
      <x:c r="V365" s="86"/>
      <x:c r="W365" s="86"/>
      <x:c r="X365" s="86"/>
      <x:c r="Y365" s="86"/>
      <x:c r="Z365" s="86"/>
    </x:row>
    <x:row r="366">
      <x:c r="A366" s="86"/>
      <x:c r="B366" s="86"/>
      <x:c r="C366" s="86"/>
      <x:c r="D366" s="86"/>
      <x:c r="E366" s="86"/>
      <x:c r="F366" s="86"/>
      <x:c r="G366" s="86"/>
      <x:c r="H366" s="86"/>
      <x:c r="I366" s="86"/>
      <x:c r="J366" s="86"/>
      <x:c r="K366" s="86"/>
      <x:c r="L366" s="86"/>
      <x:c r="M366" s="86"/>
      <x:c r="N366" s="86"/>
      <x:c r="O366" s="86"/>
      <x:c r="P366" s="86"/>
      <x:c r="Q366" s="86"/>
      <x:c r="R366" s="86"/>
      <x:c r="S366" s="86"/>
      <x:c r="T366" s="86"/>
      <x:c r="U366" s="86"/>
      <x:c r="V366" s="86"/>
      <x:c r="W366" s="86"/>
      <x:c r="X366" s="86"/>
      <x:c r="Y366" s="86"/>
      <x:c r="Z366" s="86"/>
    </x:row>
    <x:row r="367">
      <x:c r="A367" s="86"/>
      <x:c r="B367" s="86"/>
      <x:c r="C367" s="86"/>
      <x:c r="D367" s="86"/>
      <x:c r="E367" s="86"/>
      <x:c r="F367" s="86"/>
      <x:c r="G367" s="86"/>
      <x:c r="H367" s="86"/>
      <x:c r="I367" s="86"/>
      <x:c r="J367" s="86"/>
      <x:c r="K367" s="86"/>
      <x:c r="L367" s="86"/>
      <x:c r="M367" s="86"/>
      <x:c r="N367" s="86"/>
      <x:c r="O367" s="86"/>
      <x:c r="P367" s="86"/>
      <x:c r="Q367" s="86"/>
      <x:c r="R367" s="86"/>
      <x:c r="S367" s="86"/>
      <x:c r="T367" s="86"/>
      <x:c r="U367" s="86"/>
      <x:c r="V367" s="86"/>
      <x:c r="W367" s="86"/>
      <x:c r="X367" s="86"/>
      <x:c r="Y367" s="86"/>
      <x:c r="Z367" s="86"/>
    </x:row>
    <x:row r="368">
      <x:c r="A368" s="86"/>
      <x:c r="B368" s="86"/>
      <x:c r="C368" s="86"/>
      <x:c r="D368" s="86"/>
      <x:c r="E368" s="86"/>
      <x:c r="F368" s="86"/>
      <x:c r="G368" s="86"/>
      <x:c r="H368" s="86"/>
      <x:c r="I368" s="86"/>
      <x:c r="J368" s="86"/>
      <x:c r="K368" s="86"/>
      <x:c r="L368" s="86"/>
      <x:c r="M368" s="86"/>
      <x:c r="N368" s="86"/>
      <x:c r="O368" s="86"/>
      <x:c r="P368" s="86"/>
      <x:c r="Q368" s="86"/>
      <x:c r="R368" s="86"/>
      <x:c r="S368" s="86"/>
      <x:c r="T368" s="86"/>
      <x:c r="U368" s="86"/>
      <x:c r="V368" s="86"/>
      <x:c r="W368" s="86"/>
      <x:c r="X368" s="86"/>
      <x:c r="Y368" s="86"/>
      <x:c r="Z368" s="86"/>
    </x:row>
    <x:row r="369">
      <x:c r="A369" s="86"/>
      <x:c r="B369" s="86"/>
      <x:c r="C369" s="86"/>
      <x:c r="D369" s="86"/>
      <x:c r="E369" s="86"/>
      <x:c r="F369" s="86"/>
      <x:c r="G369" s="86"/>
      <x:c r="H369" s="86"/>
      <x:c r="I369" s="86"/>
      <x:c r="J369" s="86"/>
      <x:c r="K369" s="86"/>
      <x:c r="L369" s="86"/>
      <x:c r="M369" s="86"/>
      <x:c r="N369" s="86"/>
      <x:c r="O369" s="86"/>
      <x:c r="P369" s="86"/>
      <x:c r="Q369" s="86"/>
      <x:c r="R369" s="86"/>
      <x:c r="S369" s="86"/>
      <x:c r="T369" s="86"/>
      <x:c r="U369" s="86"/>
      <x:c r="V369" s="86"/>
      <x:c r="W369" s="86"/>
      <x:c r="X369" s="86"/>
      <x:c r="Y369" s="86"/>
      <x:c r="Z369" s="86"/>
    </x:row>
    <x:row r="370">
      <x:c r="A370" s="86"/>
      <x:c r="B370" s="86"/>
      <x:c r="C370" s="86"/>
      <x:c r="D370" s="86"/>
      <x:c r="E370" s="86"/>
      <x:c r="F370" s="86"/>
      <x:c r="G370" s="86"/>
      <x:c r="H370" s="86"/>
      <x:c r="I370" s="86"/>
      <x:c r="J370" s="86"/>
      <x:c r="K370" s="86"/>
      <x:c r="L370" s="86"/>
      <x:c r="M370" s="86"/>
      <x:c r="N370" s="86"/>
      <x:c r="O370" s="86"/>
      <x:c r="P370" s="86"/>
      <x:c r="Q370" s="86"/>
      <x:c r="R370" s="86"/>
      <x:c r="S370" s="86"/>
      <x:c r="T370" s="86"/>
      <x:c r="U370" s="86"/>
      <x:c r="V370" s="86"/>
      <x:c r="W370" s="86"/>
      <x:c r="X370" s="86"/>
      <x:c r="Y370" s="86"/>
      <x:c r="Z370" s="86"/>
    </x:row>
    <x:row r="371">
      <x:c r="A371" s="86"/>
      <x:c r="B371" s="86"/>
      <x:c r="C371" s="86"/>
      <x:c r="D371" s="86"/>
      <x:c r="E371" s="86"/>
      <x:c r="F371" s="86"/>
      <x:c r="G371" s="86"/>
      <x:c r="H371" s="86"/>
      <x:c r="I371" s="86"/>
      <x:c r="J371" s="86"/>
      <x:c r="K371" s="86"/>
      <x:c r="L371" s="86"/>
      <x:c r="M371" s="86"/>
      <x:c r="N371" s="86"/>
      <x:c r="O371" s="86"/>
      <x:c r="P371" s="86"/>
      <x:c r="Q371" s="86"/>
      <x:c r="R371" s="86"/>
      <x:c r="S371" s="86"/>
      <x:c r="T371" s="86"/>
      <x:c r="U371" s="86"/>
      <x:c r="V371" s="86"/>
      <x:c r="W371" s="86"/>
      <x:c r="X371" s="86"/>
      <x:c r="Y371" s="86"/>
      <x:c r="Z371" s="86"/>
    </x:row>
    <x:row r="372">
      <x:c r="A372" s="86"/>
      <x:c r="B372" s="86"/>
      <x:c r="C372" s="86"/>
      <x:c r="D372" s="86"/>
      <x:c r="E372" s="86"/>
      <x:c r="F372" s="86"/>
      <x:c r="G372" s="86"/>
      <x:c r="H372" s="86"/>
      <x:c r="I372" s="86"/>
      <x:c r="J372" s="86"/>
      <x:c r="K372" s="86"/>
      <x:c r="L372" s="86"/>
      <x:c r="M372" s="86"/>
      <x:c r="N372" s="86"/>
      <x:c r="O372" s="86"/>
      <x:c r="P372" s="86"/>
      <x:c r="Q372" s="86"/>
      <x:c r="R372" s="86"/>
      <x:c r="S372" s="86"/>
      <x:c r="T372" s="86"/>
      <x:c r="U372" s="86"/>
      <x:c r="V372" s="86"/>
      <x:c r="W372" s="86"/>
      <x:c r="X372" s="86"/>
      <x:c r="Y372" s="86"/>
      <x:c r="Z372" s="86"/>
    </x:row>
    <x:row r="373">
      <x:c r="A373" s="86"/>
      <x:c r="B373" s="86"/>
      <x:c r="C373" s="86"/>
      <x:c r="D373" s="86"/>
      <x:c r="E373" s="86"/>
      <x:c r="F373" s="86"/>
      <x:c r="G373" s="86"/>
      <x:c r="H373" s="86"/>
      <x:c r="I373" s="86"/>
      <x:c r="J373" s="86"/>
      <x:c r="K373" s="86"/>
      <x:c r="L373" s="86"/>
      <x:c r="M373" s="86"/>
      <x:c r="N373" s="86"/>
      <x:c r="O373" s="86"/>
      <x:c r="P373" s="86"/>
      <x:c r="Q373" s="86"/>
      <x:c r="R373" s="86"/>
      <x:c r="S373" s="86"/>
      <x:c r="T373" s="86"/>
      <x:c r="U373" s="86"/>
      <x:c r="V373" s="86"/>
      <x:c r="W373" s="86"/>
      <x:c r="X373" s="86"/>
      <x:c r="Y373" s="86"/>
      <x:c r="Z373" s="86"/>
    </x:row>
    <x:row r="374">
      <x:c r="A374" s="86"/>
      <x:c r="B374" s="86"/>
      <x:c r="C374" s="86"/>
      <x:c r="D374" s="86"/>
      <x:c r="E374" s="86"/>
      <x:c r="F374" s="86"/>
      <x:c r="G374" s="86"/>
      <x:c r="H374" s="86"/>
      <x:c r="I374" s="86"/>
      <x:c r="J374" s="86"/>
      <x:c r="K374" s="86"/>
      <x:c r="L374" s="86"/>
      <x:c r="M374" s="86"/>
      <x:c r="N374" s="86"/>
      <x:c r="O374" s="86"/>
      <x:c r="P374" s="86"/>
      <x:c r="Q374" s="86"/>
      <x:c r="R374" s="86"/>
      <x:c r="S374" s="86"/>
      <x:c r="T374" s="86"/>
      <x:c r="U374" s="86"/>
      <x:c r="V374" s="86"/>
      <x:c r="W374" s="86"/>
      <x:c r="X374" s="86"/>
      <x:c r="Y374" s="86"/>
      <x:c r="Z374" s="86"/>
    </x:row>
    <x:row r="375">
      <x:c r="A375" s="86"/>
      <x:c r="B375" s="86"/>
      <x:c r="C375" s="86"/>
      <x:c r="D375" s="86"/>
      <x:c r="E375" s="86"/>
      <x:c r="F375" s="86"/>
      <x:c r="G375" s="86"/>
      <x:c r="H375" s="86"/>
      <x:c r="I375" s="86"/>
      <x:c r="J375" s="86"/>
      <x:c r="K375" s="86"/>
      <x:c r="L375" s="86"/>
      <x:c r="M375" s="86"/>
      <x:c r="N375" s="86"/>
      <x:c r="O375" s="86"/>
      <x:c r="P375" s="86"/>
      <x:c r="Q375" s="86"/>
      <x:c r="R375" s="86"/>
      <x:c r="S375" s="86"/>
      <x:c r="T375" s="86"/>
      <x:c r="U375" s="86"/>
      <x:c r="V375" s="86"/>
      <x:c r="W375" s="86"/>
      <x:c r="X375" s="86"/>
      <x:c r="Y375" s="86"/>
      <x:c r="Z375" s="86"/>
    </x:row>
    <x:row r="376">
      <x:c r="A376" s="86"/>
      <x:c r="B376" s="86"/>
      <x:c r="C376" s="86"/>
      <x:c r="D376" s="86"/>
      <x:c r="E376" s="86"/>
      <x:c r="F376" s="86"/>
      <x:c r="G376" s="86"/>
      <x:c r="H376" s="86"/>
      <x:c r="I376" s="86"/>
      <x:c r="J376" s="86"/>
      <x:c r="K376" s="86"/>
      <x:c r="L376" s="86"/>
      <x:c r="M376" s="86"/>
      <x:c r="N376" s="86"/>
      <x:c r="O376" s="86"/>
      <x:c r="P376" s="86"/>
      <x:c r="Q376" s="86"/>
      <x:c r="R376" s="86"/>
      <x:c r="S376" s="86"/>
      <x:c r="T376" s="86"/>
      <x:c r="U376" s="86"/>
      <x:c r="V376" s="86"/>
      <x:c r="W376" s="86"/>
      <x:c r="X376" s="86"/>
      <x:c r="Y376" s="86"/>
      <x:c r="Z376" s="86"/>
    </x:row>
    <x:row r="377">
      <x:c r="A377" s="86"/>
      <x:c r="B377" s="86"/>
      <x:c r="C377" s="86"/>
      <x:c r="D377" s="86"/>
      <x:c r="E377" s="86"/>
      <x:c r="F377" s="86"/>
      <x:c r="G377" s="86"/>
      <x:c r="H377" s="86"/>
      <x:c r="I377" s="86"/>
      <x:c r="J377" s="86"/>
      <x:c r="K377" s="86"/>
      <x:c r="L377" s="86"/>
      <x:c r="M377" s="86"/>
      <x:c r="N377" s="86"/>
      <x:c r="O377" s="86"/>
      <x:c r="P377" s="86"/>
      <x:c r="Q377" s="86"/>
      <x:c r="R377" s="86"/>
      <x:c r="S377" s="86"/>
      <x:c r="T377" s="86"/>
      <x:c r="U377" s="86"/>
      <x:c r="V377" s="86"/>
      <x:c r="W377" s="86"/>
      <x:c r="X377" s="86"/>
      <x:c r="Y377" s="86"/>
      <x:c r="Z377" s="86"/>
    </x:row>
    <x:row r="378">
      <x:c r="A378" s="86"/>
      <x:c r="B378" s="86"/>
      <x:c r="C378" s="86"/>
      <x:c r="D378" s="86"/>
      <x:c r="E378" s="86"/>
      <x:c r="F378" s="86"/>
      <x:c r="G378" s="86"/>
      <x:c r="H378" s="86"/>
      <x:c r="I378" s="86"/>
      <x:c r="J378" s="86"/>
      <x:c r="K378" s="86"/>
      <x:c r="L378" s="86"/>
      <x:c r="M378" s="86"/>
      <x:c r="N378" s="86"/>
      <x:c r="O378" s="86"/>
      <x:c r="P378" s="86"/>
      <x:c r="Q378" s="86"/>
      <x:c r="R378" s="86"/>
      <x:c r="S378" s="86"/>
      <x:c r="T378" s="86"/>
      <x:c r="U378" s="86"/>
      <x:c r="V378" s="86"/>
      <x:c r="W378" s="86"/>
      <x:c r="X378" s="86"/>
      <x:c r="Y378" s="86"/>
      <x:c r="Z378" s="86"/>
    </x:row>
    <x:row r="379">
      <x:c r="A379" s="86"/>
      <x:c r="B379" s="86"/>
      <x:c r="C379" s="86"/>
      <x:c r="D379" s="86"/>
      <x:c r="E379" s="86"/>
      <x:c r="F379" s="86"/>
      <x:c r="G379" s="86"/>
      <x:c r="H379" s="86"/>
      <x:c r="I379" s="86"/>
      <x:c r="J379" s="86"/>
      <x:c r="K379" s="86"/>
      <x:c r="L379" s="86"/>
      <x:c r="M379" s="86"/>
      <x:c r="N379" s="86"/>
      <x:c r="O379" s="86"/>
      <x:c r="P379" s="86"/>
      <x:c r="Q379" s="86"/>
      <x:c r="R379" s="86"/>
      <x:c r="S379" s="86"/>
      <x:c r="T379" s="86"/>
      <x:c r="U379" s="86"/>
      <x:c r="V379" s="86"/>
      <x:c r="W379" s="86"/>
      <x:c r="X379" s="86"/>
      <x:c r="Y379" s="86"/>
      <x:c r="Z379" s="86"/>
    </x:row>
    <x:row r="380">
      <x:c r="A380" s="86"/>
      <x:c r="B380" s="86"/>
      <x:c r="C380" s="86"/>
      <x:c r="D380" s="86"/>
      <x:c r="E380" s="86"/>
      <x:c r="F380" s="86"/>
      <x:c r="G380" s="86"/>
      <x:c r="H380" s="86"/>
      <x:c r="I380" s="86"/>
      <x:c r="J380" s="86"/>
      <x:c r="K380" s="86"/>
      <x:c r="L380" s="86"/>
      <x:c r="M380" s="86"/>
      <x:c r="N380" s="86"/>
      <x:c r="O380" s="86"/>
      <x:c r="P380" s="86"/>
      <x:c r="Q380" s="86"/>
      <x:c r="R380" s="86"/>
      <x:c r="S380" s="86"/>
      <x:c r="T380" s="86"/>
      <x:c r="U380" s="86"/>
      <x:c r="V380" s="86"/>
      <x:c r="W380" s="86"/>
      <x:c r="X380" s="86"/>
      <x:c r="Y380" s="86"/>
      <x:c r="Z380" s="86"/>
    </x:row>
    <x:row r="381">
      <x:c r="A381" s="86"/>
      <x:c r="B381" s="86"/>
      <x:c r="C381" s="86"/>
      <x:c r="D381" s="86"/>
      <x:c r="E381" s="86"/>
      <x:c r="F381" s="86"/>
      <x:c r="G381" s="86"/>
      <x:c r="H381" s="86"/>
      <x:c r="I381" s="86"/>
      <x:c r="J381" s="86"/>
      <x:c r="K381" s="86"/>
      <x:c r="L381" s="86"/>
      <x:c r="M381" s="86"/>
      <x:c r="N381" s="86"/>
      <x:c r="O381" s="86"/>
      <x:c r="P381" s="86"/>
      <x:c r="Q381" s="86"/>
      <x:c r="R381" s="86"/>
      <x:c r="S381" s="86"/>
      <x:c r="T381" s="86"/>
      <x:c r="U381" s="86"/>
      <x:c r="V381" s="86"/>
      <x:c r="W381" s="86"/>
      <x:c r="X381" s="86"/>
      <x:c r="Y381" s="86"/>
      <x:c r="Z381" s="86"/>
    </x:row>
    <x:row r="382">
      <x:c r="A382" s="86"/>
      <x:c r="B382" s="86"/>
      <x:c r="C382" s="86"/>
      <x:c r="D382" s="86"/>
      <x:c r="E382" s="86"/>
      <x:c r="F382" s="86"/>
      <x:c r="G382" s="86"/>
      <x:c r="H382" s="86"/>
      <x:c r="I382" s="86"/>
      <x:c r="J382" s="86"/>
      <x:c r="K382" s="86"/>
      <x:c r="L382" s="86"/>
      <x:c r="M382" s="86"/>
      <x:c r="N382" s="86"/>
      <x:c r="O382" s="86"/>
      <x:c r="P382" s="86"/>
      <x:c r="Q382" s="86"/>
      <x:c r="R382" s="86"/>
      <x:c r="S382" s="86"/>
      <x:c r="T382" s="86"/>
      <x:c r="U382" s="86"/>
      <x:c r="V382" s="86"/>
      <x:c r="W382" s="86"/>
      <x:c r="X382" s="86"/>
      <x:c r="Y382" s="86"/>
      <x:c r="Z382" s="86"/>
    </x:row>
    <x:row r="383">
      <x:c r="A383" s="86"/>
      <x:c r="B383" s="86"/>
      <x:c r="C383" s="86"/>
      <x:c r="D383" s="86"/>
      <x:c r="E383" s="86"/>
      <x:c r="F383" s="86"/>
      <x:c r="G383" s="86"/>
      <x:c r="H383" s="86"/>
      <x:c r="I383" s="86"/>
      <x:c r="J383" s="86"/>
      <x:c r="K383" s="86"/>
      <x:c r="L383" s="86"/>
      <x:c r="M383" s="86"/>
      <x:c r="N383" s="86"/>
      <x:c r="O383" s="86"/>
      <x:c r="P383" s="86"/>
      <x:c r="Q383" s="86"/>
      <x:c r="R383" s="86"/>
      <x:c r="S383" s="86"/>
      <x:c r="T383" s="86"/>
      <x:c r="U383" s="86"/>
      <x:c r="V383" s="86"/>
      <x:c r="W383" s="86"/>
      <x:c r="X383" s="86"/>
      <x:c r="Y383" s="86"/>
      <x:c r="Z383" s="86"/>
    </x:row>
    <x:row r="384">
      <x:c r="A384" s="86"/>
      <x:c r="B384" s="86"/>
      <x:c r="C384" s="86"/>
      <x:c r="D384" s="86"/>
      <x:c r="E384" s="86"/>
      <x:c r="F384" s="86"/>
      <x:c r="G384" s="86"/>
      <x:c r="H384" s="86"/>
      <x:c r="I384" s="86"/>
      <x:c r="J384" s="86"/>
      <x:c r="K384" s="86"/>
      <x:c r="L384" s="86"/>
      <x:c r="M384" s="86"/>
      <x:c r="N384" s="86"/>
      <x:c r="O384" s="86"/>
      <x:c r="P384" s="86"/>
      <x:c r="Q384" s="86"/>
      <x:c r="R384" s="86"/>
      <x:c r="S384" s="86"/>
      <x:c r="T384" s="86"/>
      <x:c r="U384" s="86"/>
      <x:c r="V384" s="86"/>
      <x:c r="W384" s="86"/>
      <x:c r="X384" s="86"/>
      <x:c r="Y384" s="86"/>
      <x:c r="Z384" s="86"/>
    </x:row>
    <x:row r="385">
      <x:c r="A385" s="86"/>
      <x:c r="B385" s="86"/>
      <x:c r="C385" s="86"/>
      <x:c r="D385" s="86"/>
      <x:c r="E385" s="86"/>
      <x:c r="F385" s="86"/>
      <x:c r="G385" s="86"/>
      <x:c r="H385" s="86"/>
      <x:c r="I385" s="86"/>
      <x:c r="J385" s="86"/>
      <x:c r="K385" s="86"/>
      <x:c r="L385" s="86"/>
      <x:c r="M385" s="86"/>
      <x:c r="N385" s="86"/>
      <x:c r="O385" s="86"/>
      <x:c r="P385" s="86"/>
      <x:c r="Q385" s="86"/>
      <x:c r="R385" s="86"/>
      <x:c r="S385" s="86"/>
      <x:c r="T385" s="86"/>
      <x:c r="U385" s="86"/>
      <x:c r="V385" s="86"/>
      <x:c r="W385" s="86"/>
      <x:c r="X385" s="86"/>
      <x:c r="Y385" s="86"/>
      <x:c r="Z385" s="86"/>
    </x:row>
    <x:row r="386">
      <x:c r="A386" s="86"/>
      <x:c r="B386" s="86"/>
      <x:c r="C386" s="86"/>
      <x:c r="D386" s="86"/>
      <x:c r="E386" s="86"/>
      <x:c r="F386" s="86"/>
      <x:c r="G386" s="86"/>
      <x:c r="H386" s="86"/>
      <x:c r="I386" s="86"/>
      <x:c r="J386" s="86"/>
      <x:c r="K386" s="86"/>
      <x:c r="L386" s="86"/>
      <x:c r="M386" s="86"/>
      <x:c r="N386" s="86"/>
      <x:c r="O386" s="86"/>
      <x:c r="P386" s="86"/>
      <x:c r="Q386" s="86"/>
      <x:c r="R386" s="86"/>
      <x:c r="S386" s="86"/>
      <x:c r="T386" s="86"/>
      <x:c r="U386" s="86"/>
      <x:c r="V386" s="86"/>
      <x:c r="W386" s="86"/>
      <x:c r="X386" s="86"/>
      <x:c r="Y386" s="86"/>
      <x:c r="Z386" s="86"/>
    </x:row>
    <x:row r="387">
      <x:c r="A387" s="86"/>
      <x:c r="B387" s="86"/>
      <x:c r="C387" s="86"/>
      <x:c r="D387" s="86"/>
      <x:c r="E387" s="86"/>
      <x:c r="F387" s="86"/>
      <x:c r="G387" s="86"/>
      <x:c r="H387" s="86"/>
      <x:c r="I387" s="86"/>
      <x:c r="J387" s="86"/>
      <x:c r="K387" s="86"/>
      <x:c r="L387" s="86"/>
      <x:c r="M387" s="86"/>
      <x:c r="N387" s="86"/>
      <x:c r="O387" s="86"/>
      <x:c r="P387" s="86"/>
      <x:c r="Q387" s="86"/>
      <x:c r="R387" s="86"/>
      <x:c r="S387" s="86"/>
      <x:c r="T387" s="86"/>
      <x:c r="U387" s="86"/>
      <x:c r="V387" s="86"/>
      <x:c r="W387" s="86"/>
      <x:c r="X387" s="86"/>
      <x:c r="Y387" s="86"/>
      <x:c r="Z387" s="86"/>
    </x:row>
    <x:row r="388">
      <x:c r="A388" s="86"/>
      <x:c r="B388" s="86"/>
      <x:c r="C388" s="86"/>
      <x:c r="D388" s="86"/>
      <x:c r="E388" s="86"/>
      <x:c r="F388" s="86"/>
      <x:c r="G388" s="86"/>
      <x:c r="H388" s="86"/>
      <x:c r="I388" s="86"/>
      <x:c r="J388" s="86"/>
      <x:c r="K388" s="86"/>
      <x:c r="L388" s="86"/>
      <x:c r="M388" s="86"/>
      <x:c r="N388" s="86"/>
      <x:c r="O388" s="86"/>
      <x:c r="P388" s="86"/>
      <x:c r="Q388" s="86"/>
      <x:c r="R388" s="86"/>
      <x:c r="S388" s="86"/>
      <x:c r="T388" s="86"/>
      <x:c r="U388" s="86"/>
      <x:c r="V388" s="86"/>
      <x:c r="W388" s="86"/>
      <x:c r="X388" s="86"/>
      <x:c r="Y388" s="86"/>
      <x:c r="Z388" s="86"/>
    </x:row>
    <x:row r="389">
      <x:c r="A389" s="86"/>
      <x:c r="B389" s="86"/>
      <x:c r="C389" s="86"/>
      <x:c r="D389" s="86"/>
      <x:c r="E389" s="86"/>
      <x:c r="F389" s="86"/>
      <x:c r="G389" s="86"/>
      <x:c r="H389" s="86"/>
      <x:c r="I389" s="86"/>
      <x:c r="J389" s="86"/>
      <x:c r="K389" s="86"/>
      <x:c r="L389" s="86"/>
      <x:c r="M389" s="86"/>
      <x:c r="N389" s="86"/>
      <x:c r="O389" s="86"/>
      <x:c r="P389" s="86"/>
      <x:c r="Q389" s="86"/>
      <x:c r="R389" s="86"/>
      <x:c r="S389" s="86"/>
      <x:c r="T389" s="86"/>
      <x:c r="U389" s="86"/>
      <x:c r="V389" s="86"/>
      <x:c r="W389" s="86"/>
      <x:c r="X389" s="86"/>
      <x:c r="Y389" s="86"/>
      <x:c r="Z389" s="86"/>
    </x:row>
    <x:row r="390">
      <x:c r="A390" s="86"/>
      <x:c r="B390" s="86"/>
      <x:c r="C390" s="86"/>
      <x:c r="D390" s="86"/>
      <x:c r="E390" s="86"/>
      <x:c r="F390" s="86"/>
      <x:c r="G390" s="86"/>
      <x:c r="H390" s="86"/>
      <x:c r="I390" s="86"/>
      <x:c r="J390" s="86"/>
      <x:c r="K390" s="86"/>
      <x:c r="L390" s="86"/>
      <x:c r="M390" s="86"/>
      <x:c r="N390" s="86"/>
      <x:c r="O390" s="86"/>
      <x:c r="P390" s="86"/>
      <x:c r="Q390" s="86"/>
      <x:c r="R390" s="86"/>
      <x:c r="S390" s="86"/>
      <x:c r="T390" s="86"/>
      <x:c r="U390" s="86"/>
      <x:c r="V390" s="86"/>
      <x:c r="W390" s="86"/>
      <x:c r="X390" s="86"/>
      <x:c r="Y390" s="86"/>
      <x:c r="Z390" s="86"/>
    </x:row>
    <x:row r="391">
      <x:c r="A391" s="86"/>
      <x:c r="B391" s="86"/>
      <x:c r="C391" s="86"/>
      <x:c r="D391" s="86"/>
      <x:c r="E391" s="86"/>
      <x:c r="F391" s="86"/>
      <x:c r="G391" s="86"/>
      <x:c r="H391" s="86"/>
      <x:c r="I391" s="86"/>
      <x:c r="J391" s="86"/>
      <x:c r="K391" s="86"/>
      <x:c r="L391" s="86"/>
      <x:c r="M391" s="86"/>
      <x:c r="N391" s="86"/>
      <x:c r="O391" s="86"/>
      <x:c r="P391" s="86"/>
      <x:c r="Q391" s="86"/>
      <x:c r="R391" s="86"/>
      <x:c r="S391" s="86"/>
      <x:c r="T391" s="86"/>
      <x:c r="U391" s="86"/>
      <x:c r="V391" s="86"/>
      <x:c r="W391" s="86"/>
      <x:c r="X391" s="86"/>
      <x:c r="Y391" s="86"/>
      <x:c r="Z391" s="86"/>
    </x:row>
    <x:row r="392">
      <x:c r="A392" s="86"/>
      <x:c r="B392" s="86"/>
      <x:c r="C392" s="86"/>
      <x:c r="D392" s="86"/>
      <x:c r="E392" s="86"/>
      <x:c r="F392" s="86"/>
      <x:c r="G392" s="86"/>
      <x:c r="H392" s="86"/>
      <x:c r="I392" s="86"/>
      <x:c r="J392" s="86"/>
      <x:c r="K392" s="86"/>
      <x:c r="L392" s="86"/>
      <x:c r="M392" s="86"/>
      <x:c r="N392" s="86"/>
      <x:c r="O392" s="86"/>
      <x:c r="P392" s="86"/>
      <x:c r="Q392" s="86"/>
      <x:c r="R392" s="86"/>
      <x:c r="S392" s="86"/>
      <x:c r="T392" s="86"/>
      <x:c r="U392" s="86"/>
      <x:c r="V392" s="86"/>
      <x:c r="W392" s="86"/>
      <x:c r="X392" s="86"/>
      <x:c r="Y392" s="86"/>
      <x:c r="Z392" s="86"/>
    </x:row>
    <x:row r="393">
      <x:c r="A393" s="86"/>
      <x:c r="B393" s="86"/>
      <x:c r="C393" s="86"/>
      <x:c r="D393" s="86"/>
      <x:c r="E393" s="86"/>
      <x:c r="F393" s="86"/>
      <x:c r="G393" s="86"/>
      <x:c r="H393" s="86"/>
      <x:c r="I393" s="86"/>
      <x:c r="J393" s="86"/>
      <x:c r="K393" s="86"/>
      <x:c r="L393" s="86"/>
      <x:c r="M393" s="86"/>
      <x:c r="N393" s="86"/>
      <x:c r="O393" s="86"/>
      <x:c r="P393" s="86"/>
      <x:c r="Q393" s="86"/>
      <x:c r="R393" s="86"/>
      <x:c r="S393" s="86"/>
      <x:c r="T393" s="86"/>
      <x:c r="U393" s="86"/>
      <x:c r="V393" s="86"/>
      <x:c r="W393" s="86"/>
      <x:c r="X393" s="86"/>
      <x:c r="Y393" s="86"/>
      <x:c r="Z393" s="86"/>
    </x:row>
    <x:row r="394">
      <x:c r="A394" s="86"/>
      <x:c r="B394" s="86"/>
      <x:c r="C394" s="86"/>
      <x:c r="D394" s="86"/>
      <x:c r="E394" s="86"/>
      <x:c r="F394" s="86"/>
      <x:c r="G394" s="86"/>
      <x:c r="H394" s="86"/>
      <x:c r="I394" s="86"/>
      <x:c r="J394" s="86"/>
      <x:c r="K394" s="86"/>
      <x:c r="L394" s="86"/>
      <x:c r="M394" s="86"/>
      <x:c r="N394" s="86"/>
      <x:c r="O394" s="86"/>
      <x:c r="P394" s="86"/>
      <x:c r="Q394" s="86"/>
      <x:c r="R394" s="86"/>
      <x:c r="S394" s="86"/>
      <x:c r="T394" s="86"/>
      <x:c r="U394" s="86"/>
      <x:c r="V394" s="86"/>
      <x:c r="W394" s="86"/>
      <x:c r="X394" s="86"/>
      <x:c r="Y394" s="86"/>
      <x:c r="Z394" s="86"/>
    </x:row>
    <x:row r="395">
      <x:c r="A395" s="86"/>
      <x:c r="B395" s="86"/>
      <x:c r="C395" s="86"/>
      <x:c r="D395" s="86"/>
      <x:c r="E395" s="86"/>
      <x:c r="F395" s="86"/>
      <x:c r="G395" s="86"/>
      <x:c r="H395" s="86"/>
      <x:c r="I395" s="86"/>
      <x:c r="J395" s="86"/>
      <x:c r="K395" s="86"/>
      <x:c r="L395" s="86"/>
      <x:c r="M395" s="86"/>
      <x:c r="N395" s="86"/>
      <x:c r="O395" s="86"/>
      <x:c r="P395" s="86"/>
      <x:c r="Q395" s="86"/>
      <x:c r="R395" s="86"/>
      <x:c r="S395" s="86"/>
      <x:c r="T395" s="86"/>
      <x:c r="U395" s="86"/>
      <x:c r="V395" s="86"/>
      <x:c r="W395" s="86"/>
      <x:c r="X395" s="86"/>
      <x:c r="Y395" s="86"/>
      <x:c r="Z395" s="86"/>
    </x:row>
    <x:row r="396">
      <x:c r="A396" s="86"/>
      <x:c r="B396" s="86"/>
      <x:c r="C396" s="86"/>
      <x:c r="D396" s="86"/>
      <x:c r="E396" s="86"/>
      <x:c r="F396" s="86"/>
      <x:c r="G396" s="86"/>
      <x:c r="H396" s="86"/>
      <x:c r="I396" s="86"/>
      <x:c r="J396" s="86"/>
      <x:c r="K396" s="86"/>
      <x:c r="L396" s="86"/>
      <x:c r="M396" s="86"/>
      <x:c r="N396" s="86"/>
      <x:c r="O396" s="86"/>
      <x:c r="P396" s="86"/>
      <x:c r="Q396" s="86"/>
      <x:c r="R396" s="86"/>
      <x:c r="S396" s="86"/>
      <x:c r="T396" s="86"/>
      <x:c r="U396" s="86"/>
      <x:c r="V396" s="86"/>
      <x:c r="W396" s="86"/>
      <x:c r="X396" s="86"/>
      <x:c r="Y396" s="86"/>
      <x:c r="Z396" s="86"/>
    </x:row>
    <x:row r="397">
      <x:c r="A397" s="86"/>
      <x:c r="B397" s="86"/>
      <x:c r="C397" s="86"/>
      <x:c r="D397" s="86"/>
      <x:c r="E397" s="86"/>
      <x:c r="F397" s="86"/>
      <x:c r="G397" s="86"/>
      <x:c r="H397" s="86"/>
      <x:c r="I397" s="86"/>
      <x:c r="J397" s="86"/>
      <x:c r="K397" s="86"/>
      <x:c r="L397" s="86"/>
      <x:c r="M397" s="86"/>
      <x:c r="N397" s="86"/>
      <x:c r="O397" s="86"/>
      <x:c r="P397" s="86"/>
      <x:c r="Q397" s="86"/>
      <x:c r="R397" s="86"/>
      <x:c r="S397" s="86"/>
      <x:c r="T397" s="86"/>
      <x:c r="U397" s="86"/>
      <x:c r="V397" s="86"/>
      <x:c r="W397" s="86"/>
      <x:c r="X397" s="86"/>
      <x:c r="Y397" s="86"/>
      <x:c r="Z397" s="86"/>
    </x:row>
    <x:row r="398">
      <x:c r="A398" s="86"/>
      <x:c r="B398" s="86"/>
      <x:c r="C398" s="86"/>
      <x:c r="D398" s="86"/>
      <x:c r="E398" s="86"/>
      <x:c r="F398" s="86"/>
      <x:c r="G398" s="86"/>
      <x:c r="H398" s="86"/>
      <x:c r="I398" s="86"/>
      <x:c r="J398" s="86"/>
      <x:c r="K398" s="86"/>
      <x:c r="L398" s="86"/>
      <x:c r="M398" s="86"/>
      <x:c r="N398" s="86"/>
      <x:c r="O398" s="86"/>
      <x:c r="P398" s="86"/>
      <x:c r="Q398" s="86"/>
      <x:c r="R398" s="86"/>
      <x:c r="S398" s="86"/>
      <x:c r="T398" s="86"/>
      <x:c r="U398" s="86"/>
      <x:c r="V398" s="86"/>
      <x:c r="W398" s="86"/>
      <x:c r="X398" s="86"/>
      <x:c r="Y398" s="86"/>
      <x:c r="Z398" s="86"/>
    </x:row>
    <x:row r="399">
      <x:c r="A399" s="86"/>
      <x:c r="B399" s="86"/>
      <x:c r="C399" s="86"/>
      <x:c r="D399" s="86"/>
      <x:c r="E399" s="86"/>
      <x:c r="F399" s="86"/>
      <x:c r="G399" s="86"/>
      <x:c r="H399" s="86"/>
      <x:c r="I399" s="86"/>
      <x:c r="J399" s="86"/>
      <x:c r="K399" s="86"/>
      <x:c r="L399" s="86"/>
      <x:c r="M399" s="86"/>
      <x:c r="N399" s="86"/>
      <x:c r="O399" s="86"/>
      <x:c r="P399" s="86"/>
      <x:c r="Q399" s="86"/>
      <x:c r="R399" s="86"/>
      <x:c r="S399" s="86"/>
      <x:c r="T399" s="86"/>
      <x:c r="U399" s="86"/>
      <x:c r="V399" s="86"/>
      <x:c r="W399" s="86"/>
      <x:c r="X399" s="86"/>
      <x:c r="Y399" s="86"/>
      <x:c r="Z399" s="86"/>
    </x:row>
    <x:row r="400">
      <x:c r="A400" s="86"/>
      <x:c r="B400" s="86"/>
      <x:c r="C400" s="86"/>
      <x:c r="D400" s="86"/>
      <x:c r="E400" s="86"/>
      <x:c r="F400" s="86"/>
      <x:c r="G400" s="86"/>
      <x:c r="H400" s="86"/>
      <x:c r="I400" s="86"/>
      <x:c r="J400" s="86"/>
      <x:c r="K400" s="86"/>
      <x:c r="L400" s="86"/>
      <x:c r="M400" s="86"/>
      <x:c r="N400" s="86"/>
      <x:c r="O400" s="86"/>
      <x:c r="P400" s="86"/>
      <x:c r="Q400" s="86"/>
      <x:c r="R400" s="86"/>
      <x:c r="S400" s="86"/>
      <x:c r="T400" s="86"/>
      <x:c r="U400" s="86"/>
      <x:c r="V400" s="86"/>
      <x:c r="W400" s="86"/>
      <x:c r="X400" s="86"/>
      <x:c r="Y400" s="86"/>
      <x:c r="Z400" s="86"/>
    </x:row>
    <x:row r="401">
      <x:c r="A401" s="86"/>
      <x:c r="B401" s="86"/>
      <x:c r="C401" s="86"/>
      <x:c r="D401" s="86"/>
      <x:c r="E401" s="86"/>
      <x:c r="F401" s="86"/>
      <x:c r="G401" s="86"/>
      <x:c r="H401" s="86"/>
      <x:c r="I401" s="86"/>
      <x:c r="J401" s="86"/>
      <x:c r="K401" s="86"/>
      <x:c r="L401" s="86"/>
      <x:c r="M401" s="86"/>
      <x:c r="N401" s="86"/>
      <x:c r="O401" s="86"/>
      <x:c r="P401" s="86"/>
      <x:c r="Q401" s="86"/>
      <x:c r="R401" s="86"/>
      <x:c r="S401" s="86"/>
      <x:c r="T401" s="86"/>
      <x:c r="U401" s="86"/>
      <x:c r="V401" s="86"/>
      <x:c r="W401" s="86"/>
      <x:c r="X401" s="86"/>
      <x:c r="Y401" s="86"/>
      <x:c r="Z401" s="86"/>
    </x:row>
    <x:row r="402">
      <x:c r="A402" s="86"/>
      <x:c r="B402" s="86"/>
      <x:c r="C402" s="86"/>
      <x:c r="D402" s="86"/>
      <x:c r="E402" s="86"/>
      <x:c r="F402" s="86"/>
      <x:c r="G402" s="86"/>
      <x:c r="H402" s="86"/>
      <x:c r="I402" s="86"/>
      <x:c r="J402" s="86"/>
      <x:c r="K402" s="86"/>
      <x:c r="L402" s="86"/>
      <x:c r="M402" s="86"/>
      <x:c r="N402" s="86"/>
      <x:c r="O402" s="86"/>
      <x:c r="P402" s="86"/>
      <x:c r="Q402" s="86"/>
      <x:c r="R402" s="86"/>
      <x:c r="S402" s="86"/>
      <x:c r="T402" s="86"/>
      <x:c r="U402" s="86"/>
      <x:c r="V402" s="86"/>
      <x:c r="W402" s="86"/>
      <x:c r="X402" s="86"/>
      <x:c r="Y402" s="86"/>
      <x:c r="Z402" s="86"/>
    </x:row>
    <x:row r="403">
      <x:c r="A403" s="86"/>
      <x:c r="B403" s="86"/>
      <x:c r="C403" s="86"/>
      <x:c r="D403" s="86"/>
      <x:c r="E403" s="86"/>
      <x:c r="F403" s="86"/>
      <x:c r="G403" s="86"/>
      <x:c r="H403" s="86"/>
      <x:c r="I403" s="86"/>
      <x:c r="J403" s="86"/>
      <x:c r="K403" s="86"/>
      <x:c r="L403" s="86"/>
      <x:c r="M403" s="86"/>
      <x:c r="N403" s="86"/>
      <x:c r="O403" s="86"/>
      <x:c r="P403" s="86"/>
      <x:c r="Q403" s="86"/>
      <x:c r="R403" s="86"/>
      <x:c r="S403" s="86"/>
      <x:c r="T403" s="86"/>
      <x:c r="U403" s="86"/>
      <x:c r="V403" s="86"/>
      <x:c r="W403" s="86"/>
      <x:c r="X403" s="86"/>
      <x:c r="Y403" s="86"/>
      <x:c r="Z403" s="86"/>
    </x:row>
    <x:row r="404">
      <x:c r="A404" s="86"/>
      <x:c r="B404" s="86"/>
      <x:c r="C404" s="86"/>
      <x:c r="D404" s="86"/>
      <x:c r="E404" s="86"/>
      <x:c r="F404" s="86"/>
      <x:c r="G404" s="86"/>
      <x:c r="H404" s="86"/>
      <x:c r="I404" s="86"/>
      <x:c r="J404" s="86"/>
      <x:c r="K404" s="86"/>
      <x:c r="L404" s="86"/>
      <x:c r="M404" s="86"/>
      <x:c r="N404" s="86"/>
      <x:c r="O404" s="86"/>
      <x:c r="P404" s="86"/>
      <x:c r="Q404" s="86"/>
      <x:c r="R404" s="86"/>
      <x:c r="S404" s="86"/>
      <x:c r="T404" s="86"/>
      <x:c r="U404" s="86"/>
      <x:c r="V404" s="86"/>
      <x:c r="W404" s="86"/>
      <x:c r="X404" s="86"/>
      <x:c r="Y404" s="86"/>
      <x:c r="Z404" s="86"/>
    </x:row>
    <x:row r="405">
      <x:c r="A405" s="86"/>
      <x:c r="B405" s="86"/>
      <x:c r="C405" s="86"/>
      <x:c r="D405" s="86"/>
      <x:c r="E405" s="86"/>
      <x:c r="F405" s="86"/>
      <x:c r="G405" s="86"/>
      <x:c r="H405" s="86"/>
      <x:c r="I405" s="86"/>
      <x:c r="J405" s="86"/>
      <x:c r="K405" s="86"/>
      <x:c r="L405" s="86"/>
      <x:c r="M405" s="86"/>
      <x:c r="N405" s="86"/>
      <x:c r="O405" s="86"/>
      <x:c r="P405" s="86"/>
      <x:c r="Q405" s="86"/>
      <x:c r="R405" s="86"/>
      <x:c r="S405" s="86"/>
      <x:c r="T405" s="86"/>
      <x:c r="U405" s="86"/>
      <x:c r="V405" s="86"/>
      <x:c r="W405" s="86"/>
      <x:c r="X405" s="86"/>
      <x:c r="Y405" s="86"/>
      <x:c r="Z405" s="86"/>
    </x:row>
    <x:row r="406">
      <x:c r="A406" s="86"/>
      <x:c r="B406" s="86"/>
      <x:c r="C406" s="86"/>
      <x:c r="D406" s="86"/>
      <x:c r="E406" s="86"/>
      <x:c r="F406" s="86"/>
      <x:c r="G406" s="86"/>
      <x:c r="H406" s="86"/>
      <x:c r="I406" s="86"/>
      <x:c r="J406" s="86"/>
      <x:c r="K406" s="86"/>
      <x:c r="L406" s="86"/>
      <x:c r="M406" s="86"/>
      <x:c r="N406" s="86"/>
      <x:c r="O406" s="86"/>
      <x:c r="P406" s="86"/>
      <x:c r="Q406" s="86"/>
      <x:c r="R406" s="86"/>
      <x:c r="S406" s="86"/>
      <x:c r="T406" s="86"/>
      <x:c r="U406" s="86"/>
      <x:c r="V406" s="86"/>
      <x:c r="W406" s="86"/>
      <x:c r="X406" s="86"/>
      <x:c r="Y406" s="86"/>
      <x:c r="Z406" s="86"/>
    </x:row>
    <x:row r="407">
      <x:c r="A407" s="86"/>
      <x:c r="B407" s="86"/>
      <x:c r="C407" s="86"/>
      <x:c r="D407" s="86"/>
      <x:c r="E407" s="86"/>
      <x:c r="F407" s="86"/>
      <x:c r="G407" s="86"/>
      <x:c r="H407" s="86"/>
      <x:c r="I407" s="86"/>
      <x:c r="J407" s="86"/>
      <x:c r="K407" s="86"/>
      <x:c r="L407" s="86"/>
      <x:c r="M407" s="86"/>
      <x:c r="N407" s="86"/>
      <x:c r="O407" s="86"/>
      <x:c r="P407" s="86"/>
      <x:c r="Q407" s="86"/>
      <x:c r="R407" s="86"/>
      <x:c r="S407" s="86"/>
      <x:c r="T407" s="86"/>
      <x:c r="U407" s="86"/>
      <x:c r="V407" s="86"/>
      <x:c r="W407" s="86"/>
      <x:c r="X407" s="86"/>
      <x:c r="Y407" s="86"/>
      <x:c r="Z407" s="86"/>
    </x:row>
    <x:row r="408">
      <x:c r="A408" s="86"/>
      <x:c r="B408" s="86"/>
      <x:c r="C408" s="86"/>
      <x:c r="D408" s="86"/>
      <x:c r="E408" s="86"/>
      <x:c r="F408" s="86"/>
      <x:c r="G408" s="86"/>
      <x:c r="H408" s="86"/>
      <x:c r="I408" s="86"/>
      <x:c r="J408" s="86"/>
      <x:c r="K408" s="86"/>
      <x:c r="L408" s="86"/>
      <x:c r="M408" s="86"/>
      <x:c r="N408" s="86"/>
      <x:c r="O408" s="86"/>
      <x:c r="P408" s="86"/>
      <x:c r="Q408" s="86"/>
      <x:c r="R408" s="86"/>
      <x:c r="S408" s="86"/>
      <x:c r="T408" s="86"/>
      <x:c r="U408" s="86"/>
      <x:c r="V408" s="86"/>
      <x:c r="W408" s="86"/>
      <x:c r="X408" s="86"/>
      <x:c r="Y408" s="86"/>
      <x:c r="Z408" s="86"/>
    </x:row>
    <x:row r="409">
      <x:c r="A409" s="86"/>
      <x:c r="B409" s="86"/>
      <x:c r="C409" s="86"/>
      <x:c r="D409" s="86"/>
      <x:c r="E409" s="86"/>
      <x:c r="F409" s="86"/>
      <x:c r="G409" s="86"/>
      <x:c r="H409" s="86"/>
      <x:c r="I409" s="86"/>
      <x:c r="J409" s="86"/>
      <x:c r="K409" s="86"/>
      <x:c r="L409" s="86"/>
      <x:c r="M409" s="86"/>
      <x:c r="N409" s="86"/>
      <x:c r="O409" s="86"/>
      <x:c r="P409" s="86"/>
      <x:c r="Q409" s="86"/>
      <x:c r="R409" s="86"/>
      <x:c r="S409" s="86"/>
      <x:c r="T409" s="86"/>
      <x:c r="U409" s="86"/>
      <x:c r="V409" s="86"/>
      <x:c r="W409" s="86"/>
      <x:c r="X409" s="86"/>
      <x:c r="Y409" s="86"/>
      <x:c r="Z409" s="86"/>
    </x:row>
    <x:row r="410">
      <x:c r="A410" s="86"/>
      <x:c r="B410" s="86"/>
      <x:c r="C410" s="86"/>
      <x:c r="D410" s="86"/>
      <x:c r="E410" s="86"/>
      <x:c r="F410" s="86"/>
      <x:c r="G410" s="86"/>
      <x:c r="H410" s="86"/>
      <x:c r="I410" s="86"/>
      <x:c r="J410" s="86"/>
      <x:c r="K410" s="86"/>
      <x:c r="L410" s="86"/>
      <x:c r="M410" s="86"/>
      <x:c r="N410" s="86"/>
      <x:c r="O410" s="86"/>
      <x:c r="P410" s="86"/>
      <x:c r="Q410" s="86"/>
      <x:c r="R410" s="86"/>
      <x:c r="S410" s="86"/>
      <x:c r="T410" s="86"/>
      <x:c r="U410" s="86"/>
      <x:c r="V410" s="86"/>
      <x:c r="W410" s="86"/>
      <x:c r="X410" s="86"/>
      <x:c r="Y410" s="86"/>
      <x:c r="Z410" s="86"/>
    </x:row>
    <x:row r="411">
      <x:c r="A411" s="86"/>
      <x:c r="B411" s="86"/>
      <x:c r="C411" s="86"/>
      <x:c r="D411" s="86"/>
      <x:c r="E411" s="86"/>
      <x:c r="F411" s="86"/>
      <x:c r="G411" s="86"/>
      <x:c r="H411" s="86"/>
      <x:c r="I411" s="86"/>
      <x:c r="J411" s="86"/>
      <x:c r="K411" s="86"/>
      <x:c r="L411" s="86"/>
      <x:c r="M411" s="86"/>
      <x:c r="N411" s="86"/>
      <x:c r="O411" s="86"/>
      <x:c r="P411" s="86"/>
      <x:c r="Q411" s="86"/>
      <x:c r="R411" s="86"/>
      <x:c r="S411" s="86"/>
      <x:c r="T411" s="86"/>
      <x:c r="U411" s="86"/>
      <x:c r="V411" s="86"/>
      <x:c r="W411" s="86"/>
      <x:c r="X411" s="86"/>
      <x:c r="Y411" s="86"/>
      <x:c r="Z411" s="86"/>
    </x:row>
    <x:row r="412">
      <x:c r="A412" s="86"/>
      <x:c r="B412" s="86"/>
      <x:c r="C412" s="86"/>
      <x:c r="D412" s="86"/>
      <x:c r="E412" s="86"/>
      <x:c r="F412" s="86"/>
      <x:c r="G412" s="86"/>
      <x:c r="H412" s="86"/>
      <x:c r="I412" s="86"/>
      <x:c r="J412" s="86"/>
      <x:c r="K412" s="86"/>
      <x:c r="L412" s="86"/>
      <x:c r="M412" s="86"/>
      <x:c r="N412" s="86"/>
      <x:c r="O412" s="86"/>
      <x:c r="P412" s="86"/>
      <x:c r="Q412" s="86"/>
      <x:c r="R412" s="86"/>
      <x:c r="S412" s="86"/>
      <x:c r="T412" s="86"/>
      <x:c r="U412" s="86"/>
      <x:c r="V412" s="86"/>
      <x:c r="W412" s="86"/>
      <x:c r="X412" s="86"/>
      <x:c r="Y412" s="86"/>
      <x:c r="Z412" s="86"/>
    </x:row>
    <x:row r="413">
      <x:c r="A413" s="86"/>
      <x:c r="B413" s="86"/>
      <x:c r="C413" s="86"/>
      <x:c r="D413" s="86"/>
      <x:c r="E413" s="86"/>
      <x:c r="F413" s="86"/>
      <x:c r="G413" s="86"/>
      <x:c r="H413" s="86"/>
      <x:c r="I413" s="86"/>
      <x:c r="J413" s="86"/>
      <x:c r="K413" s="86"/>
      <x:c r="L413" s="86"/>
      <x:c r="M413" s="86"/>
      <x:c r="N413" s="86"/>
      <x:c r="O413" s="86"/>
      <x:c r="P413" s="86"/>
      <x:c r="Q413" s="86"/>
      <x:c r="R413" s="86"/>
      <x:c r="S413" s="86"/>
      <x:c r="T413" s="86"/>
      <x:c r="U413" s="86"/>
      <x:c r="V413" s="86"/>
      <x:c r="W413" s="86"/>
      <x:c r="X413" s="86"/>
      <x:c r="Y413" s="86"/>
      <x:c r="Z413" s="86"/>
    </x:row>
    <x:row r="414">
      <x:c r="A414" s="86"/>
      <x:c r="B414" s="86"/>
      <x:c r="C414" s="86"/>
      <x:c r="D414" s="86"/>
      <x:c r="E414" s="86"/>
      <x:c r="F414" s="86"/>
      <x:c r="G414" s="86"/>
      <x:c r="H414" s="86"/>
      <x:c r="I414" s="86"/>
      <x:c r="J414" s="86"/>
      <x:c r="K414" s="86"/>
      <x:c r="L414" s="86"/>
      <x:c r="M414" s="86"/>
      <x:c r="N414" s="86"/>
      <x:c r="O414" s="86"/>
      <x:c r="P414" s="86"/>
      <x:c r="Q414" s="86"/>
      <x:c r="R414" s="86"/>
      <x:c r="S414" s="86"/>
      <x:c r="T414" s="86"/>
      <x:c r="U414" s="86"/>
      <x:c r="V414" s="86"/>
      <x:c r="W414" s="86"/>
      <x:c r="X414" s="86"/>
      <x:c r="Y414" s="86"/>
      <x:c r="Z414" s="86"/>
    </x:row>
    <x:row r="415">
      <x:c r="A415" s="86"/>
      <x:c r="B415" s="86"/>
      <x:c r="C415" s="86"/>
      <x:c r="D415" s="86"/>
      <x:c r="E415" s="86"/>
      <x:c r="F415" s="86"/>
      <x:c r="G415" s="86"/>
      <x:c r="H415" s="86"/>
      <x:c r="I415" s="86"/>
      <x:c r="J415" s="86"/>
      <x:c r="K415" s="86"/>
      <x:c r="L415" s="86"/>
      <x:c r="M415" s="86"/>
      <x:c r="N415" s="86"/>
      <x:c r="O415" s="86"/>
      <x:c r="P415" s="86"/>
      <x:c r="Q415" s="86"/>
      <x:c r="R415" s="86"/>
      <x:c r="S415" s="86"/>
      <x:c r="T415" s="86"/>
      <x:c r="U415" s="86"/>
      <x:c r="V415" s="86"/>
      <x:c r="W415" s="86"/>
      <x:c r="X415" s="86"/>
      <x:c r="Y415" s="86"/>
      <x:c r="Z415" s="86"/>
    </x:row>
    <x:row r="416">
      <x:c r="A416" s="86"/>
      <x:c r="B416" s="86"/>
      <x:c r="C416" s="86"/>
      <x:c r="D416" s="86"/>
      <x:c r="E416" s="86"/>
      <x:c r="F416" s="86"/>
      <x:c r="G416" s="86"/>
      <x:c r="H416" s="86"/>
      <x:c r="I416" s="86"/>
      <x:c r="J416" s="86"/>
      <x:c r="K416" s="86"/>
      <x:c r="L416" s="86"/>
      <x:c r="M416" s="86"/>
      <x:c r="N416" s="86"/>
      <x:c r="O416" s="86"/>
      <x:c r="P416" s="86"/>
      <x:c r="Q416" s="86"/>
      <x:c r="R416" s="86"/>
      <x:c r="S416" s="86"/>
      <x:c r="T416" s="86"/>
      <x:c r="U416" s="86"/>
      <x:c r="V416" s="86"/>
      <x:c r="W416" s="86"/>
      <x:c r="X416" s="86"/>
      <x:c r="Y416" s="86"/>
      <x:c r="Z416" s="86"/>
    </x:row>
    <x:row r="417">
      <x:c r="A417" s="86"/>
      <x:c r="B417" s="86"/>
      <x:c r="C417" s="86"/>
      <x:c r="D417" s="86"/>
      <x:c r="E417" s="86"/>
      <x:c r="F417" s="86"/>
      <x:c r="G417" s="86"/>
      <x:c r="H417" s="86"/>
      <x:c r="I417" s="86"/>
      <x:c r="J417" s="86"/>
      <x:c r="K417" s="86"/>
      <x:c r="L417" s="86"/>
      <x:c r="M417" s="86"/>
      <x:c r="N417" s="86"/>
      <x:c r="O417" s="86"/>
      <x:c r="P417" s="86"/>
      <x:c r="Q417" s="86"/>
      <x:c r="R417" s="86"/>
      <x:c r="S417" s="86"/>
      <x:c r="T417" s="86"/>
      <x:c r="U417" s="86"/>
      <x:c r="V417" s="86"/>
      <x:c r="W417" s="86"/>
      <x:c r="X417" s="86"/>
      <x:c r="Y417" s="86"/>
      <x:c r="Z417" s="86"/>
    </x:row>
    <x:row r="418">
      <x:c r="A418" s="86"/>
      <x:c r="B418" s="86"/>
      <x:c r="C418" s="86"/>
      <x:c r="D418" s="86"/>
      <x:c r="E418" s="86"/>
      <x:c r="F418" s="86"/>
      <x:c r="G418" s="86"/>
      <x:c r="H418" s="86"/>
      <x:c r="I418" s="86"/>
      <x:c r="J418" s="86"/>
      <x:c r="K418" s="86"/>
      <x:c r="L418" s="86"/>
      <x:c r="M418" s="86"/>
      <x:c r="N418" s="86"/>
      <x:c r="O418" s="86"/>
      <x:c r="P418" s="86"/>
      <x:c r="Q418" s="86"/>
      <x:c r="R418" s="86"/>
      <x:c r="S418" s="86"/>
      <x:c r="T418" s="86"/>
      <x:c r="U418" s="86"/>
      <x:c r="V418" s="86"/>
      <x:c r="W418" s="86"/>
      <x:c r="X418" s="86"/>
      <x:c r="Y418" s="86"/>
      <x:c r="Z418" s="86"/>
    </x:row>
    <x:row r="419">
      <x:c r="A419" s="86"/>
      <x:c r="B419" s="86"/>
      <x:c r="C419" s="86"/>
      <x:c r="D419" s="86"/>
      <x:c r="E419" s="86"/>
      <x:c r="F419" s="86"/>
      <x:c r="G419" s="86"/>
      <x:c r="H419" s="86"/>
      <x:c r="I419" s="86"/>
      <x:c r="J419" s="86"/>
      <x:c r="K419" s="86"/>
      <x:c r="L419" s="86"/>
      <x:c r="M419" s="86"/>
      <x:c r="N419" s="86"/>
      <x:c r="O419" s="86"/>
      <x:c r="P419" s="86"/>
      <x:c r="Q419" s="86"/>
      <x:c r="R419" s="86"/>
      <x:c r="S419" s="86"/>
      <x:c r="T419" s="86"/>
      <x:c r="U419" s="86"/>
      <x:c r="V419" s="86"/>
      <x:c r="W419" s="86"/>
      <x:c r="X419" s="86"/>
      <x:c r="Y419" s="86"/>
      <x:c r="Z419" s="86"/>
    </x:row>
    <x:row r="420">
      <x:c r="A420" s="86"/>
      <x:c r="B420" s="86"/>
      <x:c r="C420" s="86"/>
      <x:c r="D420" s="86"/>
      <x:c r="E420" s="86"/>
      <x:c r="F420" s="86"/>
      <x:c r="G420" s="86"/>
      <x:c r="H420" s="86"/>
      <x:c r="I420" s="86"/>
      <x:c r="J420" s="86"/>
      <x:c r="K420" s="86"/>
      <x:c r="L420" s="86"/>
      <x:c r="M420" s="86"/>
      <x:c r="N420" s="86"/>
      <x:c r="O420" s="86"/>
      <x:c r="P420" s="86"/>
      <x:c r="Q420" s="86"/>
      <x:c r="R420" s="86"/>
      <x:c r="S420" s="86"/>
      <x:c r="T420" s="86"/>
      <x:c r="U420" s="86"/>
      <x:c r="V420" s="86"/>
      <x:c r="W420" s="86"/>
      <x:c r="X420" s="86"/>
      <x:c r="Y420" s="86"/>
      <x:c r="Z420" s="86"/>
    </x:row>
    <x:row r="421">
      <x:c r="A421" s="86"/>
      <x:c r="B421" s="86"/>
      <x:c r="C421" s="86"/>
      <x:c r="D421" s="86"/>
      <x:c r="E421" s="86"/>
      <x:c r="F421" s="86"/>
      <x:c r="G421" s="86"/>
      <x:c r="H421" s="86"/>
      <x:c r="I421" s="86"/>
      <x:c r="J421" s="86"/>
      <x:c r="K421" s="86"/>
      <x:c r="L421" s="86"/>
      <x:c r="M421" s="86"/>
      <x:c r="N421" s="86"/>
      <x:c r="O421" s="86"/>
      <x:c r="P421" s="86"/>
      <x:c r="Q421" s="86"/>
      <x:c r="R421" s="86"/>
      <x:c r="S421" s="86"/>
      <x:c r="T421" s="86"/>
      <x:c r="U421" s="86"/>
      <x:c r="V421" s="86"/>
      <x:c r="W421" s="86"/>
      <x:c r="X421" s="86"/>
      <x:c r="Y421" s="86"/>
      <x:c r="Z421" s="86"/>
    </x:row>
    <x:row r="422">
      <x:c r="A422" s="86"/>
      <x:c r="B422" s="86"/>
      <x:c r="C422" s="86"/>
      <x:c r="D422" s="86"/>
      <x:c r="E422" s="86"/>
      <x:c r="F422" s="86"/>
      <x:c r="G422" s="86"/>
      <x:c r="H422" s="86"/>
      <x:c r="I422" s="86"/>
      <x:c r="J422" s="86"/>
      <x:c r="K422" s="86"/>
      <x:c r="L422" s="86"/>
      <x:c r="M422" s="86"/>
      <x:c r="N422" s="86"/>
      <x:c r="O422" s="86"/>
      <x:c r="P422" s="86"/>
      <x:c r="Q422" s="86"/>
      <x:c r="R422" s="86"/>
      <x:c r="S422" s="86"/>
      <x:c r="T422" s="86"/>
      <x:c r="U422" s="86"/>
      <x:c r="V422" s="86"/>
      <x:c r="W422" s="86"/>
      <x:c r="X422" s="86"/>
      <x:c r="Y422" s="86"/>
      <x:c r="Z422" s="86"/>
    </x:row>
    <x:row r="423">
      <x:c r="A423" s="86"/>
      <x:c r="B423" s="86"/>
      <x:c r="C423" s="86"/>
      <x:c r="D423" s="86"/>
      <x:c r="E423" s="86"/>
      <x:c r="F423" s="86"/>
      <x:c r="G423" s="86"/>
      <x:c r="H423" s="86"/>
      <x:c r="I423" s="86"/>
      <x:c r="J423" s="86"/>
      <x:c r="K423" s="86"/>
      <x:c r="L423" s="86"/>
      <x:c r="M423" s="86"/>
      <x:c r="N423" s="86"/>
      <x:c r="O423" s="86"/>
      <x:c r="P423" s="86"/>
      <x:c r="Q423" s="86"/>
      <x:c r="R423" s="86"/>
      <x:c r="S423" s="86"/>
      <x:c r="T423" s="86"/>
      <x:c r="U423" s="86"/>
      <x:c r="V423" s="86"/>
      <x:c r="W423" s="86"/>
      <x:c r="X423" s="86"/>
      <x:c r="Y423" s="86"/>
      <x:c r="Z423" s="86"/>
    </x:row>
    <x:row r="424">
      <x:c r="A424" s="86"/>
      <x:c r="B424" s="86"/>
      <x:c r="C424" s="86"/>
      <x:c r="D424" s="86"/>
      <x:c r="E424" s="86"/>
      <x:c r="F424" s="86"/>
      <x:c r="G424" s="86"/>
      <x:c r="H424" s="86"/>
      <x:c r="I424" s="86"/>
      <x:c r="J424" s="86"/>
      <x:c r="K424" s="86"/>
      <x:c r="L424" s="86"/>
      <x:c r="M424" s="86"/>
      <x:c r="N424" s="86"/>
      <x:c r="O424" s="86"/>
      <x:c r="P424" s="86"/>
      <x:c r="Q424" s="86"/>
      <x:c r="R424" s="86"/>
      <x:c r="S424" s="86"/>
      <x:c r="T424" s="86"/>
      <x:c r="U424" s="86"/>
      <x:c r="V424" s="86"/>
      <x:c r="W424" s="86"/>
      <x:c r="X424" s="86"/>
      <x:c r="Y424" s="86"/>
      <x:c r="Z424" s="86"/>
    </x:row>
    <x:row r="425">
      <x:c r="A425" s="86"/>
      <x:c r="B425" s="86"/>
      <x:c r="C425" s="86"/>
      <x:c r="D425" s="86"/>
      <x:c r="E425" s="86"/>
      <x:c r="F425" s="86"/>
      <x:c r="G425" s="86"/>
      <x:c r="H425" s="86"/>
      <x:c r="I425" s="86"/>
      <x:c r="J425" s="86"/>
      <x:c r="K425" s="86"/>
      <x:c r="L425" s="86"/>
      <x:c r="M425" s="86"/>
      <x:c r="N425" s="86"/>
      <x:c r="O425" s="86"/>
      <x:c r="P425" s="86"/>
      <x:c r="Q425" s="86"/>
      <x:c r="R425" s="86"/>
      <x:c r="S425" s="86"/>
      <x:c r="T425" s="86"/>
      <x:c r="U425" s="86"/>
      <x:c r="V425" s="86"/>
      <x:c r="W425" s="86"/>
      <x:c r="X425" s="86"/>
      <x:c r="Y425" s="86"/>
      <x:c r="Z425" s="86"/>
    </x:row>
    <x:row r="426">
      <x:c r="A426" s="86"/>
      <x:c r="B426" s="86"/>
      <x:c r="C426" s="86"/>
      <x:c r="D426" s="86"/>
      <x:c r="E426" s="86"/>
      <x:c r="F426" s="86"/>
      <x:c r="G426" s="86"/>
      <x:c r="H426" s="86"/>
      <x:c r="I426" s="86"/>
      <x:c r="J426" s="86"/>
      <x:c r="K426" s="86"/>
      <x:c r="L426" s="86"/>
      <x:c r="M426" s="86"/>
      <x:c r="N426" s="86"/>
      <x:c r="O426" s="86"/>
      <x:c r="P426" s="86"/>
      <x:c r="Q426" s="86"/>
      <x:c r="R426" s="86"/>
      <x:c r="S426" s="86"/>
      <x:c r="T426" s="86"/>
      <x:c r="U426" s="86"/>
      <x:c r="V426" s="86"/>
      <x:c r="W426" s="86"/>
      <x:c r="X426" s="86"/>
      <x:c r="Y426" s="86"/>
      <x:c r="Z426" s="86"/>
    </x:row>
    <x:row r="427">
      <x:c r="A427" s="86"/>
      <x:c r="B427" s="86"/>
      <x:c r="C427" s="86"/>
      <x:c r="D427" s="86"/>
      <x:c r="E427" s="86"/>
      <x:c r="F427" s="86"/>
      <x:c r="G427" s="86"/>
      <x:c r="H427" s="86"/>
      <x:c r="I427" s="86"/>
      <x:c r="J427" s="86"/>
      <x:c r="K427" s="86"/>
      <x:c r="L427" s="86"/>
      <x:c r="M427" s="86"/>
      <x:c r="N427" s="86"/>
      <x:c r="O427" s="86"/>
      <x:c r="P427" s="86"/>
      <x:c r="Q427" s="86"/>
      <x:c r="R427" s="86"/>
      <x:c r="S427" s="86"/>
      <x:c r="T427" s="86"/>
      <x:c r="U427" s="86"/>
      <x:c r="V427" s="86"/>
      <x:c r="W427" s="86"/>
      <x:c r="X427" s="86"/>
      <x:c r="Y427" s="86"/>
      <x:c r="Z427" s="86"/>
    </x:row>
    <x:row r="428">
      <x:c r="A428" s="86"/>
      <x:c r="B428" s="86"/>
      <x:c r="C428" s="86"/>
      <x:c r="D428" s="86"/>
      <x:c r="E428" s="86"/>
      <x:c r="F428" s="86"/>
      <x:c r="G428" s="86"/>
      <x:c r="H428" s="86"/>
      <x:c r="I428" s="86"/>
      <x:c r="J428" s="86"/>
      <x:c r="K428" s="86"/>
      <x:c r="L428" s="86"/>
      <x:c r="M428" s="86"/>
      <x:c r="N428" s="86"/>
      <x:c r="O428" s="86"/>
      <x:c r="P428" s="86"/>
      <x:c r="Q428" s="86"/>
      <x:c r="R428" s="86"/>
      <x:c r="S428" s="86"/>
      <x:c r="T428" s="86"/>
      <x:c r="U428" s="86"/>
      <x:c r="V428" s="86"/>
      <x:c r="W428" s="86"/>
      <x:c r="X428" s="86"/>
      <x:c r="Y428" s="86"/>
      <x:c r="Z428" s="86"/>
    </x:row>
    <x:row r="429">
      <x:c r="A429" s="86"/>
      <x:c r="B429" s="86"/>
      <x:c r="C429" s="86"/>
      <x:c r="D429" s="86"/>
      <x:c r="E429" s="86"/>
      <x:c r="F429" s="86"/>
      <x:c r="G429" s="86"/>
      <x:c r="H429" s="86"/>
      <x:c r="I429" s="86"/>
      <x:c r="J429" s="86"/>
      <x:c r="K429" s="86"/>
      <x:c r="L429" s="86"/>
      <x:c r="M429" s="86"/>
      <x:c r="N429" s="86"/>
      <x:c r="O429" s="86"/>
      <x:c r="P429" s="86"/>
      <x:c r="Q429" s="86"/>
      <x:c r="R429" s="86"/>
      <x:c r="S429" s="86"/>
      <x:c r="T429" s="86"/>
      <x:c r="U429" s="86"/>
      <x:c r="V429" s="86"/>
      <x:c r="W429" s="86"/>
      <x:c r="X429" s="86"/>
      <x:c r="Y429" s="86"/>
      <x:c r="Z429" s="86"/>
    </x:row>
    <x:row r="430">
      <x:c r="A430" s="86"/>
      <x:c r="B430" s="86"/>
      <x:c r="C430" s="86"/>
      <x:c r="D430" s="86"/>
      <x:c r="E430" s="86"/>
      <x:c r="F430" s="86"/>
      <x:c r="G430" s="86"/>
      <x:c r="H430" s="86"/>
      <x:c r="I430" s="86"/>
      <x:c r="J430" s="86"/>
      <x:c r="K430" s="86"/>
      <x:c r="L430" s="86"/>
      <x:c r="M430" s="86"/>
      <x:c r="N430" s="86"/>
      <x:c r="O430" s="86"/>
      <x:c r="P430" s="86"/>
      <x:c r="Q430" s="86"/>
      <x:c r="R430" s="86"/>
      <x:c r="S430" s="86"/>
      <x:c r="T430" s="86"/>
      <x:c r="U430" s="86"/>
      <x:c r="V430" s="86"/>
      <x:c r="W430" s="86"/>
      <x:c r="X430" s="86"/>
      <x:c r="Y430" s="86"/>
      <x:c r="Z430" s="86"/>
    </x:row>
    <x:row r="431">
      <x:c r="A431" s="86"/>
      <x:c r="B431" s="86"/>
      <x:c r="C431" s="86"/>
      <x:c r="D431" s="86"/>
      <x:c r="E431" s="86"/>
      <x:c r="F431" s="86"/>
      <x:c r="G431" s="86"/>
      <x:c r="H431" s="86"/>
      <x:c r="I431" s="86"/>
      <x:c r="J431" s="86"/>
      <x:c r="K431" s="86"/>
      <x:c r="L431" s="86"/>
      <x:c r="M431" s="86"/>
      <x:c r="N431" s="86"/>
      <x:c r="O431" s="86"/>
      <x:c r="P431" s="86"/>
      <x:c r="Q431" s="86"/>
      <x:c r="R431" s="86"/>
      <x:c r="S431" s="86"/>
      <x:c r="T431" s="86"/>
      <x:c r="U431" s="86"/>
      <x:c r="V431" s="86"/>
      <x:c r="W431" s="86"/>
      <x:c r="X431" s="86"/>
      <x:c r="Y431" s="86"/>
      <x:c r="Z431" s="86"/>
    </x:row>
    <x:row r="432">
      <x:c r="A432" s="86"/>
      <x:c r="B432" s="86"/>
      <x:c r="C432" s="86"/>
      <x:c r="D432" s="86"/>
      <x:c r="E432" s="86"/>
      <x:c r="F432" s="86"/>
      <x:c r="G432" s="86"/>
      <x:c r="H432" s="86"/>
      <x:c r="I432" s="86"/>
      <x:c r="J432" s="86"/>
      <x:c r="K432" s="86"/>
      <x:c r="L432" s="86"/>
      <x:c r="M432" s="86"/>
      <x:c r="N432" s="86"/>
      <x:c r="O432" s="86"/>
      <x:c r="P432" s="86"/>
      <x:c r="Q432" s="86"/>
      <x:c r="R432" s="86"/>
      <x:c r="S432" s="86"/>
      <x:c r="T432" s="86"/>
      <x:c r="U432" s="86"/>
      <x:c r="V432" s="86"/>
      <x:c r="W432" s="86"/>
      <x:c r="X432" s="86"/>
      <x:c r="Y432" s="86"/>
      <x:c r="Z432" s="86"/>
    </x:row>
    <x:row r="433">
      <x:c r="A433" s="86"/>
      <x:c r="B433" s="86"/>
      <x:c r="C433" s="86"/>
      <x:c r="D433" s="86"/>
      <x:c r="E433" s="86"/>
      <x:c r="F433" s="86"/>
      <x:c r="G433" s="86"/>
      <x:c r="H433" s="86"/>
      <x:c r="I433" s="86"/>
      <x:c r="J433" s="86"/>
      <x:c r="K433" s="86"/>
      <x:c r="L433" s="86"/>
      <x:c r="M433" s="86"/>
      <x:c r="N433" s="86"/>
      <x:c r="O433" s="86"/>
      <x:c r="P433" s="86"/>
      <x:c r="Q433" s="86"/>
      <x:c r="R433" s="86"/>
      <x:c r="S433" s="86"/>
      <x:c r="T433" s="86"/>
      <x:c r="U433" s="86"/>
      <x:c r="V433" s="86"/>
      <x:c r="W433" s="86"/>
      <x:c r="X433" s="86"/>
      <x:c r="Y433" s="86"/>
      <x:c r="Z433" s="86"/>
    </x:row>
    <x:row r="434">
      <x:c r="A434" s="86"/>
      <x:c r="B434" s="86"/>
      <x:c r="C434" s="86"/>
      <x:c r="D434" s="86"/>
      <x:c r="E434" s="86"/>
      <x:c r="F434" s="86"/>
      <x:c r="G434" s="86"/>
      <x:c r="H434" s="86"/>
      <x:c r="I434" s="86"/>
      <x:c r="J434" s="86"/>
      <x:c r="K434" s="86"/>
      <x:c r="L434" s="86"/>
      <x:c r="M434" s="86"/>
      <x:c r="N434" s="86"/>
      <x:c r="O434" s="86"/>
      <x:c r="P434" s="86"/>
      <x:c r="Q434" s="86"/>
      <x:c r="R434" s="86"/>
      <x:c r="S434" s="86"/>
      <x:c r="T434" s="86"/>
      <x:c r="U434" s="86"/>
      <x:c r="V434" s="86"/>
      <x:c r="W434" s="86"/>
      <x:c r="X434" s="86"/>
      <x:c r="Y434" s="86"/>
      <x:c r="Z434" s="86"/>
    </x:row>
    <x:row r="435">
      <x:c r="A435" s="86"/>
      <x:c r="B435" s="86"/>
      <x:c r="C435" s="86"/>
      <x:c r="D435" s="86"/>
      <x:c r="E435" s="86"/>
      <x:c r="F435" s="86"/>
      <x:c r="G435" s="86"/>
      <x:c r="H435" s="86"/>
      <x:c r="I435" s="86"/>
      <x:c r="J435" s="86"/>
      <x:c r="K435" s="86"/>
      <x:c r="L435" s="86"/>
      <x:c r="M435" s="86"/>
      <x:c r="N435" s="86"/>
      <x:c r="O435" s="86"/>
      <x:c r="P435" s="86"/>
      <x:c r="Q435" s="86"/>
      <x:c r="R435" s="86"/>
      <x:c r="S435" s="86"/>
      <x:c r="T435" s="86"/>
      <x:c r="U435" s="86"/>
      <x:c r="V435" s="86"/>
      <x:c r="W435" s="86"/>
      <x:c r="X435" s="86"/>
      <x:c r="Y435" s="86"/>
      <x:c r="Z435" s="86"/>
    </x:row>
    <x:row r="436">
      <x:c r="A436" s="86"/>
      <x:c r="B436" s="86"/>
      <x:c r="C436" s="86"/>
      <x:c r="D436" s="86"/>
      <x:c r="E436" s="86"/>
      <x:c r="F436" s="86"/>
      <x:c r="G436" s="86"/>
      <x:c r="H436" s="86"/>
      <x:c r="I436" s="86"/>
      <x:c r="J436" s="86"/>
      <x:c r="K436" s="86"/>
      <x:c r="L436" s="86"/>
      <x:c r="M436" s="86"/>
      <x:c r="N436" s="86"/>
      <x:c r="O436" s="86"/>
      <x:c r="P436" s="86"/>
      <x:c r="Q436" s="86"/>
      <x:c r="R436" s="86"/>
      <x:c r="S436" s="86"/>
      <x:c r="T436" s="86"/>
      <x:c r="U436" s="86"/>
      <x:c r="V436" s="86"/>
      <x:c r="W436" s="86"/>
      <x:c r="X436" s="86"/>
      <x:c r="Y436" s="86"/>
      <x:c r="Z436" s="86"/>
    </x:row>
    <x:row r="437">
      <x:c r="A437" s="86"/>
      <x:c r="B437" s="86"/>
      <x:c r="C437" s="86"/>
      <x:c r="D437" s="86"/>
      <x:c r="E437" s="86"/>
      <x:c r="F437" s="86"/>
      <x:c r="G437" s="86"/>
      <x:c r="H437" s="86"/>
      <x:c r="I437" s="86"/>
      <x:c r="J437" s="86"/>
      <x:c r="K437" s="86"/>
      <x:c r="L437" s="86"/>
      <x:c r="M437" s="86"/>
      <x:c r="N437" s="86"/>
      <x:c r="O437" s="86"/>
      <x:c r="P437" s="86"/>
      <x:c r="Q437" s="86"/>
      <x:c r="R437" s="86"/>
      <x:c r="S437" s="86"/>
      <x:c r="T437" s="86"/>
      <x:c r="U437" s="86"/>
      <x:c r="V437" s="86"/>
      <x:c r="W437" s="86"/>
      <x:c r="X437" s="86"/>
      <x:c r="Y437" s="86"/>
      <x:c r="Z437" s="86"/>
    </x:row>
    <x:row r="438">
      <x:c r="A438" s="86"/>
      <x:c r="B438" s="86"/>
      <x:c r="C438" s="86"/>
      <x:c r="D438" s="86"/>
      <x:c r="E438" s="86"/>
      <x:c r="F438" s="86"/>
      <x:c r="G438" s="86"/>
      <x:c r="H438" s="86"/>
      <x:c r="I438" s="86"/>
      <x:c r="J438" s="86"/>
      <x:c r="K438" s="86"/>
      <x:c r="L438" s="86"/>
      <x:c r="M438" s="86"/>
      <x:c r="N438" s="86"/>
      <x:c r="O438" s="86"/>
      <x:c r="P438" s="86"/>
      <x:c r="Q438" s="86"/>
      <x:c r="R438" s="86"/>
      <x:c r="S438" s="86"/>
      <x:c r="T438" s="86"/>
      <x:c r="U438" s="86"/>
      <x:c r="V438" s="86"/>
      <x:c r="W438" s="86"/>
      <x:c r="X438" s="86"/>
      <x:c r="Y438" s="86"/>
      <x:c r="Z438" s="86"/>
    </x:row>
    <x:row r="439">
      <x:c r="A439" s="86"/>
      <x:c r="B439" s="86"/>
      <x:c r="C439" s="86"/>
      <x:c r="D439" s="86"/>
      <x:c r="E439" s="86"/>
      <x:c r="F439" s="86"/>
      <x:c r="G439" s="86"/>
      <x:c r="H439" s="86"/>
      <x:c r="I439" s="86"/>
      <x:c r="J439" s="86"/>
      <x:c r="K439" s="86"/>
      <x:c r="L439" s="86"/>
      <x:c r="M439" s="86"/>
      <x:c r="N439" s="86"/>
      <x:c r="O439" s="86"/>
      <x:c r="P439" s="86"/>
      <x:c r="Q439" s="86"/>
      <x:c r="R439" s="86"/>
      <x:c r="S439" s="86"/>
      <x:c r="T439" s="86"/>
      <x:c r="U439" s="86"/>
      <x:c r="V439" s="86"/>
      <x:c r="W439" s="86"/>
      <x:c r="X439" s="86"/>
      <x:c r="Y439" s="86"/>
      <x:c r="Z439" s="86"/>
    </x:row>
    <x:row r="440">
      <x:c r="A440" s="86"/>
      <x:c r="B440" s="86"/>
      <x:c r="C440" s="86"/>
      <x:c r="D440" s="86"/>
      <x:c r="E440" s="86"/>
      <x:c r="F440" s="86"/>
      <x:c r="G440" s="86"/>
      <x:c r="H440" s="86"/>
      <x:c r="I440" s="86"/>
      <x:c r="J440" s="86"/>
      <x:c r="K440" s="86"/>
      <x:c r="L440" s="86"/>
      <x:c r="M440" s="86"/>
      <x:c r="N440" s="86"/>
      <x:c r="O440" s="86"/>
      <x:c r="P440" s="86"/>
      <x:c r="Q440" s="86"/>
      <x:c r="R440" s="86"/>
      <x:c r="S440" s="86"/>
      <x:c r="T440" s="86"/>
      <x:c r="U440" s="86"/>
      <x:c r="V440" s="86"/>
      <x:c r="W440" s="86"/>
      <x:c r="X440" s="86"/>
      <x:c r="Y440" s="86"/>
      <x:c r="Z440" s="86"/>
    </x:row>
    <x:row r="441">
      <x:c r="A441" s="86"/>
      <x:c r="B441" s="86"/>
      <x:c r="C441" s="86"/>
      <x:c r="D441" s="86"/>
      <x:c r="E441" s="86"/>
      <x:c r="F441" s="86"/>
      <x:c r="G441" s="86"/>
      <x:c r="H441" s="86"/>
      <x:c r="I441" s="86"/>
      <x:c r="J441" s="86"/>
      <x:c r="K441" s="86"/>
      <x:c r="L441" s="86"/>
      <x:c r="M441" s="86"/>
      <x:c r="N441" s="86"/>
      <x:c r="O441" s="86"/>
      <x:c r="P441" s="86"/>
      <x:c r="Q441" s="86"/>
      <x:c r="R441" s="86"/>
      <x:c r="S441" s="86"/>
      <x:c r="T441" s="86"/>
      <x:c r="U441" s="86"/>
      <x:c r="V441" s="86"/>
      <x:c r="W441" s="86"/>
      <x:c r="X441" s="86"/>
      <x:c r="Y441" s="86"/>
      <x:c r="Z441" s="86"/>
    </x:row>
    <x:row r="442">
      <x:c r="A442" s="86"/>
      <x:c r="B442" s="86"/>
      <x:c r="C442" s="86"/>
      <x:c r="D442" s="86"/>
      <x:c r="E442" s="86"/>
      <x:c r="F442" s="86"/>
      <x:c r="G442" s="86"/>
      <x:c r="H442" s="86"/>
      <x:c r="I442" s="86"/>
      <x:c r="J442" s="86"/>
      <x:c r="K442" s="86"/>
      <x:c r="L442" s="86"/>
      <x:c r="M442" s="86"/>
      <x:c r="N442" s="86"/>
      <x:c r="O442" s="86"/>
      <x:c r="P442" s="86"/>
      <x:c r="Q442" s="86"/>
      <x:c r="R442" s="86"/>
      <x:c r="S442" s="86"/>
      <x:c r="T442" s="86"/>
      <x:c r="U442" s="86"/>
      <x:c r="V442" s="86"/>
      <x:c r="W442" s="86"/>
      <x:c r="X442" s="86"/>
      <x:c r="Y442" s="86"/>
      <x:c r="Z442" s="86"/>
    </x:row>
    <x:row r="443">
      <x:c r="A443" s="86"/>
      <x:c r="B443" s="86"/>
      <x:c r="C443" s="86"/>
      <x:c r="D443" s="86"/>
      <x:c r="E443" s="86"/>
      <x:c r="F443" s="86"/>
      <x:c r="G443" s="86"/>
      <x:c r="H443" s="86"/>
      <x:c r="I443" s="86"/>
      <x:c r="J443" s="86"/>
      <x:c r="K443" s="86"/>
      <x:c r="L443" s="86"/>
      <x:c r="M443" s="86"/>
      <x:c r="N443" s="86"/>
      <x:c r="O443" s="86"/>
      <x:c r="P443" s="86"/>
      <x:c r="Q443" s="86"/>
      <x:c r="R443" s="86"/>
      <x:c r="S443" s="86"/>
      <x:c r="T443" s="86"/>
      <x:c r="U443" s="86"/>
      <x:c r="V443" s="86"/>
      <x:c r="W443" s="86"/>
      <x:c r="X443" s="86"/>
      <x:c r="Y443" s="86"/>
      <x:c r="Z443" s="86"/>
    </x:row>
    <x:row r="444">
      <x:c r="A444" s="86"/>
      <x:c r="B444" s="86"/>
      <x:c r="C444" s="86"/>
      <x:c r="D444" s="86"/>
      <x:c r="E444" s="86"/>
      <x:c r="F444" s="86"/>
      <x:c r="G444" s="86"/>
      <x:c r="H444" s="86"/>
      <x:c r="I444" s="86"/>
      <x:c r="J444" s="86"/>
      <x:c r="K444" s="86"/>
      <x:c r="L444" s="86"/>
      <x:c r="M444" s="86"/>
      <x:c r="N444" s="86"/>
      <x:c r="O444" s="86"/>
      <x:c r="P444" s="86"/>
      <x:c r="Q444" s="86"/>
      <x:c r="R444" s="86"/>
      <x:c r="S444" s="86"/>
      <x:c r="T444" s="86"/>
      <x:c r="U444" s="86"/>
      <x:c r="V444" s="86"/>
      <x:c r="W444" s="86"/>
      <x:c r="X444" s="86"/>
      <x:c r="Y444" s="86"/>
      <x:c r="Z444" s="86"/>
    </x:row>
    <x:row r="445">
      <x:c r="A445" s="86"/>
      <x:c r="B445" s="86"/>
      <x:c r="C445" s="86"/>
      <x:c r="D445" s="86"/>
      <x:c r="E445" s="86"/>
      <x:c r="F445" s="86"/>
      <x:c r="G445" s="86"/>
      <x:c r="H445" s="86"/>
      <x:c r="I445" s="86"/>
      <x:c r="J445" s="86"/>
      <x:c r="K445" s="86"/>
      <x:c r="L445" s="86"/>
      <x:c r="M445" s="86"/>
      <x:c r="N445" s="86"/>
      <x:c r="O445" s="86"/>
      <x:c r="P445" s="86"/>
      <x:c r="Q445" s="86"/>
      <x:c r="R445" s="86"/>
      <x:c r="S445" s="86"/>
      <x:c r="T445" s="86"/>
      <x:c r="U445" s="86"/>
      <x:c r="V445" s="86"/>
      <x:c r="W445" s="86"/>
      <x:c r="X445" s="86"/>
      <x:c r="Y445" s="86"/>
      <x:c r="Z445" s="86"/>
    </x:row>
    <x:row r="446">
      <x:c r="A446" s="86"/>
      <x:c r="B446" s="86"/>
      <x:c r="C446" s="86"/>
      <x:c r="D446" s="86"/>
      <x:c r="E446" s="86"/>
      <x:c r="F446" s="86"/>
      <x:c r="G446" s="86"/>
      <x:c r="H446" s="86"/>
      <x:c r="I446" s="86"/>
      <x:c r="J446" s="86"/>
      <x:c r="K446" s="86"/>
      <x:c r="L446" s="86"/>
      <x:c r="M446" s="86"/>
      <x:c r="N446" s="86"/>
      <x:c r="O446" s="86"/>
      <x:c r="P446" s="86"/>
      <x:c r="Q446" s="86"/>
      <x:c r="R446" s="86"/>
      <x:c r="S446" s="86"/>
      <x:c r="T446" s="86"/>
      <x:c r="U446" s="86"/>
      <x:c r="V446" s="86"/>
      <x:c r="W446" s="86"/>
      <x:c r="X446" s="86"/>
      <x:c r="Y446" s="86"/>
      <x:c r="Z446" s="86"/>
    </x:row>
    <x:row r="447">
      <x:c r="A447" s="86"/>
      <x:c r="B447" s="86"/>
      <x:c r="C447" s="86"/>
      <x:c r="D447" s="86"/>
      <x:c r="E447" s="86"/>
      <x:c r="F447" s="86"/>
      <x:c r="G447" s="86"/>
      <x:c r="H447" s="86"/>
      <x:c r="I447" s="86"/>
      <x:c r="J447" s="86"/>
      <x:c r="K447" s="86"/>
      <x:c r="L447" s="86"/>
      <x:c r="M447" s="86"/>
      <x:c r="N447" s="86"/>
      <x:c r="O447" s="86"/>
      <x:c r="P447" s="86"/>
      <x:c r="Q447" s="86"/>
      <x:c r="R447" s="86"/>
      <x:c r="S447" s="86"/>
      <x:c r="T447" s="86"/>
      <x:c r="U447" s="86"/>
      <x:c r="V447" s="86"/>
      <x:c r="W447" s="86"/>
      <x:c r="X447" s="86"/>
      <x:c r="Y447" s="86"/>
      <x:c r="Z447" s="86"/>
    </x:row>
    <x:row r="448">
      <x:c r="A448" s="86"/>
      <x:c r="B448" s="86"/>
      <x:c r="C448" s="86"/>
      <x:c r="D448" s="86"/>
      <x:c r="E448" s="86"/>
      <x:c r="F448" s="86"/>
      <x:c r="G448" s="86"/>
      <x:c r="H448" s="86"/>
      <x:c r="I448" s="86"/>
      <x:c r="J448" s="86"/>
      <x:c r="K448" s="86"/>
      <x:c r="L448" s="86"/>
      <x:c r="M448" s="86"/>
      <x:c r="N448" s="86"/>
      <x:c r="O448" s="86"/>
      <x:c r="P448" s="86"/>
      <x:c r="Q448" s="86"/>
      <x:c r="R448" s="86"/>
      <x:c r="S448" s="86"/>
      <x:c r="T448" s="86"/>
      <x:c r="U448" s="86"/>
      <x:c r="V448" s="86"/>
      <x:c r="W448" s="86"/>
      <x:c r="X448" s="86"/>
      <x:c r="Y448" s="86"/>
      <x:c r="Z448" s="86"/>
    </x:row>
    <x:row r="449">
      <x:c r="A449" s="86"/>
      <x:c r="B449" s="86"/>
      <x:c r="C449" s="86"/>
      <x:c r="D449" s="86"/>
      <x:c r="E449" s="86"/>
      <x:c r="F449" s="86"/>
      <x:c r="G449" s="86"/>
      <x:c r="H449" s="86"/>
      <x:c r="I449" s="86"/>
      <x:c r="J449" s="86"/>
      <x:c r="K449" s="86"/>
      <x:c r="L449" s="86"/>
      <x:c r="M449" s="86"/>
      <x:c r="N449" s="86"/>
      <x:c r="O449" s="86"/>
      <x:c r="P449" s="86"/>
      <x:c r="Q449" s="86"/>
      <x:c r="R449" s="86"/>
      <x:c r="S449" s="86"/>
      <x:c r="T449" s="86"/>
      <x:c r="U449" s="86"/>
      <x:c r="V449" s="86"/>
      <x:c r="W449" s="86"/>
      <x:c r="X449" s="86"/>
      <x:c r="Y449" s="86"/>
      <x:c r="Z449" s="86"/>
    </x:row>
    <x:row r="450">
      <x:c r="A450" s="86"/>
      <x:c r="B450" s="86"/>
      <x:c r="C450" s="86"/>
      <x:c r="D450" s="86"/>
      <x:c r="E450" s="86"/>
      <x:c r="F450" s="86"/>
      <x:c r="G450" s="86"/>
      <x:c r="H450" s="86"/>
      <x:c r="I450" s="86"/>
      <x:c r="J450" s="86"/>
      <x:c r="K450" s="86"/>
      <x:c r="L450" s="86"/>
      <x:c r="M450" s="86"/>
      <x:c r="N450" s="86"/>
      <x:c r="O450" s="86"/>
      <x:c r="P450" s="86"/>
      <x:c r="Q450" s="86"/>
      <x:c r="R450" s="86"/>
      <x:c r="S450" s="86"/>
      <x:c r="T450" s="86"/>
      <x:c r="U450" s="86"/>
      <x:c r="V450" s="86"/>
      <x:c r="W450" s="86"/>
      <x:c r="X450" s="86"/>
      <x:c r="Y450" s="86"/>
      <x:c r="Z450" s="86"/>
    </x:row>
    <x:row r="451">
      <x:c r="A451" s="86"/>
      <x:c r="B451" s="86"/>
      <x:c r="C451" s="86"/>
      <x:c r="D451" s="86"/>
      <x:c r="E451" s="86"/>
      <x:c r="F451" s="86"/>
      <x:c r="G451" s="86"/>
      <x:c r="H451" s="86"/>
      <x:c r="I451" s="86"/>
      <x:c r="J451" s="86"/>
      <x:c r="K451" s="86"/>
      <x:c r="L451" s="86"/>
      <x:c r="M451" s="86"/>
      <x:c r="N451" s="86"/>
      <x:c r="O451" s="86"/>
      <x:c r="P451" s="86"/>
      <x:c r="Q451" s="86"/>
      <x:c r="R451" s="86"/>
      <x:c r="S451" s="86"/>
      <x:c r="T451" s="86"/>
      <x:c r="U451" s="86"/>
      <x:c r="V451" s="86"/>
      <x:c r="W451" s="86"/>
      <x:c r="X451" s="86"/>
      <x:c r="Y451" s="86"/>
      <x:c r="Z451" s="86"/>
    </x:row>
    <x:row r="452">
      <x:c r="A452" s="86"/>
      <x:c r="B452" s="86"/>
      <x:c r="C452" s="86"/>
      <x:c r="D452" s="86"/>
      <x:c r="E452" s="86"/>
      <x:c r="F452" s="86"/>
      <x:c r="G452" s="86"/>
      <x:c r="H452" s="86"/>
      <x:c r="I452" s="86"/>
      <x:c r="J452" s="86"/>
      <x:c r="K452" s="86"/>
      <x:c r="L452" s="86"/>
      <x:c r="M452" s="86"/>
      <x:c r="N452" s="86"/>
      <x:c r="O452" s="86"/>
      <x:c r="P452" s="86"/>
      <x:c r="Q452" s="86"/>
      <x:c r="R452" s="86"/>
      <x:c r="S452" s="86"/>
      <x:c r="T452" s="86"/>
      <x:c r="U452" s="86"/>
      <x:c r="V452" s="86"/>
      <x:c r="W452" s="86"/>
      <x:c r="X452" s="86"/>
      <x:c r="Y452" s="86"/>
      <x:c r="Z452" s="86"/>
    </x:row>
    <x:row r="453">
      <x:c r="A453" s="86"/>
      <x:c r="B453" s="86"/>
      <x:c r="C453" s="86"/>
      <x:c r="D453" s="86"/>
      <x:c r="E453" s="86"/>
      <x:c r="F453" s="86"/>
      <x:c r="G453" s="86"/>
      <x:c r="H453" s="86"/>
      <x:c r="I453" s="86"/>
      <x:c r="J453" s="86"/>
      <x:c r="K453" s="86"/>
      <x:c r="L453" s="86"/>
      <x:c r="M453" s="86"/>
      <x:c r="N453" s="86"/>
      <x:c r="O453" s="86"/>
      <x:c r="P453" s="86"/>
      <x:c r="Q453" s="86"/>
      <x:c r="R453" s="86"/>
      <x:c r="S453" s="86"/>
      <x:c r="T453" s="86"/>
      <x:c r="U453" s="86"/>
      <x:c r="V453" s="86"/>
      <x:c r="W453" s="86"/>
      <x:c r="X453" s="86"/>
      <x:c r="Y453" s="86"/>
      <x:c r="Z453" s="86"/>
    </x:row>
    <x:row r="454">
      <x:c r="A454" s="86"/>
      <x:c r="B454" s="86"/>
      <x:c r="C454" s="86"/>
      <x:c r="D454" s="86"/>
      <x:c r="E454" s="86"/>
      <x:c r="F454" s="86"/>
      <x:c r="G454" s="86"/>
      <x:c r="H454" s="86"/>
      <x:c r="I454" s="86"/>
      <x:c r="J454" s="86"/>
      <x:c r="K454" s="86"/>
      <x:c r="L454" s="86"/>
      <x:c r="M454" s="86"/>
      <x:c r="N454" s="86"/>
      <x:c r="O454" s="86"/>
      <x:c r="P454" s="86"/>
      <x:c r="Q454" s="86"/>
      <x:c r="R454" s="86"/>
      <x:c r="S454" s="86"/>
      <x:c r="T454" s="86"/>
      <x:c r="U454" s="86"/>
      <x:c r="V454" s="86"/>
      <x:c r="W454" s="86"/>
      <x:c r="X454" s="86"/>
      <x:c r="Y454" s="86"/>
      <x:c r="Z454" s="86"/>
    </x:row>
    <x:row r="455">
      <x:c r="A455" s="86"/>
      <x:c r="B455" s="86"/>
      <x:c r="C455" s="86"/>
      <x:c r="D455" s="86"/>
      <x:c r="E455" s="86"/>
      <x:c r="F455" s="86"/>
      <x:c r="G455" s="86"/>
      <x:c r="H455" s="86"/>
      <x:c r="I455" s="86"/>
      <x:c r="J455" s="86"/>
      <x:c r="K455" s="86"/>
      <x:c r="L455" s="86"/>
      <x:c r="M455" s="86"/>
      <x:c r="N455" s="86"/>
      <x:c r="O455" s="86"/>
      <x:c r="P455" s="86"/>
      <x:c r="Q455" s="86"/>
      <x:c r="R455" s="86"/>
      <x:c r="S455" s="86"/>
      <x:c r="T455" s="86"/>
      <x:c r="U455" s="86"/>
      <x:c r="V455" s="86"/>
      <x:c r="W455" s="86"/>
      <x:c r="X455" s="86"/>
      <x:c r="Y455" s="86"/>
      <x:c r="Z455" s="86"/>
    </x:row>
    <x:row r="456">
      <x:c r="A456" s="86"/>
      <x:c r="B456" s="86"/>
      <x:c r="C456" s="86"/>
      <x:c r="D456" s="86"/>
      <x:c r="E456" s="86"/>
      <x:c r="F456" s="86"/>
      <x:c r="G456" s="86"/>
      <x:c r="H456" s="86"/>
      <x:c r="I456" s="86"/>
      <x:c r="J456" s="86"/>
      <x:c r="K456" s="86"/>
      <x:c r="L456" s="86"/>
      <x:c r="M456" s="86"/>
      <x:c r="N456" s="86"/>
      <x:c r="O456" s="86"/>
      <x:c r="P456" s="86"/>
      <x:c r="Q456" s="86"/>
      <x:c r="R456" s="86"/>
      <x:c r="S456" s="86"/>
      <x:c r="T456" s="86"/>
      <x:c r="U456" s="86"/>
      <x:c r="V456" s="86"/>
      <x:c r="W456" s="86"/>
      <x:c r="X456" s="86"/>
      <x:c r="Y456" s="86"/>
      <x:c r="Z456" s="86"/>
    </x:row>
    <x:row r="457">
      <x:c r="A457" s="86"/>
      <x:c r="B457" s="86"/>
      <x:c r="C457" s="86"/>
      <x:c r="D457" s="86"/>
      <x:c r="E457" s="86"/>
      <x:c r="F457" s="86"/>
      <x:c r="G457" s="86"/>
      <x:c r="H457" s="86"/>
      <x:c r="I457" s="86"/>
      <x:c r="J457" s="86"/>
      <x:c r="K457" s="86"/>
      <x:c r="L457" s="86"/>
      <x:c r="M457" s="86"/>
      <x:c r="N457" s="86"/>
      <x:c r="O457" s="86"/>
      <x:c r="P457" s="86"/>
      <x:c r="Q457" s="86"/>
      <x:c r="R457" s="86"/>
      <x:c r="S457" s="86"/>
      <x:c r="T457" s="86"/>
      <x:c r="U457" s="86"/>
      <x:c r="V457" s="86"/>
      <x:c r="W457" s="86"/>
      <x:c r="X457" s="86"/>
      <x:c r="Y457" s="86"/>
      <x:c r="Z457" s="86"/>
    </x:row>
    <x:row r="458">
      <x:c r="A458" s="86"/>
      <x:c r="B458" s="86"/>
      <x:c r="C458" s="86"/>
      <x:c r="D458" s="86"/>
      <x:c r="E458" s="86"/>
      <x:c r="F458" s="86"/>
      <x:c r="G458" s="86"/>
      <x:c r="H458" s="86"/>
      <x:c r="I458" s="86"/>
      <x:c r="J458" s="86"/>
      <x:c r="K458" s="86"/>
      <x:c r="L458" s="86"/>
      <x:c r="M458" s="86"/>
      <x:c r="N458" s="86"/>
      <x:c r="O458" s="86"/>
      <x:c r="P458" s="86"/>
      <x:c r="Q458" s="86"/>
      <x:c r="R458" s="86"/>
      <x:c r="S458" s="86"/>
      <x:c r="T458" s="86"/>
      <x:c r="U458" s="86"/>
      <x:c r="V458" s="86"/>
      <x:c r="W458" s="86"/>
      <x:c r="X458" s="86"/>
      <x:c r="Y458" s="86"/>
      <x:c r="Z458" s="86"/>
    </x:row>
    <x:row r="459">
      <x:c r="A459" s="86"/>
      <x:c r="B459" s="86"/>
      <x:c r="C459" s="86"/>
      <x:c r="D459" s="86"/>
      <x:c r="E459" s="86"/>
      <x:c r="F459" s="86"/>
      <x:c r="G459" s="86"/>
      <x:c r="H459" s="86"/>
      <x:c r="I459" s="86"/>
      <x:c r="J459" s="86"/>
      <x:c r="K459" s="86"/>
      <x:c r="L459" s="86"/>
      <x:c r="M459" s="86"/>
      <x:c r="N459" s="86"/>
      <x:c r="O459" s="86"/>
      <x:c r="P459" s="86"/>
      <x:c r="Q459" s="86"/>
      <x:c r="R459" s="86"/>
      <x:c r="S459" s="86"/>
      <x:c r="T459" s="86"/>
      <x:c r="U459" s="86"/>
      <x:c r="V459" s="86"/>
      <x:c r="W459" s="86"/>
      <x:c r="X459" s="86"/>
      <x:c r="Y459" s="86"/>
      <x:c r="Z459" s="86"/>
    </x:row>
    <x:row r="460">
      <x:c r="A460" s="86"/>
      <x:c r="B460" s="86"/>
      <x:c r="C460" s="86"/>
      <x:c r="D460" s="86"/>
      <x:c r="E460" s="86"/>
      <x:c r="F460" s="86"/>
      <x:c r="G460" s="86"/>
      <x:c r="H460" s="86"/>
      <x:c r="I460" s="86"/>
      <x:c r="J460" s="86"/>
      <x:c r="K460" s="86"/>
      <x:c r="L460" s="86"/>
      <x:c r="M460" s="86"/>
      <x:c r="N460" s="86"/>
      <x:c r="O460" s="86"/>
      <x:c r="P460" s="86"/>
      <x:c r="Q460" s="86"/>
      <x:c r="R460" s="86"/>
      <x:c r="S460" s="86"/>
      <x:c r="T460" s="86"/>
      <x:c r="U460" s="86"/>
      <x:c r="V460" s="86"/>
      <x:c r="W460" s="86"/>
      <x:c r="X460" s="86"/>
      <x:c r="Y460" s="86"/>
      <x:c r="Z460" s="86"/>
    </x:row>
    <x:row r="461">
      <x:c r="A461" s="86"/>
      <x:c r="B461" s="86"/>
      <x:c r="C461" s="86"/>
      <x:c r="D461" s="86"/>
      <x:c r="E461" s="86"/>
      <x:c r="F461" s="86"/>
      <x:c r="G461" s="86"/>
      <x:c r="H461" s="86"/>
      <x:c r="I461" s="86"/>
      <x:c r="J461" s="86"/>
      <x:c r="K461" s="86"/>
      <x:c r="L461" s="86"/>
      <x:c r="M461" s="86"/>
      <x:c r="N461" s="86"/>
      <x:c r="O461" s="86"/>
      <x:c r="P461" s="86"/>
      <x:c r="Q461" s="86"/>
      <x:c r="R461" s="86"/>
      <x:c r="S461" s="86"/>
      <x:c r="T461" s="86"/>
      <x:c r="U461" s="86"/>
      <x:c r="V461" s="86"/>
      <x:c r="W461" s="86"/>
      <x:c r="X461" s="86"/>
      <x:c r="Y461" s="86"/>
      <x:c r="Z461" s="86"/>
    </x:row>
    <x:row r="462">
      <x:c r="A462" s="86"/>
      <x:c r="B462" s="86"/>
      <x:c r="C462" s="86"/>
      <x:c r="D462" s="86"/>
      <x:c r="E462" s="86"/>
      <x:c r="F462" s="86"/>
      <x:c r="G462" s="86"/>
      <x:c r="H462" s="86"/>
      <x:c r="I462" s="86"/>
      <x:c r="J462" s="86"/>
      <x:c r="K462" s="86"/>
      <x:c r="L462" s="86"/>
      <x:c r="M462" s="86"/>
      <x:c r="N462" s="86"/>
      <x:c r="O462" s="86"/>
      <x:c r="P462" s="86"/>
      <x:c r="Q462" s="86"/>
      <x:c r="R462" s="86"/>
      <x:c r="S462" s="86"/>
      <x:c r="T462" s="86"/>
      <x:c r="U462" s="86"/>
      <x:c r="V462" s="86"/>
      <x:c r="W462" s="86"/>
      <x:c r="X462" s="86"/>
      <x:c r="Y462" s="86"/>
      <x:c r="Z462" s="86"/>
    </x:row>
    <x:row r="463">
      <x:c r="A463" s="86"/>
      <x:c r="B463" s="86"/>
      <x:c r="C463" s="86"/>
      <x:c r="D463" s="86"/>
      <x:c r="E463" s="86"/>
      <x:c r="F463" s="86"/>
      <x:c r="G463" s="86"/>
      <x:c r="H463" s="86"/>
      <x:c r="I463" s="86"/>
      <x:c r="J463" s="86"/>
      <x:c r="K463" s="86"/>
      <x:c r="L463" s="86"/>
      <x:c r="M463" s="86"/>
      <x:c r="N463" s="86"/>
      <x:c r="O463" s="86"/>
      <x:c r="P463" s="86"/>
      <x:c r="Q463" s="86"/>
      <x:c r="R463" s="86"/>
      <x:c r="S463" s="86"/>
      <x:c r="T463" s="86"/>
      <x:c r="U463" s="86"/>
      <x:c r="V463" s="86"/>
      <x:c r="W463" s="86"/>
      <x:c r="X463" s="86"/>
      <x:c r="Y463" s="86"/>
      <x:c r="Z463" s="86"/>
    </x:row>
    <x:row r="464">
      <x:c r="A464" s="86"/>
      <x:c r="B464" s="86"/>
      <x:c r="C464" s="86"/>
      <x:c r="D464" s="86"/>
      <x:c r="E464" s="86"/>
      <x:c r="F464" s="86"/>
      <x:c r="G464" s="86"/>
      <x:c r="H464" s="86"/>
      <x:c r="I464" s="86"/>
      <x:c r="J464" s="86"/>
      <x:c r="K464" s="86"/>
      <x:c r="L464" s="86"/>
      <x:c r="M464" s="86"/>
      <x:c r="N464" s="86"/>
      <x:c r="O464" s="86"/>
      <x:c r="P464" s="86"/>
      <x:c r="Q464" s="86"/>
      <x:c r="R464" s="86"/>
      <x:c r="S464" s="86"/>
      <x:c r="T464" s="86"/>
      <x:c r="U464" s="86"/>
      <x:c r="V464" s="86"/>
      <x:c r="W464" s="86"/>
      <x:c r="X464" s="86"/>
      <x:c r="Y464" s="86"/>
      <x:c r="Z464" s="86"/>
    </x:row>
    <x:row r="465">
      <x:c r="A465" s="86"/>
      <x:c r="B465" s="86"/>
      <x:c r="C465" s="86"/>
      <x:c r="D465" s="86"/>
      <x:c r="E465" s="86"/>
      <x:c r="F465" s="86"/>
      <x:c r="G465" s="86"/>
      <x:c r="H465" s="86"/>
      <x:c r="I465" s="86"/>
      <x:c r="J465" s="86"/>
      <x:c r="K465" s="86"/>
      <x:c r="L465" s="86"/>
      <x:c r="M465" s="86"/>
      <x:c r="N465" s="86"/>
      <x:c r="O465" s="86"/>
      <x:c r="P465" s="86"/>
      <x:c r="Q465" s="86"/>
      <x:c r="R465" s="86"/>
      <x:c r="S465" s="86"/>
      <x:c r="T465" s="86"/>
      <x:c r="U465" s="86"/>
      <x:c r="V465" s="86"/>
      <x:c r="W465" s="86"/>
      <x:c r="X465" s="86"/>
      <x:c r="Y465" s="86"/>
      <x:c r="Z465" s="86"/>
    </x:row>
    <x:row r="466">
      <x:c r="A466" s="86"/>
      <x:c r="B466" s="86"/>
      <x:c r="C466" s="86"/>
      <x:c r="D466" s="86"/>
      <x:c r="E466" s="86"/>
      <x:c r="F466" s="86"/>
      <x:c r="G466" s="86"/>
      <x:c r="H466" s="86"/>
      <x:c r="I466" s="86"/>
      <x:c r="J466" s="86"/>
      <x:c r="K466" s="86"/>
      <x:c r="L466" s="86"/>
      <x:c r="M466" s="86"/>
      <x:c r="N466" s="86"/>
      <x:c r="O466" s="86"/>
      <x:c r="P466" s="86"/>
      <x:c r="Q466" s="86"/>
      <x:c r="R466" s="86"/>
      <x:c r="S466" s="86"/>
      <x:c r="T466" s="86"/>
      <x:c r="U466" s="86"/>
      <x:c r="V466" s="86"/>
      <x:c r="W466" s="86"/>
      <x:c r="X466" s="86"/>
      <x:c r="Y466" s="86"/>
      <x:c r="Z466" s="86"/>
    </x:row>
    <x:row r="467">
      <x:c r="A467" s="86"/>
      <x:c r="B467" s="86"/>
      <x:c r="C467" s="86"/>
      <x:c r="D467" s="86"/>
      <x:c r="E467" s="86"/>
      <x:c r="F467" s="86"/>
      <x:c r="G467" s="86"/>
      <x:c r="H467" s="86"/>
      <x:c r="I467" s="86"/>
      <x:c r="J467" s="86"/>
      <x:c r="K467" s="86"/>
      <x:c r="L467" s="86"/>
      <x:c r="M467" s="86"/>
      <x:c r="N467" s="86"/>
      <x:c r="O467" s="86"/>
      <x:c r="P467" s="86"/>
      <x:c r="Q467" s="86"/>
      <x:c r="R467" s="86"/>
      <x:c r="S467" s="86"/>
      <x:c r="T467" s="86"/>
      <x:c r="U467" s="86"/>
      <x:c r="V467" s="86"/>
      <x:c r="W467" s="86"/>
      <x:c r="X467" s="86"/>
      <x:c r="Y467" s="86"/>
      <x:c r="Z467" s="86"/>
    </x:row>
    <x:row r="468">
      <x:c r="A468" s="86"/>
      <x:c r="B468" s="86"/>
      <x:c r="C468" s="86"/>
      <x:c r="D468" s="86"/>
      <x:c r="E468" s="86"/>
      <x:c r="F468" s="86"/>
      <x:c r="G468" s="86"/>
      <x:c r="H468" s="86"/>
      <x:c r="I468" s="86"/>
      <x:c r="J468" s="86"/>
      <x:c r="K468" s="86"/>
      <x:c r="L468" s="86"/>
      <x:c r="M468" s="86"/>
      <x:c r="N468" s="86"/>
      <x:c r="O468" s="86"/>
      <x:c r="P468" s="86"/>
      <x:c r="Q468" s="86"/>
      <x:c r="R468" s="86"/>
      <x:c r="S468" s="86"/>
      <x:c r="T468" s="86"/>
      <x:c r="U468" s="86"/>
      <x:c r="V468" s="86"/>
      <x:c r="W468" s="86"/>
      <x:c r="X468" s="86"/>
      <x:c r="Y468" s="86"/>
      <x:c r="Z468" s="86"/>
    </x:row>
    <x:row r="469">
      <x:c r="A469" s="86"/>
      <x:c r="B469" s="86"/>
      <x:c r="C469" s="86"/>
      <x:c r="D469" s="86"/>
      <x:c r="E469" s="86"/>
      <x:c r="F469" s="86"/>
      <x:c r="G469" s="86"/>
      <x:c r="H469" s="86"/>
      <x:c r="I469" s="86"/>
      <x:c r="J469" s="86"/>
      <x:c r="K469" s="86"/>
      <x:c r="L469" s="86"/>
      <x:c r="M469" s="86"/>
      <x:c r="N469" s="86"/>
      <x:c r="O469" s="86"/>
      <x:c r="P469" s="86"/>
      <x:c r="Q469" s="86"/>
      <x:c r="R469" s="86"/>
      <x:c r="S469" s="86"/>
      <x:c r="T469" s="86"/>
      <x:c r="U469" s="86"/>
      <x:c r="V469" s="86"/>
      <x:c r="W469" s="86"/>
      <x:c r="X469" s="86"/>
      <x:c r="Y469" s="86"/>
      <x:c r="Z469" s="86"/>
    </x:row>
    <x:row r="470">
      <x:c r="A470" s="86"/>
      <x:c r="B470" s="86"/>
      <x:c r="C470" s="86"/>
      <x:c r="D470" s="86"/>
      <x:c r="E470" s="86"/>
      <x:c r="F470" s="86"/>
      <x:c r="G470" s="86"/>
      <x:c r="H470" s="86"/>
      <x:c r="I470" s="86"/>
      <x:c r="J470" s="86"/>
      <x:c r="K470" s="86"/>
      <x:c r="L470" s="86"/>
      <x:c r="M470" s="86"/>
      <x:c r="N470" s="86"/>
      <x:c r="O470" s="86"/>
      <x:c r="P470" s="86"/>
      <x:c r="Q470" s="86"/>
      <x:c r="R470" s="86"/>
      <x:c r="S470" s="86"/>
      <x:c r="T470" s="86"/>
      <x:c r="U470" s="86"/>
      <x:c r="V470" s="86"/>
      <x:c r="W470" s="86"/>
      <x:c r="X470" s="86"/>
      <x:c r="Y470" s="86"/>
      <x:c r="Z470" s="86"/>
    </x:row>
    <x:row r="471">
      <x:c r="A471" s="86"/>
      <x:c r="B471" s="86"/>
      <x:c r="C471" s="86"/>
      <x:c r="D471" s="86"/>
      <x:c r="E471" s="86"/>
      <x:c r="F471" s="86"/>
      <x:c r="G471" s="86"/>
      <x:c r="H471" s="86"/>
      <x:c r="I471" s="86"/>
      <x:c r="J471" s="86"/>
      <x:c r="K471" s="86"/>
      <x:c r="L471" s="86"/>
      <x:c r="M471" s="86"/>
      <x:c r="N471" s="86"/>
      <x:c r="O471" s="86"/>
      <x:c r="P471" s="86"/>
      <x:c r="Q471" s="86"/>
      <x:c r="R471" s="86"/>
      <x:c r="S471" s="86"/>
      <x:c r="T471" s="86"/>
      <x:c r="U471" s="86"/>
      <x:c r="V471" s="86"/>
      <x:c r="W471" s="86"/>
      <x:c r="X471" s="86"/>
      <x:c r="Y471" s="86"/>
      <x:c r="Z471" s="86"/>
    </x:row>
    <x:row r="472">
      <x:c r="A472" s="86"/>
      <x:c r="B472" s="86"/>
      <x:c r="C472" s="86"/>
      <x:c r="D472" s="86"/>
      <x:c r="E472" s="86"/>
      <x:c r="F472" s="86"/>
      <x:c r="G472" s="86"/>
      <x:c r="H472" s="86"/>
      <x:c r="I472" s="86"/>
      <x:c r="J472" s="86"/>
      <x:c r="K472" s="86"/>
      <x:c r="L472" s="86"/>
      <x:c r="M472" s="86"/>
      <x:c r="N472" s="86"/>
      <x:c r="O472" s="86"/>
      <x:c r="P472" s="86"/>
      <x:c r="Q472" s="86"/>
      <x:c r="R472" s="86"/>
      <x:c r="S472" s="86"/>
      <x:c r="T472" s="86"/>
      <x:c r="U472" s="86"/>
      <x:c r="V472" s="86"/>
      <x:c r="W472" s="86"/>
      <x:c r="X472" s="86"/>
      <x:c r="Y472" s="86"/>
      <x:c r="Z472" s="86"/>
    </x:row>
    <x:row r="473">
      <x:c r="A473" s="86"/>
      <x:c r="B473" s="86"/>
      <x:c r="C473" s="86"/>
      <x:c r="D473" s="86"/>
      <x:c r="E473" s="86"/>
      <x:c r="F473" s="86"/>
      <x:c r="G473" s="86"/>
      <x:c r="H473" s="86"/>
      <x:c r="I473" s="86"/>
      <x:c r="J473" s="86"/>
      <x:c r="K473" s="86"/>
      <x:c r="L473" s="86"/>
      <x:c r="M473" s="86"/>
      <x:c r="N473" s="86"/>
      <x:c r="O473" s="86"/>
      <x:c r="P473" s="86"/>
      <x:c r="Q473" s="86"/>
      <x:c r="R473" s="86"/>
      <x:c r="S473" s="86"/>
      <x:c r="T473" s="86"/>
      <x:c r="U473" s="86"/>
      <x:c r="V473" s="86"/>
      <x:c r="W473" s="86"/>
      <x:c r="X473" s="86"/>
      <x:c r="Y473" s="86"/>
      <x:c r="Z473" s="86"/>
    </x:row>
    <x:row r="474">
      <x:c r="A474" s="86"/>
      <x:c r="B474" s="86"/>
      <x:c r="C474" s="86"/>
      <x:c r="D474" s="86"/>
      <x:c r="E474" s="86"/>
      <x:c r="F474" s="86"/>
      <x:c r="G474" s="86"/>
      <x:c r="H474" s="86"/>
      <x:c r="I474" s="86"/>
      <x:c r="J474" s="86"/>
      <x:c r="K474" s="86"/>
      <x:c r="L474" s="86"/>
      <x:c r="M474" s="86"/>
      <x:c r="N474" s="86"/>
      <x:c r="O474" s="86"/>
      <x:c r="P474" s="86"/>
      <x:c r="Q474" s="86"/>
      <x:c r="R474" s="86"/>
      <x:c r="S474" s="86"/>
      <x:c r="T474" s="86"/>
      <x:c r="U474" s="86"/>
      <x:c r="V474" s="86"/>
      <x:c r="W474" s="86"/>
      <x:c r="X474" s="86"/>
      <x:c r="Y474" s="86"/>
      <x:c r="Z474" s="86"/>
    </x:row>
    <x:row r="475">
      <x:c r="A475" s="86"/>
      <x:c r="B475" s="86"/>
      <x:c r="C475" s="86"/>
      <x:c r="D475" s="86"/>
      <x:c r="E475" s="86"/>
      <x:c r="F475" s="86"/>
      <x:c r="G475" s="86"/>
      <x:c r="H475" s="86"/>
      <x:c r="I475" s="86"/>
      <x:c r="J475" s="86"/>
      <x:c r="K475" s="86"/>
      <x:c r="L475" s="86"/>
      <x:c r="M475" s="86"/>
      <x:c r="N475" s="86"/>
      <x:c r="O475" s="86"/>
      <x:c r="P475" s="86"/>
      <x:c r="Q475" s="86"/>
      <x:c r="R475" s="86"/>
      <x:c r="S475" s="86"/>
      <x:c r="T475" s="86"/>
      <x:c r="U475" s="86"/>
      <x:c r="V475" s="86"/>
      <x:c r="W475" s="86"/>
      <x:c r="X475" s="86"/>
      <x:c r="Y475" s="86"/>
      <x:c r="Z475" s="86"/>
    </x:row>
    <x:row r="476">
      <x:c r="A476" s="86"/>
      <x:c r="B476" s="86"/>
      <x:c r="C476" s="86"/>
      <x:c r="D476" s="86"/>
      <x:c r="E476" s="86"/>
      <x:c r="F476" s="86"/>
      <x:c r="G476" s="86"/>
      <x:c r="H476" s="86"/>
      <x:c r="I476" s="86"/>
      <x:c r="J476" s="86"/>
      <x:c r="K476" s="86"/>
      <x:c r="L476" s="86"/>
      <x:c r="M476" s="86"/>
      <x:c r="N476" s="86"/>
      <x:c r="O476" s="86"/>
      <x:c r="P476" s="86"/>
      <x:c r="Q476" s="86"/>
      <x:c r="R476" s="86"/>
      <x:c r="S476" s="86"/>
      <x:c r="T476" s="86"/>
      <x:c r="U476" s="86"/>
      <x:c r="V476" s="86"/>
      <x:c r="W476" s="86"/>
      <x:c r="X476" s="86"/>
      <x:c r="Y476" s="86"/>
      <x:c r="Z476" s="86"/>
    </x:row>
    <x:row r="477">
      <x:c r="A477" s="86"/>
      <x:c r="B477" s="86"/>
      <x:c r="C477" s="86"/>
      <x:c r="D477" s="86"/>
      <x:c r="E477" s="86"/>
      <x:c r="F477" s="86"/>
      <x:c r="G477" s="86"/>
      <x:c r="H477" s="86"/>
      <x:c r="I477" s="86"/>
      <x:c r="J477" s="86"/>
      <x:c r="K477" s="86"/>
      <x:c r="L477" s="86"/>
      <x:c r="M477" s="86"/>
      <x:c r="N477" s="86"/>
      <x:c r="O477" s="86"/>
      <x:c r="P477" s="86"/>
      <x:c r="Q477" s="86"/>
      <x:c r="R477" s="86"/>
      <x:c r="S477" s="86"/>
      <x:c r="T477" s="86"/>
      <x:c r="U477" s="86"/>
      <x:c r="V477" s="86"/>
      <x:c r="W477" s="86"/>
      <x:c r="X477" s="86"/>
      <x:c r="Y477" s="86"/>
      <x:c r="Z477" s="86"/>
    </x:row>
    <x:row r="478">
      <x:c r="A478" s="86"/>
      <x:c r="B478" s="86"/>
      <x:c r="C478" s="86"/>
      <x:c r="D478" s="86"/>
      <x:c r="E478" s="86"/>
      <x:c r="F478" s="86"/>
      <x:c r="G478" s="86"/>
      <x:c r="H478" s="86"/>
      <x:c r="I478" s="86"/>
      <x:c r="J478" s="86"/>
      <x:c r="K478" s="86"/>
      <x:c r="L478" s="86"/>
      <x:c r="M478" s="86"/>
      <x:c r="N478" s="86"/>
      <x:c r="O478" s="86"/>
      <x:c r="P478" s="86"/>
      <x:c r="Q478" s="86"/>
      <x:c r="R478" s="86"/>
      <x:c r="S478" s="86"/>
      <x:c r="T478" s="86"/>
      <x:c r="U478" s="86"/>
      <x:c r="V478" s="86"/>
      <x:c r="W478" s="86"/>
      <x:c r="X478" s="86"/>
      <x:c r="Y478" s="86"/>
      <x:c r="Z478" s="86"/>
    </x:row>
    <x:row r="479">
      <x:c r="A479" s="86"/>
      <x:c r="B479" s="86"/>
      <x:c r="C479" s="86"/>
      <x:c r="D479" s="86"/>
      <x:c r="E479" s="86"/>
      <x:c r="F479" s="86"/>
      <x:c r="G479" s="86"/>
      <x:c r="H479" s="86"/>
      <x:c r="I479" s="86"/>
      <x:c r="J479" s="86"/>
      <x:c r="K479" s="86"/>
      <x:c r="L479" s="86"/>
      <x:c r="M479" s="86"/>
      <x:c r="N479" s="86"/>
      <x:c r="O479" s="86"/>
      <x:c r="P479" s="86"/>
      <x:c r="Q479" s="86"/>
      <x:c r="R479" s="86"/>
      <x:c r="S479" s="86"/>
      <x:c r="T479" s="86"/>
      <x:c r="U479" s="86"/>
      <x:c r="V479" s="86"/>
      <x:c r="W479" s="86"/>
      <x:c r="X479" s="86"/>
      <x:c r="Y479" s="86"/>
      <x:c r="Z479" s="86"/>
    </x:row>
    <x:row r="480">
      <x:c r="A480" s="86"/>
      <x:c r="B480" s="86"/>
      <x:c r="C480" s="86"/>
      <x:c r="D480" s="86"/>
      <x:c r="E480" s="86"/>
      <x:c r="F480" s="86"/>
      <x:c r="G480" s="86"/>
      <x:c r="H480" s="86"/>
      <x:c r="I480" s="86"/>
      <x:c r="J480" s="86"/>
      <x:c r="K480" s="86"/>
      <x:c r="L480" s="86"/>
      <x:c r="M480" s="86"/>
      <x:c r="N480" s="86"/>
      <x:c r="O480" s="86"/>
      <x:c r="P480" s="86"/>
      <x:c r="Q480" s="86"/>
      <x:c r="R480" s="86"/>
      <x:c r="S480" s="86"/>
      <x:c r="T480" s="86"/>
      <x:c r="U480" s="86"/>
      <x:c r="V480" s="86"/>
      <x:c r="W480" s="86"/>
      <x:c r="X480" s="86"/>
      <x:c r="Y480" s="86"/>
      <x:c r="Z480" s="86"/>
    </x:row>
    <x:row r="481">
      <x:c r="A481" s="86"/>
      <x:c r="B481" s="86"/>
      <x:c r="C481" s="86"/>
      <x:c r="D481" s="86"/>
      <x:c r="E481" s="86"/>
      <x:c r="F481" s="86"/>
      <x:c r="G481" s="86"/>
      <x:c r="H481" s="86"/>
      <x:c r="I481" s="86"/>
      <x:c r="J481" s="86"/>
      <x:c r="K481" s="86"/>
      <x:c r="L481" s="86"/>
      <x:c r="M481" s="86"/>
      <x:c r="N481" s="86"/>
      <x:c r="O481" s="86"/>
      <x:c r="P481" s="86"/>
      <x:c r="Q481" s="86"/>
      <x:c r="R481" s="86"/>
      <x:c r="S481" s="86"/>
      <x:c r="T481" s="86"/>
      <x:c r="U481" s="86"/>
      <x:c r="V481" s="86"/>
      <x:c r="W481" s="86"/>
      <x:c r="X481" s="86"/>
      <x:c r="Y481" s="86"/>
      <x:c r="Z481" s="86"/>
    </x:row>
    <x:row r="482">
      <x:c r="A482" s="86"/>
      <x:c r="B482" s="86"/>
      <x:c r="C482" s="86"/>
      <x:c r="D482" s="86"/>
      <x:c r="E482" s="86"/>
      <x:c r="F482" s="86"/>
      <x:c r="G482" s="86"/>
      <x:c r="H482" s="86"/>
      <x:c r="I482" s="86"/>
      <x:c r="J482" s="86"/>
      <x:c r="K482" s="86"/>
      <x:c r="L482" s="86"/>
      <x:c r="M482" s="86"/>
      <x:c r="N482" s="86"/>
      <x:c r="O482" s="86"/>
      <x:c r="P482" s="86"/>
      <x:c r="Q482" s="86"/>
      <x:c r="R482" s="86"/>
      <x:c r="S482" s="86"/>
      <x:c r="T482" s="86"/>
      <x:c r="U482" s="86"/>
      <x:c r="V482" s="86"/>
      <x:c r="W482" s="86"/>
      <x:c r="X482" s="86"/>
      <x:c r="Y482" s="86"/>
      <x:c r="Z482" s="86"/>
    </x:row>
    <x:row r="483">
      <x:c r="A483" s="86"/>
      <x:c r="B483" s="86"/>
      <x:c r="C483" s="86"/>
      <x:c r="D483" s="86"/>
      <x:c r="E483" s="86"/>
      <x:c r="F483" s="86"/>
      <x:c r="G483" s="86"/>
      <x:c r="H483" s="86"/>
      <x:c r="I483" s="86"/>
      <x:c r="J483" s="86"/>
      <x:c r="K483" s="86"/>
      <x:c r="L483" s="86"/>
      <x:c r="M483" s="86"/>
      <x:c r="N483" s="86"/>
      <x:c r="O483" s="86"/>
      <x:c r="P483" s="86"/>
      <x:c r="Q483" s="86"/>
      <x:c r="R483" s="86"/>
      <x:c r="S483" s="86"/>
      <x:c r="T483" s="86"/>
      <x:c r="U483" s="86"/>
      <x:c r="V483" s="86"/>
      <x:c r="W483" s="86"/>
      <x:c r="X483" s="86"/>
      <x:c r="Y483" s="86"/>
      <x:c r="Z483" s="86"/>
    </x:row>
    <x:row r="484">
      <x:c r="A484" s="86"/>
      <x:c r="B484" s="86"/>
      <x:c r="C484" s="86"/>
      <x:c r="D484" s="86"/>
      <x:c r="E484" s="86"/>
      <x:c r="F484" s="86"/>
      <x:c r="G484" s="86"/>
      <x:c r="H484" s="86"/>
      <x:c r="I484" s="86"/>
      <x:c r="J484" s="86"/>
      <x:c r="K484" s="86"/>
      <x:c r="L484" s="86"/>
      <x:c r="M484" s="86"/>
      <x:c r="N484" s="86"/>
      <x:c r="O484" s="86"/>
      <x:c r="P484" s="86"/>
      <x:c r="Q484" s="86"/>
      <x:c r="R484" s="86"/>
      <x:c r="S484" s="86"/>
      <x:c r="T484" s="86"/>
      <x:c r="U484" s="86"/>
      <x:c r="V484" s="86"/>
      <x:c r="W484" s="86"/>
      <x:c r="X484" s="86"/>
      <x:c r="Y484" s="86"/>
      <x:c r="Z484" s="86"/>
    </x:row>
    <x:row r="485">
      <x:c r="A485" s="86"/>
      <x:c r="B485" s="86"/>
      <x:c r="C485" s="86"/>
      <x:c r="D485" s="86"/>
      <x:c r="E485" s="86"/>
      <x:c r="F485" s="86"/>
      <x:c r="G485" s="86"/>
      <x:c r="H485" s="86"/>
      <x:c r="I485" s="86"/>
      <x:c r="J485" s="86"/>
      <x:c r="K485" s="86"/>
      <x:c r="L485" s="86"/>
      <x:c r="M485" s="86"/>
      <x:c r="N485" s="86"/>
      <x:c r="O485" s="86"/>
      <x:c r="P485" s="86"/>
      <x:c r="Q485" s="86"/>
      <x:c r="R485" s="86"/>
      <x:c r="S485" s="86"/>
      <x:c r="T485" s="86"/>
      <x:c r="U485" s="86"/>
      <x:c r="V485" s="86"/>
      <x:c r="W485" s="86"/>
      <x:c r="X485" s="86"/>
      <x:c r="Y485" s="86"/>
      <x:c r="Z485" s="86"/>
    </x:row>
    <x:row r="486">
      <x:c r="A486" s="86"/>
      <x:c r="B486" s="86"/>
      <x:c r="C486" s="86"/>
      <x:c r="D486" s="86"/>
      <x:c r="E486" s="86"/>
      <x:c r="F486" s="86"/>
      <x:c r="G486" s="86"/>
      <x:c r="H486" s="86"/>
      <x:c r="I486" s="86"/>
      <x:c r="J486" s="86"/>
      <x:c r="K486" s="86"/>
      <x:c r="L486" s="86"/>
      <x:c r="M486" s="86"/>
      <x:c r="N486" s="86"/>
      <x:c r="O486" s="86"/>
      <x:c r="P486" s="86"/>
      <x:c r="Q486" s="86"/>
      <x:c r="R486" s="86"/>
      <x:c r="S486" s="86"/>
      <x:c r="T486" s="86"/>
      <x:c r="U486" s="86"/>
      <x:c r="V486" s="86"/>
      <x:c r="W486" s="86"/>
      <x:c r="X486" s="86"/>
      <x:c r="Y486" s="86"/>
      <x:c r="Z486" s="86"/>
    </x:row>
    <x:row r="487">
      <x:c r="A487" s="86"/>
      <x:c r="B487" s="86"/>
      <x:c r="C487" s="86"/>
      <x:c r="D487" s="86"/>
      <x:c r="E487" s="86"/>
      <x:c r="F487" s="86"/>
      <x:c r="G487" s="86"/>
      <x:c r="H487" s="86"/>
      <x:c r="I487" s="86"/>
      <x:c r="J487" s="86"/>
      <x:c r="K487" s="86"/>
      <x:c r="L487" s="86"/>
      <x:c r="M487" s="86"/>
      <x:c r="N487" s="86"/>
      <x:c r="O487" s="86"/>
      <x:c r="P487" s="86"/>
      <x:c r="Q487" s="86"/>
      <x:c r="R487" s="86"/>
      <x:c r="S487" s="86"/>
      <x:c r="T487" s="86"/>
      <x:c r="U487" s="86"/>
      <x:c r="V487" s="86"/>
      <x:c r="W487" s="86"/>
      <x:c r="X487" s="86"/>
      <x:c r="Y487" s="86"/>
      <x:c r="Z487" s="86"/>
    </x:row>
    <x:row r="488">
      <x:c r="A488" s="86"/>
      <x:c r="B488" s="86"/>
      <x:c r="C488" s="86"/>
      <x:c r="D488" s="86"/>
      <x:c r="E488" s="86"/>
      <x:c r="F488" s="86"/>
      <x:c r="G488" s="86"/>
      <x:c r="H488" s="86"/>
      <x:c r="I488" s="86"/>
      <x:c r="J488" s="86"/>
      <x:c r="K488" s="86"/>
      <x:c r="L488" s="86"/>
      <x:c r="M488" s="86"/>
      <x:c r="N488" s="86"/>
      <x:c r="O488" s="86"/>
      <x:c r="P488" s="86"/>
      <x:c r="Q488" s="86"/>
      <x:c r="R488" s="86"/>
      <x:c r="S488" s="86"/>
      <x:c r="T488" s="86"/>
      <x:c r="U488" s="86"/>
      <x:c r="V488" s="86"/>
      <x:c r="W488" s="86"/>
      <x:c r="X488" s="86"/>
      <x:c r="Y488" s="86"/>
      <x:c r="Z488" s="86"/>
    </x:row>
    <x:row r="489">
      <x:c r="A489" s="86"/>
      <x:c r="B489" s="86"/>
      <x:c r="C489" s="86"/>
      <x:c r="D489" s="86"/>
      <x:c r="E489" s="86"/>
      <x:c r="F489" s="86"/>
      <x:c r="G489" s="86"/>
      <x:c r="H489" s="86"/>
      <x:c r="I489" s="86"/>
      <x:c r="J489" s="86"/>
      <x:c r="K489" s="86"/>
      <x:c r="L489" s="86"/>
      <x:c r="M489" s="86"/>
      <x:c r="N489" s="86"/>
      <x:c r="O489" s="86"/>
      <x:c r="P489" s="86"/>
      <x:c r="Q489" s="86"/>
      <x:c r="R489" s="86"/>
      <x:c r="S489" s="86"/>
      <x:c r="T489" s="86"/>
      <x:c r="U489" s="86"/>
      <x:c r="V489" s="86"/>
      <x:c r="W489" s="86"/>
      <x:c r="X489" s="86"/>
      <x:c r="Y489" s="86"/>
      <x:c r="Z489" s="86"/>
    </x:row>
    <x:row r="490">
      <x:c r="A490" s="86"/>
      <x:c r="B490" s="86"/>
      <x:c r="C490" s="86"/>
      <x:c r="D490" s="86"/>
      <x:c r="E490" s="86"/>
      <x:c r="F490" s="86"/>
      <x:c r="G490" s="86"/>
      <x:c r="H490" s="86"/>
      <x:c r="I490" s="86"/>
      <x:c r="J490" s="86"/>
      <x:c r="K490" s="86"/>
      <x:c r="L490" s="86"/>
      <x:c r="M490" s="86"/>
      <x:c r="N490" s="86"/>
      <x:c r="O490" s="86"/>
      <x:c r="P490" s="86"/>
      <x:c r="Q490" s="86"/>
      <x:c r="R490" s="86"/>
      <x:c r="S490" s="86"/>
      <x:c r="T490" s="86"/>
      <x:c r="U490" s="86"/>
      <x:c r="V490" s="86"/>
      <x:c r="W490" s="86"/>
      <x:c r="X490" s="86"/>
      <x:c r="Y490" s="86"/>
      <x:c r="Z490" s="86"/>
    </x:row>
    <x:row r="491">
      <x:c r="A491" s="86"/>
      <x:c r="B491" s="86"/>
      <x:c r="C491" s="86"/>
      <x:c r="D491" s="86"/>
      <x:c r="E491" s="86"/>
      <x:c r="F491" s="86"/>
      <x:c r="G491" s="86"/>
      <x:c r="H491" s="86"/>
      <x:c r="I491" s="86"/>
      <x:c r="J491" s="86"/>
      <x:c r="K491" s="86"/>
      <x:c r="L491" s="86"/>
      <x:c r="M491" s="86"/>
      <x:c r="N491" s="86"/>
      <x:c r="O491" s="86"/>
      <x:c r="P491" s="86"/>
      <x:c r="Q491" s="86"/>
      <x:c r="R491" s="86"/>
      <x:c r="S491" s="86"/>
      <x:c r="T491" s="86"/>
      <x:c r="U491" s="86"/>
      <x:c r="V491" s="86"/>
      <x:c r="W491" s="86"/>
      <x:c r="X491" s="86"/>
      <x:c r="Y491" s="86"/>
      <x:c r="Z491" s="86"/>
    </x:row>
    <x:row r="492">
      <x:c r="A492" s="86"/>
      <x:c r="B492" s="86"/>
      <x:c r="C492" s="86"/>
      <x:c r="D492" s="86"/>
      <x:c r="E492" s="86"/>
      <x:c r="F492" s="86"/>
      <x:c r="G492" s="86"/>
      <x:c r="H492" s="86"/>
      <x:c r="I492" s="86"/>
      <x:c r="J492" s="86"/>
      <x:c r="K492" s="86"/>
      <x:c r="L492" s="86"/>
      <x:c r="M492" s="86"/>
      <x:c r="N492" s="86"/>
      <x:c r="O492" s="86"/>
      <x:c r="P492" s="86"/>
      <x:c r="Q492" s="86"/>
      <x:c r="R492" s="86"/>
      <x:c r="S492" s="86"/>
      <x:c r="T492" s="86"/>
      <x:c r="U492" s="86"/>
      <x:c r="V492" s="86"/>
      <x:c r="W492" s="86"/>
      <x:c r="X492" s="86"/>
      <x:c r="Y492" s="86"/>
      <x:c r="Z492" s="86"/>
    </x:row>
    <x:row r="493">
      <x:c r="A493" s="86"/>
      <x:c r="B493" s="86"/>
      <x:c r="C493" s="86"/>
      <x:c r="D493" s="86"/>
      <x:c r="E493" s="86"/>
      <x:c r="F493" s="86"/>
      <x:c r="G493" s="86"/>
      <x:c r="H493" s="86"/>
      <x:c r="I493" s="86"/>
      <x:c r="J493" s="86"/>
      <x:c r="K493" s="86"/>
      <x:c r="L493" s="86"/>
      <x:c r="M493" s="86"/>
      <x:c r="N493" s="86"/>
      <x:c r="O493" s="86"/>
      <x:c r="P493" s="86"/>
      <x:c r="Q493" s="86"/>
      <x:c r="R493" s="86"/>
      <x:c r="S493" s="86"/>
      <x:c r="T493" s="86"/>
      <x:c r="U493" s="86"/>
      <x:c r="V493" s="86"/>
      <x:c r="W493" s="86"/>
      <x:c r="X493" s="86"/>
      <x:c r="Y493" s="86"/>
      <x:c r="Z493" s="86"/>
    </x:row>
    <x:row r="494">
      <x:c r="A494" s="86"/>
      <x:c r="B494" s="86"/>
      <x:c r="C494" s="86"/>
      <x:c r="D494" s="86"/>
      <x:c r="E494" s="86"/>
      <x:c r="F494" s="86"/>
      <x:c r="G494" s="86"/>
      <x:c r="H494" s="86"/>
      <x:c r="I494" s="86"/>
      <x:c r="J494" s="86"/>
      <x:c r="K494" s="86"/>
      <x:c r="L494" s="86"/>
      <x:c r="M494" s="86"/>
      <x:c r="N494" s="86"/>
      <x:c r="O494" s="86"/>
      <x:c r="P494" s="86"/>
      <x:c r="Q494" s="86"/>
      <x:c r="R494" s="86"/>
      <x:c r="S494" s="86"/>
      <x:c r="T494" s="86"/>
      <x:c r="U494" s="86"/>
      <x:c r="V494" s="86"/>
      <x:c r="W494" s="86"/>
      <x:c r="X494" s="86"/>
      <x:c r="Y494" s="86"/>
      <x:c r="Z494" s="86"/>
    </x:row>
    <x:row r="495">
      <x:c r="A495" s="86"/>
      <x:c r="B495" s="86"/>
      <x:c r="C495" s="86"/>
      <x:c r="D495" s="86"/>
      <x:c r="E495" s="86"/>
      <x:c r="F495" s="86"/>
      <x:c r="G495" s="86"/>
      <x:c r="H495" s="86"/>
      <x:c r="I495" s="86"/>
      <x:c r="J495" s="86"/>
      <x:c r="K495" s="86"/>
      <x:c r="L495" s="86"/>
      <x:c r="M495" s="86"/>
      <x:c r="N495" s="86"/>
      <x:c r="O495" s="86"/>
      <x:c r="P495" s="86"/>
      <x:c r="Q495" s="86"/>
      <x:c r="R495" s="86"/>
      <x:c r="S495" s="86"/>
      <x:c r="T495" s="86"/>
      <x:c r="U495" s="86"/>
      <x:c r="V495" s="86"/>
      <x:c r="W495" s="86"/>
      <x:c r="X495" s="86"/>
      <x:c r="Y495" s="86"/>
      <x:c r="Z495" s="86"/>
    </x:row>
    <x:row r="496">
      <x:c r="A496" s="86"/>
      <x:c r="B496" s="86"/>
      <x:c r="C496" s="86"/>
      <x:c r="D496" s="86"/>
      <x:c r="E496" s="86"/>
      <x:c r="F496" s="86"/>
      <x:c r="G496" s="86"/>
      <x:c r="H496" s="86"/>
      <x:c r="I496" s="86"/>
      <x:c r="J496" s="86"/>
      <x:c r="K496" s="86"/>
      <x:c r="L496" s="86"/>
      <x:c r="M496" s="86"/>
      <x:c r="N496" s="86"/>
      <x:c r="O496" s="86"/>
      <x:c r="P496" s="86"/>
      <x:c r="Q496" s="86"/>
      <x:c r="R496" s="86"/>
      <x:c r="S496" s="86"/>
      <x:c r="T496" s="86"/>
      <x:c r="U496" s="86"/>
      <x:c r="V496" s="86"/>
      <x:c r="W496" s="86"/>
      <x:c r="X496" s="86"/>
      <x:c r="Y496" s="86"/>
      <x:c r="Z496" s="86"/>
    </x:row>
    <x:row r="497">
      <x:c r="A497" s="86"/>
      <x:c r="B497" s="86"/>
      <x:c r="C497" s="86"/>
      <x:c r="D497" s="86"/>
      <x:c r="E497" s="86"/>
      <x:c r="F497" s="86"/>
      <x:c r="G497" s="86"/>
      <x:c r="H497" s="86"/>
      <x:c r="I497" s="86"/>
      <x:c r="J497" s="86"/>
      <x:c r="K497" s="86"/>
      <x:c r="L497" s="86"/>
      <x:c r="M497" s="86"/>
      <x:c r="N497" s="86"/>
      <x:c r="O497" s="86"/>
      <x:c r="P497" s="86"/>
      <x:c r="Q497" s="86"/>
      <x:c r="R497" s="86"/>
      <x:c r="S497" s="86"/>
      <x:c r="T497" s="86"/>
      <x:c r="U497" s="86"/>
      <x:c r="V497" s="86"/>
      <x:c r="W497" s="86"/>
      <x:c r="X497" s="86"/>
      <x:c r="Y497" s="86"/>
      <x:c r="Z497" s="86"/>
    </x:row>
    <x:row r="498">
      <x:c r="A498" s="86"/>
      <x:c r="B498" s="86"/>
      <x:c r="C498" s="86"/>
      <x:c r="D498" s="86"/>
      <x:c r="E498" s="86"/>
      <x:c r="F498" s="86"/>
      <x:c r="G498" s="86"/>
      <x:c r="H498" s="86"/>
      <x:c r="I498" s="86"/>
      <x:c r="J498" s="86"/>
      <x:c r="K498" s="86"/>
      <x:c r="L498" s="86"/>
      <x:c r="M498" s="86"/>
      <x:c r="N498" s="86"/>
      <x:c r="O498" s="86"/>
      <x:c r="P498" s="86"/>
      <x:c r="Q498" s="86"/>
      <x:c r="R498" s="86"/>
      <x:c r="S498" s="86"/>
      <x:c r="T498" s="86"/>
      <x:c r="U498" s="86"/>
      <x:c r="V498" s="86"/>
      <x:c r="W498" s="86"/>
      <x:c r="X498" s="86"/>
      <x:c r="Y498" s="86"/>
      <x:c r="Z498" s="86"/>
    </x:row>
    <x:row r="499">
      <x:c r="A499" s="86"/>
      <x:c r="B499" s="86"/>
      <x:c r="C499" s="86"/>
      <x:c r="D499" s="86"/>
      <x:c r="E499" s="86"/>
      <x:c r="F499" s="86"/>
      <x:c r="G499" s="86"/>
      <x:c r="H499" s="86"/>
      <x:c r="I499" s="86"/>
      <x:c r="J499" s="86"/>
      <x:c r="K499" s="86"/>
      <x:c r="L499" s="86"/>
      <x:c r="M499" s="86"/>
      <x:c r="N499" s="86"/>
      <x:c r="O499" s="86"/>
      <x:c r="P499" s="86"/>
      <x:c r="Q499" s="86"/>
      <x:c r="R499" s="86"/>
      <x:c r="S499" s="86"/>
      <x:c r="T499" s="86"/>
      <x:c r="U499" s="86"/>
      <x:c r="V499" s="86"/>
      <x:c r="W499" s="86"/>
      <x:c r="X499" s="86"/>
      <x:c r="Y499" s="86"/>
      <x:c r="Z499" s="86"/>
    </x:row>
    <x:row r="500">
      <x:c r="A500" s="86"/>
      <x:c r="B500" s="86"/>
      <x:c r="C500" s="86"/>
      <x:c r="D500" s="86"/>
      <x:c r="E500" s="86"/>
      <x:c r="F500" s="86"/>
      <x:c r="G500" s="86"/>
      <x:c r="H500" s="86"/>
      <x:c r="I500" s="86"/>
      <x:c r="J500" s="86"/>
      <x:c r="K500" s="86"/>
      <x:c r="L500" s="86"/>
      <x:c r="M500" s="86"/>
      <x:c r="N500" s="86"/>
      <x:c r="O500" s="86"/>
      <x:c r="P500" s="86"/>
      <x:c r="Q500" s="86"/>
      <x:c r="R500" s="86"/>
      <x:c r="S500" s="86"/>
      <x:c r="T500" s="86"/>
      <x:c r="U500" s="86"/>
      <x:c r="V500" s="86"/>
      <x:c r="W500" s="86"/>
      <x:c r="X500" s="86"/>
      <x:c r="Y500" s="86"/>
      <x:c r="Z500" s="86"/>
    </x:row>
  </x:sheetData>
  <x:mergeCells>
    <x:mergeCell ref="A1:H1"/>
    <x:mergeCell ref="A15:H15"/>
    <x:mergeCell ref="A17:F17"/>
    <x:mergeCell ref="A25:H25"/>
  </x:mergeCells>
  <x:pageMargins left="0.7" right="0.7" top="0.75" bottom="0.75" header="0.3" footer="0.3"/>
</x:worksheet>
</file>

<file path=xl/worksheets/sheet14.xml><?xml version="1.0" encoding="utf-8"?>
<x:worksheet xmlns:x="http://schemas.openxmlformats.org/spreadsheetml/2006/main">
  <x:sheetFormatPr defaultRowHeight="15"/>
  <x:sheetData>
    <x:row r="1">
      <x:c r="A1" t="str">
        <x:v>优先级</x:v>
      </x:c>
      <x:c r="B1" t="str">
        <x:v>建议动作</x:v>
      </x:c>
      <x:c r="C1" t="str">
        <x:v>股票代码</x:v>
      </x:c>
      <x:c r="D1" t="str">
        <x:v>公司名称</x:v>
      </x:c>
      <x:c r="E1" t="str">
        <x:v>上市板块</x:v>
      </x:c>
      <x:c r="F1" t="str">
        <x:v>行业</x:v>
      </x:c>
      <x:c r="G1" t="str">
        <x:v>原因</x:v>
      </x:c>
      <x:c r="H1" t="str">
        <x:v>当前价(元)</x:v>
      </x:c>
      <x:c r="I1" t="str">
        <x:v>PE</x:v>
      </x:c>
      <x:c r="J1" t="str">
        <x:v>PB</x:v>
      </x:c>
      <x:c r="K1" t="str">
        <x:v>财报补全状态</x:v>
      </x:c>
      <x:c r="L1" t="str">
        <x:v>行情来源</x:v>
      </x:c>
      <x:c r="M1" t="str">
        <x:v>行情异常</x:v>
      </x:c>
      <x:c r="N1" t="str">
        <x:v>行业映射数量</x:v>
      </x:c>
      <x:c r="O1" t="str">
        <x:v>source_id</x:v>
      </x:c>
      <x:c r="P1" t="str">
        <x:v>数据时点</x:v>
      </x:c>
    </x:row>
    <x:row r="2">
      <x:c r="A2" t="str">
        <x:v>重点观察</x:v>
      </x:c>
      <x:c r="B2" t="str">
        <x:v>银行专用模型待核验</x:v>
      </x:c>
      <x:c r="C2" t="str">
        <x:v>600015</x:v>
      </x:c>
      <x:c r="D2" t="str">
        <x:v>华夏银行</x:v>
      </x:c>
      <x:c r="E2" t="str">
        <x:v>主板</x:v>
      </x:c>
      <x:c r="F2" t="str">
        <x:v>待行业映射</x:v>
      </x:c>
      <x:c r="G2" t="str">
        <x:v>名称/板块初步识别为银行；须以同一报告期官方披露复核专用指标和行业分类，禁止套用通用企业现金流、负债率或 EV/EBITDA 规则。 当前公共行情快照缺少 PB，须在专用模型复核中补齐。</x:v>
      </x:c>
      <x:c r="H2" t="n">
        <x:v>6.32</x:v>
      </x:c>
      <x:c r="I2" t="n">
        <x:v>4.01</x:v>
      </x:c>
      <x:c r="J2"/>
      <x:c r="K2" t="str">
        <x:v>官方原件已归档，待Agent自动验证</x:v>
      </x:c>
      <x:c r="L2" t="str">
        <x:v>AkShare / Tencent all-A market snapshot</x:v>
      </x:c>
      <x:c r="M2" t="str">
        <x:v>ProxyError: primary market source unavailable; see source_id for full audit.</x:v>
      </x:c>
      <x:c r="N2" t="str">
        <x:v>0</x:v>
      </x:c>
      <x:c r="O2" t="str">
        <x:v>0fd6ad2d-3389-4e70-8974-eb85ee223eeb</x:v>
      </x:c>
      <x:c r="P2" t="str">
        <x:v>2026-09-04</x:v>
      </x:c>
    </x:row>
    <x:row r="3">
      <x:c r="A3" t="str">
        <x:v>重点观察</x:v>
      </x:c>
      <x:c r="B3" t="str">
        <x:v>保险专用模型待核验</x:v>
      </x:c>
      <x:c r="C3" t="str">
        <x:v>601336</x:v>
      </x:c>
      <x:c r="D3" t="str">
        <x:v>新华保险</x:v>
      </x:c>
      <x:c r="E3" t="str">
        <x:v>主板</x:v>
      </x:c>
      <x:c r="F3" t="str">
        <x:v>待行业映射</x:v>
      </x:c>
      <x:c r="G3" t="str">
        <x:v>名称/板块初步识别为保险；须以同一报告期官方披露复核专用指标和行业分类，禁止套用通用企业现金流、负债率或 EV/EBITDA 规则。 当前公共行情快照缺少 PB，须在专用模型复核中补齐。</x:v>
      </x:c>
      <x:c r="H3" t="n">
        <x:v>62.25</x:v>
      </x:c>
      <x:c r="I3" t="n">
        <x:v>4.39</x:v>
      </x:c>
      <x:c r="J3"/>
      <x:c r="K3" t="str">
        <x:v>官方原件已归档，待Agent自动验证</x:v>
      </x:c>
      <x:c r="L3" t="str">
        <x:v>AkShare / Tencent all-A market snapshot</x:v>
      </x:c>
      <x:c r="M3" t="str">
        <x:v>ProxyError: primary market source unavailable; see source_id for full audit.</x:v>
      </x:c>
      <x:c r="N3" t="str">
        <x:v>0</x:v>
      </x:c>
      <x:c r="O3" t="str">
        <x:v>0fd6ad2d-3389-4e70-8974-eb85ee223eeb</x:v>
      </x:c>
      <x:c r="P3" t="str">
        <x:v>2026-09-04</x:v>
      </x:c>
    </x:row>
    <x:row r="4">
      <x:c r="A4" t="str">
        <x:v>重点观察</x:v>
      </x:c>
      <x:c r="B4" t="str">
        <x:v>补全 PB、财报，等待Agent自动验证</x:v>
      </x:c>
      <x:c r="C4" t="str">
        <x:v>601628</x:v>
      </x:c>
      <x:c r="D4" t="str">
        <x:v>中国人寿</x:v>
      </x:c>
      <x:c r="E4" t="str">
        <x:v>主板</x:v>
      </x:c>
      <x:c r="F4" t="str">
        <x:v>待行业映射</x:v>
      </x:c>
      <x:c r="G4" t="str">
        <x:v>当前全市场行情快照缺少 PB；只能作为待补全研究队列，不得按完整估值条件生成交易建议。</x:v>
      </x:c>
      <x:c r="H4" t="n">
        <x:v>39.17</x:v>
      </x:c>
      <x:c r="I4" t="n">
        <x:v>4.47</x:v>
      </x:c>
      <x:c r="J4"/>
      <x:c r="K4" t="str">
        <x:v>官方原件已归档，待Agent自动验证</x:v>
      </x:c>
      <x:c r="L4" t="str">
        <x:v>AkShare / Tencent all-A market snapshot</x:v>
      </x:c>
      <x:c r="M4" t="str">
        <x:v>ProxyError: primary market source unavailable; see source_id for full audit.</x:v>
      </x:c>
      <x:c r="N4" t="str">
        <x:v>0</x:v>
      </x:c>
      <x:c r="O4" t="str">
        <x:v>0fd6ad2d-3389-4e70-8974-eb85ee223eeb</x:v>
      </x:c>
      <x:c r="P4" t="str">
        <x:v>2026-09-04</x:v>
      </x:c>
    </x:row>
    <x:row r="5">
      <x:c r="A5" t="str">
        <x:v>重点观察</x:v>
      </x:c>
      <x:c r="B5" t="str">
        <x:v>银行专用模型待核验</x:v>
      </x:c>
      <x:c r="C5" t="str">
        <x:v>601166</x:v>
      </x:c>
      <x:c r="D5" t="str">
        <x:v>兴业银行</x:v>
      </x:c>
      <x:c r="E5" t="str">
        <x:v>主板</x:v>
      </x:c>
      <x:c r="F5" t="str">
        <x:v>待行业映射</x:v>
      </x:c>
      <x:c r="G5" t="str">
        <x:v>名称/板块初步识别为银行；须以同一报告期官方披露复核专用指标和行业分类，禁止套用通用企业现金流、负债率或 EV/EBITDA 规则。 当前公共行情快照缺少 PB，须在专用模型复核中补齐。</x:v>
      </x:c>
      <x:c r="H5" t="n">
        <x:v>18.22</x:v>
      </x:c>
      <x:c r="I5" t="n">
        <x:v>5.11</x:v>
      </x:c>
      <x:c r="J5"/>
      <x:c r="K5" t="str">
        <x:v>官方原件已归档，待Agent自动验证</x:v>
      </x:c>
      <x:c r="L5" t="str">
        <x:v>AkShare / Tencent all-A market snapshot</x:v>
      </x:c>
      <x:c r="M5" t="str">
        <x:v>ProxyError: primary market source unavailable; see source_id for full audit.</x:v>
      </x:c>
      <x:c r="N5" t="str">
        <x:v>0</x:v>
      </x:c>
      <x:c r="O5" t="str">
        <x:v>0fd6ad2d-3389-4e70-8974-eb85ee223eeb</x:v>
      </x:c>
      <x:c r="P5" t="str">
        <x:v>2026-09-04</x:v>
      </x:c>
    </x:row>
    <x:row r="6">
      <x:c r="A6" t="str">
        <x:v>重点观察</x:v>
      </x:c>
      <x:c r="B6" t="str">
        <x:v>银行专用模型待核验</x:v>
      </x:c>
      <x:c r="C6" t="str">
        <x:v>000001</x:v>
      </x:c>
      <x:c r="D6" t="str">
        <x:v>平安银行</x:v>
      </x:c>
      <x:c r="E6" t="str">
        <x:v>主板</x:v>
      </x:c>
      <x:c r="F6" t="str">
        <x:v>待行业映射</x:v>
      </x:c>
      <x:c r="G6" t="str">
        <x:v>名称/板块初步识别为银行；须以同一报告期官方披露复核专用指标和行业分类，禁止套用通用企业现金流、负债率或 EV/EBITDA 规则。 当前公共行情快照缺少 PB，须在专用模型复核中补齐。</x:v>
      </x:c>
      <x:c r="H6" t="n">
        <x:v>11.89</x:v>
      </x:c>
      <x:c r="I6" t="n">
        <x:v>5.31</x:v>
      </x:c>
      <x:c r="J6"/>
      <x:c r="K6" t="str">
        <x:v>官方原件已归档，待Agent自动验证</x:v>
      </x:c>
      <x:c r="L6" t="str">
        <x:v>AkShare / Tencent all-A market snapshot</x:v>
      </x:c>
      <x:c r="M6" t="str">
        <x:v>ProxyError: primary market source unavailable; see source_id for full audit.</x:v>
      </x:c>
      <x:c r="N6" t="str">
        <x:v>0</x:v>
      </x:c>
      <x:c r="O6" t="str">
        <x:v>0fd6ad2d-3389-4e70-8974-eb85ee223eeb</x:v>
      </x:c>
      <x:c r="P6" t="str">
        <x:v>2026-09-04</x:v>
      </x:c>
    </x:row>
    <x:row r="7">
      <x:c r="A7" t="str">
        <x:v>重点观察</x:v>
      </x:c>
      <x:c r="B7" t="str">
        <x:v>补全 PB、财报，等待Agent自动验证</x:v>
      </x:c>
      <x:c r="C7" t="str">
        <x:v>601390</x:v>
      </x:c>
      <x:c r="D7" t="str">
        <x:v>中国中铁</x:v>
      </x:c>
      <x:c r="E7" t="str">
        <x:v>主板</x:v>
      </x:c>
      <x:c r="F7" t="str">
        <x:v>待行业映射</x:v>
      </x:c>
      <x:c r="G7" t="str">
        <x:v>当前全市场行情快照缺少 PB；只能作为待补全研究队列，不得按完整估值条件生成交易建议。</x:v>
      </x:c>
      <x:c r="H7" t="n">
        <x:v>4.39</x:v>
      </x:c>
      <x:c r="I7" t="n">
        <x:v>5.46</x:v>
      </x:c>
      <x:c r="J7"/>
      <x:c r="K7" t="str">
        <x:v>官方原件已归档，待Agent自动验证</x:v>
      </x:c>
      <x:c r="L7" t="str">
        <x:v>AkShare / Tencent all-A market snapshot</x:v>
      </x:c>
      <x:c r="M7" t="str">
        <x:v>ProxyError: primary market source unavailable; see source_id for full audit.</x:v>
      </x:c>
      <x:c r="N7" t="str">
        <x:v>0</x:v>
      </x:c>
      <x:c r="O7" t="str">
        <x:v>0fd6ad2d-3389-4e70-8974-eb85ee223eeb</x:v>
      </x:c>
      <x:c r="P7" t="str">
        <x:v>2026-09-04</x:v>
      </x:c>
    </x:row>
    <x:row r="8">
      <x:c r="A8" t="str">
        <x:v>重点观察</x:v>
      </x:c>
      <x:c r="B8" t="str">
        <x:v>银行专用模型待核验</x:v>
      </x:c>
      <x:c r="C8" t="str">
        <x:v>601818</x:v>
      </x:c>
      <x:c r="D8" t="str">
        <x:v>光大银行</x:v>
      </x:c>
      <x:c r="E8" t="str">
        <x:v>主板</x:v>
      </x:c>
      <x:c r="F8" t="str">
        <x:v>待行业映射</x:v>
      </x:c>
      <x:c r="G8" t="str">
        <x:v>名称/板块初步识别为银行；须以同一报告期官方披露复核专用指标和行业分类，禁止套用通用企业现金流、负债率或 EV/EBITDA 规则。 当前公共行情快照缺少 PB，须在专用模型复核中补齐。</x:v>
      </x:c>
      <x:c r="H8" t="n">
        <x:v>3.05</x:v>
      </x:c>
      <x:c r="I8" t="n">
        <x:v>5.48</x:v>
      </x:c>
      <x:c r="J8"/>
      <x:c r="K8" t="str">
        <x:v>官方原件已归档，待Agent自动验证</x:v>
      </x:c>
      <x:c r="L8" t="str">
        <x:v>AkShare / Tencent all-A market snapshot</x:v>
      </x:c>
      <x:c r="M8" t="str">
        <x:v>ProxyError: primary market source unavailable; see source_id for full audit.</x:v>
      </x:c>
      <x:c r="N8" t="str">
        <x:v>0</x:v>
      </x:c>
      <x:c r="O8" t="str">
        <x:v>0fd6ad2d-3389-4e70-8974-eb85ee223eeb</x:v>
      </x:c>
      <x:c r="P8" t="str">
        <x:v>2026-09-04</x:v>
      </x:c>
    </x:row>
    <x:row r="9">
      <x:c r="A9" t="str">
        <x:v>重点观察</x:v>
      </x:c>
      <x:c r="B9" t="str">
        <x:v>银行专用模型待核验</x:v>
      </x:c>
      <x:c r="C9" t="str">
        <x:v>600016</x:v>
      </x:c>
      <x:c r="D9" t="str">
        <x:v>民生银行</x:v>
      </x:c>
      <x:c r="E9" t="str">
        <x:v>主板</x:v>
      </x:c>
      <x:c r="F9" t="str">
        <x:v>待行业映射</x:v>
      </x:c>
      <x:c r="G9" t="str">
        <x:v>名称/板块初步识别为银行；须以同一报告期官方披露复核专用指标和行业分类，禁止套用通用企业现金流、负债率或 EV/EBITDA 规则。 当前公共行情快照缺少 PB，须在专用模型复核中补齐。</x:v>
      </x:c>
      <x:c r="H9" t="n">
        <x:v>3.61</x:v>
      </x:c>
      <x:c r="I9" t="n">
        <x:v>5.5</x:v>
      </x:c>
      <x:c r="J9"/>
      <x:c r="K9" t="str">
        <x:v>官方原件已归档，待Agent自动验证</x:v>
      </x:c>
      <x:c r="L9" t="str">
        <x:v>AkShare / Tencent all-A market snapshot</x:v>
      </x:c>
      <x:c r="M9" t="str">
        <x:v>ProxyError: primary market source unavailable; see source_id for full audit.</x:v>
      </x:c>
      <x:c r="N9" t="str">
        <x:v>0</x:v>
      </x:c>
      <x:c r="O9" t="str">
        <x:v>0fd6ad2d-3389-4e70-8974-eb85ee223eeb</x:v>
      </x:c>
      <x:c r="P9" t="str">
        <x:v>2026-09-04</x:v>
      </x:c>
    </x:row>
    <x:row r="10">
      <x:c r="A10" t="str">
        <x:v>重点观察</x:v>
      </x:c>
      <x:c r="B10" t="str">
        <x:v>银行专用模型待核验</x:v>
      </x:c>
      <x:c r="C10" t="str">
        <x:v>601229</x:v>
      </x:c>
      <x:c r="D10" t="str">
        <x:v>上海银行</x:v>
      </x:c>
      <x:c r="E10" t="str">
        <x:v>主板</x:v>
      </x:c>
      <x:c r="F10" t="str">
        <x:v>待行业映射</x:v>
      </x:c>
      <x:c r="G10" t="str">
        <x:v>名称/板块初步识别为银行；须以同一报告期官方披露复核专用指标和行业分类，禁止套用通用企业现金流、负债率或 EV/EBITDA 规则。 当前公共行情快照缺少 PB，须在专用模型复核中补齐。</x:v>
      </x:c>
      <x:c r="H10" t="n">
        <x:v>9.61</x:v>
      </x:c>
      <x:c r="I10" t="n">
        <x:v>5.63</x:v>
      </x:c>
      <x:c r="J10"/>
      <x:c r="K10" t="str">
        <x:v>官方原件已归档，待Agent自动验证</x:v>
      </x:c>
      <x:c r="L10" t="str">
        <x:v>AkShare / Tencent all-A market snapshot</x:v>
      </x:c>
      <x:c r="M10" t="str">
        <x:v>ProxyError: primary market source unavailable; see source_id for full audit.</x:v>
      </x:c>
      <x:c r="N10" t="str">
        <x:v>0</x:v>
      </x:c>
      <x:c r="O10" t="str">
        <x:v>0fd6ad2d-3389-4e70-8974-eb85ee223eeb</x:v>
      </x:c>
      <x:c r="P10" t="str">
        <x:v>2026-09-04</x:v>
      </x:c>
    </x:row>
    <x:row r="11">
      <x:c r="A11" t="str">
        <x:v>重点观察</x:v>
      </x:c>
      <x:c r="B11" t="str">
        <x:v>银行专用模型待核验</x:v>
      </x:c>
      <x:c r="C11" t="str">
        <x:v>601169</x:v>
      </x:c>
      <x:c r="D11" t="str">
        <x:v>北京银行</x:v>
      </x:c>
      <x:c r="E11" t="str">
        <x:v>主板</x:v>
      </x:c>
      <x:c r="F11" t="str">
        <x:v>待行业映射</x:v>
      </x:c>
      <x:c r="G11" t="str">
        <x:v>名称/板块初步识别为银行；须以同一报告期官方披露复核专用指标和行业分类，禁止套用通用企业现金流、负债率或 EV/EBITDA 规则。 当前公共行情快照缺少 PB，须在专用模型复核中补齐。</x:v>
      </x:c>
      <x:c r="H11" t="n">
        <x:v>5.6</x:v>
      </x:c>
      <x:c r="I11" t="n">
        <x:v>5.66</x:v>
      </x:c>
      <x:c r="J11"/>
      <x:c r="K11" t="str">
        <x:v>官方原件已归档，待Agent自动验证</x:v>
      </x:c>
      <x:c r="L11" t="str">
        <x:v>AkShare / Tencent all-A market snapshot</x:v>
      </x:c>
      <x:c r="M11" t="str">
        <x:v>ProxyError: primary market source unavailable; see source_id for full audit.</x:v>
      </x:c>
      <x:c r="N11" t="str">
        <x:v>0</x:v>
      </x:c>
      <x:c r="O11" t="str">
        <x:v>0fd6ad2d-3389-4e70-8974-eb85ee223eeb</x:v>
      </x:c>
      <x:c r="P11" t="str">
        <x:v>2026-09-04</x:v>
      </x:c>
    </x:row>
    <x:row r="12">
      <x:c r="A12" t="str">
        <x:v>重点观察</x:v>
      </x:c>
      <x:c r="B12" t="str">
        <x:v>补全 PB、财报，等待Agent自动验证</x:v>
      </x:c>
      <x:c r="C12" t="str">
        <x:v>601668</x:v>
      </x:c>
      <x:c r="D12" t="str">
        <x:v>中国建筑</x:v>
      </x:c>
      <x:c r="E12" t="str">
        <x:v>主板</x:v>
      </x:c>
      <x:c r="F12" t="str">
        <x:v>待行业映射</x:v>
      </x:c>
      <x:c r="G12" t="str">
        <x:v>当前全市场行情快照缺少 PB；只能作为待补全研究队列，不得按完整估值条件生成交易建议。</x:v>
      </x:c>
      <x:c r="H12" t="n">
        <x:v>4.4</x:v>
      </x:c>
      <x:c r="I12" t="n">
        <x:v>5.74</x:v>
      </x:c>
      <x:c r="J12"/>
      <x:c r="K12" t="str">
        <x:v>官方原件已归档，待Agent自动验证</x:v>
      </x:c>
      <x:c r="L12" t="str">
        <x:v>AkShare / Tencent all-A market snapshot</x:v>
      </x:c>
      <x:c r="M12" t="str">
        <x:v>ProxyError: primary market source unavailable; see source_id for full audit.</x:v>
      </x:c>
      <x:c r="N12" t="str">
        <x:v>0</x:v>
      </x:c>
      <x:c r="O12" t="str">
        <x:v>0fd6ad2d-3389-4e70-8974-eb85ee223eeb</x:v>
      </x:c>
      <x:c r="P12" t="str">
        <x:v>2026-09-04</x:v>
      </x:c>
    </x:row>
    <x:row r="13">
      <x:c r="A13" t="str">
        <x:v>重点观察</x:v>
      </x:c>
      <x:c r="B13" t="str">
        <x:v>补全 PB、财报，等待Agent自动验证</x:v>
      </x:c>
      <x:c r="C13" t="str">
        <x:v>601601</x:v>
      </x:c>
      <x:c r="D13" t="str">
        <x:v>中国太保</x:v>
      </x:c>
      <x:c r="E13" t="str">
        <x:v>主板</x:v>
      </x:c>
      <x:c r="F13" t="str">
        <x:v>待行业映射</x:v>
      </x:c>
      <x:c r="G13" t="str">
        <x:v>当前全市场行情快照缺少 PB；只能作为待补全研究队列，不得按完整估值条件生成交易建议。</x:v>
      </x:c>
      <x:c r="H13" t="n">
        <x:v>34.21</x:v>
      </x:c>
      <x:c r="I13" t="n">
        <x:v>5.84</x:v>
      </x:c>
      <x:c r="J13"/>
      <x:c r="K13" t="str">
        <x:v>官方原件已归档，待Agent自动验证</x:v>
      </x:c>
      <x:c r="L13" t="str">
        <x:v>AkShare / Tencent all-A market snapshot</x:v>
      </x:c>
      <x:c r="M13" t="str">
        <x:v>ProxyError: primary market source unavailable; see source_id for full audit.</x:v>
      </x:c>
      <x:c r="N13" t="str">
        <x:v>0</x:v>
      </x:c>
      <x:c r="O13" t="str">
        <x:v>0fd6ad2d-3389-4e70-8974-eb85ee223eeb</x:v>
      </x:c>
      <x:c r="P13" t="str">
        <x:v>2026-09-04</x:v>
      </x:c>
    </x:row>
    <x:row r="14">
      <x:c r="A14" t="str">
        <x:v>重点观察</x:v>
      </x:c>
      <x:c r="B14" t="str">
        <x:v>银行专用模型待核验</x:v>
      </x:c>
      <x:c r="C14" t="str">
        <x:v>600000</x:v>
      </x:c>
      <x:c r="D14" t="str">
        <x:v>浦发银行</x:v>
      </x:c>
      <x:c r="E14" t="str">
        <x:v>主板</x:v>
      </x:c>
      <x:c r="F14" t="str">
        <x:v>待行业映射</x:v>
      </x:c>
      <x:c r="G14" t="str">
        <x:v>名称/板块初步识别为银行；须以同一报告期官方披露复核专用指标和行业分类，禁止套用通用企业现金流、负债率或 EV/EBITDA 规则。 当前公共行情快照缺少 PB，须在专用模型复核中补齐。</x:v>
      </x:c>
      <x:c r="H14" t="n">
        <x:v>9.43</x:v>
      </x:c>
      <x:c r="I14" t="n">
        <x:v>6.13</x:v>
      </x:c>
      <x:c r="J14"/>
      <x:c r="K14" t="str">
        <x:v>官方原件已归档，待Agent自动验证</x:v>
      </x:c>
      <x:c r="L14" t="str">
        <x:v>AkShare / Tencent all-A market snapshot</x:v>
      </x:c>
      <x:c r="M14" t="str">
        <x:v>ProxyError: primary market source unavailable; see source_id for full audit.</x:v>
      </x:c>
      <x:c r="N14" t="str">
        <x:v>0</x:v>
      </x:c>
      <x:c r="O14" t="str">
        <x:v>0fd6ad2d-3389-4e70-8974-eb85ee223eeb</x:v>
      </x:c>
      <x:c r="P14" t="str">
        <x:v>2026-09-04</x:v>
      </x:c>
    </x:row>
    <x:row r="15">
      <x:c r="A15" t="str">
        <x:v>重点观察</x:v>
      </x:c>
      <x:c r="B15" t="str">
        <x:v>银行专用模型待核验</x:v>
      </x:c>
      <x:c r="C15" t="str">
        <x:v>600926</x:v>
      </x:c>
      <x:c r="D15" t="str">
        <x:v>杭州银行</x:v>
      </x:c>
      <x:c r="E15" t="str">
        <x:v>主板</x:v>
      </x:c>
      <x:c r="F15" t="str">
        <x:v>待行业映射</x:v>
      </x:c>
      <x:c r="G15" t="str">
        <x:v>名称/板块初步识别为银行；须以同一报告期官方披露复核专用指标和行业分类，禁止套用通用企业现金流、负债率或 EV/EBITDA 规则。 当前公共行情快照缺少 PB，须在专用模型复核中补齐。</x:v>
      </x:c>
      <x:c r="H15" t="n">
        <x:v>17.25</x:v>
      </x:c>
      <x:c r="I15" t="n">
        <x:v>6.2</x:v>
      </x:c>
      <x:c r="J15"/>
      <x:c r="K15" t="str">
        <x:v>官方原件已归档，待Agent自动验证</x:v>
      </x:c>
      <x:c r="L15" t="str">
        <x:v>AkShare / Tencent all-A market snapshot</x:v>
      </x:c>
      <x:c r="M15" t="str">
        <x:v>ProxyError: primary market source unavailable; see source_id for full audit.</x:v>
      </x:c>
      <x:c r="N15" t="str">
        <x:v>0</x:v>
      </x:c>
      <x:c r="O15" t="str">
        <x:v>0fd6ad2d-3389-4e70-8974-eb85ee223eeb</x:v>
      </x:c>
      <x:c r="P15" t="str">
        <x:v>2026-09-04</x:v>
      </x:c>
    </x:row>
    <x:row r="16">
      <x:c r="A16" t="str">
        <x:v>重点观察</x:v>
      </x:c>
      <x:c r="B16" t="str">
        <x:v>补全 PB、财报，等待Agent自动验证</x:v>
      </x:c>
      <x:c r="C16" t="str">
        <x:v>601319</x:v>
      </x:c>
      <x:c r="D16" t="str">
        <x:v>中国人保</x:v>
      </x:c>
      <x:c r="E16" t="str">
        <x:v>主板</x:v>
      </x:c>
      <x:c r="F16" t="str">
        <x:v>待行业映射</x:v>
      </x:c>
      <x:c r="G16" t="str">
        <x:v>当前全市场行情快照缺少 PB；只能作为待补全研究队列，不得按完整估值条件生成交易建议。</x:v>
      </x:c>
      <x:c r="H16" t="n">
        <x:v>7.99</x:v>
      </x:c>
      <x:c r="I16" t="n">
        <x:v>6.21</x:v>
      </x:c>
      <x:c r="J16"/>
      <x:c r="K16" t="str">
        <x:v>官方原件已归档，待Agent自动验证</x:v>
      </x:c>
      <x:c r="L16" t="str">
        <x:v>AkShare / Tencent all-A market snapshot</x:v>
      </x:c>
      <x:c r="M16" t="str">
        <x:v>ProxyError: primary market source unavailable; see source_id for full audit.</x:v>
      </x:c>
      <x:c r="N16" t="str">
        <x:v>0</x:v>
      </x:c>
      <x:c r="O16" t="str">
        <x:v>0fd6ad2d-3389-4e70-8974-eb85ee223eeb</x:v>
      </x:c>
      <x:c r="P16" t="str">
        <x:v>2026-09-04</x:v>
      </x:c>
    </x:row>
    <x:row r="17">
      <x:c r="A17" t="str">
        <x:v>重点观察</x:v>
      </x:c>
      <x:c r="B17" t="str">
        <x:v>银行专用模型待核验</x:v>
      </x:c>
      <x:c r="C17" t="str">
        <x:v>600919</x:v>
      </x:c>
      <x:c r="D17" t="str">
        <x:v>江苏银行</x:v>
      </x:c>
      <x:c r="E17" t="str">
        <x:v>主板</x:v>
      </x:c>
      <x:c r="F17" t="str">
        <x:v>待行业映射</x:v>
      </x:c>
      <x:c r="G17" t="str">
        <x:v>名称/板块初步识别为银行；须以同一报告期官方披露复核专用指标和行业分类，禁止套用通用企业现金流、负债率或 EV/EBITDA 规则。 当前公共行情快照缺少 PB，须在专用模型复核中补齐。</x:v>
      </x:c>
      <x:c r="H17" t="n">
        <x:v>12.28</x:v>
      </x:c>
      <x:c r="I17" t="n">
        <x:v>6.24</x:v>
      </x:c>
      <x:c r="J17"/>
      <x:c r="K17" t="str">
        <x:v>官方原件已归档，待Agent自动验证</x:v>
      </x:c>
      <x:c r="L17" t="str">
        <x:v>AkShare / Tencent all-A market snapshot</x:v>
      </x:c>
      <x:c r="M17" t="str">
        <x:v>ProxyError: primary market source unavailable; see source_id for full audit.</x:v>
      </x:c>
      <x:c r="N17" t="str">
        <x:v>0</x:v>
      </x:c>
      <x:c r="O17" t="str">
        <x:v>0fd6ad2d-3389-4e70-8974-eb85ee223eeb</x:v>
      </x:c>
      <x:c r="P17" t="str">
        <x:v>2026-09-04</x:v>
      </x:c>
    </x:row>
    <x:row r="18">
      <x:c r="A18" t="str">
        <x:v>重点观察</x:v>
      </x:c>
      <x:c r="B18" t="str">
        <x:v>银行专用模型待核验</x:v>
      </x:c>
      <x:c r="C18" t="str">
        <x:v>601009</x:v>
      </x:c>
      <x:c r="D18" t="str">
        <x:v>南京银行</x:v>
      </x:c>
      <x:c r="E18" t="str">
        <x:v>主板</x:v>
      </x:c>
      <x:c r="F18" t="str">
        <x:v>待行业映射</x:v>
      </x:c>
      <x:c r="G18" t="str">
        <x:v>名称/板块初步识别为银行；须以同一报告期官方披露复核专用指标和行业分类，禁止套用通用企业现金流、负债率或 EV/EBITDA 规则。 当前公共行情快照缺少 PB，须在专用模型复核中补齐。</x:v>
      </x:c>
      <x:c r="H18" t="n">
        <x:v>11.98</x:v>
      </x:c>
      <x:c r="I18" t="n">
        <x:v>6.49</x:v>
      </x:c>
      <x:c r="J18"/>
      <x:c r="K18" t="str">
        <x:v>官方原件已归档，待Agent自动验证</x:v>
      </x:c>
      <x:c r="L18" t="str">
        <x:v>AkShare / Tencent all-A market snapshot</x:v>
      </x:c>
      <x:c r="M18" t="str">
        <x:v>ProxyError: primary market source unavailable; see source_id for full audit.</x:v>
      </x:c>
      <x:c r="N18" t="str">
        <x:v>0</x:v>
      </x:c>
      <x:c r="O18" t="str">
        <x:v>0fd6ad2d-3389-4e70-8974-eb85ee223eeb</x:v>
      </x:c>
      <x:c r="P18" t="str">
        <x:v>2026-09-04</x:v>
      </x:c>
    </x:row>
    <x:row r="19">
      <x:c r="A19" t="str">
        <x:v>重点观察</x:v>
      </x:c>
      <x:c r="B19" t="str">
        <x:v>补全 PB、财报，等待Agent自动验证</x:v>
      </x:c>
      <x:c r="C19" t="str">
        <x:v>601318</x:v>
      </x:c>
      <x:c r="D19" t="str">
        <x:v>中国平安</x:v>
      </x:c>
      <x:c r="E19" t="str">
        <x:v>主板</x:v>
      </x:c>
      <x:c r="F19" t="str">
        <x:v>待行业映射</x:v>
      </x:c>
      <x:c r="G19" t="str">
        <x:v>当前全市场行情快照缺少 PB；只能作为待补全研究队列，不得按完整估值条件生成交易建议。</x:v>
      </x:c>
      <x:c r="H19" t="n">
        <x:v>58.24</x:v>
      </x:c>
      <x:c r="I19" t="n">
        <x:v>6.62</x:v>
      </x:c>
      <x:c r="J19"/>
      <x:c r="K19" t="str">
        <x:v>官方原件已归档，待Agent自动验证</x:v>
      </x:c>
      <x:c r="L19" t="str">
        <x:v>AkShare / Tencent all-A market snapshot</x:v>
      </x:c>
      <x:c r="M19" t="str">
        <x:v>ProxyError: primary market source unavailable; see source_id for full audit.</x:v>
      </x:c>
      <x:c r="N19" t="str">
        <x:v>0</x:v>
      </x:c>
      <x:c r="O19" t="str">
        <x:v>0fd6ad2d-3389-4e70-8974-eb85ee223eeb</x:v>
      </x:c>
      <x:c r="P19" t="str">
        <x:v>2026-09-04</x:v>
      </x:c>
    </x:row>
    <x:row r="20">
      <x:c r="A20" t="str">
        <x:v>重点观察</x:v>
      </x:c>
      <x:c r="B20" t="str">
        <x:v>银行专用模型待核验</x:v>
      </x:c>
      <x:c r="C20" t="str">
        <x:v>601328</x:v>
      </x:c>
      <x:c r="D20" t="str">
        <x:v>交通银行</x:v>
      </x:c>
      <x:c r="E20" t="str">
        <x:v>主板</x:v>
      </x:c>
      <x:c r="F20" t="str">
        <x:v>待行业映射</x:v>
      </x:c>
      <x:c r="G20" t="str">
        <x:v>名称/板块初步识别为银行；须以同一报告期官方披露复核专用指标和行业分类，禁止套用通用企业现金流、负债率或 EV/EBITDA 规则。 当前公共行情快照缺少 PB，须在专用模型复核中补齐。</x:v>
      </x:c>
      <x:c r="H20" t="n">
        <x:v>7.42</x:v>
      </x:c>
      <x:c r="I20" t="n">
        <x:v>6.73</x:v>
      </x:c>
      <x:c r="J20"/>
      <x:c r="K20" t="str">
        <x:v>官方原件已归档，待Agent自动验证</x:v>
      </x:c>
      <x:c r="L20" t="str">
        <x:v>AkShare / Tencent all-A market snapshot</x:v>
      </x:c>
      <x:c r="M20" t="str">
        <x:v>ProxyError: primary market source unavailable; see source_id for full audit.</x:v>
      </x:c>
      <x:c r="N20" t="str">
        <x:v>0</x:v>
      </x:c>
      <x:c r="O20" t="str">
        <x:v>0fd6ad2d-3389-4e70-8974-eb85ee223eeb</x:v>
      </x:c>
      <x:c r="P20" t="str">
        <x:v>2026-09-04</x:v>
      </x:c>
    </x:row>
    <x:row r="21">
      <x:c r="A21" t="str">
        <x:v>重点观察</x:v>
      </x:c>
      <x:c r="B21" t="str">
        <x:v>银行专用模型待核验</x:v>
      </x:c>
      <x:c r="C21" t="str">
        <x:v>601998</x:v>
      </x:c>
      <x:c r="D21" t="str">
        <x:v>中信银行</x:v>
      </x:c>
      <x:c r="E21" t="str">
        <x:v>主板</x:v>
      </x:c>
      <x:c r="F21" t="str">
        <x:v>待行业映射</x:v>
      </x:c>
      <x:c r="G21" t="str">
        <x:v>名称/板块初步识别为银行；须以同一报告期官方披露复核专用指标和行业分类，禁止套用通用企业现金流、负债率或 EV/EBITDA 规则。 当前公共行情快照缺少 PB，须在专用模型复核中补齐。</x:v>
      </x:c>
      <x:c r="H21" t="n">
        <x:v>8.89</x:v>
      </x:c>
      <x:c r="I21" t="n">
        <x:v>6.9</x:v>
      </x:c>
      <x:c r="J21"/>
      <x:c r="K21" t="str">
        <x:v>官方原件已归档，待Agent自动验证</x:v>
      </x:c>
      <x:c r="L21" t="str">
        <x:v>AkShare / Tencent all-A market snapshot</x:v>
      </x:c>
      <x:c r="M21" t="str">
        <x:v>ProxyError: primary market source unavailable; see source_id for full audit.</x:v>
      </x:c>
      <x:c r="N21" t="str">
        <x:v>0</x:v>
      </x:c>
      <x:c r="O21" t="str">
        <x:v>0fd6ad2d-3389-4e70-8974-eb85ee223eeb</x:v>
      </x:c>
      <x:c r="P21" t="str">
        <x:v>2026-09-04</x:v>
      </x:c>
    </x:row>
    <x:row r="22">
      <x:c r="A22" t="str">
        <x:v>重点观察</x:v>
      </x:c>
      <x:c r="B22" t="str">
        <x:v>银行专用模型待核验</x:v>
      </x:c>
      <x:c r="C22" t="str">
        <x:v>600036</x:v>
      </x:c>
      <x:c r="D22" t="str">
        <x:v>招商银行</x:v>
      </x:c>
      <x:c r="E22" t="str">
        <x:v>主板</x:v>
      </x:c>
      <x:c r="F22" t="str">
        <x:v>待行业映射</x:v>
      </x:c>
      <x:c r="G22" t="str">
        <x:v>名称/板块初步识别为银行；须以同一报告期官方披露复核专用指标和行业分类，禁止套用通用企业现金流、负债率或 EV/EBITDA 规则。 当前公共行情快照缺少 PB，须在专用模型复核中补齐。</x:v>
      </x:c>
      <x:c r="H22" t="n">
        <x:v>41.69</x:v>
      </x:c>
      <x:c r="I22" t="n">
        <x:v>6.93</x:v>
      </x:c>
      <x:c r="J22"/>
      <x:c r="K22" t="str">
        <x:v>官方原件已归档，待Agent自动验证</x:v>
      </x:c>
      <x:c r="L22" t="str">
        <x:v>AkShare / Tencent all-A market snapshot</x:v>
      </x:c>
      <x:c r="M22" t="str">
        <x:v>ProxyError: primary market source unavailable; see source_id for full audit.</x:v>
      </x:c>
      <x:c r="N22" t="str">
        <x:v>0</x:v>
      </x:c>
      <x:c r="O22" t="str">
        <x:v>0fd6ad2d-3389-4e70-8974-eb85ee223eeb</x:v>
      </x:c>
      <x:c r="P22" t="str">
        <x:v>2026-09-04</x:v>
      </x:c>
    </x:row>
    <x:row r="23">
      <x:c r="A23" t="str">
        <x:v>重点观察</x:v>
      </x:c>
      <x:c r="B23" t="str">
        <x:v>银行专用模型待核验</x:v>
      </x:c>
      <x:c r="C23" t="str">
        <x:v>601658</x:v>
      </x:c>
      <x:c r="D23" t="str">
        <x:v>邮储银行</x:v>
      </x:c>
      <x:c r="E23" t="str">
        <x:v>主板</x:v>
      </x:c>
      <x:c r="F23" t="str">
        <x:v>待行业映射</x:v>
      </x:c>
      <x:c r="G23" t="str">
        <x:v>名称/板块初步识别为银行；须以同一报告期官方披露复核专用指标和行业分类，禁止套用通用企业现金流、负债率或 EV/EBITDA 规则。 当前公共行情快照缺少 PB，须在专用模型复核中补齐。</x:v>
      </x:c>
      <x:c r="H23" t="n">
        <x:v>5.42</x:v>
      </x:c>
      <x:c r="I23" t="n">
        <x:v>7.26</x:v>
      </x:c>
      <x:c r="J23"/>
      <x:c r="K23" t="str">
        <x:v>官方原件已归档，待Agent自动验证</x:v>
      </x:c>
      <x:c r="L23" t="str">
        <x:v>AkShare / Tencent all-A market snapshot</x:v>
      </x:c>
      <x:c r="M23" t="str">
        <x:v>ProxyError: primary market source unavailable; see source_id for full audit.</x:v>
      </x:c>
      <x:c r="N23" t="str">
        <x:v>0</x:v>
      </x:c>
      <x:c r="O23" t="str">
        <x:v>0fd6ad2d-3389-4e70-8974-eb85ee223eeb</x:v>
      </x:c>
      <x:c r="P23" t="str">
        <x:v>2026-09-04</x:v>
      </x:c>
    </x:row>
    <x:row r="24">
      <x:c r="A24" t="str">
        <x:v>重点观察</x:v>
      </x:c>
      <x:c r="B24" t="str">
        <x:v>银行专用模型待核验</x:v>
      </x:c>
      <x:c r="C24" t="str">
        <x:v>002142</x:v>
      </x:c>
      <x:c r="D24" t="str">
        <x:v>宁波银行</x:v>
      </x:c>
      <x:c r="E24" t="str">
        <x:v>主板</x:v>
      </x:c>
      <x:c r="F24" t="str">
        <x:v>待行业映射</x:v>
      </x:c>
      <x:c r="G24" t="str">
        <x:v>名称/板块初步识别为银行；须以同一报告期官方披露复核专用指标和行业分类，禁止套用通用企业现金流、负债率或 EV/EBITDA 规则。 当前公共行情快照缺少 PB，须在专用模型复核中补齐。</x:v>
      </x:c>
      <x:c r="H24" t="n">
        <x:v>34.5</x:v>
      </x:c>
      <x:c r="I24" t="n">
        <x:v>7.32</x:v>
      </x:c>
      <x:c r="J24"/>
      <x:c r="K24" t="str">
        <x:v>官方原件已归档，待Agent自动验证</x:v>
      </x:c>
      <x:c r="L24" t="str">
        <x:v>AkShare / Tencent all-A market snapshot</x:v>
      </x:c>
      <x:c r="M24" t="str">
        <x:v>ProxyError: primary market source unavailable; see source_id for full audit.</x:v>
      </x:c>
      <x:c r="N24" t="str">
        <x:v>0</x:v>
      </x:c>
      <x:c r="O24" t="str">
        <x:v>0fd6ad2d-3389-4e70-8974-eb85ee223eeb</x:v>
      </x:c>
      <x:c r="P24" t="str">
        <x:v>2026-09-04</x:v>
      </x:c>
    </x:row>
    <x:row r="25">
      <x:c r="A25" t="str">
        <x:v>重点观察</x:v>
      </x:c>
      <x:c r="B25" t="str">
        <x:v>补全 PB、财报，等待Agent自动验证</x:v>
      </x:c>
      <x:c r="C25" t="str">
        <x:v>601186</x:v>
      </x:c>
      <x:c r="D25" t="str">
        <x:v>中国铁建</x:v>
      </x:c>
      <x:c r="E25" t="str">
        <x:v>主板</x:v>
      </x:c>
      <x:c r="F25" t="str">
        <x:v>待行业映射</x:v>
      </x:c>
      <x:c r="G25" t="str">
        <x:v>当前全市场行情快照缺少 PB；只能作为待补全研究队列，不得按完整估值条件生成交易建议。</x:v>
      </x:c>
      <x:c r="H25" t="n">
        <x:v>6.11</x:v>
      </x:c>
      <x:c r="I25" t="n">
        <x:v>5.07</x:v>
      </x:c>
      <x:c r="J25"/>
      <x:c r="K25" t="str">
        <x:v>官方原件已归档，待Agent自动验证</x:v>
      </x:c>
      <x:c r="L25" t="str">
        <x:v>AkShare / Tencent all-A market snapshot</x:v>
      </x:c>
      <x:c r="M25" t="str">
        <x:v>ProxyError: primary market source unavailable; see source_id for full audit.</x:v>
      </x:c>
      <x:c r="N25" t="str">
        <x:v>0</x:v>
      </x:c>
      <x:c r="O25" t="str">
        <x:v>0fd6ad2d-3389-4e70-8974-eb85ee223eeb</x:v>
      </x:c>
      <x:c r="P25" t="str">
        <x:v>2026-09-04</x:v>
      </x:c>
    </x:row>
    <x:row r="26">
      <x:c r="A26" t="str">
        <x:v>重点观察</x:v>
      </x:c>
      <x:c r="B26" t="str">
        <x:v>银行专用模型待核验</x:v>
      </x:c>
      <x:c r="C26" t="str">
        <x:v>601398</x:v>
      </x:c>
      <x:c r="D26" t="str">
        <x:v>工商银行</x:v>
      </x:c>
      <x:c r="E26" t="str">
        <x:v>主板</x:v>
      </x:c>
      <x:c r="F26" t="str">
        <x:v>待行业映射</x:v>
      </x:c>
      <x:c r="G26" t="str">
        <x:v>名称/板块初步识别为银行；须以同一报告期官方披露复核专用指标和行业分类，禁止套用通用企业现金流、负债率或 EV/EBITDA 规则。 当前公共行情快照缺少 PB，须在专用模型复核中补齐。</x:v>
      </x:c>
      <x:c r="H26" t="n">
        <x:v>8.13</x:v>
      </x:c>
      <x:c r="I26" t="n">
        <x:v>7.74</x:v>
      </x:c>
      <x:c r="J26"/>
      <x:c r="K26" t="str">
        <x:v>待归档官方财报</x:v>
      </x:c>
      <x:c r="L26" t="str">
        <x:v>AkShare / Tencent all-A market snapshot</x:v>
      </x:c>
      <x:c r="M26" t="str">
        <x:v>ProxyError: primary market source unavailable; see source_id for full audit.</x:v>
      </x:c>
      <x:c r="N26" t="str">
        <x:v>0</x:v>
      </x:c>
      <x:c r="O26" t="str">
        <x:v>0fd6ad2d-3389-4e70-8974-eb85ee223eeb</x:v>
      </x:c>
      <x:c r="P26" t="str">
        <x:v>2026-09-04</x:v>
      </x:c>
    </x:row>
    <x:row r="27">
      <x:c r="A27" t="str">
        <x:v>重点观察</x:v>
      </x:c>
      <x:c r="B27" t="str">
        <x:v>补全 PB、财报，等待Agent自动验证</x:v>
      </x:c>
      <x:c r="C27" t="str">
        <x:v>000651</x:v>
      </x:c>
      <x:c r="D27" t="str">
        <x:v>格力电器</x:v>
      </x:c>
      <x:c r="E27" t="str">
        <x:v>主板</x:v>
      </x:c>
      <x:c r="F27" t="str">
        <x:v>待行业映射</x:v>
      </x:c>
      <x:c r="G27" t="str">
        <x:v>当前全市场行情快照缺少 PB；只能作为待补全研究队列，不得按完整估值条件生成交易建议。</x:v>
      </x:c>
      <x:c r="H27" t="n">
        <x:v>38.98</x:v>
      </x:c>
      <x:c r="I27" t="n">
        <x:v>7.83</x:v>
      </x:c>
      <x:c r="J27"/>
      <x:c r="K27" t="str">
        <x:v>官方原件已归档，待Agent自动验证</x:v>
      </x:c>
      <x:c r="L27" t="str">
        <x:v>AkShare / Tencent all-A market snapshot</x:v>
      </x:c>
      <x:c r="M27" t="str">
        <x:v>ProxyError: primary market source unavailable; see source_id for full audit.</x:v>
      </x:c>
      <x:c r="N27" t="str">
        <x:v>0</x:v>
      </x:c>
      <x:c r="O27" t="str">
        <x:v>0fd6ad2d-3389-4e70-8974-eb85ee223eeb</x:v>
      </x:c>
      <x:c r="P27" t="str">
        <x:v>2026-09-04</x:v>
      </x:c>
    </x:row>
    <x:row r="28">
      <x:c r="A28" t="str">
        <x:v>重点观察</x:v>
      </x:c>
      <x:c r="B28" t="str">
        <x:v>银行专用模型待核验</x:v>
      </x:c>
      <x:c r="C28" t="str">
        <x:v>601288</x:v>
      </x:c>
      <x:c r="D28" t="str">
        <x:v>农业银行</x:v>
      </x:c>
      <x:c r="E28" t="str">
        <x:v>主板</x:v>
      </x:c>
      <x:c r="F28" t="str">
        <x:v>待行业映射</x:v>
      </x:c>
      <x:c r="G28" t="str">
        <x:v>名称/板块初步识别为银行；须以同一报告期官方披露复核专用指标和行业分类，禁止套用通用企业现金流、负债率或 EV/EBITDA 规则。 当前公共行情快照缺少 PB，须在专用模型复核中补齐。</x:v>
      </x:c>
      <x:c r="H28" t="n">
        <x:v>6.96</x:v>
      </x:c>
      <x:c r="I28" t="n">
        <x:v>8.18</x:v>
      </x:c>
      <x:c r="J28"/>
      <x:c r="K28" t="str">
        <x:v>官方原件已归档，待Agent自动验证</x:v>
      </x:c>
      <x:c r="L28" t="str">
        <x:v>AkShare / Tencent all-A market snapshot</x:v>
      </x:c>
      <x:c r="M28" t="str">
        <x:v>ProxyError: primary market source unavailable; see source_id for full audit.</x:v>
      </x:c>
      <x:c r="N28" t="str">
        <x:v>0</x:v>
      </x:c>
      <x:c r="O28" t="str">
        <x:v>0fd6ad2d-3389-4e70-8974-eb85ee223eeb</x:v>
      </x:c>
      <x:c r="P28" t="str">
        <x:v>2026-09-04</x:v>
      </x:c>
    </x:row>
    <x:row r="29">
      <x:c r="A29" t="str">
        <x:v>重点观察</x:v>
      </x:c>
      <x:c r="B29" t="str">
        <x:v>补全 PB、财报，等待Agent自动验证</x:v>
      </x:c>
      <x:c r="C29" t="str">
        <x:v>601800</x:v>
      </x:c>
      <x:c r="D29" t="str">
        <x:v>中国交建</x:v>
      </x:c>
      <x:c r="E29" t="str">
        <x:v>主板</x:v>
      </x:c>
      <x:c r="F29" t="str">
        <x:v>待行业映射</x:v>
      </x:c>
      <x:c r="G29" t="str">
        <x:v>当前全市场行情快照缺少 PB；只能作为待补全研究队列，不得按完整估值条件生成交易建议。</x:v>
      </x:c>
      <x:c r="H29" t="n">
        <x:v>5.97</x:v>
      </x:c>
      <x:c r="I29" t="n">
        <x:v>7.77</x:v>
      </x:c>
      <x:c r="J29"/>
      <x:c r="K29" t="str">
        <x:v>官方原件已归档，待Agent自动验证</x:v>
      </x:c>
      <x:c r="L29" t="str">
        <x:v>AkShare / Tencent all-A market snapshot</x:v>
      </x:c>
      <x:c r="M29" t="str">
        <x:v>ProxyError: primary market source unavailable; see source_id for full audit.</x:v>
      </x:c>
      <x:c r="N29" t="str">
        <x:v>0</x:v>
      </x:c>
      <x:c r="O29" t="str">
        <x:v>0fd6ad2d-3389-4e70-8974-eb85ee223eeb</x:v>
      </x:c>
      <x:c r="P29" t="str">
        <x:v>2026-09-04</x:v>
      </x:c>
    </x:row>
    <x:row r="30">
      <x:c r="A30" t="str">
        <x:v>重点观察</x:v>
      </x:c>
      <x:c r="B30" t="str">
        <x:v>银行专用模型待核验</x:v>
      </x:c>
      <x:c r="C30" t="str">
        <x:v>601939</x:v>
      </x:c>
      <x:c r="D30" t="str">
        <x:v>建设银行</x:v>
      </x:c>
      <x:c r="E30" t="str">
        <x:v>主板</x:v>
      </x:c>
      <x:c r="F30" t="str">
        <x:v>待行业映射</x:v>
      </x:c>
      <x:c r="G30" t="str">
        <x:v>名称/板块初步识别为银行；须以同一报告期官方披露复核专用指标和行业分类，禁止套用通用企业现金流、负债率或 EV/EBITDA 规则。 当前公共行情快照缺少 PB，须在专用模型复核中补齐。</x:v>
      </x:c>
      <x:c r="H30" t="n">
        <x:v>10.98</x:v>
      </x:c>
      <x:c r="I30" t="n">
        <x:v>8.29</x:v>
      </x:c>
      <x:c r="J30"/>
      <x:c r="K30" t="str">
        <x:v>官方原件已归档，待Agent自动验证</x:v>
      </x:c>
      <x:c r="L30" t="str">
        <x:v>AkShare / Tencent all-A market snapshot</x:v>
      </x:c>
      <x:c r="M30" t="str">
        <x:v>ProxyError: primary market source unavailable; see source_id for full audit.</x:v>
      </x:c>
      <x:c r="N30" t="str">
        <x:v>0</x:v>
      </x:c>
      <x:c r="O30" t="str">
        <x:v>0fd6ad2d-3389-4e70-8974-eb85ee223eeb</x:v>
      </x:c>
      <x:c r="P30" t="str">
        <x:v>2026-09-04</x:v>
      </x:c>
    </x:row>
    <x:row r="31">
      <x:c r="A31" t="str">
        <x:v>重点观察</x:v>
      </x:c>
      <x:c r="B31" t="str">
        <x:v>银行专用模型待核验</x:v>
      </x:c>
      <x:c r="C31" t="str">
        <x:v>601838</x:v>
      </x:c>
      <x:c r="D31" t="str">
        <x:v>成都银行</x:v>
      </x:c>
      <x:c r="E31" t="str">
        <x:v>主板</x:v>
      </x:c>
      <x:c r="F31" t="str">
        <x:v>待行业映射</x:v>
      </x:c>
      <x:c r="G31" t="str">
        <x:v>名称/板块初步识别为银行；须以同一报告期官方披露复核专用指标和行业分类，禁止套用通用企业现金流、负债率或 EV/EBITDA 规则。 当前公共行情快照缺少 PB，须在专用模型复核中补齐。</x:v>
      </x:c>
      <x:c r="H31" t="n">
        <x:v>19.49</x:v>
      </x:c>
      <x:c r="I31" t="n">
        <x:v>6.09</x:v>
      </x:c>
      <x:c r="J31"/>
      <x:c r="K31" t="str">
        <x:v>待归档官方财报</x:v>
      </x:c>
      <x:c r="L31" t="str">
        <x:v>AkShare / Tencent all-A market snapshot</x:v>
      </x:c>
      <x:c r="M31" t="str">
        <x:v>ProxyError: primary market source unavailable; see source_id for full audit.</x:v>
      </x:c>
      <x:c r="N31" t="str">
        <x:v>0</x:v>
      </x:c>
      <x:c r="O31" t="str">
        <x:v>0fd6ad2d-3389-4e70-8974-eb85ee223eeb</x:v>
      </x:c>
      <x:c r="P31" t="str">
        <x:v>2026-09-04</x:v>
      </x:c>
    </x:row>
    <x:row r="32">
      <x:c r="A32" t="str">
        <x:v>重点观察</x:v>
      </x:c>
      <x:c r="B32" t="str">
        <x:v>银行专用模型待核验</x:v>
      </x:c>
      <x:c r="C32" t="str">
        <x:v>601988</x:v>
      </x:c>
      <x:c r="D32" t="str">
        <x:v>中国银行</x:v>
      </x:c>
      <x:c r="E32" t="str">
        <x:v>主板</x:v>
      </x:c>
      <x:c r="F32" t="str">
        <x:v>待行业映射</x:v>
      </x:c>
      <x:c r="G32" t="str">
        <x:v>名称/板块初步识别为银行；须以同一报告期官方披露复核专用指标和行业分类，禁止套用通用企业现金流、负债率或 EV/EBITDA 规则。 当前公共行情快照缺少 PB，须在专用模型复核中补齐。</x:v>
      </x:c>
      <x:c r="H32" t="n">
        <x:v>6.57</x:v>
      </x:c>
      <x:c r="I32" t="n">
        <x:v>8.5</x:v>
      </x:c>
      <x:c r="J32"/>
      <x:c r="K32" t="str">
        <x:v>官方原件已归档，待Agent自动验证</x:v>
      </x:c>
      <x:c r="L32" t="str">
        <x:v>AkShare / Tencent all-A market snapshot</x:v>
      </x:c>
      <x:c r="M32" t="str">
        <x:v>ProxyError: primary market source unavailable; see source_id for full audit.</x:v>
      </x:c>
      <x:c r="N32" t="str">
        <x:v>0</x:v>
      </x:c>
      <x:c r="O32" t="str">
        <x:v>0fd6ad2d-3389-4e70-8974-eb85ee223eeb</x:v>
      </x:c>
      <x:c r="P32" t="str">
        <x:v>2026-09-04</x:v>
      </x:c>
    </x:row>
    <x:row r="33">
      <x:c r="A33" t="str">
        <x:v>重点观察</x:v>
      </x:c>
      <x:c r="B33" t="str">
        <x:v>证券公司专用模型待核验</x:v>
      </x:c>
      <x:c r="C33" t="str">
        <x:v>601688</x:v>
      </x:c>
      <x:c r="D33" t="str">
        <x:v>华泰证券</x:v>
      </x:c>
      <x:c r="E33" t="str">
        <x:v>主板</x:v>
      </x:c>
      <x:c r="F33" t="str">
        <x:v>待行业映射</x:v>
      </x:c>
      <x:c r="G33" t="str">
        <x:v>名称/板块初步识别为证券公司；须以同一报告期官方披露复核专用指标和行业分类，禁止套用通用企业现金流、负债率或 EV/EBITDA 规则。 当前公共行情快照缺少 PB，须在专用模型复核中补齐。</x:v>
      </x:c>
      <x:c r="H33" t="n">
        <x:v>19.56</x:v>
      </x:c>
      <x:c r="I33" t="n">
        <x:v>8.6</x:v>
      </x:c>
      <x:c r="J33"/>
      <x:c r="K33" t="str">
        <x:v>官方原件已归档，待Agent自动验证</x:v>
      </x:c>
      <x:c r="L33" t="str">
        <x:v>AkShare / Tencent all-A market snapshot</x:v>
      </x:c>
      <x:c r="M33" t="str">
        <x:v>ProxyError: primary market source unavailable; see source_id for full audit.</x:v>
      </x:c>
      <x:c r="N33" t="str">
        <x:v>0</x:v>
      </x:c>
      <x:c r="O33" t="str">
        <x:v>0fd6ad2d-3389-4e70-8974-eb85ee223eeb</x:v>
      </x:c>
      <x:c r="P33" t="str">
        <x:v>2026-09-04</x:v>
      </x:c>
    </x:row>
    <x:row r="34">
      <x:c r="A34" t="str">
        <x:v>重点观察</x:v>
      </x:c>
      <x:c r="B34" t="str">
        <x:v>银行专用模型待核验</x:v>
      </x:c>
      <x:c r="C34" t="str">
        <x:v>601916</x:v>
      </x:c>
      <x:c r="D34" t="str">
        <x:v>浙商银行</x:v>
      </x:c>
      <x:c r="E34" t="str">
        <x:v>主板</x:v>
      </x:c>
      <x:c r="F34" t="str">
        <x:v>待行业映射</x:v>
      </x:c>
      <x:c r="G34" t="str">
        <x:v>名称/板块初步识别为银行；须以同一报告期官方披露复核专用指标和行业分类，禁止套用通用企业现金流、负债率或 EV/EBITDA 规则。 当前公共行情快照缺少 PB，须在专用模型复核中补齐。</x:v>
      </x:c>
      <x:c r="H34" t="n">
        <x:v>2.97</x:v>
      </x:c>
      <x:c r="I34" t="n">
        <x:v>6.23</x:v>
      </x:c>
      <x:c r="J34"/>
      <x:c r="K34" t="str">
        <x:v>官方原件已归档，待Agent自动验证</x:v>
      </x:c>
      <x:c r="L34" t="str">
        <x:v>AkShare / Tencent all-A market snapshot</x:v>
      </x:c>
      <x:c r="M34" t="str">
        <x:v>ProxyError: primary market source unavailable; see source_id for full audit.</x:v>
      </x:c>
      <x:c r="N34" t="str">
        <x:v>0</x:v>
      </x:c>
      <x:c r="O34" t="str">
        <x:v>0fd6ad2d-3389-4e70-8974-eb85ee223eeb</x:v>
      </x:c>
      <x:c r="P34" t="str">
        <x:v>2026-09-04</x:v>
      </x:c>
    </x:row>
    <x:row r="35">
      <x:c r="A35" t="str">
        <x:v>重点观察</x:v>
      </x:c>
      <x:c r="B35" t="str">
        <x:v>补全 PB、财报，等待Agent自动验证</x:v>
      </x:c>
      <x:c r="C35" t="str">
        <x:v>601825</x:v>
      </x:c>
      <x:c r="D35" t="str">
        <x:v>沪农商行</x:v>
      </x:c>
      <x:c r="E35" t="str">
        <x:v>主板</x:v>
      </x:c>
      <x:c r="F35" t="str">
        <x:v>待行业映射</x:v>
      </x:c>
      <x:c r="G35" t="str">
        <x:v>当前全市场行情快照缺少 PB；只能作为待补全研究队列，不得按完整估值条件生成交易建议。</x:v>
      </x:c>
      <x:c r="H35" t="n">
        <x:v>9.01</x:v>
      </x:c>
      <x:c r="I35" t="n">
        <x:v>7.02</x:v>
      </x:c>
      <x:c r="J35"/>
      <x:c r="K35" t="str">
        <x:v>待归档官方财报</x:v>
      </x:c>
      <x:c r="L35" t="str">
        <x:v>AkShare / Tencent all-A market snapshot</x:v>
      </x:c>
      <x:c r="M35" t="str">
        <x:v>ProxyError: primary market source unavailable; see source_id for full audit.</x:v>
      </x:c>
      <x:c r="N35" t="str">
        <x:v>0</x:v>
      </x:c>
      <x:c r="O35" t="str">
        <x:v>0fd6ad2d-3389-4e70-8974-eb85ee223eeb</x:v>
      </x:c>
      <x:c r="P35" t="str">
        <x:v>2026-09-04</x:v>
      </x:c>
    </x:row>
    <x:row r="36">
      <x:c r="A36" t="str">
        <x:v>重点观察</x:v>
      </x:c>
      <x:c r="B36" t="str">
        <x:v>补全 PB、财报，等待Agent自动验证</x:v>
      </x:c>
      <x:c r="C36" t="str">
        <x:v>600018</x:v>
      </x:c>
      <x:c r="D36" t="str">
        <x:v>上港集团</x:v>
      </x:c>
      <x:c r="E36" t="str">
        <x:v>主板</x:v>
      </x:c>
      <x:c r="F36" t="str">
        <x:v>待行业映射</x:v>
      </x:c>
      <x:c r="G36" t="str">
        <x:v>当前全市场行情快照缺少 PB；只能作为待补全研究队列，不得按完整估值条件生成交易建议。</x:v>
      </x:c>
      <x:c r="H36" t="n">
        <x:v>5.43</x:v>
      </x:c>
      <x:c r="I36" t="n">
        <x:v>9</x:v>
      </x:c>
      <x:c r="J36"/>
      <x:c r="K36" t="str">
        <x:v>待归档官方财报</x:v>
      </x:c>
      <x:c r="L36" t="str">
        <x:v>AkShare / Tencent all-A market snapshot</x:v>
      </x:c>
      <x:c r="M36" t="str">
        <x:v>ProxyError: primary market source unavailable; see source_id for full audit.</x:v>
      </x:c>
      <x:c r="N36" t="str">
        <x:v>0</x:v>
      </x:c>
      <x:c r="O36" t="str">
        <x:v>0fd6ad2d-3389-4e70-8974-eb85ee223eeb</x:v>
      </x:c>
      <x:c r="P36" t="str">
        <x:v>2026-09-04</x:v>
      </x:c>
    </x:row>
    <x:row r="37">
      <x:c r="A37" t="str">
        <x:v>重点观察</x:v>
      </x:c>
      <x:c r="B37" t="str">
        <x:v>证券公司专用模型待核验</x:v>
      </x:c>
      <x:c r="C37" t="str">
        <x:v>600999</x:v>
      </x:c>
      <x:c r="D37" t="str">
        <x:v>招商证券</x:v>
      </x:c>
      <x:c r="E37" t="str">
        <x:v>主板</x:v>
      </x:c>
      <x:c r="F37" t="str">
        <x:v>待行业映射</x:v>
      </x:c>
      <x:c r="G37" t="str">
        <x:v>名称/板块初步识别为证券公司；须以同一报告期官方披露复核专用指标和行业分类，禁止套用通用企业现金流、负债率或 EV/EBITDA 规则。 当前公共行情快照缺少 PB，须在专用模型复核中补齐。</x:v>
      </x:c>
      <x:c r="H37" t="n">
        <x:v>18.54</x:v>
      </x:c>
      <x:c r="I37" t="n">
        <x:v>9.06</x:v>
      </x:c>
      <x:c r="J37"/>
      <x:c r="K37" t="str">
        <x:v>待归档官方财报</x:v>
      </x:c>
      <x:c r="L37" t="str">
        <x:v>AkShare / Tencent all-A market snapshot</x:v>
      </x:c>
      <x:c r="M37" t="str">
        <x:v>ProxyError: primary market source unavailable; see source_id for full audit.</x:v>
      </x:c>
      <x:c r="N37" t="str">
        <x:v>0</x:v>
      </x:c>
      <x:c r="O37" t="str">
        <x:v>0fd6ad2d-3389-4e70-8974-eb85ee223eeb</x:v>
      </x:c>
      <x:c r="P37" t="str">
        <x:v>2026-09-04</x:v>
      </x:c>
    </x:row>
    <x:row r="38">
      <x:c r="A38" t="str">
        <x:v>重点观察</x:v>
      </x:c>
      <x:c r="B38" t="str">
        <x:v>补全 PB、财报，等待Agent自动验证</x:v>
      </x:c>
      <x:c r="C38" t="str">
        <x:v>601077</x:v>
      </x:c>
      <x:c r="D38" t="str">
        <x:v>渝农商行</x:v>
      </x:c>
      <x:c r="E38" t="str">
        <x:v>主板</x:v>
      </x:c>
      <x:c r="F38" t="str">
        <x:v>待行业映射</x:v>
      </x:c>
      <x:c r="G38" t="str">
        <x:v>当前全市场行情快照缺少 PB；只能作为待补全研究队列，不得按完整估值条件生成交易建议。</x:v>
      </x:c>
      <x:c r="H38" t="n">
        <x:v>6.92</x:v>
      </x:c>
      <x:c r="I38" t="n">
        <x:v>6.24</x:v>
      </x:c>
      <x:c r="J38"/>
      <x:c r="K38" t="str">
        <x:v>待归档官方财报</x:v>
      </x:c>
      <x:c r="L38" t="str">
        <x:v>AkShare / Tencent all-A market snapshot</x:v>
      </x:c>
      <x:c r="M38" t="str">
        <x:v>ProxyError: primary market source unavailable; see source_id for full audit.</x:v>
      </x:c>
      <x:c r="N38" t="str">
        <x:v>0</x:v>
      </x:c>
      <x:c r="O38" t="str">
        <x:v>0fd6ad2d-3389-4e70-8974-eb85ee223eeb</x:v>
      </x:c>
      <x:c r="P38" t="str">
        <x:v>2026-09-04</x:v>
      </x:c>
    </x:row>
    <x:row r="39">
      <x:c r="A39" t="str">
        <x:v>重点观察</x:v>
      </x:c>
      <x:c r="B39" t="str">
        <x:v>补全 PB、财报，等待Agent自动验证</x:v>
      </x:c>
      <x:c r="C39" t="str">
        <x:v>601919</x:v>
      </x:c>
      <x:c r="D39" t="str">
        <x:v>中远海控</x:v>
      </x:c>
      <x:c r="E39" t="str">
        <x:v>主板</x:v>
      </x:c>
      <x:c r="F39" t="str">
        <x:v>待行业映射</x:v>
      </x:c>
      <x:c r="G39" t="str">
        <x:v>当前全市场行情快照缺少 PB；只能作为待补全研究队列，不得按完整估值条件生成交易建议。</x:v>
      </x:c>
      <x:c r="H39" t="n">
        <x:v>16.06</x:v>
      </x:c>
      <x:c r="I39" t="n">
        <x:v>9.17</x:v>
      </x:c>
      <x:c r="J39"/>
      <x:c r="K39" t="str">
        <x:v>待归档官方财报</x:v>
      </x:c>
      <x:c r="L39" t="str">
        <x:v>AkShare / Tencent all-A market snapshot</x:v>
      </x:c>
      <x:c r="M39" t="str">
        <x:v>ProxyError: primary market source unavailable; see source_id for full audit.</x:v>
      </x:c>
      <x:c r="N39" t="str">
        <x:v>0</x:v>
      </x:c>
      <x:c r="O39" t="str">
        <x:v>0fd6ad2d-3389-4e70-8974-eb85ee223eeb</x:v>
      </x:c>
      <x:c r="P39" t="str">
        <x:v>2026-09-04</x:v>
      </x:c>
    </x:row>
    <x:row r="40">
      <x:c r="A40" t="str">
        <x:v>重点观察</x:v>
      </x:c>
      <x:c r="B40" t="str">
        <x:v>补全 PB、财报，等待Agent自动验证</x:v>
      </x:c>
      <x:c r="C40" t="str">
        <x:v>600011</x:v>
      </x:c>
      <x:c r="D40" t="str">
        <x:v>华能国际</x:v>
      </x:c>
      <x:c r="E40" t="str">
        <x:v>主板</x:v>
      </x:c>
      <x:c r="F40" t="str">
        <x:v>待行业映射</x:v>
      </x:c>
      <x:c r="G40" t="str">
        <x:v>当前全市场行情快照缺少 PB；只能作为待补全研究队列，不得按完整估值条件生成交易建议。</x:v>
      </x:c>
      <x:c r="H40" t="n">
        <x:v>6.86</x:v>
      </x:c>
      <x:c r="I40" t="n">
        <x:v>9.18</x:v>
      </x:c>
      <x:c r="J40"/>
      <x:c r="K40" t="str">
        <x:v>待归档官方财报</x:v>
      </x:c>
      <x:c r="L40" t="str">
        <x:v>AkShare / Tencent all-A market snapshot</x:v>
      </x:c>
      <x:c r="M40" t="str">
        <x:v>ProxyError: primary market source unavailable; see source_id for full audit.</x:v>
      </x:c>
      <x:c r="N40" t="str">
        <x:v>0</x:v>
      </x:c>
      <x:c r="O40" t="str">
        <x:v>0fd6ad2d-3389-4e70-8974-eb85ee223eeb</x:v>
      </x:c>
      <x:c r="P40" t="str">
        <x:v>2026-09-04</x:v>
      </x:c>
    </x:row>
    <x:row r="41">
      <x:c r="A41" t="str">
        <x:v>重点观察</x:v>
      </x:c>
      <x:c r="B41" t="str">
        <x:v>证券公司专用模型待核验</x:v>
      </x:c>
      <x:c r="C41" t="str">
        <x:v>002736</x:v>
      </x:c>
      <x:c r="D41" t="str">
        <x:v>国信证券</x:v>
      </x:c>
      <x:c r="E41" t="str">
        <x:v>主板</x:v>
      </x:c>
      <x:c r="F41" t="str">
        <x:v>待行业映射</x:v>
      </x:c>
      <x:c r="G41" t="str">
        <x:v>名称/板块初步识别为证券公司；须以同一报告期官方披露复核专用指标和行业分类，禁止套用通用企业现金流、负债率或 EV/EBITDA 规则。 当前公共行情快照缺少 PB，须在专用模型复核中补齐。</x:v>
      </x:c>
      <x:c r="H41" t="n">
        <x:v>10.26</x:v>
      </x:c>
      <x:c r="I41" t="n">
        <x:v>9.19</x:v>
      </x:c>
      <x:c r="J41"/>
      <x:c r="K41" t="str">
        <x:v>待归档官方财报</x:v>
      </x:c>
      <x:c r="L41" t="str">
        <x:v>AkShare / Tencent all-A market snapshot</x:v>
      </x:c>
      <x:c r="M41" t="str">
        <x:v>ProxyError: primary market source unavailable; see source_id for full audit.</x:v>
      </x:c>
      <x:c r="N41" t="str">
        <x:v>0</x:v>
      </x:c>
      <x:c r="O41" t="str">
        <x:v>0fd6ad2d-3389-4e70-8974-eb85ee223eeb</x:v>
      </x:c>
      <x:c r="P41" t="str">
        <x:v>2026-09-04</x:v>
      </x:c>
    </x:row>
    <x:row r="42">
      <x:c r="A42" t="str">
        <x:v>重点观察</x:v>
      </x:c>
      <x:c r="B42" t="str">
        <x:v>证券公司专用模型待核验</x:v>
      </x:c>
      <x:c r="C42" t="str">
        <x:v>000776</x:v>
      </x:c>
      <x:c r="D42" t="str">
        <x:v>广发证券</x:v>
      </x:c>
      <x:c r="E42" t="str">
        <x:v>主板</x:v>
      </x:c>
      <x:c r="F42" t="str">
        <x:v>待行业映射</x:v>
      </x:c>
      <x:c r="G42" t="str">
        <x:v>名称/板块初步识别为证券公司；须以同一报告期官方披露复核专用指标和行业分类，禁止套用通用企业现金流、负债率或 EV/EBITDA 规则。 当前公共行情快照缺少 PB，须在专用模型复核中补齐。</x:v>
      </x:c>
      <x:c r="H42" t="n">
        <x:v>22.2</x:v>
      </x:c>
      <x:c r="I42" t="n">
        <x:v>9.2</x:v>
      </x:c>
      <x:c r="J42"/>
      <x:c r="K42" t="str">
        <x:v>待归档官方财报</x:v>
      </x:c>
      <x:c r="L42" t="str">
        <x:v>AkShare / Tencent all-A market snapshot</x:v>
      </x:c>
      <x:c r="M42" t="str">
        <x:v>ProxyError: primary market source unavailable; see source_id for full audit.</x:v>
      </x:c>
      <x:c r="N42" t="str">
        <x:v>0</x:v>
      </x:c>
      <x:c r="O42" t="str">
        <x:v>0fd6ad2d-3389-4e70-8974-eb85ee223eeb</x:v>
      </x:c>
      <x:c r="P42" t="str">
        <x:v>2026-09-04</x:v>
      </x:c>
    </x:row>
    <x:row r="43">
      <x:c r="A43" t="str">
        <x:v>重点观察</x:v>
      </x:c>
      <x:c r="B43" t="str">
        <x:v>补全 PB、财报，等待Agent自动验证</x:v>
      </x:c>
      <x:c r="C43" t="str">
        <x:v>000807</x:v>
      </x:c>
      <x:c r="D43" t="str">
        <x:v>云铝股份</x:v>
      </x:c>
      <x:c r="E43" t="str">
        <x:v>主板</x:v>
      </x:c>
      <x:c r="F43" t="str">
        <x:v>待行业映射</x:v>
      </x:c>
      <x:c r="G43" t="str">
        <x:v>当前全市场行情快照缺少 PB；只能作为待补全研究队列，不得按完整估值条件生成交易建议。</x:v>
      </x:c>
      <x:c r="H43" t="n">
        <x:v>26.95</x:v>
      </x:c>
      <x:c r="I43" t="n">
        <x:v>8.52</x:v>
      </x:c>
      <x:c r="J43"/>
      <x:c r="K43" t="str">
        <x:v>待归档官方财报</x:v>
      </x:c>
      <x:c r="L43" t="str">
        <x:v>AkShare / Tencent all-A market snapshot</x:v>
      </x:c>
      <x:c r="M43" t="str">
        <x:v>ProxyError: primary market source unavailable; see source_id for full audit.</x:v>
      </x:c>
      <x:c r="N43" t="str">
        <x:v>0</x:v>
      </x:c>
      <x:c r="O43" t="str">
        <x:v>0fd6ad2d-3389-4e70-8974-eb85ee223eeb</x:v>
      </x:c>
      <x:c r="P43" t="str">
        <x:v>2026-09-04</x:v>
      </x:c>
    </x:row>
    <x:row r="44">
      <x:c r="A44" t="str">
        <x:v>重点观察</x:v>
      </x:c>
      <x:c r="B44" t="str">
        <x:v>补全 PB、财报，等待Agent自动验证</x:v>
      </x:c>
      <x:c r="C44" t="str">
        <x:v>601600</x:v>
      </x:c>
      <x:c r="D44" t="str">
        <x:v>中国铝业</x:v>
      </x:c>
      <x:c r="E44" t="str">
        <x:v>主板</x:v>
      </x:c>
      <x:c r="F44" t="str">
        <x:v>待行业映射</x:v>
      </x:c>
      <x:c r="G44" t="str">
        <x:v>当前全市场行情快照缺少 PB；只能作为待补全研究队列，不得按完整估值条件生成交易建议。</x:v>
      </x:c>
      <x:c r="H44" t="n">
        <x:v>9.67</x:v>
      </x:c>
      <x:c r="I44" t="n">
        <x:v>9.49</x:v>
      </x:c>
      <x:c r="J44"/>
      <x:c r="K44" t="str">
        <x:v>待归档官方财报</x:v>
      </x:c>
      <x:c r="L44" t="str">
        <x:v>AkShare / Tencent all-A market snapshot</x:v>
      </x:c>
      <x:c r="M44" t="str">
        <x:v>ProxyError: primary market source unavailable; see source_id for full audit.</x:v>
      </x:c>
      <x:c r="N44" t="str">
        <x:v>0</x:v>
      </x:c>
      <x:c r="O44" t="str">
        <x:v>0fd6ad2d-3389-4e70-8974-eb85ee223eeb</x:v>
      </x:c>
      <x:c r="P44" t="str">
        <x:v>2026-09-04</x:v>
      </x:c>
    </x:row>
    <x:row r="45">
      <x:c r="A45" t="str">
        <x:v>重点观察</x:v>
      </x:c>
      <x:c r="B45" t="str">
        <x:v>补全 PB、财报，等待Agent自动验证</x:v>
      </x:c>
      <x:c r="C45" t="str">
        <x:v>601211</x:v>
      </x:c>
      <x:c r="D45" t="str">
        <x:v>国泰海通</x:v>
      </x:c>
      <x:c r="E45" t="str">
        <x:v>主板</x:v>
      </x:c>
      <x:c r="F45" t="str">
        <x:v>待行业映射</x:v>
      </x:c>
      <x:c r="G45" t="str">
        <x:v>当前全市场行情快照缺少 PB；只能作为待补全研究队列，不得按完整估值条件生成交易建议。</x:v>
      </x:c>
      <x:c r="H45" t="n">
        <x:v>17.87</x:v>
      </x:c>
      <x:c r="I45" t="n">
        <x:v>9.72</x:v>
      </x:c>
      <x:c r="J45"/>
      <x:c r="K45" t="str">
        <x:v>待归档官方财报</x:v>
      </x:c>
      <x:c r="L45" t="str">
        <x:v>AkShare / Tencent all-A market snapshot</x:v>
      </x:c>
      <x:c r="M45" t="str">
        <x:v>ProxyError: primary market source unavailable; see source_id for full audit.</x:v>
      </x:c>
      <x:c r="N45" t="str">
        <x:v>0</x:v>
      </x:c>
      <x:c r="O45" t="str">
        <x:v>0fd6ad2d-3389-4e70-8974-eb85ee223eeb</x:v>
      </x:c>
      <x:c r="P45" t="str">
        <x:v>2026-09-04</x:v>
      </x:c>
    </x:row>
    <x:row r="46">
      <x:c r="A46" t="str">
        <x:v>重点观察</x:v>
      </x:c>
      <x:c r="B46" t="str">
        <x:v>补全 PB、财报，等待Agent自动验证</x:v>
      </x:c>
      <x:c r="C46" t="str">
        <x:v>601881</x:v>
      </x:c>
      <x:c r="D46" t="str">
        <x:v>中国银河</x:v>
      </x:c>
      <x:c r="E46" t="str">
        <x:v>主板</x:v>
      </x:c>
      <x:c r="F46" t="str">
        <x:v>待行业映射</x:v>
      </x:c>
      <x:c r="G46" t="str">
        <x:v>当前全市场行情快照缺少 PB；只能作为待补全研究队列，不得按完整估值条件生成交易建议。</x:v>
      </x:c>
      <x:c r="H46" t="n">
        <x:v>12.43</x:v>
      </x:c>
      <x:c r="I46" t="n">
        <x:v>9.83</x:v>
      </x:c>
      <x:c r="J46"/>
      <x:c r="K46" t="str">
        <x:v>待归档官方财报</x:v>
      </x:c>
      <x:c r="L46" t="str">
        <x:v>AkShare / Tencent all-A market snapshot</x:v>
      </x:c>
      <x:c r="M46" t="str">
        <x:v>ProxyError: primary market source unavailable; see source_id for full audit.</x:v>
      </x:c>
      <x:c r="N46" t="str">
        <x:v>0</x:v>
      </x:c>
      <x:c r="O46" t="str">
        <x:v>0fd6ad2d-3389-4e70-8974-eb85ee223eeb</x:v>
      </x:c>
      <x:c r="P46" t="str">
        <x:v>2026-09-04</x:v>
      </x:c>
    </x:row>
    <x:row r="47">
      <x:c r="A47" t="str">
        <x:v>重点观察</x:v>
      </x:c>
      <x:c r="B47" t="str">
        <x:v>补全 PB、财报，等待Agent自动验证</x:v>
      </x:c>
      <x:c r="C47" t="str">
        <x:v>002379</x:v>
      </x:c>
      <x:c r="D47" t="str">
        <x:v>宏桥控股</x:v>
      </x:c>
      <x:c r="E47" t="str">
        <x:v>主板</x:v>
      </x:c>
      <x:c r="F47" t="str">
        <x:v>待行业映射</x:v>
      </x:c>
      <x:c r="G47" t="str">
        <x:v>当前全市场行情快照缺少 PB；只能作为待补全研究队列，不得按完整估值条件生成交易建议。</x:v>
      </x:c>
      <x:c r="H47" t="n">
        <x:v>18.94</x:v>
      </x:c>
      <x:c r="I47" t="n">
        <x:v>10</x:v>
      </x:c>
      <x:c r="J47"/>
      <x:c r="K47" t="str">
        <x:v>待归档官方财报</x:v>
      </x:c>
      <x:c r="L47" t="str">
        <x:v>AkShare / Tencent all-A market snapshot</x:v>
      </x:c>
      <x:c r="M47" t="str">
        <x:v>ProxyError: primary market source unavailable; see source_id for full audit.</x:v>
      </x:c>
      <x:c r="N47" t="str">
        <x:v>0</x:v>
      </x:c>
      <x:c r="O47" t="str">
        <x:v>0fd6ad2d-3389-4e70-8974-eb85ee223eeb</x:v>
      </x:c>
      <x:c r="P47" t="str">
        <x:v>2026-09-04</x:v>
      </x:c>
    </x:row>
    <x:row r="48">
      <x:c r="A48" t="str">
        <x:v>重点观察</x:v>
      </x:c>
      <x:c r="B48" t="str">
        <x:v>补全 PB、财报，等待Agent自动验证</x:v>
      </x:c>
      <x:c r="C48" t="str">
        <x:v>000166</x:v>
      </x:c>
      <x:c r="D48" t="str">
        <x:v>申万宏源</x:v>
      </x:c>
      <x:c r="E48" t="str">
        <x:v>主板</x:v>
      </x:c>
      <x:c r="F48" t="str">
        <x:v>待行业映射</x:v>
      </x:c>
      <x:c r="G48" t="str">
        <x:v>当前全市场行情快照缺少 PB；只能作为待补全研究队列，不得按完整估值条件生成交易建议。</x:v>
      </x:c>
      <x:c r="H48" t="n">
        <x:v>4.59</x:v>
      </x:c>
      <x:c r="I48" t="n">
        <x:v>10.49</x:v>
      </x:c>
      <x:c r="J48"/>
      <x:c r="K48" t="str">
        <x:v>待归档官方财报</x:v>
      </x:c>
      <x:c r="L48" t="str">
        <x:v>AkShare / Tencent all-A market snapshot</x:v>
      </x:c>
      <x:c r="M48" t="str">
        <x:v>ProxyError: primary market source unavailable; see source_id for full audit.</x:v>
      </x:c>
      <x:c r="N48" t="str">
        <x:v>0</x:v>
      </x:c>
      <x:c r="O48" t="str">
        <x:v>0fd6ad2d-3389-4e70-8974-eb85ee223eeb</x:v>
      </x:c>
      <x:c r="P48" t="str">
        <x:v>2026-09-04</x:v>
      </x:c>
    </x:row>
    <x:row r="49">
      <x:c r="A49" t="str">
        <x:v>重点观察</x:v>
      </x:c>
      <x:c r="B49" t="str">
        <x:v>补全 PB、财报，等待Agent自动验证</x:v>
      </x:c>
      <x:c r="C49" t="str">
        <x:v>601898</x:v>
      </x:c>
      <x:c r="D49" t="str">
        <x:v>中煤能源</x:v>
      </x:c>
      <x:c r="E49" t="str">
        <x:v>主板</x:v>
      </x:c>
      <x:c r="F49" t="str">
        <x:v>待行业映射</x:v>
      </x:c>
      <x:c r="G49" t="str">
        <x:v>当前全市场行情快照缺少 PB；只能作为待补全研究队列，不得按完整估值条件生成交易建议。</x:v>
      </x:c>
      <x:c r="H49" t="n">
        <x:v>15.18</x:v>
      </x:c>
      <x:c r="I49" t="n">
        <x:v>10.98</x:v>
      </x:c>
      <x:c r="J49"/>
      <x:c r="K49" t="str">
        <x:v>待归档官方财报</x:v>
      </x:c>
      <x:c r="L49" t="str">
        <x:v>AkShare / Tencent all-A market snapshot</x:v>
      </x:c>
      <x:c r="M49" t="str">
        <x:v>ProxyError: primary market source unavailable; see source_id for full audit.</x:v>
      </x:c>
      <x:c r="N49" t="str">
        <x:v>0</x:v>
      </x:c>
      <x:c r="O49" t="str">
        <x:v>0fd6ad2d-3389-4e70-8974-eb85ee223eeb</x:v>
      </x:c>
      <x:c r="P49" t="str">
        <x:v>2026-09-04</x:v>
      </x:c>
    </x:row>
    <x:row r="50">
      <x:c r="A50" t="str">
        <x:v>重点观察</x:v>
      </x:c>
      <x:c r="B50" t="str">
        <x:v>证券公司专用模型待核验</x:v>
      </x:c>
      <x:c r="C50" t="str">
        <x:v>600030</x:v>
      </x:c>
      <x:c r="D50" t="str">
        <x:v>中信证券</x:v>
      </x:c>
      <x:c r="E50" t="str">
        <x:v>主板</x:v>
      </x:c>
      <x:c r="F50" t="str">
        <x:v>待行业映射</x:v>
      </x:c>
      <x:c r="G50" t="str">
        <x:v>名称/板块初步识别为证券公司；须以同一报告期官方披露复核专用指标和行业分类，禁止套用通用企业现金流、负债率或 EV/EBITDA 规则。 当前公共行情快照缺少 PB，须在专用模型复核中补齐。</x:v>
      </x:c>
      <x:c r="H50" t="n">
        <x:v>27.99</x:v>
      </x:c>
      <x:c r="I50" t="n">
        <x:v>11.03</x:v>
      </x:c>
      <x:c r="J50"/>
      <x:c r="K50" t="str">
        <x:v>待归档官方财报</x:v>
      </x:c>
      <x:c r="L50" t="str">
        <x:v>AkShare / Tencent all-A market snapshot</x:v>
      </x:c>
      <x:c r="M50" t="str">
        <x:v>ProxyError: primary market source unavailable; see source_id for full audit.</x:v>
      </x:c>
      <x:c r="N50" t="str">
        <x:v>0</x:v>
      </x:c>
      <x:c r="O50" t="str">
        <x:v>0fd6ad2d-3389-4e70-8974-eb85ee223eeb</x:v>
      </x:c>
      <x:c r="P50" t="str">
        <x:v>2026-09-04</x:v>
      </x:c>
    </x:row>
    <x:row r="51">
      <x:c r="A51" t="str">
        <x:v>重点观察</x:v>
      </x:c>
      <x:c r="B51" t="str">
        <x:v>补全 PB、财报，等待Agent自动验证</x:v>
      </x:c>
      <x:c r="C51" t="str">
        <x:v>600690</x:v>
      </x:c>
      <x:c r="D51" t="str">
        <x:v>海尔智家</x:v>
      </x:c>
      <x:c r="E51" t="str">
        <x:v>主板</x:v>
      </x:c>
      <x:c r="F51" t="str">
        <x:v>待行业映射</x:v>
      </x:c>
      <x:c r="G51" t="str">
        <x:v>当前全市场行情快照缺少 PB；只能作为待补全研究队列，不得按完整估值条件生成交易建议。</x:v>
      </x:c>
      <x:c r="H51" t="n">
        <x:v>22</x:v>
      </x:c>
      <x:c r="I51" t="n">
        <x:v>11.47</x:v>
      </x:c>
      <x:c r="J51"/>
      <x:c r="K51" t="str">
        <x:v>待归档官方财报</x:v>
      </x:c>
      <x:c r="L51" t="str">
        <x:v>AkShare / Tencent all-A market snapshot</x:v>
      </x:c>
      <x:c r="M51" t="str">
        <x:v>ProxyError: primary market source unavailable; see source_id for full audit.</x:v>
      </x:c>
      <x:c r="N51" t="str">
        <x:v>0</x:v>
      </x:c>
      <x:c r="O51" t="str">
        <x:v>0fd6ad2d-3389-4e70-8974-eb85ee223eeb</x:v>
      </x:c>
      <x:c r="P51" t="str">
        <x:v>2026-09-04</x:v>
      </x:c>
    </x:row>
    <x:row r="52">
      <x:c r="A52" t="str">
        <x:v>重点观察</x:v>
      </x:c>
      <x:c r="B52" t="str">
        <x:v>补全 PB、财报，等待Agent自动验证</x:v>
      </x:c>
      <x:c r="C52" t="str">
        <x:v>600938</x:v>
      </x:c>
      <x:c r="D52" t="str">
        <x:v>中国海油</x:v>
      </x:c>
      <x:c r="E52" t="str">
        <x:v>主板</x:v>
      </x:c>
      <x:c r="F52" t="str">
        <x:v>待行业映射</x:v>
      </x:c>
      <x:c r="G52" t="str">
        <x:v>当前全市场行情快照缺少 PB；只能作为待补全研究队列，不得按完整估值条件生成交易建议。</x:v>
      </x:c>
      <x:c r="H52" t="n">
        <x:v>33.41</x:v>
      </x:c>
      <x:c r="I52" t="n">
        <x:v>11.48</x:v>
      </x:c>
      <x:c r="J52"/>
      <x:c r="K52" t="str">
        <x:v>待归档官方财报</x:v>
      </x:c>
      <x:c r="L52" t="str">
        <x:v>AkShare / Tencent all-A market snapshot</x:v>
      </x:c>
      <x:c r="M52" t="str">
        <x:v>ProxyError: primary market source unavailable; see source_id for full audit.</x:v>
      </x:c>
      <x:c r="N52" t="str">
        <x:v>0</x:v>
      </x:c>
      <x:c r="O52" t="str">
        <x:v>0fd6ad2d-3389-4e70-8974-eb85ee223eeb</x:v>
      </x:c>
      <x:c r="P52" t="str">
        <x:v>2026-09-04</x:v>
      </x:c>
    </x:row>
    <x:row r="53">
      <x:c r="A53" t="str">
        <x:v>重点观察</x:v>
      </x:c>
      <x:c r="B53" t="str">
        <x:v>补全 PB、财报，等待Agent自动验证</x:v>
      </x:c>
      <x:c r="C53" t="str">
        <x:v>002648</x:v>
      </x:c>
      <x:c r="D53" t="str">
        <x:v>卫星化学</x:v>
      </x:c>
      <x:c r="E53" t="str">
        <x:v>主板</x:v>
      </x:c>
      <x:c r="F53" t="str">
        <x:v>待行业映射</x:v>
      </x:c>
      <x:c r="G53" t="str">
        <x:v>当前全市场行情快照缺少 PB；只能作为待补全研究队列，不得按完整估值条件生成交易建议。</x:v>
      </x:c>
      <x:c r="H53" t="n">
        <x:v>27.54</x:v>
      </x:c>
      <x:c r="I53" t="n">
        <x:v>10.55</x:v>
      </x:c>
      <x:c r="J53"/>
      <x:c r="K53" t="str">
        <x:v>待归档官方财报</x:v>
      </x:c>
      <x:c r="L53" t="str">
        <x:v>AkShare / Tencent all-A market snapshot</x:v>
      </x:c>
      <x:c r="M53" t="str">
        <x:v>ProxyError: primary market source unavailable; see source_id for full audit.</x:v>
      </x:c>
      <x:c r="N53" t="str">
        <x:v>0</x:v>
      </x:c>
      <x:c r="O53" t="str">
        <x:v>0fd6ad2d-3389-4e70-8974-eb85ee223eeb</x:v>
      </x:c>
      <x:c r="P53" t="str">
        <x:v>2026-09-04</x:v>
      </x:c>
    </x:row>
    <x:row r="54">
      <x:c r="A54" t="str">
        <x:v>重点观察</x:v>
      </x:c>
      <x:c r="B54" t="str">
        <x:v>补全 PB、财报，等待Agent自动验证</x:v>
      </x:c>
      <x:c r="C54" t="str">
        <x:v>601857</x:v>
      </x:c>
      <x:c r="D54" t="str">
        <x:v>中国石油</x:v>
      </x:c>
      <x:c r="E54" t="str">
        <x:v>主板</x:v>
      </x:c>
      <x:c r="F54" t="str">
        <x:v>待行业映射</x:v>
      </x:c>
      <x:c r="G54" t="str">
        <x:v>当前全市场行情快照缺少 PB；只能作为待补全研究队列，不得按完整估值条件生成交易建议。</x:v>
      </x:c>
      <x:c r="H54" t="n">
        <x:v>11.17</x:v>
      </x:c>
      <x:c r="I54" t="n">
        <x:v>11.61</x:v>
      </x:c>
      <x:c r="J54"/>
      <x:c r="K54" t="str">
        <x:v>待归档官方财报</x:v>
      </x:c>
      <x:c r="L54" t="str">
        <x:v>AkShare / Tencent all-A market snapshot</x:v>
      </x:c>
      <x:c r="M54" t="str">
        <x:v>ProxyError: primary market source unavailable; see source_id for full audit.</x:v>
      </x:c>
      <x:c r="N54" t="str">
        <x:v>0</x:v>
      </x:c>
      <x:c r="O54" t="str">
        <x:v>0fd6ad2d-3389-4e70-8974-eb85ee223eeb</x:v>
      </x:c>
      <x:c r="P54" t="str">
        <x:v>2026-09-04</x:v>
      </x:c>
    </x:row>
    <x:row r="55">
      <x:c r="A55" t="str">
        <x:v>重点观察</x:v>
      </x:c>
      <x:c r="B55" t="str">
        <x:v>补全 PB、财报，等待Agent自动验证</x:v>
      </x:c>
      <x:c r="C55" t="str">
        <x:v>600989</x:v>
      </x:c>
      <x:c r="D55" t="str">
        <x:v>宝丰能源</x:v>
      </x:c>
      <x:c r="E55" t="str">
        <x:v>主板</x:v>
      </x:c>
      <x:c r="F55" t="str">
        <x:v>待行业映射</x:v>
      </x:c>
      <x:c r="G55" t="str">
        <x:v>当前全市场行情快照缺少 PB；只能作为待补全研究队列，不得按完整估值条件生成交易建议。</x:v>
      </x:c>
      <x:c r="H55" t="n">
        <x:v>24.4</x:v>
      </x:c>
      <x:c r="I55" t="n">
        <x:v>11.65</x:v>
      </x:c>
      <x:c r="J55"/>
      <x:c r="K55" t="str">
        <x:v>待归档官方财报</x:v>
      </x:c>
      <x:c r="L55" t="str">
        <x:v>AkShare / Tencent all-A market snapshot</x:v>
      </x:c>
      <x:c r="M55" t="str">
        <x:v>ProxyError: primary market source unavailable; see source_id for full audit.</x:v>
      </x:c>
      <x:c r="N55" t="str">
        <x:v>0</x:v>
      </x:c>
      <x:c r="O55" t="str">
        <x:v>0fd6ad2d-3389-4e70-8974-eb85ee223eeb</x:v>
      </x:c>
      <x:c r="P55" t="str">
        <x:v>2026-09-04</x:v>
      </x:c>
    </x:row>
    <x:row r="56">
      <x:c r="A56" t="str">
        <x:v>重点观察</x:v>
      </x:c>
      <x:c r="B56" t="str">
        <x:v>补全 PB、财报，等待Agent自动验证</x:v>
      </x:c>
      <x:c r="C56" t="str">
        <x:v>000792</x:v>
      </x:c>
      <x:c r="D56" t="str">
        <x:v>盐湖股份</x:v>
      </x:c>
      <x:c r="E56" t="str">
        <x:v>主板</x:v>
      </x:c>
      <x:c r="F56" t="str">
        <x:v>待行业映射</x:v>
      </x:c>
      <x:c r="G56" t="str">
        <x:v>当前全市场行情快照缺少 PB；只能作为待补全研究队列，不得按完整估值条件生成交易建议。</x:v>
      </x:c>
      <x:c r="H56" t="n">
        <x:v>26.65</x:v>
      </x:c>
      <x:c r="I56" t="n">
        <x:v>11.7</x:v>
      </x:c>
      <x:c r="J56"/>
      <x:c r="K56" t="str">
        <x:v>待归档官方财报</x:v>
      </x:c>
      <x:c r="L56" t="str">
        <x:v>AkShare / Tencent all-A market snapshot</x:v>
      </x:c>
      <x:c r="M56" t="str">
        <x:v>ProxyError: primary market source unavailable; see source_id for full audit.</x:v>
      </x:c>
      <x:c r="N56" t="str">
        <x:v>0</x:v>
      </x:c>
      <x:c r="O56" t="str">
        <x:v>0fd6ad2d-3389-4e70-8974-eb85ee223eeb</x:v>
      </x:c>
      <x:c r="P56" t="str">
        <x:v>2026-09-04</x:v>
      </x:c>
    </x:row>
    <x:row r="57">
      <x:c r="A57" t="str">
        <x:v>重点观察</x:v>
      </x:c>
      <x:c r="B57" t="str">
        <x:v>补全 PB、财报，等待Agent自动验证</x:v>
      </x:c>
      <x:c r="C57" t="str">
        <x:v>600346</x:v>
      </x:c>
      <x:c r="D57" t="str">
        <x:v>恒力石化</x:v>
      </x:c>
      <x:c r="E57" t="str">
        <x:v>主板</x:v>
      </x:c>
      <x:c r="F57" t="str">
        <x:v>待行业映射</x:v>
      </x:c>
      <x:c r="G57" t="str">
        <x:v>当前全市场行情快照缺少 PB；只能作为待补全研究队列，不得按完整估值条件生成交易建议。</x:v>
      </x:c>
      <x:c r="H57" t="n">
        <x:v>19.02</x:v>
      </x:c>
      <x:c r="I57" t="n">
        <x:v>11.92</x:v>
      </x:c>
      <x:c r="J57"/>
      <x:c r="K57" t="str">
        <x:v>待归档官方财报</x:v>
      </x:c>
      <x:c r="L57" t="str">
        <x:v>AkShare / Tencent all-A market snapshot</x:v>
      </x:c>
      <x:c r="M57" t="str">
        <x:v>ProxyError: primary market source unavailable; see source_id for full audit.</x:v>
      </x:c>
      <x:c r="N57" t="str">
        <x:v>0</x:v>
      </x:c>
      <x:c r="O57" t="str">
        <x:v>0fd6ad2d-3389-4e70-8974-eb85ee223eeb</x:v>
      </x:c>
      <x:c r="P57" t="str">
        <x:v>2026-09-04</x:v>
      </x:c>
    </x:row>
    <x:row r="58">
      <x:c r="A58" t="str">
        <x:v>重点观察</x:v>
      </x:c>
      <x:c r="B58" t="str">
        <x:v>补全 PB、财报，等待Agent自动验证</x:v>
      </x:c>
      <x:c r="C58" t="str">
        <x:v>601995</x:v>
      </x:c>
      <x:c r="D58" t="str">
        <x:v>中金公司</x:v>
      </x:c>
      <x:c r="E58" t="str">
        <x:v>主板</x:v>
      </x:c>
      <x:c r="F58" t="str">
        <x:v>待行业映射</x:v>
      </x:c>
      <x:c r="G58" t="str">
        <x:v>当前全市场行情快照缺少 PB；只能作为待补全研究队列，不得按完整估值条件生成交易建议。</x:v>
      </x:c>
      <x:c r="H58" t="n">
        <x:v>33.9</x:v>
      </x:c>
      <x:c r="I58" t="n">
        <x:v>11.98</x:v>
      </x:c>
      <x:c r="J58"/>
      <x:c r="K58" t="str">
        <x:v>待归档官方财报</x:v>
      </x:c>
      <x:c r="L58" t="str">
        <x:v>AkShare / Tencent all-A market snapshot</x:v>
      </x:c>
      <x:c r="M58" t="str">
        <x:v>ProxyError: primary market source unavailable; see source_id for full audit.</x:v>
      </x:c>
      <x:c r="N58" t="str">
        <x:v>0</x:v>
      </x:c>
      <x:c r="O58" t="str">
        <x:v>0fd6ad2d-3389-4e70-8974-eb85ee223eeb</x:v>
      </x:c>
      <x:c r="P58" t="str">
        <x:v>2026-09-04</x:v>
      </x:c>
    </x:row>
    <x:row r="59">
      <x:c r="A59" t="str">
        <x:v>重点观察</x:v>
      </x:c>
      <x:c r="B59" t="str">
        <x:v>补全 PB、财报，等待Agent自动验证</x:v>
      </x:c>
      <x:c r="C59" t="str">
        <x:v>000656</x:v>
      </x:c>
      <x:c r="D59" t="str">
        <x:v>金科股份</x:v>
      </x:c>
      <x:c r="E59" t="str">
        <x:v>主板</x:v>
      </x:c>
      <x:c r="F59" t="str">
        <x:v>待行业映射</x:v>
      </x:c>
      <x:c r="G59" t="str">
        <x:v>当前全市场行情快照缺少 PB；只能作为待补全研究队列，不得按完整估值条件生成交易建议。</x:v>
      </x:c>
      <x:c r="H59" t="n">
        <x:v>1.25</x:v>
      </x:c>
      <x:c r="I59" t="n">
        <x:v>0.36</x:v>
      </x:c>
      <x:c r="J59"/>
      <x:c r="K59" t="str">
        <x:v>待归档官方财报</x:v>
      </x:c>
      <x:c r="L59" t="str">
        <x:v>AkShare / Tencent all-A market snapshot</x:v>
      </x:c>
      <x:c r="M59" t="str">
        <x:v>ProxyError: primary market source unavailable; see source_id for full audit.</x:v>
      </x:c>
      <x:c r="N59" t="str">
        <x:v>0</x:v>
      </x:c>
      <x:c r="O59" t="str">
        <x:v>0fd6ad2d-3389-4e70-8974-eb85ee223eeb</x:v>
      </x:c>
      <x:c r="P59" t="str">
        <x:v>2026-09-04</x:v>
      </x:c>
    </x:row>
    <x:row r="60">
      <x:c r="A60" t="str">
        <x:v>重点观察</x:v>
      </x:c>
      <x:c r="B60" t="str">
        <x:v>补全 PB、财报，等待Agent自动验证</x:v>
      </x:c>
      <x:c r="C60" t="str">
        <x:v>688525</x:v>
      </x:c>
      <x:c r="D60" t="str">
        <x:v>佰维存储</x:v>
      </x:c>
      <x:c r="E60" t="str">
        <x:v>科创板</x:v>
      </x:c>
      <x:c r="F60" t="str">
        <x:v>待行业映射</x:v>
      </x:c>
      <x:c r="G60" t="str">
        <x:v>当前全市场行情快照缺少 PB；只能作为待补全研究队列，不得按完整估值条件生成交易建议。</x:v>
      </x:c>
      <x:c r="H60" t="n">
        <x:v>213.29</x:v>
      </x:c>
      <x:c r="I60" t="n">
        <x:v>12.2</x:v>
      </x:c>
      <x:c r="J60"/>
      <x:c r="K60" t="str">
        <x:v>待归档官方财报</x:v>
      </x:c>
      <x:c r="L60" t="str">
        <x:v>AkShare / Tencent all-A market snapshot</x:v>
      </x:c>
      <x:c r="M60" t="str">
        <x:v>ProxyError: primary market source unavailable; see source_id for full audit.</x:v>
      </x:c>
      <x:c r="N60" t="str">
        <x:v>0</x:v>
      </x:c>
      <x:c r="O60" t="str">
        <x:v>0fd6ad2d-3389-4e70-8974-eb85ee223eeb</x:v>
      </x:c>
      <x:c r="P60" t="str">
        <x:v>2026-09-04</x:v>
      </x:c>
    </x:row>
    <x:row r="61">
      <x:c r="A61" t="str">
        <x:v>重点观察</x:v>
      </x:c>
      <x:c r="B61" t="str">
        <x:v>补全 PB、财报，等待Agent自动验证</x:v>
      </x:c>
      <x:c r="C61" t="str">
        <x:v>601669</x:v>
      </x:c>
      <x:c r="D61" t="str">
        <x:v>中国电建</x:v>
      </x:c>
      <x:c r="E61" t="str">
        <x:v>主板</x:v>
      </x:c>
      <x:c r="F61" t="str">
        <x:v>待行业映射</x:v>
      </x:c>
      <x:c r="G61" t="str">
        <x:v>当前全市场行情快照缺少 PB；只能作为待补全研究队列，不得按完整估值条件生成交易建议。</x:v>
      </x:c>
      <x:c r="H61" t="n">
        <x:v>4.63</x:v>
      </x:c>
      <x:c r="I61" t="n">
        <x:v>9.49</x:v>
      </x:c>
      <x:c r="J61"/>
      <x:c r="K61" t="str">
        <x:v>待归档官方财报</x:v>
      </x:c>
      <x:c r="L61" t="str">
        <x:v>AkShare / Tencent all-A market snapshot</x:v>
      </x:c>
      <x:c r="M61" t="str">
        <x:v>ProxyError: primary market source unavailable; see source_id for full audit.</x:v>
      </x:c>
      <x:c r="N61" t="str">
        <x:v>0</x:v>
      </x:c>
      <x:c r="O61" t="str">
        <x:v>0fd6ad2d-3389-4e70-8974-eb85ee223eeb</x:v>
      </x:c>
      <x:c r="P61" t="str">
        <x:v>2026-09-04</x:v>
      </x:c>
    </x:row>
    <x:row r="62">
      <x:c r="A62" t="str">
        <x:v>重点观察</x:v>
      </x:c>
      <x:c r="B62" t="str">
        <x:v>补全 PB、财报，等待Agent自动验证</x:v>
      </x:c>
      <x:c r="C62" t="str">
        <x:v>601991</x:v>
      </x:c>
      <x:c r="D62" t="str">
        <x:v>大唐发电</x:v>
      </x:c>
      <x:c r="E62" t="str">
        <x:v>主板</x:v>
      </x:c>
      <x:c r="F62" t="str">
        <x:v>待行业映射</x:v>
      </x:c>
      <x:c r="G62" t="str">
        <x:v>当前全市场行情快照缺少 PB；只能作为待补全研究队列，不得按完整估值条件生成交易建议。</x:v>
      </x:c>
      <x:c r="H62" t="n">
        <x:v>5.58</x:v>
      </x:c>
      <x:c r="I62" t="n">
        <x:v>12.42</x:v>
      </x:c>
      <x:c r="J62"/>
      <x:c r="K62" t="str">
        <x:v>待归档官方财报</x:v>
      </x:c>
      <x:c r="L62" t="str">
        <x:v>AkShare / Tencent all-A market snapshot</x:v>
      </x:c>
      <x:c r="M62" t="str">
        <x:v>ProxyError: primary market source unavailable; see source_id for full audit.</x:v>
      </x:c>
      <x:c r="N62" t="str">
        <x:v>0</x:v>
      </x:c>
      <x:c r="O62" t="str">
        <x:v>0fd6ad2d-3389-4e70-8974-eb85ee223eeb</x:v>
      </x:c>
      <x:c r="P62" t="str">
        <x:v>2026-09-04</x:v>
      </x:c>
    </x:row>
    <x:row r="63">
      <x:c r="A63" t="str">
        <x:v>重点观察</x:v>
      </x:c>
      <x:c r="B63" t="str">
        <x:v>补全 PB、财报，等待Agent自动验证</x:v>
      </x:c>
      <x:c r="C63" t="str">
        <x:v>301308</x:v>
      </x:c>
      <x:c r="D63" t="str">
        <x:v>江波龙</x:v>
      </x:c>
      <x:c r="E63" t="str">
        <x:v>创业板</x:v>
      </x:c>
      <x:c r="F63" t="str">
        <x:v>待行业映射</x:v>
      </x:c>
      <x:c r="G63" t="str">
        <x:v>当前全市场行情快照缺少 PB；只能作为待补全研究队列，不得按完整估值条件生成交易建议。</x:v>
      </x:c>
      <x:c r="H63" t="n">
        <x:v>347</x:v>
      </x:c>
      <x:c r="I63" t="n">
        <x:v>12.44</x:v>
      </x:c>
      <x:c r="J63"/>
      <x:c r="K63" t="str">
        <x:v>待归档官方财报</x:v>
      </x:c>
      <x:c r="L63" t="str">
        <x:v>AkShare / Tencent all-A market snapshot</x:v>
      </x:c>
      <x:c r="M63" t="str">
        <x:v>ProxyError: primary market source unavailable; see source_id for full audit.</x:v>
      </x:c>
      <x:c r="N63" t="str">
        <x:v>0</x:v>
      </x:c>
      <x:c r="O63" t="str">
        <x:v>0fd6ad2d-3389-4e70-8974-eb85ee223eeb</x:v>
      </x:c>
      <x:c r="P63" t="str">
        <x:v>2026-09-04</x:v>
      </x:c>
    </x:row>
    <x:row r="64">
      <x:c r="A64" t="str">
        <x:v>重点观察</x:v>
      </x:c>
      <x:c r="B64" t="str">
        <x:v>补全 PB、财报，等待Agent自动验证</x:v>
      </x:c>
      <x:c r="C64" t="str">
        <x:v>601225</x:v>
      </x:c>
      <x:c r="D64" t="str">
        <x:v>陕西煤业</x:v>
      </x:c>
      <x:c r="E64" t="str">
        <x:v>主板</x:v>
      </x:c>
      <x:c r="F64" t="str">
        <x:v>待行业映射</x:v>
      </x:c>
      <x:c r="G64" t="str">
        <x:v>当前全市场行情快照缺少 PB；只能作为待补全研究队列，不得按完整估值条件生成交易建议。</x:v>
      </x:c>
      <x:c r="H64" t="n">
        <x:v>26.24</x:v>
      </x:c>
      <x:c r="I64" t="n">
        <x:v>12.47</x:v>
      </x:c>
      <x:c r="J64"/>
      <x:c r="K64" t="str">
        <x:v>待归档官方财报</x:v>
      </x:c>
      <x:c r="L64" t="str">
        <x:v>AkShare / Tencent all-A market snapshot</x:v>
      </x:c>
      <x:c r="M64" t="str">
        <x:v>ProxyError: primary market source unavailable; see source_id for full audit.</x:v>
      </x:c>
      <x:c r="N64" t="str">
        <x:v>0</x:v>
      </x:c>
      <x:c r="O64" t="str">
        <x:v>0fd6ad2d-3389-4e70-8974-eb85ee223eeb</x:v>
      </x:c>
      <x:c r="P64" t="str">
        <x:v>2026-09-04</x:v>
      </x:c>
    </x:row>
    <x:row r="65">
      <x:c r="A65" t="str">
        <x:v>重点观察</x:v>
      </x:c>
      <x:c r="B65" t="str">
        <x:v>补全 PB、财报，等待Agent自动验证</x:v>
      </x:c>
      <x:c r="C65" t="str">
        <x:v>600019</x:v>
      </x:c>
      <x:c r="D65" t="str">
        <x:v>宝钢股份</x:v>
      </x:c>
      <x:c r="E65" t="str">
        <x:v>主板</x:v>
      </x:c>
      <x:c r="F65" t="str">
        <x:v>待行业映射</x:v>
      </x:c>
      <x:c r="G65" t="str">
        <x:v>当前全市场行情快照缺少 PB；只能作为待补全研究队列，不得按完整估值条件生成交易建议。</x:v>
      </x:c>
      <x:c r="H65" t="n">
        <x:v>5.86</x:v>
      </x:c>
      <x:c r="I65" t="n">
        <x:v>12.72</x:v>
      </x:c>
      <x:c r="J65"/>
      <x:c r="K65" t="str">
        <x:v>待归档官方财报</x:v>
      </x:c>
      <x:c r="L65" t="str">
        <x:v>AkShare / Tencent all-A market snapshot</x:v>
      </x:c>
      <x:c r="M65" t="str">
        <x:v>ProxyError: primary market source unavailable; see source_id for full audit.</x:v>
      </x:c>
      <x:c r="N65" t="str">
        <x:v>0</x:v>
      </x:c>
      <x:c r="O65" t="str">
        <x:v>0fd6ad2d-3389-4e70-8974-eb85ee223eeb</x:v>
      </x:c>
      <x:c r="P65" t="str">
        <x:v>2026-09-04</x:v>
      </x:c>
    </x:row>
    <x:row r="66">
      <x:c r="A66" t="str">
        <x:v>重点观察</x:v>
      </x:c>
      <x:c r="B66" t="str">
        <x:v>银行专用模型待核验</x:v>
      </x:c>
      <x:c r="C66" t="str">
        <x:v>601577</x:v>
      </x:c>
      <x:c r="D66" t="str">
        <x:v>长沙银行</x:v>
      </x:c>
      <x:c r="E66" t="str">
        <x:v>主板</x:v>
      </x:c>
      <x:c r="F66" t="str">
        <x:v>待行业映射</x:v>
      </x:c>
      <x:c r="G66" t="str">
        <x:v>名称/板块初步识别为银行；须以同一报告期官方披露复核专用指标和行业分类，禁止套用通用企业现金流、负债率或 EV/EBITDA 规则。 当前公共行情快照缺少 PB，须在专用模型复核中补齐。</x:v>
      </x:c>
      <x:c r="H66" t="n">
        <x:v>10.05</x:v>
      </x:c>
      <x:c r="I66" t="n">
        <x:v>4.85</x:v>
      </x:c>
      <x:c r="J66"/>
      <x:c r="K66" t="str">
        <x:v>待归档官方财报</x:v>
      </x:c>
      <x:c r="L66" t="str">
        <x:v>AkShare / Tencent all-A market snapshot</x:v>
      </x:c>
      <x:c r="M66" t="str">
        <x:v>ProxyError: primary market source unavailable; see source_id for full audit.</x:v>
      </x:c>
      <x:c r="N66" t="str">
        <x:v>0</x:v>
      </x:c>
      <x:c r="O66" t="str">
        <x:v>0fd6ad2d-3389-4e70-8974-eb85ee223eeb</x:v>
      </x:c>
      <x:c r="P66" t="str">
        <x:v>2026-09-04</x:v>
      </x:c>
    </x:row>
    <x:row r="67">
      <x:c r="A67" t="str">
        <x:v>重点观察</x:v>
      </x:c>
      <x:c r="B67" t="str">
        <x:v>补全 PB、财报，等待Agent自动验证</x:v>
      </x:c>
      <x:c r="C67" t="str">
        <x:v>601766</x:v>
      </x:c>
      <x:c r="D67" t="str">
        <x:v>中国中车</x:v>
      </x:c>
      <x:c r="E67" t="str">
        <x:v>主板</x:v>
      </x:c>
      <x:c r="F67" t="str">
        <x:v>待行业映射</x:v>
      </x:c>
      <x:c r="G67" t="str">
        <x:v>当前全市场行情快照缺少 PB；只能作为待补全研究队列，不得按完整估值条件生成交易建议。</x:v>
      </x:c>
      <x:c r="H67" t="n">
        <x:v>6.25</x:v>
      </x:c>
      <x:c r="I67" t="n">
        <x:v>12.88</x:v>
      </x:c>
      <x:c r="J67"/>
      <x:c r="K67" t="str">
        <x:v>待归档官方财报</x:v>
      </x:c>
      <x:c r="L67" t="str">
        <x:v>AkShare / Tencent all-A market snapshot</x:v>
      </x:c>
      <x:c r="M67" t="str">
        <x:v>ProxyError: primary market source unavailable; see source_id for full audit.</x:v>
      </x:c>
      <x:c r="N67" t="str">
        <x:v>0</x:v>
      </x:c>
      <x:c r="O67" t="str">
        <x:v>0fd6ad2d-3389-4e70-8974-eb85ee223eeb</x:v>
      </x:c>
      <x:c r="P67" t="str">
        <x:v>2026-09-04</x:v>
      </x:c>
    </x:row>
    <x:row r="68">
      <x:c r="A68" t="str">
        <x:v>重点观察</x:v>
      </x:c>
      <x:c r="B68" t="str">
        <x:v>补全 PB、财报，等待Agent自动验证</x:v>
      </x:c>
      <x:c r="C68" t="str">
        <x:v>600104</x:v>
      </x:c>
      <x:c r="D68" t="str">
        <x:v>上汽集团</x:v>
      </x:c>
      <x:c r="E68" t="str">
        <x:v>主板</x:v>
      </x:c>
      <x:c r="F68" t="str">
        <x:v>待行业映射</x:v>
      </x:c>
      <x:c r="G68" t="str">
        <x:v>当前全市场行情快照缺少 PB；只能作为待补全研究队列，不得按完整估值条件生成交易建议。</x:v>
      </x:c>
      <x:c r="H68" t="n">
        <x:v>10.47</x:v>
      </x:c>
      <x:c r="I68" t="n">
        <x:v>13.02</x:v>
      </x:c>
      <x:c r="J68"/>
      <x:c r="K68" t="str">
        <x:v>待归档官方财报</x:v>
      </x:c>
      <x:c r="L68" t="str">
        <x:v>AkShare / Tencent all-A market snapshot</x:v>
      </x:c>
      <x:c r="M68" t="str">
        <x:v>ProxyError: primary market source unavailable; see source_id for full audit.</x:v>
      </x:c>
      <x:c r="N68" t="str">
        <x:v>0</x:v>
      </x:c>
      <x:c r="O68" t="str">
        <x:v>0fd6ad2d-3389-4e70-8974-eb85ee223eeb</x:v>
      </x:c>
      <x:c r="P68" t="str">
        <x:v>2026-09-04</x:v>
      </x:c>
    </x:row>
    <x:row r="69">
      <x:c r="A69" t="str">
        <x:v>重点观察</x:v>
      </x:c>
      <x:c r="B69" t="str">
        <x:v>补全 PB、财报，等待Agent自动验证</x:v>
      </x:c>
      <x:c r="C69" t="str">
        <x:v>601899</x:v>
      </x:c>
      <x:c r="D69" t="str">
        <x:v>紫金矿业</x:v>
      </x:c>
      <x:c r="E69" t="str">
        <x:v>主板</x:v>
      </x:c>
      <x:c r="F69" t="str">
        <x:v>待行业映射</x:v>
      </x:c>
      <x:c r="G69" t="str">
        <x:v>当前全市场行情快照缺少 PB；只能作为待补全研究队列，不得按完整估值条件生成交易建议。</x:v>
      </x:c>
      <x:c r="H69" t="n">
        <x:v>33.35</x:v>
      </x:c>
      <x:c r="I69" t="n">
        <x:v>13.11</x:v>
      </x:c>
      <x:c r="J69"/>
      <x:c r="K69" t="str">
        <x:v>待归档官方财报</x:v>
      </x:c>
      <x:c r="L69" t="str">
        <x:v>AkShare / Tencent all-A market snapshot</x:v>
      </x:c>
      <x:c r="M69" t="str">
        <x:v>ProxyError: primary market source unavailable; see source_id for full audit.</x:v>
      </x:c>
      <x:c r="N69" t="str">
        <x:v>0</x:v>
      </x:c>
      <x:c r="O69" t="str">
        <x:v>0fd6ad2d-3389-4e70-8974-eb85ee223eeb</x:v>
      </x:c>
      <x:c r="P69" t="str">
        <x:v>2026-09-04</x:v>
      </x:c>
    </x:row>
    <x:row r="70">
      <x:c r="A70" t="str">
        <x:v>重点观察</x:v>
      </x:c>
      <x:c r="B70" t="str">
        <x:v>补全 PB、财报，等待Agent自动验证</x:v>
      </x:c>
      <x:c r="C70" t="str">
        <x:v>600039</x:v>
      </x:c>
      <x:c r="D70" t="str">
        <x:v>四川路桥</x:v>
      </x:c>
      <x:c r="E70" t="str">
        <x:v>主板</x:v>
      </x:c>
      <x:c r="F70" t="str">
        <x:v>待行业映射</x:v>
      </x:c>
      <x:c r="G70" t="str">
        <x:v>当前全市场行情快照缺少 PB；只能作为待补全研究队列，不得按完整估值条件生成交易建议。</x:v>
      </x:c>
      <x:c r="H70" t="n">
        <x:v>9.16</x:v>
      </x:c>
      <x:c r="I70" t="n">
        <x:v>10.47</x:v>
      </x:c>
      <x:c r="J70"/>
      <x:c r="K70" t="str">
        <x:v>待归档官方财报</x:v>
      </x:c>
      <x:c r="L70" t="str">
        <x:v>AkShare / Tencent all-A market snapshot</x:v>
      </x:c>
      <x:c r="M70" t="str">
        <x:v>ProxyError: primary market source unavailable; see source_id for full audit.</x:v>
      </x:c>
      <x:c r="N70" t="str">
        <x:v>0</x:v>
      </x:c>
      <x:c r="O70" t="str">
        <x:v>0fd6ad2d-3389-4e70-8974-eb85ee223eeb</x:v>
      </x:c>
      <x:c r="P70" t="str">
        <x:v>2026-09-04</x:v>
      </x:c>
    </x:row>
    <x:row r="71">
      <x:c r="A71" t="str">
        <x:v>重点观察</x:v>
      </x:c>
      <x:c r="B71" t="str">
        <x:v>补全 PB、财报，等待Agent自动验证</x:v>
      </x:c>
      <x:c r="C71" t="str">
        <x:v>600362</x:v>
      </x:c>
      <x:c r="D71" t="str">
        <x:v>江西铜业</x:v>
      </x:c>
      <x:c r="E71" t="str">
        <x:v>主板</x:v>
      </x:c>
      <x:c r="F71" t="str">
        <x:v>待行业映射</x:v>
      </x:c>
      <x:c r="G71" t="str">
        <x:v>当前全市场行情快照缺少 PB；只能作为待补全研究队列，不得按完整估值条件生成交易建议。</x:v>
      </x:c>
      <x:c r="H71" t="n">
        <x:v>45.86</x:v>
      </x:c>
      <x:c r="I71" t="n">
        <x:v>13.7</x:v>
      </x:c>
      <x:c r="J71"/>
      <x:c r="K71" t="str">
        <x:v>待归档官方财报</x:v>
      </x:c>
      <x:c r="L71" t="str">
        <x:v>AkShare / Tencent all-A market snapshot</x:v>
      </x:c>
      <x:c r="M71" t="str">
        <x:v>ProxyError: primary market source unavailable; see source_id for full audit.</x:v>
      </x:c>
      <x:c r="N71" t="str">
        <x:v>0</x:v>
      </x:c>
      <x:c r="O71" t="str">
        <x:v>0fd6ad2d-3389-4e70-8974-eb85ee223eeb</x:v>
      </x:c>
      <x:c r="P71" t="str">
        <x:v>2026-09-04</x:v>
      </x:c>
    </x:row>
    <x:row r="72">
      <x:c r="A72" t="str">
        <x:v>重点观察</x:v>
      </x:c>
      <x:c r="B72" t="str">
        <x:v>补全 PB、财报，等待Agent自动验证</x:v>
      </x:c>
      <x:c r="C72" t="str">
        <x:v>002001</x:v>
      </x:c>
      <x:c r="D72" t="str">
        <x:v>新 和 成</x:v>
      </x:c>
      <x:c r="E72" t="str">
        <x:v>主板</x:v>
      </x:c>
      <x:c r="F72" t="str">
        <x:v>待行业映射</x:v>
      </x:c>
      <x:c r="G72" t="str">
        <x:v>当前全市场行情快照缺少 PB；只能作为待补全研究队列，不得按完整估值条件生成交易建议。</x:v>
      </x:c>
      <x:c r="H72" t="n">
        <x:v>26.86</x:v>
      </x:c>
      <x:c r="I72" t="n">
        <x:v>11.51</x:v>
      </x:c>
      <x:c r="J72"/>
      <x:c r="K72" t="str">
        <x:v>待归档官方财报</x:v>
      </x:c>
      <x:c r="L72" t="str">
        <x:v>AkShare / Tencent all-A market snapshot</x:v>
      </x:c>
      <x:c r="M72" t="str">
        <x:v>ProxyError: primary market source unavailable; see source_id for full audit.</x:v>
      </x:c>
      <x:c r="N72" t="str">
        <x:v>0</x:v>
      </x:c>
      <x:c r="O72" t="str">
        <x:v>0fd6ad2d-3389-4e70-8974-eb85ee223eeb</x:v>
      </x:c>
      <x:c r="P72" t="str">
        <x:v>2026-09-04</x:v>
      </x:c>
    </x:row>
    <x:row r="73">
      <x:c r="A73" t="str">
        <x:v>重点观察</x:v>
      </x:c>
      <x:c r="B73" t="str">
        <x:v>补全 PB、财报，等待Agent自动验证</x:v>
      </x:c>
      <x:c r="C73" t="str">
        <x:v>600741</x:v>
      </x:c>
      <x:c r="D73" t="str">
        <x:v>华域汽车</x:v>
      </x:c>
      <x:c r="E73" t="str">
        <x:v>主板</x:v>
      </x:c>
      <x:c r="F73" t="str">
        <x:v>待行业映射</x:v>
      </x:c>
      <x:c r="G73" t="str">
        <x:v>当前全市场行情快照缺少 PB；只能作为待补全研究队列，不得按完整估值条件生成交易建议。</x:v>
      </x:c>
      <x:c r="H73" t="n">
        <x:v>15.58</x:v>
      </x:c>
      <x:c r="I73" t="n">
        <x:v>7.06</x:v>
      </x:c>
      <x:c r="J73"/>
      <x:c r="K73" t="str">
        <x:v>待归档官方财报</x:v>
      </x:c>
      <x:c r="L73" t="str">
        <x:v>AkShare / Tencent all-A market snapshot</x:v>
      </x:c>
      <x:c r="M73" t="str">
        <x:v>ProxyError: primary market source unavailable; see source_id for full audit.</x:v>
      </x:c>
      <x:c r="N73" t="str">
        <x:v>0</x:v>
      </x:c>
      <x:c r="O73" t="str">
        <x:v>0fd6ad2d-3389-4e70-8974-eb85ee223eeb</x:v>
      </x:c>
      <x:c r="P73" t="str">
        <x:v>2026-09-04</x:v>
      </x:c>
    </x:row>
    <x:row r="74">
      <x:c r="A74" t="str">
        <x:v>重点观察</x:v>
      </x:c>
      <x:c r="B74" t="str">
        <x:v>补全 PB、财报，等待Agent自动验证</x:v>
      </x:c>
      <x:c r="C74" t="str">
        <x:v>002128</x:v>
      </x:c>
      <x:c r="D74" t="str">
        <x:v>电投能源</x:v>
      </x:c>
      <x:c r="E74" t="str">
        <x:v>主板</x:v>
      </x:c>
      <x:c r="F74" t="str">
        <x:v>待行业映射</x:v>
      </x:c>
      <x:c r="G74" t="str">
        <x:v>当前全市场行情快照缺少 PB；只能作为待补全研究队列，不得按完整估值条件生成交易建议。</x:v>
      </x:c>
      <x:c r="H74" t="n">
        <x:v>29.25</x:v>
      </x:c>
      <x:c r="I74" t="n">
        <x:v>12.77</x:v>
      </x:c>
      <x:c r="J74"/>
      <x:c r="K74" t="str">
        <x:v>待归档官方财报</x:v>
      </x:c>
      <x:c r="L74" t="str">
        <x:v>AkShare / Tencent all-A market snapshot</x:v>
      </x:c>
      <x:c r="M74" t="str">
        <x:v>ProxyError: primary market source unavailable; see source_id for full audit.</x:v>
      </x:c>
      <x:c r="N74" t="str">
        <x:v>0</x:v>
      </x:c>
      <x:c r="O74" t="str">
        <x:v>0fd6ad2d-3389-4e70-8974-eb85ee223eeb</x:v>
      </x:c>
      <x:c r="P74" t="str">
        <x:v>2026-09-04</x:v>
      </x:c>
    </x:row>
    <x:row r="75">
      <x:c r="A75" t="str">
        <x:v>重点观察</x:v>
      </x:c>
      <x:c r="B75" t="str">
        <x:v>补全 PB、财报，等待Agent自动验证</x:v>
      </x:c>
      <x:c r="C75" t="str">
        <x:v>002532</x:v>
      </x:c>
      <x:c r="D75" t="str">
        <x:v>天山铝业</x:v>
      </x:c>
      <x:c r="E75" t="str">
        <x:v>主板</x:v>
      </x:c>
      <x:c r="F75" t="str">
        <x:v>待行业映射</x:v>
      </x:c>
      <x:c r="G75" t="str">
        <x:v>当前全市场行情快照缺少 PB；只能作为待补全研究队列，不得按完整估值条件生成交易建议。</x:v>
      </x:c>
      <x:c r="H75" t="n">
        <x:v>13.13</x:v>
      </x:c>
      <x:c r="I75" t="n">
        <x:v>8.79</x:v>
      </x:c>
      <x:c r="J75"/>
      <x:c r="K75" t="str">
        <x:v>待归档官方财报</x:v>
      </x:c>
      <x:c r="L75" t="str">
        <x:v>AkShare / Tencent all-A market snapshot</x:v>
      </x:c>
      <x:c r="M75" t="str">
        <x:v>ProxyError: primary market source unavailable; see source_id for full audit.</x:v>
      </x:c>
      <x:c r="N75" t="str">
        <x:v>0</x:v>
      </x:c>
      <x:c r="O75" t="str">
        <x:v>0fd6ad2d-3389-4e70-8974-eb85ee223eeb</x:v>
      </x:c>
      <x:c r="P75" t="str">
        <x:v>2026-09-04</x:v>
      </x:c>
    </x:row>
    <x:row r="76">
      <x:c r="A76" t="str">
        <x:v>重点观察</x:v>
      </x:c>
      <x:c r="B76" t="str">
        <x:v>补全 PB、财报，等待Agent自动验证</x:v>
      </x:c>
      <x:c r="C76" t="str">
        <x:v>000933</x:v>
      </x:c>
      <x:c r="D76" t="str">
        <x:v>神火股份</x:v>
      </x:c>
      <x:c r="E76" t="str">
        <x:v>主板</x:v>
      </x:c>
      <x:c r="F76" t="str">
        <x:v>待行业映射</x:v>
      </x:c>
      <x:c r="G76" t="str">
        <x:v>当前全市场行情快照缺少 PB；只能作为待补全研究队列，不得按完整估值条件生成交易建议。</x:v>
      </x:c>
      <x:c r="H76" t="n">
        <x:v>27.36</x:v>
      </x:c>
      <x:c r="I76" t="n">
        <x:v>8.94</x:v>
      </x:c>
      <x:c r="J76"/>
      <x:c r="K76" t="str">
        <x:v>待归档官方财报</x:v>
      </x:c>
      <x:c r="L76" t="str">
        <x:v>AkShare / Tencent all-A market snapshot</x:v>
      </x:c>
      <x:c r="M76" t="str">
        <x:v>ProxyError: primary market source unavailable; see source_id for full audit.</x:v>
      </x:c>
      <x:c r="N76" t="str">
        <x:v>0</x:v>
      </x:c>
      <x:c r="O76" t="str">
        <x:v>0fd6ad2d-3389-4e70-8974-eb85ee223eeb</x:v>
      </x:c>
      <x:c r="P76" t="str">
        <x:v>2026-09-04</x:v>
      </x:c>
    </x:row>
    <x:row r="77">
      <x:c r="A77" t="str">
        <x:v>重点观察</x:v>
      </x:c>
      <x:c r="B77" t="str">
        <x:v>补全 PB、财报，等待Agent自动验证</x:v>
      </x:c>
      <x:c r="C77" t="str">
        <x:v>603799</x:v>
      </x:c>
      <x:c r="D77" t="str">
        <x:v>华友钴业</x:v>
      </x:c>
      <x:c r="E77" t="str">
        <x:v>主板</x:v>
      </x:c>
      <x:c r="F77" t="str">
        <x:v>待行业映射</x:v>
      </x:c>
      <x:c r="G77" t="str">
        <x:v>当前全市场行情快照缺少 PB；只能作为待补全研究队列，不得按完整估值条件生成交易建议。</x:v>
      </x:c>
      <x:c r="H77" t="n">
        <x:v>38.07</x:v>
      </x:c>
      <x:c r="I77" t="n">
        <x:v>10.44</x:v>
      </x:c>
      <x:c r="J77"/>
      <x:c r="K77" t="str">
        <x:v>待归档官方财报</x:v>
      </x:c>
      <x:c r="L77" t="str">
        <x:v>AkShare / Tencent all-A market snapshot</x:v>
      </x:c>
      <x:c r="M77" t="str">
        <x:v>ProxyError: primary market source unavailable; see source_id for full audit.</x:v>
      </x:c>
      <x:c r="N77" t="str">
        <x:v>0</x:v>
      </x:c>
      <x:c r="O77" t="str">
        <x:v>0fd6ad2d-3389-4e70-8974-eb85ee223eeb</x:v>
      </x:c>
      <x:c r="P77" t="str">
        <x:v>2026-09-04</x:v>
      </x:c>
    </x:row>
    <x:row r="78">
      <x:c r="A78" t="str">
        <x:v>重点观察</x:v>
      </x:c>
      <x:c r="B78" t="str">
        <x:v>补全 PB、财报，等待Agent自动验证</x:v>
      </x:c>
      <x:c r="C78" t="str">
        <x:v>603993</x:v>
      </x:c>
      <x:c r="D78" t="str">
        <x:v>洛阳钼业</x:v>
      </x:c>
      <x:c r="E78" t="str">
        <x:v>主板</x:v>
      </x:c>
      <x:c r="F78" t="str">
        <x:v>待行业映射</x:v>
      </x:c>
      <x:c r="G78" t="str">
        <x:v>当前全市场行情快照缺少 PB；只能作为待补全研究队列，不得按完整估值条件生成交易建议。</x:v>
      </x:c>
      <x:c r="H78" t="n">
        <x:v>18.48</x:v>
      </x:c>
      <x:c r="I78" t="n">
        <x:v>14.21</x:v>
      </x:c>
      <x:c r="J78"/>
      <x:c r="K78" t="str">
        <x:v>待归档官方财报</x:v>
      </x:c>
      <x:c r="L78" t="str">
        <x:v>AkShare / Tencent all-A market snapshot</x:v>
      </x:c>
      <x:c r="M78" t="str">
        <x:v>ProxyError: primary market source unavailable; see source_id for full audit.</x:v>
      </x:c>
      <x:c r="N78" t="str">
        <x:v>0</x:v>
      </x:c>
      <x:c r="O78" t="str">
        <x:v>0fd6ad2d-3389-4e70-8974-eb85ee223eeb</x:v>
      </x:c>
      <x:c r="P78" t="str">
        <x:v>2026-09-04</x:v>
      </x:c>
    </x:row>
    <x:row r="79">
      <x:c r="A79" t="str">
        <x:v>重点观察</x:v>
      </x:c>
      <x:c r="B79" t="str">
        <x:v>补全 PB、财报，等待Agent自动验证</x:v>
      </x:c>
      <x:c r="C79" t="str">
        <x:v>601872</x:v>
      </x:c>
      <x:c r="D79" t="str">
        <x:v>招商轮船</x:v>
      </x:c>
      <x:c r="E79" t="str">
        <x:v>主板</x:v>
      </x:c>
      <x:c r="F79" t="str">
        <x:v>待行业映射</x:v>
      </x:c>
      <x:c r="G79" t="str">
        <x:v>当前全市场行情快照缺少 PB；只能作为待补全研究队列，不得按完整估值条件生成交易建议。</x:v>
      </x:c>
      <x:c r="H79" t="n">
        <x:v>19.2</x:v>
      </x:c>
      <x:c r="I79" t="n">
        <x:v>14.29</x:v>
      </x:c>
      <x:c r="J79"/>
      <x:c r="K79" t="str">
        <x:v>待归档官方财报</x:v>
      </x:c>
      <x:c r="L79" t="str">
        <x:v>AkShare / Tencent all-A market snapshot</x:v>
      </x:c>
      <x:c r="M79" t="str">
        <x:v>ProxyError: primary market source unavailable; see source_id for full audit.</x:v>
      </x:c>
      <x:c r="N79" t="str">
        <x:v>0</x:v>
      </x:c>
      <x:c r="O79" t="str">
        <x:v>0fd6ad2d-3389-4e70-8974-eb85ee223eeb</x:v>
      </x:c>
      <x:c r="P79" t="str">
        <x:v>2026-09-04</x:v>
      </x:c>
    </x:row>
    <x:row r="80">
      <x:c r="A80" t="str">
        <x:v>重点观察</x:v>
      </x:c>
      <x:c r="B80" t="str">
        <x:v>补全 PB、财报，等待Agent自动验证</x:v>
      </x:c>
      <x:c r="C80" t="str">
        <x:v>601117</x:v>
      </x:c>
      <x:c r="D80" t="str">
        <x:v>中国化学</x:v>
      </x:c>
      <x:c r="E80" t="str">
        <x:v>主板</x:v>
      </x:c>
      <x:c r="F80" t="str">
        <x:v>待行业映射</x:v>
      </x:c>
      <x:c r="G80" t="str">
        <x:v>当前全市场行情快照缺少 PB；只能作为待补全研究队列，不得按完整估值条件生成交易建议。</x:v>
      </x:c>
      <x:c r="H80" t="n">
        <x:v>7.42</x:v>
      </x:c>
      <x:c r="I80" t="n">
        <x:v>6.99</x:v>
      </x:c>
      <x:c r="J80"/>
      <x:c r="K80" t="str">
        <x:v>待归档官方财报</x:v>
      </x:c>
      <x:c r="L80" t="str">
        <x:v>AkShare / Tencent all-A market snapshot</x:v>
      </x:c>
      <x:c r="M80" t="str">
        <x:v>ProxyError: primary market source unavailable; see source_id for full audit.</x:v>
      </x:c>
      <x:c r="N80" t="str">
        <x:v>0</x:v>
      </x:c>
      <x:c r="O80" t="str">
        <x:v>0fd6ad2d-3389-4e70-8974-eb85ee223eeb</x:v>
      </x:c>
      <x:c r="P80" t="str">
        <x:v>2026-09-04</x:v>
      </x:c>
    </x:row>
    <x:row r="81">
      <x:c r="A81" t="str">
        <x:v>重点观察</x:v>
      </x:c>
      <x:c r="B81" t="str">
        <x:v>补全 PB、财报，等待Agent自动验证</x:v>
      </x:c>
      <x:c r="C81" t="str">
        <x:v>001309</x:v>
      </x:c>
      <x:c r="D81" t="str">
        <x:v>德明利</x:v>
      </x:c>
      <x:c r="E81" t="str">
        <x:v>主板</x:v>
      </x:c>
      <x:c r="F81" t="str">
        <x:v>待行业映射</x:v>
      </x:c>
      <x:c r="G81" t="str">
        <x:v>当前全市场行情快照缺少 PB；只能作为待补全研究队列，不得按完整估值条件生成交易建议。</x:v>
      </x:c>
      <x:c r="H81" t="n">
        <x:v>391.3</x:v>
      </x:c>
      <x:c r="I81" t="n">
        <x:v>13.01</x:v>
      </x:c>
      <x:c r="J81"/>
      <x:c r="K81" t="str">
        <x:v>待归档官方财报</x:v>
      </x:c>
      <x:c r="L81" t="str">
        <x:v>AkShare / Tencent all-A market snapshot</x:v>
      </x:c>
      <x:c r="M81" t="str">
        <x:v>ProxyError: primary market source unavailable; see source_id for full audit.</x:v>
      </x:c>
      <x:c r="N81" t="str">
        <x:v>0</x:v>
      </x:c>
      <x:c r="O81" t="str">
        <x:v>0fd6ad2d-3389-4e70-8974-eb85ee223eeb</x:v>
      </x:c>
      <x:c r="P81" t="str">
        <x:v>2026-09-04</x:v>
      </x:c>
    </x:row>
    <x:row r="82">
      <x:c r="A82" t="str">
        <x:v>重点观察</x:v>
      </x:c>
      <x:c r="B82" t="str">
        <x:v>证券公司专用模型待核验</x:v>
      </x:c>
      <x:c r="C82" t="str">
        <x:v>600958</x:v>
      </x:c>
      <x:c r="D82" t="str">
        <x:v>东方证券</x:v>
      </x:c>
      <x:c r="E82" t="str">
        <x:v>主板</x:v>
      </x:c>
      <x:c r="F82" t="str">
        <x:v>待行业映射</x:v>
      </x:c>
      <x:c r="G82" t="str">
        <x:v>名称/板块初步识别为证券公司；须以同一报告期官方披露复核专用指标和行业分类，禁止套用通用企业现金流、负债率或 EV/EBITDA 规则。 当前公共行情快照缺少 PB，须在专用模型复核中补齐。</x:v>
      </x:c>
      <x:c r="H82" t="n">
        <x:v>9.27</x:v>
      </x:c>
      <x:c r="I82" t="n">
        <x:v>11.78</x:v>
      </x:c>
      <x:c r="J82"/>
      <x:c r="K82" t="str">
        <x:v>待归档官方财报</x:v>
      </x:c>
      <x:c r="L82" t="str">
        <x:v>AkShare / Tencent all-A market snapshot</x:v>
      </x:c>
      <x:c r="M82" t="str">
        <x:v>ProxyError: primary market source unavailable; see source_id for full audit.</x:v>
      </x:c>
      <x:c r="N82" t="str">
        <x:v>0</x:v>
      </x:c>
      <x:c r="O82" t="str">
        <x:v>0fd6ad2d-3389-4e70-8974-eb85ee223eeb</x:v>
      </x:c>
      <x:c r="P82" t="str">
        <x:v>2026-09-04</x:v>
      </x:c>
    </x:row>
    <x:row r="83">
      <x:c r="A83" t="str">
        <x:v>重点观察</x:v>
      </x:c>
      <x:c r="B83" t="str">
        <x:v>补全 PB、财报，等待Agent自动验证</x:v>
      </x:c>
      <x:c r="C83" t="str">
        <x:v>600809</x:v>
      </x:c>
      <x:c r="D83" t="str">
        <x:v>山西汾酒</x:v>
      </x:c>
      <x:c r="E83" t="str">
        <x:v>主板</x:v>
      </x:c>
      <x:c r="F83" t="str">
        <x:v>待行业映射</x:v>
      </x:c>
      <x:c r="G83" t="str">
        <x:v>当前全市场行情快照缺少 PB；只能作为待补全研究队列，不得按完整估值条件生成交易建议。</x:v>
      </x:c>
      <x:c r="H83" t="n">
        <x:v>122.56</x:v>
      </x:c>
      <x:c r="I83" t="n">
        <x:v>14.69</x:v>
      </x:c>
      <x:c r="J83"/>
      <x:c r="K83" t="str">
        <x:v>待归档官方财报</x:v>
      </x:c>
      <x:c r="L83" t="str">
        <x:v>AkShare / Tencent all-A market snapshot</x:v>
      </x:c>
      <x:c r="M83" t="str">
        <x:v>ProxyError: primary market source unavailable; see source_id for full audit.</x:v>
      </x:c>
      <x:c r="N83" t="str">
        <x:v>0</x:v>
      </x:c>
      <x:c r="O83" t="str">
        <x:v>0fd6ad2d-3389-4e70-8974-eb85ee223eeb</x:v>
      </x:c>
      <x:c r="P83" t="str">
        <x:v>2026-09-04</x:v>
      </x:c>
    </x:row>
    <x:row r="84">
      <x:c r="A84" t="str">
        <x:v>重点观察</x:v>
      </x:c>
      <x:c r="B84" t="str">
        <x:v>银行专用模型待核验</x:v>
      </x:c>
      <x:c r="C84" t="str">
        <x:v>601997</x:v>
      </x:c>
      <x:c r="D84" t="str">
        <x:v>贵阳银行</x:v>
      </x:c>
      <x:c r="E84" t="str">
        <x:v>主板</x:v>
      </x:c>
      <x:c r="F84" t="str">
        <x:v>待行业映射</x:v>
      </x:c>
      <x:c r="G84" t="str">
        <x:v>名称/板块初步识别为银行；须以同一报告期官方披露复核专用指标和行业分类，禁止套用通用企业现金流、负债率或 EV/EBITDA 规则。 当前公共行情快照缺少 PB，须在专用模型复核中补齐。</x:v>
      </x:c>
      <x:c r="H84" t="n">
        <x:v>5.62</x:v>
      </x:c>
      <x:c r="I84" t="n">
        <x:v>4</x:v>
      </x:c>
      <x:c r="J84"/>
      <x:c r="K84" t="str">
        <x:v>待归档官方财报</x:v>
      </x:c>
      <x:c r="L84" t="str">
        <x:v>AkShare / Tencent all-A market snapshot</x:v>
      </x:c>
      <x:c r="M84" t="str">
        <x:v>ProxyError: primary market source unavailable; see source_id for full audit.</x:v>
      </x:c>
      <x:c r="N84" t="str">
        <x:v>0</x:v>
      </x:c>
      <x:c r="O84" t="str">
        <x:v>0fd6ad2d-3389-4e70-8974-eb85ee223eeb</x:v>
      </x:c>
      <x:c r="P84" t="str">
        <x:v>2026-09-04</x:v>
      </x:c>
    </x:row>
    <x:row r="85">
      <x:c r="A85" t="str">
        <x:v>重点观察</x:v>
      </x:c>
      <x:c r="B85" t="str">
        <x:v>银行专用模型待核验</x:v>
      </x:c>
      <x:c r="C85" t="str">
        <x:v>601665</x:v>
      </x:c>
      <x:c r="D85" t="str">
        <x:v>齐鲁银行</x:v>
      </x:c>
      <x:c r="E85" t="str">
        <x:v>主板</x:v>
      </x:c>
      <x:c r="F85" t="str">
        <x:v>待行业映射</x:v>
      </x:c>
      <x:c r="G85" t="str">
        <x:v>名称/板块初步识别为银行；须以同一报告期官方披露复核专用指标和行业分类，禁止套用通用企业现金流、负债率或 EV/EBITDA 规则。 当前公共行情快照缺少 PB，须在专用模型复核中补齐。</x:v>
      </x:c>
      <x:c r="H85" t="n">
        <x:v>7.21</x:v>
      </x:c>
      <x:c r="I85" t="n">
        <x:v>7.21</x:v>
      </x:c>
      <x:c r="J85"/>
      <x:c r="K85" t="str">
        <x:v>待归档官方财报</x:v>
      </x:c>
      <x:c r="L85" t="str">
        <x:v>AkShare / Tencent all-A market snapshot</x:v>
      </x:c>
      <x:c r="M85" t="str">
        <x:v>ProxyError: primary market source unavailable; see source_id for full audit.</x:v>
      </x:c>
      <x:c r="N85" t="str">
        <x:v>0</x:v>
      </x:c>
      <x:c r="O85" t="str">
        <x:v>0fd6ad2d-3389-4e70-8974-eb85ee223eeb</x:v>
      </x:c>
      <x:c r="P85" t="str">
        <x:v>2026-09-04</x:v>
      </x:c>
    </x:row>
    <x:row r="86">
      <x:c r="A86" t="str">
        <x:v>重点观察</x:v>
      </x:c>
      <x:c r="B86" t="str">
        <x:v>补全 PB、财报，等待Agent自动验证</x:v>
      </x:c>
      <x:c r="C86" t="str">
        <x:v>600309</x:v>
      </x:c>
      <x:c r="D86" t="str">
        <x:v>万华化学</x:v>
      </x:c>
      <x:c r="E86" t="str">
        <x:v>主板</x:v>
      </x:c>
      <x:c r="F86" t="str">
        <x:v>待行业映射</x:v>
      </x:c>
      <x:c r="G86" t="str">
        <x:v>当前全市场行情快照缺少 PB；只能作为待补全研究队列，不得按完整估值条件生成交易建议。</x:v>
      </x:c>
      <x:c r="H86" t="n">
        <x:v>77.66</x:v>
      </x:c>
      <x:c r="I86" t="n">
        <x:v>14.76</x:v>
      </x:c>
      <x:c r="J86"/>
      <x:c r="K86" t="str">
        <x:v>待归档官方财报</x:v>
      </x:c>
      <x:c r="L86" t="str">
        <x:v>AkShare / Tencent all-A market snapshot</x:v>
      </x:c>
      <x:c r="M86" t="str">
        <x:v>ProxyError: primary market source unavailable; see source_id for full audit.</x:v>
      </x:c>
      <x:c r="N86" t="str">
        <x:v>0</x:v>
      </x:c>
      <x:c r="O86" t="str">
        <x:v>0fd6ad2d-3389-4e70-8974-eb85ee223eeb</x:v>
      </x:c>
      <x:c r="P86" t="str">
        <x:v>2026-09-04</x:v>
      </x:c>
    </x:row>
    <x:row r="87">
      <x:c r="A87" t="str">
        <x:v>重点观察</x:v>
      </x:c>
      <x:c r="B87" t="str">
        <x:v>银行专用模型待核验</x:v>
      </x:c>
      <x:c r="C87" t="str">
        <x:v>601963</x:v>
      </x:c>
      <x:c r="D87" t="str">
        <x:v>重庆银行</x:v>
      </x:c>
      <x:c r="E87" t="str">
        <x:v>主板</x:v>
      </x:c>
      <x:c r="F87" t="str">
        <x:v>待行业映射</x:v>
      </x:c>
      <x:c r="G87" t="str">
        <x:v>名称/板块初步识别为银行；须以同一报告期官方披露复核专用指标和行业分类，禁止套用通用企业现金流、负债率或 EV/EBITDA 规则。 当前公共行情快照缺少 PB，须在专用模型复核中补齐。</x:v>
      </x:c>
      <x:c r="H87" t="n">
        <x:v>11.34</x:v>
      </x:c>
      <x:c r="I87" t="n">
        <x:v>6.87</x:v>
      </x:c>
      <x:c r="J87"/>
      <x:c r="K87" t="str">
        <x:v>待归档官方财报</x:v>
      </x:c>
      <x:c r="L87" t="str">
        <x:v>AkShare / Tencent all-A market snapshot</x:v>
      </x:c>
      <x:c r="M87" t="str">
        <x:v>ProxyError: primary market source unavailable; see source_id for full audit.</x:v>
      </x:c>
      <x:c r="N87" t="str">
        <x:v>0</x:v>
      </x:c>
      <x:c r="O87" t="str">
        <x:v>0fd6ad2d-3389-4e70-8974-eb85ee223eeb</x:v>
      </x:c>
      <x:c r="P87" t="str">
        <x:v>2026-09-04</x:v>
      </x:c>
    </x:row>
    <x:row r="88">
      <x:c r="A88" t="str">
        <x:v>重点观察</x:v>
      </x:c>
      <x:c r="B88" t="str">
        <x:v>补全 PB、财报，等待Agent自动验证</x:v>
      </x:c>
      <x:c r="C88" t="str">
        <x:v>600841</x:v>
      </x:c>
      <x:c r="D88" t="str">
        <x:v>动力新科</x:v>
      </x:c>
      <x:c r="E88" t="str">
        <x:v>主板</x:v>
      </x:c>
      <x:c r="F88" t="str">
        <x:v>待行业映射</x:v>
      </x:c>
      <x:c r="G88" t="str">
        <x:v>当前全市场行情快照缺少 PB；只能作为待补全研究队列，不得按完整估值条件生成交易建议。</x:v>
      </x:c>
      <x:c r="H88" t="n">
        <x:v>5.8</x:v>
      </x:c>
      <x:c r="I88" t="n">
        <x:v>2.48</x:v>
      </x:c>
      <x:c r="J88"/>
      <x:c r="K88" t="str">
        <x:v>待归档官方财报</x:v>
      </x:c>
      <x:c r="L88" t="str">
        <x:v>AkShare / Tencent all-A market snapshot</x:v>
      </x:c>
      <x:c r="M88" t="str">
        <x:v>ProxyError: primary market source unavailable; see source_id for full audit.</x:v>
      </x:c>
      <x:c r="N88" t="str">
        <x:v>0</x:v>
      </x:c>
      <x:c r="O88" t="str">
        <x:v>0fd6ad2d-3389-4e70-8974-eb85ee223eeb</x:v>
      </x:c>
      <x:c r="P88" t="str">
        <x:v>2026-09-04</x:v>
      </x:c>
    </x:row>
    <x:row r="89">
      <x:c r="A89" t="str">
        <x:v>重点观察</x:v>
      </x:c>
      <x:c r="B89" t="str">
        <x:v>银行专用模型待核验</x:v>
      </x:c>
      <x:c r="C89" t="str">
        <x:v>002948</x:v>
      </x:c>
      <x:c r="D89" t="str">
        <x:v>青岛银行</x:v>
      </x:c>
      <x:c r="E89" t="str">
        <x:v>主板</x:v>
      </x:c>
      <x:c r="F89" t="str">
        <x:v>待行业映射</x:v>
      </x:c>
      <x:c r="G89" t="str">
        <x:v>名称/板块初步识别为银行；须以同一报告期官方披露复核专用指标和行业分类，禁止套用通用企业现金流、负债率或 EV/EBITDA 规则。 当前公共行情快照缺少 PB，须在专用模型复核中补齐。</x:v>
      </x:c>
      <x:c r="H89" t="n">
        <x:v>6.35</x:v>
      </x:c>
      <x:c r="I89" t="n">
        <x:v>6.44</x:v>
      </x:c>
      <x:c r="J89"/>
      <x:c r="K89" t="str">
        <x:v>待归档官方财报</x:v>
      </x:c>
      <x:c r="L89" t="str">
        <x:v>AkShare / Tencent all-A market snapshot</x:v>
      </x:c>
      <x:c r="M89" t="str">
        <x:v>ProxyError: primary market source unavailable; see source_id for full audit.</x:v>
      </x:c>
      <x:c r="N89" t="str">
        <x:v>0</x:v>
      </x:c>
      <x:c r="O89" t="str">
        <x:v>0fd6ad2d-3389-4e70-8974-eb85ee223eeb</x:v>
      </x:c>
      <x:c r="P89" t="str">
        <x:v>2026-09-04</x:v>
      </x:c>
    </x:row>
    <x:row r="90">
      <x:c r="A90" t="str">
        <x:v>重点观察</x:v>
      </x:c>
      <x:c r="B90" t="str">
        <x:v>补全 PB、财报，等待Agent自动验证</x:v>
      </x:c>
      <x:c r="C90" t="str">
        <x:v>000333</x:v>
      </x:c>
      <x:c r="D90" t="str">
        <x:v>美的集团</x:v>
      </x:c>
      <x:c r="E90" t="str">
        <x:v>主板</x:v>
      </x:c>
      <x:c r="F90" t="str">
        <x:v>待行业映射</x:v>
      </x:c>
      <x:c r="G90" t="str">
        <x:v>当前全市场行情快照缺少 PB；只能作为待补全研究队列，不得按完整估值条件生成交易建议。</x:v>
      </x:c>
      <x:c r="H90" t="n">
        <x:v>87.57</x:v>
      </x:c>
      <x:c r="I90" t="n">
        <x:v>15.05</x:v>
      </x:c>
      <x:c r="J90"/>
      <x:c r="K90" t="str">
        <x:v>待归档官方财报</x:v>
      </x:c>
      <x:c r="L90" t="str">
        <x:v>AkShare / Tencent all-A market snapshot</x:v>
      </x:c>
      <x:c r="M90" t="str">
        <x:v>ProxyError: primary market source unavailable; see source_id for full audit.</x:v>
      </x:c>
      <x:c r="N90" t="str">
        <x:v>0</x:v>
      </x:c>
      <x:c r="O90" t="str">
        <x:v>0fd6ad2d-3389-4e70-8974-eb85ee223eeb</x:v>
      </x:c>
      <x:c r="P90" t="str">
        <x:v>2026-09-04</x:v>
      </x:c>
    </x:row>
    <x:row r="91">
      <x:c r="A91" t="str">
        <x:v>重点观察</x:v>
      </x:c>
      <x:c r="B91" t="str">
        <x:v>银行专用模型待核验</x:v>
      </x:c>
      <x:c r="C91" t="str">
        <x:v>002966</x:v>
      </x:c>
      <x:c r="D91" t="str">
        <x:v>苏州银行</x:v>
      </x:c>
      <x:c r="E91" t="str">
        <x:v>主板</x:v>
      </x:c>
      <x:c r="F91" t="str">
        <x:v>待行业映射</x:v>
      </x:c>
      <x:c r="G91" t="str">
        <x:v>名称/板块初步识别为银行；须以同一报告期官方披露复核专用指标和行业分类，禁止套用通用企业现金流、负债率或 EV/EBITDA 规则。 当前公共行情快照缺少 PB，须在专用模型复核中补齐。</x:v>
      </x:c>
      <x:c r="H91" t="n">
        <x:v>9.2</x:v>
      </x:c>
      <x:c r="I91" t="n">
        <x:v>7.33</x:v>
      </x:c>
      <x:c r="J91"/>
      <x:c r="K91" t="str">
        <x:v>待归档官方财报</x:v>
      </x:c>
      <x:c r="L91" t="str">
        <x:v>AkShare / Tencent all-A market snapshot</x:v>
      </x:c>
      <x:c r="M91" t="str">
        <x:v>ProxyError: primary market source unavailable; see source_id for full audit.</x:v>
      </x:c>
      <x:c r="N91" t="str">
        <x:v>0</x:v>
      </x:c>
      <x:c r="O91" t="str">
        <x:v>0fd6ad2d-3389-4e70-8974-eb85ee223eeb</x:v>
      </x:c>
      <x:c r="P91" t="str">
        <x:v>2026-09-04</x:v>
      </x:c>
    </x:row>
    <x:row r="92">
      <x:c r="A92" t="str">
        <x:v>重点观察</x:v>
      </x:c>
      <x:c r="B92" t="str">
        <x:v>补全 PB、财报，等待Agent自动验证</x:v>
      </x:c>
      <x:c r="C92" t="str">
        <x:v>600795</x:v>
      </x:c>
      <x:c r="D92" t="str">
        <x:v>国电电力</x:v>
      </x:c>
      <x:c r="E92" t="str">
        <x:v>主板</x:v>
      </x:c>
      <x:c r="F92" t="str">
        <x:v>待行业映射</x:v>
      </x:c>
      <x:c r="G92" t="str">
        <x:v>当前全市场行情快照缺少 PB；只能作为待补全研究队列，不得按完整估值条件生成交易建议。</x:v>
      </x:c>
      <x:c r="H92" t="n">
        <x:v>5.37</x:v>
      </x:c>
      <x:c r="I92" t="n">
        <x:v>14.76</x:v>
      </x:c>
      <x:c r="J92"/>
      <x:c r="K92" t="str">
        <x:v>待归档官方财报</x:v>
      </x:c>
      <x:c r="L92" t="str">
        <x:v>AkShare / Tencent all-A market snapshot</x:v>
      </x:c>
      <x:c r="M92" t="str">
        <x:v>ProxyError: primary market source unavailable; see source_id for full audit.</x:v>
      </x:c>
      <x:c r="N92" t="str">
        <x:v>0</x:v>
      </x:c>
      <x:c r="O92" t="str">
        <x:v>0fd6ad2d-3389-4e70-8974-eb85ee223eeb</x:v>
      </x:c>
      <x:c r="P92" t="str">
        <x:v>2026-09-04</x:v>
      </x:c>
    </x:row>
    <x:row r="93">
      <x:c r="A93" t="str">
        <x:v>重点观察</x:v>
      </x:c>
      <x:c r="B93" t="str">
        <x:v>补全 PB、财报，等待Agent自动验证</x:v>
      </x:c>
      <x:c r="C93" t="str">
        <x:v>002611</x:v>
      </x:c>
      <x:c r="D93" t="str">
        <x:v>东方精工</x:v>
      </x:c>
      <x:c r="E93" t="str">
        <x:v>主板</x:v>
      </x:c>
      <x:c r="F93" t="str">
        <x:v>待行业映射</x:v>
      </x:c>
      <x:c r="G93" t="str">
        <x:v>当前全市场行情快照缺少 PB；只能作为待补全研究队列，不得按完整估值条件生成交易建议。</x:v>
      </x:c>
      <x:c r="H93" t="n">
        <x:v>14.77</x:v>
      </x:c>
      <x:c r="I93" t="n">
        <x:v>4.31</x:v>
      </x:c>
      <x:c r="J93"/>
      <x:c r="K93" t="str">
        <x:v>待归档官方财报</x:v>
      </x:c>
      <x:c r="L93" t="str">
        <x:v>AkShare / Tencent all-A market snapshot</x:v>
      </x:c>
      <x:c r="M93" t="str">
        <x:v>ProxyError: primary market source unavailable; see source_id for full audit.</x:v>
      </x:c>
      <x:c r="N93" t="str">
        <x:v>0</x:v>
      </x:c>
      <x:c r="O93" t="str">
        <x:v>0fd6ad2d-3389-4e70-8974-eb85ee223eeb</x:v>
      </x:c>
      <x:c r="P93" t="str">
        <x:v>2026-09-04</x:v>
      </x:c>
    </x:row>
    <x:row r="94">
      <x:c r="A94" t="str">
        <x:v>重点观察</x:v>
      </x:c>
      <x:c r="B94" t="str">
        <x:v>补全 PB、财报，等待Agent自动验证</x:v>
      </x:c>
      <x:c r="C94" t="str">
        <x:v>000708</x:v>
      </x:c>
      <x:c r="D94" t="str">
        <x:v>中信特钢</x:v>
      </x:c>
      <x:c r="E94" t="str">
        <x:v>主板</x:v>
      </x:c>
      <x:c r="F94" t="str">
        <x:v>待行业映射</x:v>
      </x:c>
      <x:c r="G94" t="str">
        <x:v>当前全市场行情快照缺少 PB；只能作为待补全研究队列，不得按完整估值条件生成交易建议。</x:v>
      </x:c>
      <x:c r="H94" t="n">
        <x:v>13.59</x:v>
      </x:c>
      <x:c r="I94" t="n">
        <x:v>11.21</x:v>
      </x:c>
      <x:c r="J94"/>
      <x:c r="K94" t="str">
        <x:v>待归档官方财报</x:v>
      </x:c>
      <x:c r="L94" t="str">
        <x:v>AkShare / Tencent all-A market snapshot</x:v>
      </x:c>
      <x:c r="M94" t="str">
        <x:v>ProxyError: primary market source unavailable; see source_id for full audit.</x:v>
      </x:c>
      <x:c r="N94" t="str">
        <x:v>0</x:v>
      </x:c>
      <x:c r="O94" t="str">
        <x:v>0fd6ad2d-3389-4e70-8974-eb85ee223eeb</x:v>
      </x:c>
      <x:c r="P94" t="str">
        <x:v>2026-09-04</x:v>
      </x:c>
    </x:row>
    <x:row r="95">
      <x:c r="A95" t="str">
        <x:v>重点观察</x:v>
      </x:c>
      <x:c r="B95" t="str">
        <x:v>补全 PB、财报，等待Agent自动验证</x:v>
      </x:c>
      <x:c r="C95" t="str">
        <x:v>000415</x:v>
      </x:c>
      <x:c r="D95" t="str">
        <x:v>渤海租赁</x:v>
      </x:c>
      <x:c r="E95" t="str">
        <x:v>主板</x:v>
      </x:c>
      <x:c r="F95" t="str">
        <x:v>待行业映射</x:v>
      </x:c>
      <x:c r="G95" t="str">
        <x:v>当前全市场行情快照缺少 PB；只能作为待补全研究队列，不得按完整估值条件生成交易建议。</x:v>
      </x:c>
      <x:c r="H95" t="n">
        <x:v>4.56</x:v>
      </x:c>
      <x:c r="I95" t="n">
        <x:v>5.85</x:v>
      </x:c>
      <x:c r="J95"/>
      <x:c r="K95" t="str">
        <x:v>待归档官方财报</x:v>
      </x:c>
      <x:c r="L95" t="str">
        <x:v>AkShare / Tencent all-A market snapshot</x:v>
      </x:c>
      <x:c r="M95" t="str">
        <x:v>ProxyError: primary market source unavailable; see source_id for full audit.</x:v>
      </x:c>
      <x:c r="N95" t="str">
        <x:v>0</x:v>
      </x:c>
      <x:c r="O95" t="str">
        <x:v>0fd6ad2d-3389-4e70-8974-eb85ee223eeb</x:v>
      </x:c>
      <x:c r="P95" t="str">
        <x:v>2026-09-04</x:v>
      </x:c>
    </x:row>
    <x:row r="96">
      <x:c r="A96" t="str">
        <x:v>重点观察</x:v>
      </x:c>
      <x:c r="B96" t="str">
        <x:v>补全 PB、财报，等待Agent自动验证</x:v>
      </x:c>
      <x:c r="C96" t="str">
        <x:v>002602</x:v>
      </x:c>
      <x:c r="D96" t="str">
        <x:v>世纪华通</x:v>
      </x:c>
      <x:c r="E96" t="str">
        <x:v>主板</x:v>
      </x:c>
      <x:c r="F96" t="str">
        <x:v>待行业映射</x:v>
      </x:c>
      <x:c r="G96" t="str">
        <x:v>当前全市场行情快照缺少 PB；只能作为待补全研究队列，不得按完整估值条件生成交易建议。</x:v>
      </x:c>
      <x:c r="H96" t="n">
        <x:v>15.73</x:v>
      </x:c>
      <x:c r="I96" t="n">
        <x:v>15.56</x:v>
      </x:c>
      <x:c r="J96"/>
      <x:c r="K96" t="str">
        <x:v>待归档官方财报</x:v>
      </x:c>
      <x:c r="L96" t="str">
        <x:v>AkShare / Tencent all-A market snapshot</x:v>
      </x:c>
      <x:c r="M96" t="str">
        <x:v>ProxyError: primary market source unavailable; see source_id for full audit.</x:v>
      </x:c>
      <x:c r="N96" t="str">
        <x:v>0</x:v>
      </x:c>
      <x:c r="O96" t="str">
        <x:v>0fd6ad2d-3389-4e70-8974-eb85ee223eeb</x:v>
      </x:c>
      <x:c r="P96" t="str">
        <x:v>2026-09-04</x:v>
      </x:c>
    </x:row>
    <x:row r="97">
      <x:c r="A97" t="str">
        <x:v>重点观察</x:v>
      </x:c>
      <x:c r="B97" t="str">
        <x:v>补全 PB、财报，等待Agent自动验证</x:v>
      </x:c>
      <x:c r="C97" t="str">
        <x:v>002352</x:v>
      </x:c>
      <x:c r="D97" t="str">
        <x:v>顺丰控股</x:v>
      </x:c>
      <x:c r="E97" t="str">
        <x:v>主板</x:v>
      </x:c>
      <x:c r="F97" t="str">
        <x:v>待行业映射</x:v>
      </x:c>
      <x:c r="G97" t="str">
        <x:v>当前全市场行情快照缺少 PB；只能作为待补全研究队列，不得按完整估值条件生成交易建议。</x:v>
      </x:c>
      <x:c r="H97" t="n">
        <x:v>32.22</x:v>
      </x:c>
      <x:c r="I97" t="n">
        <x:v>15.59</x:v>
      </x:c>
      <x:c r="J97"/>
      <x:c r="K97" t="str">
        <x:v>待归档官方财报</x:v>
      </x:c>
      <x:c r="L97" t="str">
        <x:v>AkShare / Tencent all-A market snapshot</x:v>
      </x:c>
      <x:c r="M97" t="str">
        <x:v>ProxyError: primary market source unavailable; see source_id for full audit.</x:v>
      </x:c>
      <x:c r="N97" t="str">
        <x:v>0</x:v>
      </x:c>
      <x:c r="O97" t="str">
        <x:v>0fd6ad2d-3389-4e70-8974-eb85ee223eeb</x:v>
      </x:c>
      <x:c r="P97" t="str">
        <x:v>2026-09-04</x:v>
      </x:c>
    </x:row>
    <x:row r="98">
      <x:c r="A98" t="str">
        <x:v>重点观察</x:v>
      </x:c>
      <x:c r="B98" t="str">
        <x:v>补全 PB、财报，等待Agent自动验证</x:v>
      </x:c>
      <x:c r="C98" t="str">
        <x:v>601066</x:v>
      </x:c>
      <x:c r="D98" t="str">
        <x:v>中信建投</x:v>
      </x:c>
      <x:c r="E98" t="str">
        <x:v>主板</x:v>
      </x:c>
      <x:c r="F98" t="str">
        <x:v>待行业映射</x:v>
      </x:c>
      <x:c r="G98" t="str">
        <x:v>当前全市场行情快照缺少 PB；只能作为待补全研究队列，不得按完整估值条件生成交易建议。</x:v>
      </x:c>
      <x:c r="H98" t="n">
        <x:v>25.28</x:v>
      </x:c>
      <x:c r="I98" t="n">
        <x:v>15.6</x:v>
      </x:c>
      <x:c r="J98"/>
      <x:c r="K98" t="str">
        <x:v>待归档官方财报</x:v>
      </x:c>
      <x:c r="L98" t="str">
        <x:v>AkShare / Tencent all-A market snapshot</x:v>
      </x:c>
      <x:c r="M98" t="str">
        <x:v>ProxyError: primary market source unavailable; see source_id for full audit.</x:v>
      </x:c>
      <x:c r="N98" t="str">
        <x:v>0</x:v>
      </x:c>
      <x:c r="O98" t="str">
        <x:v>0fd6ad2d-3389-4e70-8974-eb85ee223eeb</x:v>
      </x:c>
      <x:c r="P98" t="str">
        <x:v>2026-09-04</x:v>
      </x:c>
    </x:row>
    <x:row r="99">
      <x:c r="A99" t="str">
        <x:v>重点观察</x:v>
      </x:c>
      <x:c r="B99" t="str">
        <x:v>银行专用模型待核验</x:v>
      </x:c>
      <x:c r="C99" t="str">
        <x:v>601128</x:v>
      </x:c>
      <x:c r="D99" t="str">
        <x:v>常熟银行</x:v>
      </x:c>
      <x:c r="E99" t="str">
        <x:v>主板</x:v>
      </x:c>
      <x:c r="F99" t="str">
        <x:v>待行业映射</x:v>
      </x:c>
      <x:c r="G99" t="str">
        <x:v>名称/板块初步识别为银行；须以同一报告期官方披露复核专用指标和行业分类，禁止套用通用企业现金流、负债率或 EV/EBITDA 规则。 当前公共行情快照缺少 PB，须在专用模型复核中补齐。</x:v>
      </x:c>
      <x:c r="H99" t="n">
        <x:v>6.42</x:v>
      </x:c>
      <x:c r="I99" t="n">
        <x:v>5.29</x:v>
      </x:c>
      <x:c r="J99"/>
      <x:c r="K99" t="str">
        <x:v>待归档官方财报</x:v>
      </x:c>
      <x:c r="L99" t="str">
        <x:v>AkShare / Tencent all-A market snapshot</x:v>
      </x:c>
      <x:c r="M99" t="str">
        <x:v>ProxyError: primary market source unavailable; see source_id for full audit.</x:v>
      </x:c>
      <x:c r="N99" t="str">
        <x:v>0</x:v>
      </x:c>
      <x:c r="O99" t="str">
        <x:v>0fd6ad2d-3389-4e70-8974-eb85ee223eeb</x:v>
      </x:c>
      <x:c r="P99" t="str">
        <x:v>2026-09-04</x:v>
      </x:c>
    </x:row>
    <x:row r="100">
      <x:c r="A100" t="str">
        <x:v>重点观察</x:v>
      </x:c>
      <x:c r="B100" t="str">
        <x:v>补全 PB、财报，等待Agent自动验证</x:v>
      </x:c>
      <x:c r="C100" t="str">
        <x:v>000568</x:v>
      </x:c>
      <x:c r="D100" t="str">
        <x:v>泸州老窖</x:v>
      </x:c>
      <x:c r="E100" t="str">
        <x:v>主板</x:v>
      </x:c>
      <x:c r="F100" t="str">
        <x:v>待行业映射</x:v>
      </x:c>
      <x:c r="G100" t="str">
        <x:v>当前全市场行情快照缺少 PB；只能作为待补全研究队列，不得按完整估值条件生成交易建议。</x:v>
      </x:c>
      <x:c r="H100" t="n">
        <x:v>79.92</x:v>
      </x:c>
      <x:c r="I100" t="n">
        <x:v>15.67</x:v>
      </x:c>
      <x:c r="J100"/>
      <x:c r="K100" t="str">
        <x:v>待归档官方财报</x:v>
      </x:c>
      <x:c r="L100" t="str">
        <x:v>AkShare / Tencent all-A market snapshot</x:v>
      </x:c>
      <x:c r="M100" t="str">
        <x:v>ProxyError: primary market source unavailable; see source_id for full audit.</x:v>
      </x:c>
      <x:c r="N100" t="str">
        <x:v>0</x:v>
      </x:c>
      <x:c r="O100" t="str">
        <x:v>0fd6ad2d-3389-4e70-8974-eb85ee223eeb</x:v>
      </x:c>
      <x:c r="P100" t="str">
        <x:v>2026-09-04</x:v>
      </x:c>
    </x:row>
    <x:row r="101">
      <x:c r="A101" t="str">
        <x:v>重点观察</x:v>
      </x:c>
      <x:c r="B101" t="str">
        <x:v>补全 PB、财报，等待Agent自动验证</x:v>
      </x:c>
      <x:c r="C101" t="str">
        <x:v>000703</x:v>
      </x:c>
      <x:c r="D101" t="str">
        <x:v>恒逸石化</x:v>
      </x:c>
      <x:c r="E101" t="str">
        <x:v>主板</x:v>
      </x:c>
      <x:c r="F101" t="str">
        <x:v>待行业映射</x:v>
      </x:c>
      <x:c r="G101" t="str">
        <x:v>当前全市场行情快照缺少 PB；只能作为待补全研究队列，不得按完整估值条件生成交易建议。</x:v>
      </x:c>
      <x:c r="H101" t="n">
        <x:v>17.93</x:v>
      </x:c>
      <x:c r="I101" t="n">
        <x:v>11.55</x:v>
      </x:c>
      <x:c r="J101"/>
      <x:c r="K101" t="str">
        <x:v>待归档官方财报</x:v>
      </x:c>
      <x:c r="L101" t="str">
        <x:v>AkShare / Tencent all-A market snapshot</x:v>
      </x:c>
      <x:c r="M101" t="str">
        <x:v>ProxyError: primary market source unavailable; see source_id for full audit.</x:v>
      </x:c>
      <x:c r="N101" t="str">
        <x:v>0</x:v>
      </x:c>
      <x:c r="O101" t="str">
        <x:v>0fd6ad2d-3389-4e70-8974-eb85ee223eeb</x:v>
      </x:c>
      <x:c r="P101" t="str">
        <x:v>2026-09-04</x:v>
      </x:c>
    </x:row>
    <x:row r="102">
      <x:c r="A102" t="str">
        <x:v>重点观察</x:v>
      </x:c>
      <x:c r="B102" t="str">
        <x:v>补全 PB、财报，等待Agent自动验证</x:v>
      </x:c>
      <x:c r="C102" t="str">
        <x:v>600233</x:v>
      </x:c>
      <x:c r="D102" t="str">
        <x:v>圆通速递</x:v>
      </x:c>
      <x:c r="E102" t="str">
        <x:v>主板</x:v>
      </x:c>
      <x:c r="F102" t="str">
        <x:v>待行业映射</x:v>
      </x:c>
      <x:c r="G102" t="str">
        <x:v>当前全市场行情快照缺少 PB；只能作为待补全研究队列，不得按完整估值条件生成交易建议。</x:v>
      </x:c>
      <x:c r="H102" t="n">
        <x:v>16.98</x:v>
      </x:c>
      <x:c r="I102" t="n">
        <x:v>10.26</x:v>
      </x:c>
      <x:c r="J102"/>
      <x:c r="K102" t="str">
        <x:v>待归档官方财报</x:v>
      </x:c>
      <x:c r="L102" t="str">
        <x:v>AkShare / Tencent all-A market snapshot</x:v>
      </x:c>
      <x:c r="M102" t="str">
        <x:v>ProxyError: primary market source unavailable; see source_id for full audit.</x:v>
      </x:c>
      <x:c r="N102" t="str">
        <x:v>0</x:v>
      </x:c>
      <x:c r="O102" t="str">
        <x:v>0fd6ad2d-3389-4e70-8974-eb85ee223eeb</x:v>
      </x:c>
      <x:c r="P102" t="str">
        <x:v>2026-09-04</x:v>
      </x:c>
    </x:row>
    <x:row r="103">
      <x:c r="A103" t="str">
        <x:v>重点观察</x:v>
      </x:c>
      <x:c r="B103" t="str">
        <x:v>补全 PB、财报，等待Agent自动验证</x:v>
      </x:c>
      <x:c r="C103" t="str">
        <x:v>600585</x:v>
      </x:c>
      <x:c r="D103" t="str">
        <x:v>海螺水泥</x:v>
      </x:c>
      <x:c r="E103" t="str">
        <x:v>主板</x:v>
      </x:c>
      <x:c r="F103" t="str">
        <x:v>待行业映射</x:v>
      </x:c>
      <x:c r="G103" t="str">
        <x:v>当前全市场行情快照缺少 PB；只能作为待补全研究队列，不得按完整估值条件生成交易建议。</x:v>
      </x:c>
      <x:c r="H103" t="n">
        <x:v>17.88</x:v>
      </x:c>
      <x:c r="I103" t="n">
        <x:v>15.16</x:v>
      </x:c>
      <x:c r="J103"/>
      <x:c r="K103" t="str">
        <x:v>待归档官方财报</x:v>
      </x:c>
      <x:c r="L103" t="str">
        <x:v>AkShare / Tencent all-A market snapshot</x:v>
      </x:c>
      <x:c r="M103" t="str">
        <x:v>ProxyError: primary market source unavailable; see source_id for full audit.</x:v>
      </x:c>
      <x:c r="N103" t="str">
        <x:v>0</x:v>
      </x:c>
      <x:c r="O103" t="str">
        <x:v>0fd6ad2d-3389-4e70-8974-eb85ee223eeb</x:v>
      </x:c>
      <x:c r="P103" t="str">
        <x:v>2026-09-04</x:v>
      </x:c>
    </x:row>
    <x:row r="104">
      <x:c r="A104" t="str">
        <x:v>重点观察</x:v>
      </x:c>
      <x:c r="B104" t="str">
        <x:v>补全 PB、财报，等待Agent自动验证</x:v>
      </x:c>
      <x:c r="C104" t="str">
        <x:v>600886</x:v>
      </x:c>
      <x:c r="D104" t="str">
        <x:v>国投电力</x:v>
      </x:c>
      <x:c r="E104" t="str">
        <x:v>主板</x:v>
      </x:c>
      <x:c r="F104" t="str">
        <x:v>待行业映射</x:v>
      </x:c>
      <x:c r="G104" t="str">
        <x:v>当前全市场行情快照缺少 PB；只能作为待补全研究队列，不得按完整估值条件生成交易建议。</x:v>
      </x:c>
      <x:c r="H104" t="n">
        <x:v>14.25</x:v>
      </x:c>
      <x:c r="I104" t="n">
        <x:v>15.99</x:v>
      </x:c>
      <x:c r="J104"/>
      <x:c r="K104" t="str">
        <x:v>待归档官方财报</x:v>
      </x:c>
      <x:c r="L104" t="str">
        <x:v>AkShare / Tencent all-A market snapshot</x:v>
      </x:c>
      <x:c r="M104" t="str">
        <x:v>ProxyError: primary market source unavailable; see source_id for full audit.</x:v>
      </x:c>
      <x:c r="N104" t="str">
        <x:v>0</x:v>
      </x:c>
      <x:c r="O104" t="str">
        <x:v>0fd6ad2d-3389-4e70-8974-eb85ee223eeb</x:v>
      </x:c>
      <x:c r="P104" t="str">
        <x:v>2026-09-04</x:v>
      </x:c>
    </x:row>
    <x:row r="105">
      <x:c r="A105" t="str">
        <x:v>重点观察</x:v>
      </x:c>
      <x:c r="B105" t="str">
        <x:v>补全 PB、财报，等待Agent自动验证</x:v>
      </x:c>
      <x:c r="C105" t="str">
        <x:v>000425</x:v>
      </x:c>
      <x:c r="D105" t="str">
        <x:v>徐工机械</x:v>
      </x:c>
      <x:c r="E105" t="str">
        <x:v>主板</x:v>
      </x:c>
      <x:c r="F105" t="str">
        <x:v>待行业映射</x:v>
      </x:c>
      <x:c r="G105" t="str">
        <x:v>当前全市场行情快照缺少 PB；只能作为待补全研究队列，不得按完整估值条件生成交易建议。</x:v>
      </x:c>
      <x:c r="H105" t="n">
        <x:v>8.14</x:v>
      </x:c>
      <x:c r="I105" t="n">
        <x:v>15.44</x:v>
      </x:c>
      <x:c r="J105"/>
      <x:c r="K105" t="str">
        <x:v>待归档官方财报</x:v>
      </x:c>
      <x:c r="L105" t="str">
        <x:v>AkShare / Tencent all-A market snapshot</x:v>
      </x:c>
      <x:c r="M105" t="str">
        <x:v>ProxyError: primary market source unavailable; see source_id for full audit.</x:v>
      </x:c>
      <x:c r="N105" t="str">
        <x:v>0</x:v>
      </x:c>
      <x:c r="O105" t="str">
        <x:v>0fd6ad2d-3389-4e70-8974-eb85ee223eeb</x:v>
      </x:c>
      <x:c r="P105" t="str">
        <x:v>2026-09-04</x:v>
      </x:c>
    </x:row>
    <x:row r="106">
      <x:c r="A106" t="str">
        <x:v>重点观察</x:v>
      </x:c>
      <x:c r="B106" t="str">
        <x:v>补全 PB、财报，等待Agent自动验证</x:v>
      </x:c>
      <x:c r="C106" t="str">
        <x:v>688331</x:v>
      </x:c>
      <x:c r="D106" t="str">
        <x:v>荣昌生物</x:v>
      </x:c>
      <x:c r="E106" t="str">
        <x:v>科创板</x:v>
      </x:c>
      <x:c r="F106" t="str">
        <x:v>待行业映射</x:v>
      </x:c>
      <x:c r="G106" t="str">
        <x:v>当前全市场行情快照缺少 PB；只能作为待补全研究队列，不得按完整估值条件生成交易建议。</x:v>
      </x:c>
      <x:c r="H106" t="n">
        <x:v>124.24</x:v>
      </x:c>
      <x:c r="I106" t="n">
        <x:v>12.05</x:v>
      </x:c>
      <x:c r="J106"/>
      <x:c r="K106" t="str">
        <x:v>待归档官方财报</x:v>
      </x:c>
      <x:c r="L106" t="str">
        <x:v>AkShare / Tencent all-A market snapshot</x:v>
      </x:c>
      <x:c r="M106" t="str">
        <x:v>ProxyError: primary market source unavailable; see source_id for full audit.</x:v>
      </x:c>
      <x:c r="N106" t="str">
        <x:v>0</x:v>
      </x:c>
      <x:c r="O106" t="str">
        <x:v>0fd6ad2d-3389-4e70-8974-eb85ee223eeb</x:v>
      </x:c>
      <x:c r="P106" t="str">
        <x:v>2026-09-04</x:v>
      </x:c>
    </x:row>
    <x:row r="107">
      <x:c r="A107" t="str">
        <x:v>重点观察</x:v>
      </x:c>
      <x:c r="B107" t="str">
        <x:v>补全 PB、财报，等待Agent自动验证</x:v>
      </x:c>
      <x:c r="C107" t="str">
        <x:v>002460</x:v>
      </x:c>
      <x:c r="D107" t="str">
        <x:v>赣锋锂业</x:v>
      </x:c>
      <x:c r="E107" t="str">
        <x:v>主板</x:v>
      </x:c>
      <x:c r="F107" t="str">
        <x:v>待行业映射</x:v>
      </x:c>
      <x:c r="G107" t="str">
        <x:v>当前全市场行情快照缺少 PB；只能作为待补全研究队列，不得按完整估值条件生成交易建议。</x:v>
      </x:c>
      <x:c r="H107" t="n">
        <x:v>49.09</x:v>
      </x:c>
      <x:c r="I107" t="n">
        <x:v>16.08</x:v>
      </x:c>
      <x:c r="J107"/>
      <x:c r="K107" t="str">
        <x:v>待归档官方财报</x:v>
      </x:c>
      <x:c r="L107" t="str">
        <x:v>AkShare / Tencent all-A market snapshot</x:v>
      </x:c>
      <x:c r="M107" t="str">
        <x:v>ProxyError: primary market source unavailable; see source_id for full audit.</x:v>
      </x:c>
      <x:c r="N107" t="str">
        <x:v>0</x:v>
      </x:c>
      <x:c r="O107" t="str">
        <x:v>0fd6ad2d-3389-4e70-8974-eb85ee223eeb</x:v>
      </x:c>
      <x:c r="P107" t="str">
        <x:v>2026-09-04</x:v>
      </x:c>
    </x:row>
    <x:row r="108">
      <x:c r="A108" t="str">
        <x:v>重点观察</x:v>
      </x:c>
      <x:c r="B108" t="str">
        <x:v>补全 PB、财报，等待Agent自动验证</x:v>
      </x:c>
      <x:c r="C108" t="str">
        <x:v>000100</x:v>
      </x:c>
      <x:c r="D108" t="str">
        <x:v>TCL科技</x:v>
      </x:c>
      <x:c r="E108" t="str">
        <x:v>主板</x:v>
      </x:c>
      <x:c r="F108" t="str">
        <x:v>待行业映射</x:v>
      </x:c>
      <x:c r="G108" t="str">
        <x:v>当前全市场行情快照缺少 PB；只能作为待补全研究队列，不得按完整估值条件生成交易建议。</x:v>
      </x:c>
      <x:c r="H108" t="n">
        <x:v>4.8</x:v>
      </x:c>
      <x:c r="I108" t="n">
        <x:v>16.35</x:v>
      </x:c>
      <x:c r="J108"/>
      <x:c r="K108" t="str">
        <x:v>待归档官方财报</x:v>
      </x:c>
      <x:c r="L108" t="str">
        <x:v>AkShare / Tencent all-A market snapshot</x:v>
      </x:c>
      <x:c r="M108" t="str">
        <x:v>ProxyError: primary market source unavailable; see source_id for full audit.</x:v>
      </x:c>
      <x:c r="N108" t="str">
        <x:v>0</x:v>
      </x:c>
      <x:c r="O108" t="str">
        <x:v>0fd6ad2d-3389-4e70-8974-eb85ee223eeb</x:v>
      </x:c>
      <x:c r="P108" t="str">
        <x:v>2026-09-04</x:v>
      </x:c>
    </x:row>
    <x:row r="109">
      <x:c r="A109" t="str">
        <x:v>重点观察</x:v>
      </x:c>
      <x:c r="B109" t="str">
        <x:v>补全 PB、财报，等待Agent自动验证</x:v>
      </x:c>
      <x:c r="C109" t="str">
        <x:v>002432</x:v>
      </x:c>
      <x:c r="D109" t="str">
        <x:v>九安医疗</x:v>
      </x:c>
      <x:c r="E109" t="str">
        <x:v>主板</x:v>
      </x:c>
      <x:c r="F109" t="str">
        <x:v>待行业映射</x:v>
      </x:c>
      <x:c r="G109" t="str">
        <x:v>当前全市场行情快照缺少 PB；只能作为待补全研究队列，不得按完整估值条件生成交易建议。</x:v>
      </x:c>
      <x:c r="H109" t="n">
        <x:v>67.6</x:v>
      </x:c>
      <x:c r="I109" t="n">
        <x:v>7.13</x:v>
      </x:c>
      <x:c r="J109"/>
      <x:c r="K109" t="str">
        <x:v>待归档官方财报</x:v>
      </x:c>
      <x:c r="L109" t="str">
        <x:v>AkShare / Tencent all-A market snapshot</x:v>
      </x:c>
      <x:c r="M109" t="str">
        <x:v>ProxyError: primary market source unavailable; see source_id for full audit.</x:v>
      </x:c>
      <x:c r="N109" t="str">
        <x:v>0</x:v>
      </x:c>
      <x:c r="O109" t="str">
        <x:v>0fd6ad2d-3389-4e70-8974-eb85ee223eeb</x:v>
      </x:c>
      <x:c r="P109" t="str">
        <x:v>2026-09-04</x:v>
      </x:c>
    </x:row>
    <x:row r="110">
      <x:c r="A110" t="str">
        <x:v>重点观察</x:v>
      </x:c>
      <x:c r="B110" t="str">
        <x:v>补全 PB、财报，等待Agent自动验证</x:v>
      </x:c>
      <x:c r="C110" t="str">
        <x:v>000987</x:v>
      </x:c>
      <x:c r="D110" t="str">
        <x:v>越秀资本</x:v>
      </x:c>
      <x:c r="E110" t="str">
        <x:v>主板</x:v>
      </x:c>
      <x:c r="F110" t="str">
        <x:v>待行业映射</x:v>
      </x:c>
      <x:c r="G110" t="str">
        <x:v>当前全市场行情快照缺少 PB；只能作为待补全研究队列，不得按完整估值条件生成交易建议。</x:v>
      </x:c>
      <x:c r="H110" t="n">
        <x:v>7.69</x:v>
      </x:c>
      <x:c r="I110" t="n">
        <x:v>8.09</x:v>
      </x:c>
      <x:c r="J110"/>
      <x:c r="K110" t="str">
        <x:v>待归档官方财报</x:v>
      </x:c>
      <x:c r="L110" t="str">
        <x:v>AkShare / Tencent all-A market snapshot</x:v>
      </x:c>
      <x:c r="M110" t="str">
        <x:v>ProxyError: primary market source unavailable; see source_id for full audit.</x:v>
      </x:c>
      <x:c r="N110" t="str">
        <x:v>0</x:v>
      </x:c>
      <x:c r="O110" t="str">
        <x:v>0fd6ad2d-3389-4e70-8974-eb85ee223eeb</x:v>
      </x:c>
      <x:c r="P110" t="str">
        <x:v>2026-09-04</x:v>
      </x:c>
    </x:row>
    <x:row r="111">
      <x:c r="A111" t="str">
        <x:v>重点观察</x:v>
      </x:c>
      <x:c r="B111" t="str">
        <x:v>补全 PB、财报，等待Agent自动验证</x:v>
      </x:c>
      <x:c r="C111" t="str">
        <x:v>300456</x:v>
      </x:c>
      <x:c r="D111" t="str">
        <x:v>赛微电子</x:v>
      </x:c>
      <x:c r="E111" t="str">
        <x:v>创业板</x:v>
      </x:c>
      <x:c r="F111" t="str">
        <x:v>待行业映射</x:v>
      </x:c>
      <x:c r="G111" t="str">
        <x:v>当前全市场行情快照缺少 PB；只能作为待补全研究队列，不得按完整估值条件生成交易建议。</x:v>
      </x:c>
      <x:c r="H111" t="n">
        <x:v>38.26</x:v>
      </x:c>
      <x:c r="I111" t="n">
        <x:v>6.71</x:v>
      </x:c>
      <x:c r="J111"/>
      <x:c r="K111" t="str">
        <x:v>待归档官方财报</x:v>
      </x:c>
      <x:c r="L111" t="str">
        <x:v>AkShare / Tencent all-A market snapshot</x:v>
      </x:c>
      <x:c r="M111" t="str">
        <x:v>ProxyError: primary market source unavailable; see source_id for full audit.</x:v>
      </x:c>
      <x:c r="N111" t="str">
        <x:v>0</x:v>
      </x:c>
      <x:c r="O111" t="str">
        <x:v>0fd6ad2d-3389-4e70-8974-eb85ee223eeb</x:v>
      </x:c>
      <x:c r="P111" t="str">
        <x:v>2026-09-04</x:v>
      </x:c>
    </x:row>
    <x:row r="112">
      <x:c r="A112" t="str">
        <x:v>重点观察</x:v>
      </x:c>
      <x:c r="B112" t="str">
        <x:v>补全 PB、财报，等待Agent自动验证</x:v>
      </x:c>
      <x:c r="C112" t="str">
        <x:v>000498</x:v>
      </x:c>
      <x:c r="D112" t="str">
        <x:v>山东路桥</x:v>
      </x:c>
      <x:c r="E112" t="str">
        <x:v>主板</x:v>
      </x:c>
      <x:c r="F112" t="str">
        <x:v>待行业映射</x:v>
      </x:c>
      <x:c r="G112" t="str">
        <x:v>当前全市场行情快照缺少 PB；只能作为待补全研究队列，不得按完整估值条件生成交易建议。</x:v>
      </x:c>
      <x:c r="H112" t="n">
        <x:v>4.97</x:v>
      </x:c>
      <x:c r="I112" t="n">
        <x:v>4</x:v>
      </x:c>
      <x:c r="J112"/>
      <x:c r="K112" t="str">
        <x:v>待归档官方财报</x:v>
      </x:c>
      <x:c r="L112" t="str">
        <x:v>AkShare / Tencent all-A market snapshot</x:v>
      </x:c>
      <x:c r="M112" t="str">
        <x:v>ProxyError: primary market source unavailable; see source_id for full audit.</x:v>
      </x:c>
      <x:c r="N112" t="str">
        <x:v>0</x:v>
      </x:c>
      <x:c r="O112" t="str">
        <x:v>0fd6ad2d-3389-4e70-8974-eb85ee223eeb</x:v>
      </x:c>
      <x:c r="P112" t="str">
        <x:v>2026-09-04</x:v>
      </x:c>
    </x:row>
    <x:row r="113">
      <x:c r="A113" t="str">
        <x:v>重点观察</x:v>
      </x:c>
      <x:c r="B113" t="str">
        <x:v>补全 PB、财报，等待Agent自动验证</x:v>
      </x:c>
      <x:c r="C113" t="str">
        <x:v>601006</x:v>
      </x:c>
      <x:c r="D113" t="str">
        <x:v>大秦铁路</x:v>
      </x:c>
      <x:c r="E113" t="str">
        <x:v>主板</x:v>
      </x:c>
      <x:c r="F113" t="str">
        <x:v>待行业映射</x:v>
      </x:c>
      <x:c r="G113" t="str">
        <x:v>当前全市场行情快照缺少 PB；只能作为待补全研究队列，不得按完整估值条件生成交易建议。</x:v>
      </x:c>
      <x:c r="H113" t="n">
        <x:v>4.83</x:v>
      </x:c>
      <x:c r="I113" t="n">
        <x:v>15.88</x:v>
      </x:c>
      <x:c r="J113"/>
      <x:c r="K113" t="str">
        <x:v>待归档官方财报</x:v>
      </x:c>
      <x:c r="L113" t="str">
        <x:v>AkShare / Tencent all-A market snapshot</x:v>
      </x:c>
      <x:c r="M113" t="str">
        <x:v>ProxyError: primary market source unavailable; see source_id for full audit.</x:v>
      </x:c>
      <x:c r="N113" t="str">
        <x:v>0</x:v>
      </x:c>
      <x:c r="O113" t="str">
        <x:v>0fd6ad2d-3389-4e70-8974-eb85ee223eeb</x:v>
      </x:c>
      <x:c r="P113" t="str">
        <x:v>2026-09-04</x:v>
      </x:c>
    </x:row>
    <x:row r="114">
      <x:c r="A114" t="str">
        <x:v>重点观察</x:v>
      </x:c>
      <x:c r="B114" t="str">
        <x:v>补全 PB、财报，等待Agent自动验证</x:v>
      </x:c>
      <x:c r="C114" t="str">
        <x:v>600096</x:v>
      </x:c>
      <x:c r="D114" t="str">
        <x:v>云天化</x:v>
      </x:c>
      <x:c r="E114" t="str">
        <x:v>主板</x:v>
      </x:c>
      <x:c r="F114" t="str">
        <x:v>待行业映射</x:v>
      </x:c>
      <x:c r="G114" t="str">
        <x:v>当前全市场行情快照缺少 PB；只能作为待补全研究队列，不得按完整估值条件生成交易建议。</x:v>
      </x:c>
      <x:c r="H114" t="n">
        <x:v>30.8</x:v>
      </x:c>
      <x:c r="I114" t="n">
        <x:v>10.54</x:v>
      </x:c>
      <x:c r="J114"/>
      <x:c r="K114" t="str">
        <x:v>待归档官方财报</x:v>
      </x:c>
      <x:c r="L114" t="str">
        <x:v>AkShare / Tencent all-A market snapshot</x:v>
      </x:c>
      <x:c r="M114" t="str">
        <x:v>ProxyError: primary market source unavailable; see source_id for full audit.</x:v>
      </x:c>
      <x:c r="N114" t="str">
        <x:v>0</x:v>
      </x:c>
      <x:c r="O114" t="str">
        <x:v>0fd6ad2d-3389-4e70-8974-eb85ee223eeb</x:v>
      </x:c>
      <x:c r="P114" t="str">
        <x:v>2026-09-04</x:v>
      </x:c>
    </x:row>
    <x:row r="115">
      <x:c r="A115" t="str">
        <x:v>重点观察</x:v>
      </x:c>
      <x:c r="B115" t="str">
        <x:v>补全 PB、财报，等待Agent自动验证</x:v>
      </x:c>
      <x:c r="C115" t="str">
        <x:v>002958</x:v>
      </x:c>
      <x:c r="D115" t="str">
        <x:v>青农商行</x:v>
      </x:c>
      <x:c r="E115" t="str">
        <x:v>主板</x:v>
      </x:c>
      <x:c r="F115" t="str">
        <x:v>待行业映射</x:v>
      </x:c>
      <x:c r="G115" t="str">
        <x:v>当前全市场行情快照缺少 PB；只能作为待补全研究队列，不得按完整估值条件生成交易建议。</x:v>
      </x:c>
      <x:c r="H115" t="n">
        <x:v>3.01</x:v>
      </x:c>
      <x:c r="I115" t="n">
        <x:v>5.24</x:v>
      </x:c>
      <x:c r="J115"/>
      <x:c r="K115" t="str">
        <x:v>待归档官方财报</x:v>
      </x:c>
      <x:c r="L115" t="str">
        <x:v>AkShare / Tencent all-A market snapshot</x:v>
      </x:c>
      <x:c r="M115" t="str">
        <x:v>ProxyError: primary market source unavailable; see source_id for full audit.</x:v>
      </x:c>
      <x:c r="N115" t="str">
        <x:v>0</x:v>
      </x:c>
      <x:c r="O115" t="str">
        <x:v>0fd6ad2d-3389-4e70-8974-eb85ee223eeb</x:v>
      </x:c>
      <x:c r="P115" t="str">
        <x:v>2026-09-04</x:v>
      </x:c>
    </x:row>
    <x:row r="116">
      <x:c r="A116" t="str">
        <x:v>重点观察</x:v>
      </x:c>
      <x:c r="B116" t="str">
        <x:v>补全 PB、财报，等待Agent自动验证</x:v>
      </x:c>
      <x:c r="C116" t="str">
        <x:v>600066</x:v>
      </x:c>
      <x:c r="D116" t="str">
        <x:v>宇通客车</x:v>
      </x:c>
      <x:c r="E116" t="str">
        <x:v>主板</x:v>
      </x:c>
      <x:c r="F116" t="str">
        <x:v>待行业映射</x:v>
      </x:c>
      <x:c r="G116" t="str">
        <x:v>当前全市场行情快照缺少 PB；只能作为待补全研究队列，不得按完整估值条件生成交易建议。</x:v>
      </x:c>
      <x:c r="H116" t="n">
        <x:v>28.68</x:v>
      </x:c>
      <x:c r="I116" t="n">
        <x:v>11.57</x:v>
      </x:c>
      <x:c r="J116"/>
      <x:c r="K116" t="str">
        <x:v>待归档官方财报</x:v>
      </x:c>
      <x:c r="L116" t="str">
        <x:v>AkShare / Tencent all-A market snapshot</x:v>
      </x:c>
      <x:c r="M116" t="str">
        <x:v>ProxyError: primary market source unavailable; see source_id for full audit.</x:v>
      </x:c>
      <x:c r="N116" t="str">
        <x:v>0</x:v>
      </x:c>
      <x:c r="O116" t="str">
        <x:v>0fd6ad2d-3389-4e70-8974-eb85ee223eeb</x:v>
      </x:c>
      <x:c r="P116" t="str">
        <x:v>2026-09-04</x:v>
      </x:c>
    </x:row>
    <x:row r="117">
      <x:c r="A117" t="str">
        <x:v>重点观察</x:v>
      </x:c>
      <x:c r="B117" t="str">
        <x:v>证券公司专用模型待核验</x:v>
      </x:c>
      <x:c r="C117" t="str">
        <x:v>000783</x:v>
      </x:c>
      <x:c r="D117" t="str">
        <x:v>长江证券</x:v>
      </x:c>
      <x:c r="E117" t="str">
        <x:v>主板</x:v>
      </x:c>
      <x:c r="F117" t="str">
        <x:v>待行业映射</x:v>
      </x:c>
      <x:c r="G117" t="str">
        <x:v>名称/板块初步识别为证券公司；须以同一报告期官方披露复核专用指标和行业分类，禁止套用通用企业现金流、负债率或 EV/EBITDA 规则。 当前公共行情快照缺少 PB，须在专用模型复核中补齐。</x:v>
      </x:c>
      <x:c r="H117" t="n">
        <x:v>9.26</x:v>
      </x:c>
      <x:c r="I117" t="n">
        <x:v>9.94</x:v>
      </x:c>
      <x:c r="J117"/>
      <x:c r="K117" t="str">
        <x:v>待归档官方财报</x:v>
      </x:c>
      <x:c r="L117" t="str">
        <x:v>AkShare / Tencent all-A market snapshot</x:v>
      </x:c>
      <x:c r="M117" t="str">
        <x:v>ProxyError: primary market source unavailable; see source_id for full audit.</x:v>
      </x:c>
      <x:c r="N117" t="str">
        <x:v>0</x:v>
      </x:c>
      <x:c r="O117" t="str">
        <x:v>0fd6ad2d-3389-4e70-8974-eb85ee223eeb</x:v>
      </x:c>
      <x:c r="P117" t="str">
        <x:v>2026-09-04</x:v>
      </x:c>
    </x:row>
    <x:row r="118">
      <x:c r="A118" t="str">
        <x:v>重点观察</x:v>
      </x:c>
      <x:c r="B118" t="str">
        <x:v>补全 PB、财报，等待Agent自动验证</x:v>
      </x:c>
      <x:c r="C118" t="str">
        <x:v>600023</x:v>
      </x:c>
      <x:c r="D118" t="str">
        <x:v>浙能电力</x:v>
      </x:c>
      <x:c r="E118" t="str">
        <x:v>主板</x:v>
      </x:c>
      <x:c r="F118" t="str">
        <x:v>待行业映射</x:v>
      </x:c>
      <x:c r="G118" t="str">
        <x:v>当前全市场行情快照缺少 PB；只能作为待补全研究队列，不得按完整估值条件生成交易建议。</x:v>
      </x:c>
      <x:c r="H118" t="n">
        <x:v>4.88</x:v>
      </x:c>
      <x:c r="I118" t="n">
        <x:v>11.86</x:v>
      </x:c>
      <x:c r="J118"/>
      <x:c r="K118" t="str">
        <x:v>待归档官方财报</x:v>
      </x:c>
      <x:c r="L118" t="str">
        <x:v>AkShare / Tencent all-A market snapshot</x:v>
      </x:c>
      <x:c r="M118" t="str">
        <x:v>ProxyError: primary market source unavailable; see source_id for full audit.</x:v>
      </x:c>
      <x:c r="N118" t="str">
        <x:v>0</x:v>
      </x:c>
      <x:c r="O118" t="str">
        <x:v>0fd6ad2d-3389-4e70-8974-eb85ee223eeb</x:v>
      </x:c>
      <x:c r="P118" t="str">
        <x:v>2026-09-04</x:v>
      </x:c>
    </x:row>
    <x:row r="119">
      <x:c r="A119" t="str">
        <x:v>重点观察</x:v>
      </x:c>
      <x:c r="B119" t="str">
        <x:v>补全 PB、财报，等待Agent自动验证</x:v>
      </x:c>
      <x:c r="C119" t="str">
        <x:v>600941</x:v>
      </x:c>
      <x:c r="D119" t="str">
        <x:v>中国移动</x:v>
      </x:c>
      <x:c r="E119" t="str">
        <x:v>主板</x:v>
      </x:c>
      <x:c r="F119" t="str">
        <x:v>待行业映射</x:v>
      </x:c>
      <x:c r="G119" t="str">
        <x:v>当前全市场行情快照缺少 PB；只能作为待补全研究队列，不得按完整估值条件生成交易建议。</x:v>
      </x:c>
      <x:c r="H119" t="n">
        <x:v>100.3</x:v>
      </x:c>
      <x:c r="I119" t="n">
        <x:v>16.51</x:v>
      </x:c>
      <x:c r="J119"/>
      <x:c r="K119" t="str">
        <x:v>待归档官方财报</x:v>
      </x:c>
      <x:c r="L119" t="str">
        <x:v>AkShare / Tencent all-A market snapshot</x:v>
      </x:c>
      <x:c r="M119" t="str">
        <x:v>ProxyError: primary market source unavailable; see source_id for full audit.</x:v>
      </x:c>
      <x:c r="N119" t="str">
        <x:v>0</x:v>
      </x:c>
      <x:c r="O119" t="str">
        <x:v>0fd6ad2d-3389-4e70-8974-eb85ee223eeb</x:v>
      </x:c>
      <x:c r="P119" t="str">
        <x:v>2026-09-04</x:v>
      </x:c>
    </x:row>
    <x:row r="120">
      <x:c r="A120" t="str">
        <x:v>重点观察</x:v>
      </x:c>
      <x:c r="B120" t="str">
        <x:v>补全 PB、财报，等待Agent自动验证</x:v>
      </x:c>
      <x:c r="C120" t="str">
        <x:v>600027</x:v>
      </x:c>
      <x:c r="D120" t="str">
        <x:v>华电国际</x:v>
      </x:c>
      <x:c r="E120" t="str">
        <x:v>主板</x:v>
      </x:c>
      <x:c r="F120" t="str">
        <x:v>待行业映射</x:v>
      </x:c>
      <x:c r="G120" t="str">
        <x:v>当前全市场行情快照缺少 PB；只能作为待补全研究队列，不得按完整估值条件生成交易建议。</x:v>
      </x:c>
      <x:c r="H120" t="n">
        <x:v>4.84</x:v>
      </x:c>
      <x:c r="I120" t="n">
        <x:v>10.66</x:v>
      </x:c>
      <x:c r="J120"/>
      <x:c r="K120" t="str">
        <x:v>待归档官方财报</x:v>
      </x:c>
      <x:c r="L120" t="str">
        <x:v>AkShare / Tencent all-A market snapshot</x:v>
      </x:c>
      <x:c r="M120" t="str">
        <x:v>ProxyError: primary market source unavailable; see source_id for full audit.</x:v>
      </x:c>
      <x:c r="N120" t="str">
        <x:v>0</x:v>
      </x:c>
      <x:c r="O120" t="str">
        <x:v>0fd6ad2d-3389-4e70-8974-eb85ee223eeb</x:v>
      </x:c>
      <x:c r="P120" t="str">
        <x:v>2026-09-04</x:v>
      </x:c>
    </x:row>
    <x:row r="121">
      <x:c r="A121" t="str">
        <x:v>重点观察</x:v>
      </x:c>
      <x:c r="B121" t="str">
        <x:v>补全 PB、财报，等待Agent自动验证</x:v>
      </x:c>
      <x:c r="C121" t="str">
        <x:v>601168</x:v>
      </x:c>
      <x:c r="D121" t="str">
        <x:v>西部矿业</x:v>
      </x:c>
      <x:c r="E121" t="str">
        <x:v>主板</x:v>
      </x:c>
      <x:c r="F121" t="str">
        <x:v>待行业映射</x:v>
      </x:c>
      <x:c r="G121" t="str">
        <x:v>当前全市场行情快照缺少 PB；只能作为待补全研究队列，不得按完整估值条件生成交易建议。</x:v>
      </x:c>
      <x:c r="H121" t="n">
        <x:v>38.79</x:v>
      </x:c>
      <x:c r="I121" t="n">
        <x:v>15.55</x:v>
      </x:c>
      <x:c r="J121"/>
      <x:c r="K121" t="str">
        <x:v>待归档官方财报</x:v>
      </x:c>
      <x:c r="L121" t="str">
        <x:v>AkShare / Tencent all-A market snapshot</x:v>
      </x:c>
      <x:c r="M121" t="str">
        <x:v>ProxyError: primary market source unavailable; see source_id for full audit.</x:v>
      </x:c>
      <x:c r="N121" t="str">
        <x:v>0</x:v>
      </x:c>
      <x:c r="O121" t="str">
        <x:v>0fd6ad2d-3389-4e70-8974-eb85ee223eeb</x:v>
      </x:c>
      <x:c r="P121" t="str">
        <x:v>2026-09-04</x:v>
      </x:c>
    </x:row>
    <x:row r="122">
      <x:c r="A122" t="str">
        <x:v>重点观察</x:v>
      </x:c>
      <x:c r="B122" t="str">
        <x:v>补全 PB、财报，等待Agent自动验证</x:v>
      </x:c>
      <x:c r="C122" t="str">
        <x:v>600026</x:v>
      </x:c>
      <x:c r="D122" t="str">
        <x:v>中远海能</x:v>
      </x:c>
      <x:c r="E122" t="str">
        <x:v>主板</x:v>
      </x:c>
      <x:c r="F122" t="str">
        <x:v>待行业映射</x:v>
      </x:c>
      <x:c r="G122" t="str">
        <x:v>当前全市场行情快照缺少 PB；只能作为待补全研究队列，不得按完整估值条件生成交易建议。</x:v>
      </x:c>
      <x:c r="H122" t="n">
        <x:v>20.34</x:v>
      </x:c>
      <x:c r="I122" t="n">
        <x:v>16.58</x:v>
      </x:c>
      <x:c r="J122"/>
      <x:c r="K122" t="str">
        <x:v>待归档官方财报</x:v>
      </x:c>
      <x:c r="L122" t="str">
        <x:v>AkShare / Tencent all-A market snapshot</x:v>
      </x:c>
      <x:c r="M122" t="str">
        <x:v>ProxyError: primary market source unavailable; see source_id for full audit.</x:v>
      </x:c>
      <x:c r="N122" t="str">
        <x:v>0</x:v>
      </x:c>
      <x:c r="O122" t="str">
        <x:v>0fd6ad2d-3389-4e70-8974-eb85ee223eeb</x:v>
      </x:c>
      <x:c r="P122" t="str">
        <x:v>2026-09-04</x:v>
      </x:c>
    </x:row>
    <x:row r="123">
      <x:c r="A123" t="str">
        <x:v>重点观察</x:v>
      </x:c>
      <x:c r="B123" t="str">
        <x:v>补全 PB、财报，等待Agent自动验证</x:v>
      </x:c>
      <x:c r="C123" t="str">
        <x:v>300274</x:v>
      </x:c>
      <x:c r="D123" t="str">
        <x:v>阳光电源</x:v>
      </x:c>
      <x:c r="E123" t="str">
        <x:v>创业板</x:v>
      </x:c>
      <x:c r="F123" t="str">
        <x:v>待行业映射</x:v>
      </x:c>
      <x:c r="G123" t="str">
        <x:v>当前全市场行情快照缺少 PB；只能作为待补全研究队列，不得按完整估值条件生成交易建议。</x:v>
      </x:c>
      <x:c r="H123" t="n">
        <x:v>88.43</x:v>
      </x:c>
      <x:c r="I123" t="n">
        <x:v>16.69</x:v>
      </x:c>
      <x:c r="J123"/>
      <x:c r="K123" t="str">
        <x:v>待归档官方财报</x:v>
      </x:c>
      <x:c r="L123" t="str">
        <x:v>AkShare / Tencent all-A market snapshot</x:v>
      </x:c>
      <x:c r="M123" t="str">
        <x:v>ProxyError: primary market source unavailable; see source_id for full audit.</x:v>
      </x:c>
      <x:c r="N123" t="str">
        <x:v>0</x:v>
      </x:c>
      <x:c r="O123" t="str">
        <x:v>0fd6ad2d-3389-4e70-8974-eb85ee223eeb</x:v>
      </x:c>
      <x:c r="P123" t="str">
        <x:v>2026-09-04</x:v>
      </x:c>
    </x:row>
    <x:row r="124">
      <x:c r="A124" t="str">
        <x:v>重点观察</x:v>
      </x:c>
      <x:c r="B124" t="str">
        <x:v>补全 PB、财报，等待Agent自动验证</x:v>
      </x:c>
      <x:c r="C124" t="str">
        <x:v>600887</x:v>
      </x:c>
      <x:c r="D124" t="str">
        <x:v>伊利股份</x:v>
      </x:c>
      <x:c r="E124" t="str">
        <x:v>主板</x:v>
      </x:c>
      <x:c r="F124" t="str">
        <x:v>待行业映射</x:v>
      </x:c>
      <x:c r="G124" t="str">
        <x:v>当前全市场行情快照缺少 PB；只能作为待补全研究队列，不得按完整估值条件生成交易建议。</x:v>
      </x:c>
      <x:c r="H124" t="n">
        <x:v>26.86</x:v>
      </x:c>
      <x:c r="I124" t="n">
        <x:v>16.78</x:v>
      </x:c>
      <x:c r="J124"/>
      <x:c r="K124" t="str">
        <x:v>待归档官方财报</x:v>
      </x:c>
      <x:c r="L124" t="str">
        <x:v>AkShare / Tencent all-A market snapshot</x:v>
      </x:c>
      <x:c r="M124" t="str">
        <x:v>ProxyError: primary market source unavailable; see source_id for full audit.</x:v>
      </x:c>
      <x:c r="N124" t="str">
        <x:v>0</x:v>
      </x:c>
      <x:c r="O124" t="str">
        <x:v>0fd6ad2d-3389-4e70-8974-eb85ee223eeb</x:v>
      </x:c>
      <x:c r="P124" t="str">
        <x:v>2026-09-04</x:v>
      </x:c>
    </x:row>
    <x:row r="125">
      <x:c r="A125" t="str">
        <x:v>重点观察</x:v>
      </x:c>
      <x:c r="B125" t="str">
        <x:v>补全 PB、财报，等待Agent自动验证</x:v>
      </x:c>
      <x:c r="C125" t="str">
        <x:v>601298</x:v>
      </x:c>
      <x:c r="D125" t="str">
        <x:v>青岛港</x:v>
      </x:c>
      <x:c r="E125" t="str">
        <x:v>主板</x:v>
      </x:c>
      <x:c r="F125" t="str">
        <x:v>待行业映射</x:v>
      </x:c>
      <x:c r="G125" t="str">
        <x:v>当前全市场行情快照缺少 PB；只能作为待补全研究队列，不得按完整估值条件生成交易建议。</x:v>
      </x:c>
      <x:c r="H125" t="n">
        <x:v>9.21</x:v>
      </x:c>
      <x:c r="I125" t="n">
        <x:v>11.51</x:v>
      </x:c>
      <x:c r="J125"/>
      <x:c r="K125" t="str">
        <x:v>待归档官方财报</x:v>
      </x:c>
      <x:c r="L125" t="str">
        <x:v>AkShare / Tencent all-A market snapshot</x:v>
      </x:c>
      <x:c r="M125" t="str">
        <x:v>ProxyError: primary market source unavailable; see source_id for full audit.</x:v>
      </x:c>
      <x:c r="N125" t="str">
        <x:v>0</x:v>
      </x:c>
      <x:c r="O125" t="str">
        <x:v>0fd6ad2d-3389-4e70-8974-eb85ee223eeb</x:v>
      </x:c>
      <x:c r="P125" t="str">
        <x:v>2026-09-04</x:v>
      </x:c>
    </x:row>
    <x:row r="126">
      <x:c r="A126" t="str">
        <x:v>重点观察</x:v>
      </x:c>
      <x:c r="B126" t="str">
        <x:v>补全 PB、财报，等待Agent自动验证</x:v>
      </x:c>
      <x:c r="C126" t="str">
        <x:v>601877</x:v>
      </x:c>
      <x:c r="D126" t="str">
        <x:v>正泰电器</x:v>
      </x:c>
      <x:c r="E126" t="str">
        <x:v>主板</x:v>
      </x:c>
      <x:c r="F126" t="str">
        <x:v>待行业映射</x:v>
      </x:c>
      <x:c r="G126" t="str">
        <x:v>当前全市场行情快照缺少 PB；只能作为待补全研究队列，不得按完整估值条件生成交易建议。</x:v>
      </x:c>
      <x:c r="H126" t="n">
        <x:v>25.87</x:v>
      </x:c>
      <x:c r="I126" t="n">
        <x:v>10.96</x:v>
      </x:c>
      <x:c r="J126"/>
      <x:c r="K126" t="str">
        <x:v>待归档官方财报</x:v>
      </x:c>
      <x:c r="L126" t="str">
        <x:v>AkShare / Tencent all-A market snapshot</x:v>
      </x:c>
      <x:c r="M126" t="str">
        <x:v>ProxyError: primary market source unavailable; see source_id for full audit.</x:v>
      </x:c>
      <x:c r="N126" t="str">
        <x:v>0</x:v>
      </x:c>
      <x:c r="O126" t="str">
        <x:v>0fd6ad2d-3389-4e70-8974-eb85ee223eeb</x:v>
      </x:c>
      <x:c r="P126" t="str">
        <x:v>2026-09-04</x:v>
      </x:c>
    </x:row>
    <x:row r="127">
      <x:c r="A127" t="str">
        <x:v>重点观察</x:v>
      </x:c>
      <x:c r="B127" t="str">
        <x:v>银行专用模型待核验</x:v>
      </x:c>
      <x:c r="C127" t="str">
        <x:v>603323</x:v>
      </x:c>
      <x:c r="D127" t="str">
        <x:v>苏农银行</x:v>
      </x:c>
      <x:c r="E127" t="str">
        <x:v>主板</x:v>
      </x:c>
      <x:c r="F127" t="str">
        <x:v>待行业映射</x:v>
      </x:c>
      <x:c r="G127" t="str">
        <x:v>名称/板块初步识别为银行；须以同一报告期官方披露复核专用指标和行业分类，禁止套用通用企业现金流、负债率或 EV/EBITDA 规则。 当前公共行情快照缺少 PB，须在专用模型复核中补齐。</x:v>
      </x:c>
      <x:c r="H127" t="n">
        <x:v>4.53</x:v>
      </x:c>
      <x:c r="I127" t="n">
        <x:v>4.84</x:v>
      </x:c>
      <x:c r="J127"/>
      <x:c r="K127" t="str">
        <x:v>待归档官方财报</x:v>
      </x:c>
      <x:c r="L127" t="str">
        <x:v>AkShare / Tencent all-A market snapshot</x:v>
      </x:c>
      <x:c r="M127" t="str">
        <x:v>ProxyError: primary market source unavailable; see source_id for full audit.</x:v>
      </x:c>
      <x:c r="N127" t="str">
        <x:v>0</x:v>
      </x:c>
      <x:c r="O127" t="str">
        <x:v>0fd6ad2d-3389-4e70-8974-eb85ee223eeb</x:v>
      </x:c>
      <x:c r="P127" t="str">
        <x:v>2026-09-04</x:v>
      </x:c>
    </x:row>
    <x:row r="128">
      <x:c r="A128" t="str">
        <x:v>重点观察</x:v>
      </x:c>
      <x:c r="B128" t="str">
        <x:v>补全 PB、财报，等待Agent自动验证</x:v>
      </x:c>
      <x:c r="C128" t="str">
        <x:v>601233</x:v>
      </x:c>
      <x:c r="D128" t="str">
        <x:v>桐昆股份</x:v>
      </x:c>
      <x:c r="E128" t="str">
        <x:v>主板</x:v>
      </x:c>
      <x:c r="F128" t="str">
        <x:v>待行业映射</x:v>
      </x:c>
      <x:c r="G128" t="str">
        <x:v>当前全市场行情快照缺少 PB；只能作为待补全研究队列，不得按完整估值条件生成交易建议。</x:v>
      </x:c>
      <x:c r="H128" t="n">
        <x:v>26</x:v>
      </x:c>
      <x:c r="I128" t="n">
        <x:v>11.99</x:v>
      </x:c>
      <x:c r="J128"/>
      <x:c r="K128" t="str">
        <x:v>待归档官方财报</x:v>
      </x:c>
      <x:c r="L128" t="str">
        <x:v>AkShare / Tencent all-A market snapshot</x:v>
      </x:c>
      <x:c r="M128" t="str">
        <x:v>ProxyError: primary market source unavailable; see source_id for full audit.</x:v>
      </x:c>
      <x:c r="N128" t="str">
        <x:v>0</x:v>
      </x:c>
      <x:c r="O128" t="str">
        <x:v>0fd6ad2d-3389-4e70-8974-eb85ee223eeb</x:v>
      </x:c>
      <x:c r="P128" t="str">
        <x:v>2026-09-04</x:v>
      </x:c>
    </x:row>
    <x:row r="129">
      <x:c r="A129" t="str">
        <x:v>重点观察</x:v>
      </x:c>
      <x:c r="B129" t="str">
        <x:v>银行专用模型待核验</x:v>
      </x:c>
      <x:c r="C129" t="str">
        <x:v>600908</x:v>
      </x:c>
      <x:c r="D129" t="str">
        <x:v>无锡银行</x:v>
      </x:c>
      <x:c r="E129" t="str">
        <x:v>主板</x:v>
      </x:c>
      <x:c r="F129" t="str">
        <x:v>待行业映射</x:v>
      </x:c>
      <x:c r="G129" t="str">
        <x:v>名称/板块初步识别为银行；须以同一报告期官方披露复核专用指标和行业分类，禁止套用通用企业现金流、负债率或 EV/EBITDA 规则。 当前公共行情快照缺少 PB，须在专用模型复核中补齐。</x:v>
      </x:c>
      <x:c r="H129" t="n">
        <x:v>5.81</x:v>
      </x:c>
      <x:c r="I129" t="n">
        <x:v>5.43</x:v>
      </x:c>
      <x:c r="J129"/>
      <x:c r="K129" t="str">
        <x:v>待归档官方财报</x:v>
      </x:c>
      <x:c r="L129" t="str">
        <x:v>AkShare / Tencent all-A market snapshot</x:v>
      </x:c>
      <x:c r="M129" t="str">
        <x:v>ProxyError: primary market source unavailable; see source_id for full audit.</x:v>
      </x:c>
      <x:c r="N129" t="str">
        <x:v>0</x:v>
      </x:c>
      <x:c r="O129" t="str">
        <x:v>0fd6ad2d-3389-4e70-8974-eb85ee223eeb</x:v>
      </x:c>
      <x:c r="P129" t="str">
        <x:v>2026-09-04</x:v>
      </x:c>
    </x:row>
    <x:row r="130">
      <x:c r="A130" t="str">
        <x:v>重点观察</x:v>
      </x:c>
      <x:c r="B130" t="str">
        <x:v>补全 PB、财报，等待Agent自动验证</x:v>
      </x:c>
      <x:c r="C130" t="str">
        <x:v>600704</x:v>
      </x:c>
      <x:c r="D130" t="str">
        <x:v>物产中大</x:v>
      </x:c>
      <x:c r="E130" t="str">
        <x:v>主板</x:v>
      </x:c>
      <x:c r="F130" t="str">
        <x:v>待行业映射</x:v>
      </x:c>
      <x:c r="G130" t="str">
        <x:v>当前全市场行情快照缺少 PB；只能作为待补全研究队列，不得按完整估值条件生成交易建议。</x:v>
      </x:c>
      <x:c r="H130" t="n">
        <x:v>4.95</x:v>
      </x:c>
      <x:c r="I130" t="n">
        <x:v>7.17</x:v>
      </x:c>
      <x:c r="J130"/>
      <x:c r="K130" t="str">
        <x:v>待归档官方财报</x:v>
      </x:c>
      <x:c r="L130" t="str">
        <x:v>AkShare / Tencent all-A market snapshot</x:v>
      </x:c>
      <x:c r="M130" t="str">
        <x:v>ProxyError: primary market source unavailable; see source_id for full audit.</x:v>
      </x:c>
      <x:c r="N130" t="str">
        <x:v>0</x:v>
      </x:c>
      <x:c r="O130" t="str">
        <x:v>0fd6ad2d-3389-4e70-8974-eb85ee223eeb</x:v>
      </x:c>
      <x:c r="P130" t="str">
        <x:v>2026-09-04</x:v>
      </x:c>
    </x:row>
    <x:row r="131">
      <x:c r="A131" t="str">
        <x:v>重点观察</x:v>
      </x:c>
      <x:c r="B131" t="str">
        <x:v>银行专用模型待核验</x:v>
      </x:c>
      <x:c r="C131" t="str">
        <x:v>601528</x:v>
      </x:c>
      <x:c r="D131" t="str">
        <x:v>瑞丰银行</x:v>
      </x:c>
      <x:c r="E131" t="str">
        <x:v>主板</x:v>
      </x:c>
      <x:c r="F131" t="str">
        <x:v>待行业映射</x:v>
      </x:c>
      <x:c r="G131" t="str">
        <x:v>名称/板块初步识别为银行；须以同一报告期官方披露复核专用指标和行业分类，禁止套用通用企业现金流、负债率或 EV/EBITDA 规则。 当前公共行情快照缺少 PB，须在专用模型复核中补齐。</x:v>
      </x:c>
      <x:c r="H131" t="n">
        <x:v>5.18</x:v>
      </x:c>
      <x:c r="I131" t="n">
        <x:v>5.15</x:v>
      </x:c>
      <x:c r="J131"/>
      <x:c r="K131" t="str">
        <x:v>待归档官方财报</x:v>
      </x:c>
      <x:c r="L131" t="str">
        <x:v>AkShare / Tencent all-A market snapshot</x:v>
      </x:c>
      <x:c r="M131" t="str">
        <x:v>ProxyError: primary market source unavailable; see source_id for full audit.</x:v>
      </x:c>
      <x:c r="N131" t="str">
        <x:v>0</x:v>
      </x:c>
      <x:c r="O131" t="str">
        <x:v>0fd6ad2d-3389-4e70-8974-eb85ee223eeb</x:v>
      </x:c>
      <x:c r="P131" t="str">
        <x:v>2026-09-04</x:v>
      </x:c>
    </x:row>
    <x:row r="132">
      <x:c r="A132" t="str">
        <x:v>重点观察</x:v>
      </x:c>
      <x:c r="B132" t="str">
        <x:v>银行专用模型待核验</x:v>
      </x:c>
      <x:c r="C132" t="str">
        <x:v>600928</x:v>
      </x:c>
      <x:c r="D132" t="str">
        <x:v>西安银行</x:v>
      </x:c>
      <x:c r="E132" t="str">
        <x:v>主板</x:v>
      </x:c>
      <x:c r="F132" t="str">
        <x:v>待行业映射</x:v>
      </x:c>
      <x:c r="G132" t="str">
        <x:v>名称/板块初步识别为银行；须以同一报告期官方披露复核专用指标和行业分类，禁止套用通用企业现金流、负债率或 EV/EBITDA 规则。 当前公共行情快照缺少 PB，须在专用模型复核中补齐。</x:v>
      </x:c>
      <x:c r="H132" t="n">
        <x:v>3.58</x:v>
      </x:c>
      <x:c r="I132" t="n">
        <x:v>5.93</x:v>
      </x:c>
      <x:c r="J132"/>
      <x:c r="K132" t="str">
        <x:v>待归档官方财报</x:v>
      </x:c>
      <x:c r="L132" t="str">
        <x:v>AkShare / Tencent all-A market snapshot</x:v>
      </x:c>
      <x:c r="M132" t="str">
        <x:v>ProxyError: primary market source unavailable; see source_id for full audit.</x:v>
      </x:c>
      <x:c r="N132" t="str">
        <x:v>0</x:v>
      </x:c>
      <x:c r="O132" t="str">
        <x:v>0fd6ad2d-3389-4e70-8974-eb85ee223eeb</x:v>
      </x:c>
      <x:c r="P132" t="str">
        <x:v>2026-09-04</x:v>
      </x:c>
    </x:row>
    <x:row r="133">
      <x:c r="A133" t="str">
        <x:v>重点观察</x:v>
      </x:c>
      <x:c r="B133" t="str">
        <x:v>补全 PB、财报，等待Agent自动验证</x:v>
      </x:c>
      <x:c r="C133" t="str">
        <x:v>002839</x:v>
      </x:c>
      <x:c r="D133" t="str">
        <x:v>张家港行</x:v>
      </x:c>
      <x:c r="E133" t="str">
        <x:v>主板</x:v>
      </x:c>
      <x:c r="F133" t="str">
        <x:v>待行业映射</x:v>
      </x:c>
      <x:c r="G133" t="str">
        <x:v>当前全市场行情快照缺少 PB；只能作为待补全研究队列，不得按完整估值条件生成交易建议。</x:v>
      </x:c>
      <x:c r="H133" t="n">
        <x:v>4.41</x:v>
      </x:c>
      <x:c r="I133" t="n">
        <x:v>5.37</x:v>
      </x:c>
      <x:c r="J133"/>
      <x:c r="K133" t="str">
        <x:v>待归档官方财报</x:v>
      </x:c>
      <x:c r="L133" t="str">
        <x:v>AkShare / Tencent all-A market snapshot</x:v>
      </x:c>
      <x:c r="M133" t="str">
        <x:v>ProxyError: primary market source unavailable; see source_id for full audit.</x:v>
      </x:c>
      <x:c r="N133" t="str">
        <x:v>0</x:v>
      </x:c>
      <x:c r="O133" t="str">
        <x:v>0fd6ad2d-3389-4e70-8974-eb85ee223eeb</x:v>
      </x:c>
      <x:c r="P133" t="str">
        <x:v>2026-09-04</x:v>
      </x:c>
    </x:row>
    <x:row r="134">
      <x:c r="A134" t="str">
        <x:v>重点观察</x:v>
      </x:c>
      <x:c r="B134" t="str">
        <x:v>补全 PB、财报，等待Agent自动验证</x:v>
      </x:c>
      <x:c r="C134" t="str">
        <x:v>600502</x:v>
      </x:c>
      <x:c r="D134" t="str">
        <x:v>安徽建工</x:v>
      </x:c>
      <x:c r="E134" t="str">
        <x:v>主板</x:v>
      </x:c>
      <x:c r="F134" t="str">
        <x:v>待行业映射</x:v>
      </x:c>
      <x:c r="G134" t="str">
        <x:v>当前全市场行情快照缺少 PB；只能作为待补全研究队列，不得按完整估值条件生成交易建议。</x:v>
      </x:c>
      <x:c r="H134" t="n">
        <x:v>4.46</x:v>
      </x:c>
      <x:c r="I134" t="n">
        <x:v>4.98</x:v>
      </x:c>
      <x:c r="J134"/>
      <x:c r="K134" t="str">
        <x:v>待归档官方财报</x:v>
      </x:c>
      <x:c r="L134" t="str">
        <x:v>AkShare / Tencent all-A market snapshot</x:v>
      </x:c>
      <x:c r="M134" t="str">
        <x:v>ProxyError: primary market source unavailable; see source_id for full audit.</x:v>
      </x:c>
      <x:c r="N134" t="str">
        <x:v>0</x:v>
      </x:c>
      <x:c r="O134" t="str">
        <x:v>0fd6ad2d-3389-4e70-8974-eb85ee223eeb</x:v>
      </x:c>
      <x:c r="P134" t="str">
        <x:v>2026-09-04</x:v>
      </x:c>
    </x:row>
    <x:row r="135">
      <x:c r="A135" t="str">
        <x:v>重点观察</x:v>
      </x:c>
      <x:c r="B135" t="str">
        <x:v>银行专用模型待核验</x:v>
      </x:c>
      <x:c r="C135" t="str">
        <x:v>002807</x:v>
      </x:c>
      <x:c r="D135" t="str">
        <x:v>江阴银行</x:v>
      </x:c>
      <x:c r="E135" t="str">
        <x:v>主板</x:v>
      </x:c>
      <x:c r="F135" t="str">
        <x:v>待行业映射</x:v>
      </x:c>
      <x:c r="G135" t="str">
        <x:v>名称/板块初步识别为银行；须以同一报告期官方披露复核专用指标和行业分类，禁止套用通用企业现金流、负债率或 EV/EBITDA 规则。 当前公共行情快照缺少 PB，须在专用模型复核中补齐。</x:v>
      </x:c>
      <x:c r="H135" t="n">
        <x:v>4.22</x:v>
      </x:c>
      <x:c r="I135" t="n">
        <x:v>5.52</x:v>
      </x:c>
      <x:c r="J135"/>
      <x:c r="K135" t="str">
        <x:v>待归档官方财报</x:v>
      </x:c>
      <x:c r="L135" t="str">
        <x:v>AkShare / Tencent all-A market snapshot</x:v>
      </x:c>
      <x:c r="M135" t="str">
        <x:v>ProxyError: primary market source unavailable; see source_id for full audit.</x:v>
      </x:c>
      <x:c r="N135" t="str">
        <x:v>0</x:v>
      </x:c>
      <x:c r="O135" t="str">
        <x:v>0fd6ad2d-3389-4e70-8974-eb85ee223eeb</x:v>
      </x:c>
      <x:c r="P135" t="str">
        <x:v>2026-09-04</x:v>
      </x:c>
    </x:row>
    <x:row r="136">
      <x:c r="A136" t="str">
        <x:v>重点观察</x:v>
      </x:c>
      <x:c r="B136" t="str">
        <x:v>补全 PB、财报，等待Agent自动验证</x:v>
      </x:c>
      <x:c r="C136" t="str">
        <x:v>000623</x:v>
      </x:c>
      <x:c r="D136" t="str">
        <x:v>吉林敖东</x:v>
      </x:c>
      <x:c r="E136" t="str">
        <x:v>主板</x:v>
      </x:c>
      <x:c r="F136" t="str">
        <x:v>待行业映射</x:v>
      </x:c>
      <x:c r="G136" t="str">
        <x:v>当前全市场行情快照缺少 PB；只能作为待补全研究队列，不得按完整估值条件生成交易建议。</x:v>
      </x:c>
      <x:c r="H136" t="n">
        <x:v>18.49</x:v>
      </x:c>
      <x:c r="I136" t="n">
        <x:v>6.99</x:v>
      </x:c>
      <x:c r="J136"/>
      <x:c r="K136" t="str">
        <x:v>待归档官方财报</x:v>
      </x:c>
      <x:c r="L136" t="str">
        <x:v>AkShare / Tencent all-A market snapshot</x:v>
      </x:c>
      <x:c r="M136" t="str">
        <x:v>ProxyError: primary market source unavailable; see source_id for full audit.</x:v>
      </x:c>
      <x:c r="N136" t="str">
        <x:v>0</x:v>
      </x:c>
      <x:c r="O136" t="str">
        <x:v>0fd6ad2d-3389-4e70-8974-eb85ee223eeb</x:v>
      </x:c>
      <x:c r="P136" t="str">
        <x:v>2026-09-04</x:v>
      </x:c>
    </x:row>
    <x:row r="137">
      <x:c r="A137" t="str">
        <x:v>重点观察</x:v>
      </x:c>
      <x:c r="B137" t="str">
        <x:v>补全 PB、财报，等待Agent自动验证</x:v>
      </x:c>
      <x:c r="C137" t="str">
        <x:v>601018</x:v>
      </x:c>
      <x:c r="D137" t="str">
        <x:v>宁波港</x:v>
      </x:c>
      <x:c r="E137" t="str">
        <x:v>主板</x:v>
      </x:c>
      <x:c r="F137" t="str">
        <x:v>待行业映射</x:v>
      </x:c>
      <x:c r="G137" t="str">
        <x:v>当前全市场行情快照缺少 PB；只能作为待补全研究队列，不得按完整估值条件生成交易建议。</x:v>
      </x:c>
      <x:c r="H137" t="n">
        <x:v>3.47</x:v>
      </x:c>
      <x:c r="I137" t="n">
        <x:v>13.2</x:v>
      </x:c>
      <x:c r="J137"/>
      <x:c r="K137" t="str">
        <x:v>待归档官方财报</x:v>
      </x:c>
      <x:c r="L137" t="str">
        <x:v>AkShare / Tencent all-A market snapshot</x:v>
      </x:c>
      <x:c r="M137" t="str">
        <x:v>ProxyError: primary market source unavailable; see source_id for full audit.</x:v>
      </x:c>
      <x:c r="N137" t="str">
        <x:v>0</x:v>
      </x:c>
      <x:c r="O137" t="str">
        <x:v>0fd6ad2d-3389-4e70-8974-eb85ee223eeb</x:v>
      </x:c>
      <x:c r="P137" t="str">
        <x:v>2026-09-04</x:v>
      </x:c>
    </x:row>
    <x:row r="138">
      <x:c r="A138" t="str">
        <x:v>重点观察</x:v>
      </x:c>
      <x:c r="B138" t="str">
        <x:v>补全 PB、财报，等待Agent自动验证</x:v>
      </x:c>
      <x:c r="C138" t="str">
        <x:v>000685</x:v>
      </x:c>
      <x:c r="D138" t="str">
        <x:v>中山公用</x:v>
      </x:c>
      <x:c r="E138" t="str">
        <x:v>主板</x:v>
      </x:c>
      <x:c r="F138" t="str">
        <x:v>待行业映射</x:v>
      </x:c>
      <x:c r="G138" t="str">
        <x:v>当前全市场行情快照缺少 PB；只能作为待补全研究队列，不得按完整估值条件生成交易建议。</x:v>
      </x:c>
      <x:c r="H138" t="n">
        <x:v>11.43</x:v>
      </x:c>
      <x:c r="I138" t="n">
        <x:v>6.38</x:v>
      </x:c>
      <x:c r="J138"/>
      <x:c r="K138" t="str">
        <x:v>待归档官方财报</x:v>
      </x:c>
      <x:c r="L138" t="str">
        <x:v>AkShare / Tencent all-A market snapshot</x:v>
      </x:c>
      <x:c r="M138" t="str">
        <x:v>ProxyError: primary market source unavailable; see source_id for full audit.</x:v>
      </x:c>
      <x:c r="N138" t="str">
        <x:v>0</x:v>
      </x:c>
      <x:c r="O138" t="str">
        <x:v>0fd6ad2d-3389-4e70-8974-eb85ee223eeb</x:v>
      </x:c>
      <x:c r="P138" t="str">
        <x:v>2026-09-04</x:v>
      </x:c>
    </x:row>
    <x:row r="139">
      <x:c r="A139" t="str">
        <x:v>重点观察</x:v>
      </x:c>
      <x:c r="B139" t="str">
        <x:v>补全 PB、财报，等待Agent自动验证</x:v>
      </x:c>
      <x:c r="C139" t="str">
        <x:v>601816</x:v>
      </x:c>
      <x:c r="D139" t="str">
        <x:v>京沪高铁</x:v>
      </x:c>
      <x:c r="E139" t="str">
        <x:v>主板</x:v>
      </x:c>
      <x:c r="F139" t="str">
        <x:v>待行业映射</x:v>
      </x:c>
      <x:c r="G139" t="str">
        <x:v>当前全市场行情快照缺少 PB；只能作为待补全研究队列，不得按完整估值条件生成交易建议。</x:v>
      </x:c>
      <x:c r="H139" t="n">
        <x:v>4.9</x:v>
      </x:c>
      <x:c r="I139" t="n">
        <x:v>17.59</x:v>
      </x:c>
      <x:c r="J139"/>
      <x:c r="K139" t="str">
        <x:v>待归档官方财报</x:v>
      </x:c>
      <x:c r="L139" t="str">
        <x:v>AkShare / Tencent all-A market snapshot</x:v>
      </x:c>
      <x:c r="M139" t="str">
        <x:v>ProxyError: primary market source unavailable; see source_id for full audit.</x:v>
      </x:c>
      <x:c r="N139" t="str">
        <x:v>0</x:v>
      </x:c>
      <x:c r="O139" t="str">
        <x:v>0fd6ad2d-3389-4e70-8974-eb85ee223eeb</x:v>
      </x:c>
      <x:c r="P139" t="str">
        <x:v>2026-09-04</x:v>
      </x:c>
    </x:row>
    <x:row r="140">
      <x:c r="A140" t="str">
        <x:v>重点观察</x:v>
      </x:c>
      <x:c r="B140" t="str">
        <x:v>补全 PB、财报，等待Agent自动验证</x:v>
      </x:c>
      <x:c r="C140" t="str">
        <x:v>601717</x:v>
      </x:c>
      <x:c r="D140" t="str">
        <x:v>中创智领</x:v>
      </x:c>
      <x:c r="E140" t="str">
        <x:v>主板</x:v>
      </x:c>
      <x:c r="F140" t="str">
        <x:v>待行业映射</x:v>
      </x:c>
      <x:c r="G140" t="str">
        <x:v>当前全市场行情快照缺少 PB；只能作为待补全研究队列，不得按完整估值条件生成交易建议。</x:v>
      </x:c>
      <x:c r="H140" t="n">
        <x:v>14.47</x:v>
      </x:c>
      <x:c r="I140" t="n">
        <x:v>7.64</x:v>
      </x:c>
      <x:c r="J140"/>
      <x:c r="K140" t="str">
        <x:v>待归档官方财报</x:v>
      </x:c>
      <x:c r="L140" t="str">
        <x:v>AkShare / Tencent all-A market snapshot</x:v>
      </x:c>
      <x:c r="M140" t="str">
        <x:v>ProxyError: primary market source unavailable; see source_id for full audit.</x:v>
      </x:c>
      <x:c r="N140" t="str">
        <x:v>0</x:v>
      </x:c>
      <x:c r="O140" t="str">
        <x:v>0fd6ad2d-3389-4e70-8974-eb85ee223eeb</x:v>
      </x:c>
      <x:c r="P140" t="str">
        <x:v>2026-09-04</x:v>
      </x:c>
    </x:row>
    <x:row r="141">
      <x:c r="A141" t="str">
        <x:v>重点观察</x:v>
      </x:c>
      <x:c r="B141" t="str">
        <x:v>补全 PB、财报，等待Agent自动验证</x:v>
      </x:c>
      <x:c r="C141" t="str">
        <x:v>600660</x:v>
      </x:c>
      <x:c r="D141" t="str">
        <x:v>福耀玻璃</x:v>
      </x:c>
      <x:c r="E141" t="str">
        <x:v>主板</x:v>
      </x:c>
      <x:c r="F141" t="str">
        <x:v>待行业映射</x:v>
      </x:c>
      <x:c r="G141" t="str">
        <x:v>当前全市场行情快照缺少 PB；只能作为待补全研究队列，不得按完整估值条件生成交易建议。</x:v>
      </x:c>
      <x:c r="H141" t="n">
        <x:v>57.33</x:v>
      </x:c>
      <x:c r="I141" t="n">
        <x:v>17.65</x:v>
      </x:c>
      <x:c r="J141"/>
      <x:c r="K141" t="str">
        <x:v>待归档官方财报</x:v>
      </x:c>
      <x:c r="L141" t="str">
        <x:v>AkShare / Tencent all-A market snapshot</x:v>
      </x:c>
      <x:c r="M141" t="str">
        <x:v>ProxyError: primary market source unavailable; see source_id for full audit.</x:v>
      </x:c>
      <x:c r="N141" t="str">
        <x:v>0</x:v>
      </x:c>
      <x:c r="O141" t="str">
        <x:v>0fd6ad2d-3389-4e70-8974-eb85ee223eeb</x:v>
      </x:c>
      <x:c r="P141" t="str">
        <x:v>2026-09-04</x:v>
      </x:c>
    </x:row>
    <x:row r="142">
      <x:c r="A142" t="str">
        <x:v>重点观察</x:v>
      </x:c>
      <x:c r="B142" t="str">
        <x:v>补全 PB、财报，等待Agent自动验证</x:v>
      </x:c>
      <x:c r="C142" t="str">
        <x:v>920186</x:v>
      </x:c>
      <x:c r="D142" t="str">
        <x:v>中科仪</x:v>
      </x:c>
      <x:c r="E142" t="str">
        <x:v>北交所</x:v>
      </x:c>
      <x:c r="F142" t="str">
        <x:v>待行业映射</x:v>
      </x:c>
      <x:c r="G142" t="str">
        <x:v>当前全市场行情快照缺少 PB；只能作为待补全研究队列，不得按完整估值条件生成交易建议。</x:v>
      </x:c>
      <x:c r="H142" t="n">
        <x:v>74.18</x:v>
      </x:c>
      <x:c r="I142" t="n">
        <x:v>6.53</x:v>
      </x:c>
      <x:c r="J142"/>
      <x:c r="K142" t="str">
        <x:v>待归档官方财报</x:v>
      </x:c>
      <x:c r="L142" t="str">
        <x:v>AkShare / Tencent all-A market snapshot</x:v>
      </x:c>
      <x:c r="M142" t="str">
        <x:v>ProxyError: primary market source unavailable; see source_id for full audit.</x:v>
      </x:c>
      <x:c r="N142" t="str">
        <x:v>0</x:v>
      </x:c>
      <x:c r="O142" t="str">
        <x:v>0fd6ad2d-3389-4e70-8974-eb85ee223eeb</x:v>
      </x:c>
      <x:c r="P142" t="str">
        <x:v>2026-09-04</x:v>
      </x:c>
    </x:row>
    <x:row r="143">
      <x:c r="A143" t="str">
        <x:v>重点观察</x:v>
      </x:c>
      <x:c r="B143" t="str">
        <x:v>补全 PB、财报，等待Agent自动验证</x:v>
      </x:c>
      <x:c r="C143" t="str">
        <x:v>603049</x:v>
      </x:c>
      <x:c r="D143" t="str">
        <x:v>中策橡胶</x:v>
      </x:c>
      <x:c r="E143" t="str">
        <x:v>主板</x:v>
      </x:c>
      <x:c r="F143" t="str">
        <x:v>待行业映射</x:v>
      </x:c>
      <x:c r="G143" t="str">
        <x:v>当前全市场行情快照缺少 PB；只能作为待补全研究队列，不得按完整估值条件生成交易建议。</x:v>
      </x:c>
      <x:c r="H143" t="n">
        <x:v>50.17</x:v>
      </x:c>
      <x:c r="I143" t="n">
        <x:v>10.29</x:v>
      </x:c>
      <x:c r="J143"/>
      <x:c r="K143" t="str">
        <x:v>待归档官方财报</x:v>
      </x:c>
      <x:c r="L143" t="str">
        <x:v>AkShare / Tencent all-A market snapshot</x:v>
      </x:c>
      <x:c r="M143" t="str">
        <x:v>ProxyError: primary market source unavailable; see source_id for full audit.</x:v>
      </x:c>
      <x:c r="N143" t="str">
        <x:v>0</x:v>
      </x:c>
      <x:c r="O143" t="str">
        <x:v>0fd6ad2d-3389-4e70-8974-eb85ee223eeb</x:v>
      </x:c>
      <x:c r="P143" t="str">
        <x:v>2026-09-04</x:v>
      </x:c>
    </x:row>
    <x:row r="144">
      <x:c r="A144" t="str">
        <x:v>重点观察</x:v>
      </x:c>
      <x:c r="B144" t="str">
        <x:v>补全 PB、财报，等待Agent自动验证</x:v>
      </x:c>
      <x:c r="C144" t="str">
        <x:v>000338</x:v>
      </x:c>
      <x:c r="D144" t="str">
        <x:v>潍柴动力</x:v>
      </x:c>
      <x:c r="E144" t="str">
        <x:v>主板</x:v>
      </x:c>
      <x:c r="F144" t="str">
        <x:v>待行业映射</x:v>
      </x:c>
      <x:c r="G144" t="str">
        <x:v>当前全市场行情快照缺少 PB；只能作为待补全研究队列，不得按完整估值条件生成交易建议。</x:v>
      </x:c>
      <x:c r="H144" t="n">
        <x:v>26.85</x:v>
      </x:c>
      <x:c r="I144" t="n">
        <x:v>17.86</x:v>
      </x:c>
      <x:c r="J144"/>
      <x:c r="K144" t="str">
        <x:v>待归档官方财报</x:v>
      </x:c>
      <x:c r="L144" t="str">
        <x:v>AkShare / Tencent all-A market snapshot</x:v>
      </x:c>
      <x:c r="M144" t="str">
        <x:v>ProxyError: primary market source unavailable; see source_id for full audit.</x:v>
      </x:c>
      <x:c r="N144" t="str">
        <x:v>0</x:v>
      </x:c>
      <x:c r="O144" t="str">
        <x:v>0fd6ad2d-3389-4e70-8974-eb85ee223eeb</x:v>
      </x:c>
      <x:c r="P144" t="str">
        <x:v>2026-09-04</x:v>
      </x:c>
    </x:row>
    <x:row r="145">
      <x:c r="A145" t="str">
        <x:v>重点观察</x:v>
      </x:c>
      <x:c r="B145" t="str">
        <x:v>银行专用模型待核验</x:v>
      </x:c>
      <x:c r="C145" t="str">
        <x:v>601187</x:v>
      </x:c>
      <x:c r="D145" t="str">
        <x:v>厦门银行</x:v>
      </x:c>
      <x:c r="E145" t="str">
        <x:v>主板</x:v>
      </x:c>
      <x:c r="F145" t="str">
        <x:v>待行业映射</x:v>
      </x:c>
      <x:c r="G145" t="str">
        <x:v>名称/板块初步识别为银行；须以同一报告期官方披露复核专用指标和行业分类，禁止套用通用企业现金流、负债率或 EV/EBITDA 规则。 当前公共行情快照缺少 PB，须在专用模型复核中补齐。</x:v>
      </x:c>
      <x:c r="H145" t="n">
        <x:v>7.2</x:v>
      </x:c>
      <x:c r="I145" t="n">
        <x:v>6.99</x:v>
      </x:c>
      <x:c r="J145"/>
      <x:c r="K145" t="str">
        <x:v>待归档官方财报</x:v>
      </x:c>
      <x:c r="L145" t="str">
        <x:v>AkShare / Tencent all-A market snapshot</x:v>
      </x:c>
      <x:c r="M145" t="str">
        <x:v>ProxyError: primary market source unavailable; see source_id for full audit.</x:v>
      </x:c>
      <x:c r="N145" t="str">
        <x:v>0</x:v>
      </x:c>
      <x:c r="O145" t="str">
        <x:v>0fd6ad2d-3389-4e70-8974-eb85ee223eeb</x:v>
      </x:c>
      <x:c r="P145" t="str">
        <x:v>2026-09-04</x:v>
      </x:c>
    </x:row>
    <x:row r="146">
      <x:c r="A146" t="str">
        <x:v>重点观察</x:v>
      </x:c>
      <x:c r="B146" t="str">
        <x:v>补全 PB、财报，等待Agent自动验证</x:v>
      </x:c>
      <x:c r="C146" t="str">
        <x:v>001872</x:v>
      </x:c>
      <x:c r="D146" t="str">
        <x:v>招商港口</x:v>
      </x:c>
      <x:c r="E146" t="str">
        <x:v>主板</x:v>
      </x:c>
      <x:c r="F146" t="str">
        <x:v>待行业映射</x:v>
      </x:c>
      <x:c r="G146" t="str">
        <x:v>当前全市场行情快照缺少 PB；只能作为待补全研究队列，不得按完整估值条件生成交易建议。</x:v>
      </x:c>
      <x:c r="H146" t="n">
        <x:v>23.77</x:v>
      </x:c>
      <x:c r="I146" t="n">
        <x:v>12.38</x:v>
      </x:c>
      <x:c r="J146"/>
      <x:c r="K146" t="str">
        <x:v>待归档官方财报</x:v>
      </x:c>
      <x:c r="L146" t="str">
        <x:v>AkShare / Tencent all-A market snapshot</x:v>
      </x:c>
      <x:c r="M146" t="str">
        <x:v>ProxyError: primary market source unavailable; see source_id for full audit.</x:v>
      </x:c>
      <x:c r="N146" t="str">
        <x:v>0</x:v>
      </x:c>
      <x:c r="O146" t="str">
        <x:v>0fd6ad2d-3389-4e70-8974-eb85ee223eeb</x:v>
      </x:c>
      <x:c r="P146" t="str">
        <x:v>2026-09-04</x:v>
      </x:c>
    </x:row>
    <x:row r="147">
      <x:c r="A147" t="str">
        <x:v>重点观察</x:v>
      </x:c>
      <x:c r="B147" t="str">
        <x:v>补全 PB、财报，等待Agent自动验证</x:v>
      </x:c>
      <x:c r="C147" t="str">
        <x:v>601607</x:v>
      </x:c>
      <x:c r="D147" t="str">
        <x:v>上海医药</x:v>
      </x:c>
      <x:c r="E147" t="str">
        <x:v>主板</x:v>
      </x:c>
      <x:c r="F147" t="str">
        <x:v>待行业映射</x:v>
      </x:c>
      <x:c r="G147" t="str">
        <x:v>当前全市场行情快照缺少 PB；只能作为待补全研究队列，不得按完整估值条件生成交易建议。</x:v>
      </x:c>
      <x:c r="H147" t="n">
        <x:v>16.62</x:v>
      </x:c>
      <x:c r="I147" t="n">
        <x:v>12.92</x:v>
      </x:c>
      <x:c r="J147"/>
      <x:c r="K147" t="str">
        <x:v>待归档官方财报</x:v>
      </x:c>
      <x:c r="L147" t="str">
        <x:v>AkShare / Tencent all-A market snapshot</x:v>
      </x:c>
      <x:c r="M147" t="str">
        <x:v>ProxyError: primary market source unavailable; see source_id for full audit.</x:v>
      </x:c>
      <x:c r="N147" t="str">
        <x:v>0</x:v>
      </x:c>
      <x:c r="O147" t="str">
        <x:v>0fd6ad2d-3389-4e70-8974-eb85ee223eeb</x:v>
      </x:c>
      <x:c r="P147" t="str">
        <x:v>2026-09-04</x:v>
      </x:c>
    </x:row>
    <x:row r="148">
      <x:c r="A148" t="str">
        <x:v>重点观察</x:v>
      </x:c>
      <x:c r="B148" t="str">
        <x:v>证券公司专用模型待核验</x:v>
      </x:c>
      <x:c r="C148" t="str">
        <x:v>601555</x:v>
      </x:c>
      <x:c r="D148" t="str">
        <x:v>东吴证券</x:v>
      </x:c>
      <x:c r="E148" t="str">
        <x:v>主板</x:v>
      </x:c>
      <x:c r="F148" t="str">
        <x:v>待行业映射</x:v>
      </x:c>
      <x:c r="G148" t="str">
        <x:v>名称/板块初步识别为证券公司；须以同一报告期官方披露复核专用指标和行业分类，禁止套用通用企业现金流、负债率或 EV/EBITDA 规则。 当前公共行情快照缺少 PB，须在专用模型复核中补齐。</x:v>
      </x:c>
      <x:c r="H148" t="n">
        <x:v>8.47</x:v>
      </x:c>
      <x:c r="I148" t="n">
        <x:v>10.41</x:v>
      </x:c>
      <x:c r="J148"/>
      <x:c r="K148" t="str">
        <x:v>待归档官方财报</x:v>
      </x:c>
      <x:c r="L148" t="str">
        <x:v>AkShare / Tencent all-A market snapshot</x:v>
      </x:c>
      <x:c r="M148" t="str">
        <x:v>ProxyError: primary market source unavailable; see source_id for full audit.</x:v>
      </x:c>
      <x:c r="N148" t="str">
        <x:v>0</x:v>
      </x:c>
      <x:c r="O148" t="str">
        <x:v>0fd6ad2d-3389-4e70-8974-eb85ee223eeb</x:v>
      </x:c>
      <x:c r="P148" t="str">
        <x:v>2026-09-04</x:v>
      </x:c>
    </x:row>
    <x:row r="149">
      <x:c r="A149" t="str">
        <x:v>重点观察</x:v>
      </x:c>
      <x:c r="B149" t="str">
        <x:v>补全 PB、财报，等待Agent自动验证</x:v>
      </x:c>
      <x:c r="C149" t="str">
        <x:v>600968</x:v>
      </x:c>
      <x:c r="D149" t="str">
        <x:v>海油发展</x:v>
      </x:c>
      <x:c r="E149" t="str">
        <x:v>主板</x:v>
      </x:c>
      <x:c r="F149" t="str">
        <x:v>待行业映射</x:v>
      </x:c>
      <x:c r="G149" t="str">
        <x:v>当前全市场行情快照缺少 PB；只能作为待补全研究队列，不得按完整估值条件生成交易建议。</x:v>
      </x:c>
      <x:c r="H149" t="n">
        <x:v>3.95</x:v>
      </x:c>
      <x:c r="I149" t="n">
        <x:v>10.24</x:v>
      </x:c>
      <x:c r="J149"/>
      <x:c r="K149" t="str">
        <x:v>待归档官方财报</x:v>
      </x:c>
      <x:c r="L149" t="str">
        <x:v>AkShare / Tencent all-A market snapshot</x:v>
      </x:c>
      <x:c r="M149" t="str">
        <x:v>ProxyError: primary market source unavailable; see source_id for full audit.</x:v>
      </x:c>
      <x:c r="N149" t="str">
        <x:v>0</x:v>
      </x:c>
      <x:c r="O149" t="str">
        <x:v>0fd6ad2d-3389-4e70-8974-eb85ee223eeb</x:v>
      </x:c>
      <x:c r="P149" t="str">
        <x:v>2026-09-04</x:v>
      </x:c>
    </x:row>
    <x:row r="150">
      <x:c r="A150" t="str">
        <x:v>重点观察</x:v>
      </x:c>
      <x:c r="B150" t="str">
        <x:v>证券公司专用模型待核验</x:v>
      </x:c>
      <x:c r="C150" t="str">
        <x:v>601901</x:v>
      </x:c>
      <x:c r="D150" t="str">
        <x:v>方正证券</x:v>
      </x:c>
      <x:c r="E150" t="str">
        <x:v>主板</x:v>
      </x:c>
      <x:c r="F150" t="str">
        <x:v>待行业映射</x:v>
      </x:c>
      <x:c r="G150" t="str">
        <x:v>名称/板块初步识别为证券公司；须以同一报告期官方披露复核专用指标和行业分类，禁止套用通用企业现金流、负债率或 EV/EBITDA 规则。 当前公共行情快照缺少 PB，须在专用模型复核中补齐。</x:v>
      </x:c>
      <x:c r="H150" t="n">
        <x:v>6.92</x:v>
      </x:c>
      <x:c r="I150" t="n">
        <x:v>12.54</x:v>
      </x:c>
      <x:c r="J150"/>
      <x:c r="K150" t="str">
        <x:v>待归档官方财报</x:v>
      </x:c>
      <x:c r="L150" t="str">
        <x:v>AkShare / Tencent all-A market snapshot</x:v>
      </x:c>
      <x:c r="M150" t="str">
        <x:v>ProxyError: primary market source unavailable; see source_id for full audit.</x:v>
      </x:c>
      <x:c r="N150" t="str">
        <x:v>0</x:v>
      </x:c>
      <x:c r="O150" t="str">
        <x:v>0fd6ad2d-3389-4e70-8974-eb85ee223eeb</x:v>
      </x:c>
      <x:c r="P150" t="str">
        <x:v>2026-09-04</x:v>
      </x:c>
    </x:row>
    <x:row r="151">
      <x:c r="A151" t="str">
        <x:v>重点观察</x:v>
      </x:c>
      <x:c r="B151" t="str">
        <x:v>补全 PB、财报，等待Agent自动验证</x:v>
      </x:c>
      <x:c r="C151" t="str">
        <x:v>600377</x:v>
      </x:c>
      <x:c r="D151" t="str">
        <x:v>宁沪高速</x:v>
      </x:c>
      <x:c r="E151" t="str">
        <x:v>主板</x:v>
      </x:c>
      <x:c r="F151" t="str">
        <x:v>待行业映射</x:v>
      </x:c>
      <x:c r="G151" t="str">
        <x:v>当前全市场行情快照缺少 PB；只能作为待补全研究队列，不得按完整估值条件生成交易建议。</x:v>
      </x:c>
      <x:c r="H151" t="n">
        <x:v>12.42</x:v>
      </x:c>
      <x:c r="I151" t="n">
        <x:v>13.39</x:v>
      </x:c>
      <x:c r="J151"/>
      <x:c r="K151" t="str">
        <x:v>待归档官方财报</x:v>
      </x:c>
      <x:c r="L151" t="str">
        <x:v>AkShare / Tencent all-A market snapshot</x:v>
      </x:c>
      <x:c r="M151" t="str">
        <x:v>ProxyError: primary market source unavailable; see source_id for full audit.</x:v>
      </x:c>
      <x:c r="N151" t="str">
        <x:v>0</x:v>
      </x:c>
      <x:c r="O151" t="str">
        <x:v>0fd6ad2d-3389-4e70-8974-eb85ee223eeb</x:v>
      </x:c>
      <x:c r="P151" t="str">
        <x:v>2026-09-04</x:v>
      </x:c>
    </x:row>
    <x:row r="152">
      <x:c r="A152" t="str">
        <x:v>重点观察</x:v>
      </x:c>
      <x:c r="B152" t="str">
        <x:v>补全 PB、财报，等待Agent自动验证</x:v>
      </x:c>
      <x:c r="C152" t="str">
        <x:v>600028</x:v>
      </x:c>
      <x:c r="D152" t="str">
        <x:v>中国石化</x:v>
      </x:c>
      <x:c r="E152" t="str">
        <x:v>主板</x:v>
      </x:c>
      <x:c r="F152" t="str">
        <x:v>待行业映射</x:v>
      </x:c>
      <x:c r="G152" t="str">
        <x:v>当前全市场行情快照缺少 PB；只能作为待补全研究队列，不得按完整估值条件生成交易建议。</x:v>
      </x:c>
      <x:c r="H152" t="n">
        <x:v>5.48</x:v>
      </x:c>
      <x:c r="I152" t="n">
        <x:v>18.43</x:v>
      </x:c>
      <x:c r="J152"/>
      <x:c r="K152" t="str">
        <x:v>待归档官方财报</x:v>
      </x:c>
      <x:c r="L152" t="str">
        <x:v>AkShare / Tencent all-A market snapshot</x:v>
      </x:c>
      <x:c r="M152" t="str">
        <x:v>ProxyError: primary market source unavailable; see source_id for full audit.</x:v>
      </x:c>
      <x:c r="N152" t="str">
        <x:v>0</x:v>
      </x:c>
      <x:c r="O152" t="str">
        <x:v>0fd6ad2d-3389-4e70-8974-eb85ee223eeb</x:v>
      </x:c>
      <x:c r="P152" t="str">
        <x:v>2026-09-04</x:v>
      </x:c>
    </x:row>
    <x:row r="153">
      <x:c r="A153" t="str">
        <x:v>重点观察</x:v>
      </x:c>
      <x:c r="B153" t="str">
        <x:v>补全 PB、财报，等待Agent自动验证</x:v>
      </x:c>
      <x:c r="C153" t="str">
        <x:v>600089</x:v>
      </x:c>
      <x:c r="D153" t="str">
        <x:v>特变电工</x:v>
      </x:c>
      <x:c r="E153" t="str">
        <x:v>主板</x:v>
      </x:c>
      <x:c r="F153" t="str">
        <x:v>待行业映射</x:v>
      </x:c>
      <x:c r="G153" t="str">
        <x:v>当前全市场行情快照缺少 PB；只能作为待补全研究队列，不得按完整估值条件生成交易建议。</x:v>
      </x:c>
      <x:c r="H153" t="n">
        <x:v>18.88</x:v>
      </x:c>
      <x:c r="I153" t="n">
        <x:v>17.92</x:v>
      </x:c>
      <x:c r="J153"/>
      <x:c r="K153" t="str">
        <x:v>待归档官方财报</x:v>
      </x:c>
      <x:c r="L153" t="str">
        <x:v>AkShare / Tencent all-A market snapshot</x:v>
      </x:c>
      <x:c r="M153" t="str">
        <x:v>ProxyError: primary market source unavailable; see source_id for full audit.</x:v>
      </x:c>
      <x:c r="N153" t="str">
        <x:v>0</x:v>
      </x:c>
      <x:c r="O153" t="str">
        <x:v>0fd6ad2d-3389-4e70-8974-eb85ee223eeb</x:v>
      </x:c>
      <x:c r="P153" t="str">
        <x:v>2026-09-04</x:v>
      </x:c>
    </x:row>
    <x:row r="154">
      <x:c r="A154" t="str">
        <x:v>重点观察</x:v>
      </x:c>
      <x:c r="B154" t="str">
        <x:v>补全 PB、财报，等待Agent自动验证</x:v>
      </x:c>
      <x:c r="C154" t="str">
        <x:v>001965</x:v>
      </x:c>
      <x:c r="D154" t="str">
        <x:v>招商公路</x:v>
      </x:c>
      <x:c r="E154" t="str">
        <x:v>主板</x:v>
      </x:c>
      <x:c r="F154" t="str">
        <x:v>待行业映射</x:v>
      </x:c>
      <x:c r="G154" t="str">
        <x:v>当前全市场行情快照缺少 PB；只能作为待补全研究队列，不得按完整估值条件生成交易建议。</x:v>
      </x:c>
      <x:c r="H154" t="n">
        <x:v>9.8</x:v>
      </x:c>
      <x:c r="I154" t="n">
        <x:v>14.13</x:v>
      </x:c>
      <x:c r="J154"/>
      <x:c r="K154" t="str">
        <x:v>待归档官方财报</x:v>
      </x:c>
      <x:c r="L154" t="str">
        <x:v>AkShare / Tencent all-A market snapshot</x:v>
      </x:c>
      <x:c r="M154" t="str">
        <x:v>ProxyError: primary market source unavailable; see source_id for full audit.</x:v>
      </x:c>
      <x:c r="N154" t="str">
        <x:v>0</x:v>
      </x:c>
      <x:c r="O154" t="str">
        <x:v>0fd6ad2d-3389-4e70-8974-eb85ee223eeb</x:v>
      </x:c>
      <x:c r="P154" t="str">
        <x:v>2026-09-04</x:v>
      </x:c>
    </x:row>
    <x:row r="155">
      <x:c r="A155" t="str">
        <x:v>重点观察</x:v>
      </x:c>
      <x:c r="B155" t="str">
        <x:v>补全 PB、财报，等待Agent自动验证</x:v>
      </x:c>
      <x:c r="C155" t="str">
        <x:v>000538</x:v>
      </x:c>
      <x:c r="D155" t="str">
        <x:v>云南白药</x:v>
      </x:c>
      <x:c r="E155" t="str">
        <x:v>主板</x:v>
      </x:c>
      <x:c r="F155" t="str">
        <x:v>待行业映射</x:v>
      </x:c>
      <x:c r="G155" t="str">
        <x:v>当前全市场行情快照缺少 PB；只能作为待补全研究队列，不得按完整估值条件生成交易建议。</x:v>
      </x:c>
      <x:c r="H155" t="n">
        <x:v>51.02</x:v>
      </x:c>
      <x:c r="I155" t="n">
        <x:v>17.43</x:v>
      </x:c>
      <x:c r="J155"/>
      <x:c r="K155" t="str">
        <x:v>待归档官方财报</x:v>
      </x:c>
      <x:c r="L155" t="str">
        <x:v>AkShare / Tencent all-A market snapshot</x:v>
      </x:c>
      <x:c r="M155" t="str">
        <x:v>ProxyError: primary market source unavailable; see source_id for full audit.</x:v>
      </x:c>
      <x:c r="N155" t="str">
        <x:v>0</x:v>
      </x:c>
      <x:c r="O155" t="str">
        <x:v>0fd6ad2d-3389-4e70-8974-eb85ee223eeb</x:v>
      </x:c>
      <x:c r="P155" t="str">
        <x:v>2026-09-04</x:v>
      </x:c>
    </x:row>
    <x:row r="156">
      <x:c r="A156" t="str">
        <x:v>重点观察</x:v>
      </x:c>
      <x:c r="B156" t="str">
        <x:v>补全 PB、财报，等待Agent自动验证</x:v>
      </x:c>
      <x:c r="C156" t="str">
        <x:v>000895</x:v>
      </x:c>
      <x:c r="D156" t="str">
        <x:v>双汇发展</x:v>
      </x:c>
      <x:c r="E156" t="str">
        <x:v>主板</x:v>
      </x:c>
      <x:c r="F156" t="str">
        <x:v>待行业映射</x:v>
      </x:c>
      <x:c r="G156" t="str">
        <x:v>当前全市场行情快照缺少 PB；只能作为待补全研究队列，不得按完整估值条件生成交易建议。</x:v>
      </x:c>
      <x:c r="H156" t="n">
        <x:v>24.17</x:v>
      </x:c>
      <x:c r="I156" t="n">
        <x:v>16.46</x:v>
      </x:c>
      <x:c r="J156"/>
      <x:c r="K156" t="str">
        <x:v>待归档官方财报</x:v>
      </x:c>
      <x:c r="L156" t="str">
        <x:v>AkShare / Tencent all-A market snapshot</x:v>
      </x:c>
      <x:c r="M156" t="str">
        <x:v>ProxyError: primary market source unavailable; see source_id for full audit.</x:v>
      </x:c>
      <x:c r="N156" t="str">
        <x:v>0</x:v>
      </x:c>
      <x:c r="O156" t="str">
        <x:v>0fd6ad2d-3389-4e70-8974-eb85ee223eeb</x:v>
      </x:c>
      <x:c r="P156" t="str">
        <x:v>2026-09-04</x:v>
      </x:c>
    </x:row>
    <x:row r="157">
      <x:c r="A157" t="str">
        <x:v>重点观察</x:v>
      </x:c>
      <x:c r="B157" t="str">
        <x:v>银行专用模型待核验</x:v>
      </x:c>
      <x:c r="C157" t="str">
        <x:v>001227</x:v>
      </x:c>
      <x:c r="D157" t="str">
        <x:v>兰州银行</x:v>
      </x:c>
      <x:c r="E157" t="str">
        <x:v>主板</x:v>
      </x:c>
      <x:c r="F157" t="str">
        <x:v>待行业映射</x:v>
      </x:c>
      <x:c r="G157" t="str">
        <x:v>名称/板块初步识别为银行；须以同一报告期官方披露复核专用指标和行业分类，禁止套用通用企业现金流、负债率或 EV/EBITDA 规则。 当前公共行情快照缺少 PB，须在专用模型复核中补齐。</x:v>
      </x:c>
      <x:c r="H157" t="n">
        <x:v>2.16</x:v>
      </x:c>
      <x:c r="I157" t="n">
        <x:v>6.91</x:v>
      </x:c>
      <x:c r="J157"/>
      <x:c r="K157" t="str">
        <x:v>待归档官方财报</x:v>
      </x:c>
      <x:c r="L157" t="str">
        <x:v>AkShare / Tencent all-A market snapshot</x:v>
      </x:c>
      <x:c r="M157" t="str">
        <x:v>ProxyError: primary market source unavailable; see source_id for full audit.</x:v>
      </x:c>
      <x:c r="N157" t="str">
        <x:v>0</x:v>
      </x:c>
      <x:c r="O157" t="str">
        <x:v>0fd6ad2d-3389-4e70-8974-eb85ee223eeb</x:v>
      </x:c>
      <x:c r="P157" t="str">
        <x:v>2026-09-04</x:v>
      </x:c>
    </x:row>
    <x:row r="158">
      <x:c r="A158" t="str">
        <x:v>重点观察</x:v>
      </x:c>
      <x:c r="B158" t="str">
        <x:v>补全 PB、财报，等待Agent自动验证</x:v>
      </x:c>
      <x:c r="C158" t="str">
        <x:v>600489</x:v>
      </x:c>
      <x:c r="D158" t="str">
        <x:v>中金黄金</x:v>
      </x:c>
      <x:c r="E158" t="str">
        <x:v>主板</x:v>
      </x:c>
      <x:c r="F158" t="str">
        <x:v>待行业映射</x:v>
      </x:c>
      <x:c r="G158" t="str">
        <x:v>当前全市场行情快照缺少 PB；只能作为待补全研究队列，不得按完整估值条件生成交易建议。</x:v>
      </x:c>
      <x:c r="H158" t="n">
        <x:v>25.6</x:v>
      </x:c>
      <x:c r="I158" t="n">
        <x:v>18.81</x:v>
      </x:c>
      <x:c r="J158"/>
      <x:c r="K158" t="str">
        <x:v>待归档官方财报</x:v>
      </x:c>
      <x:c r="L158" t="str">
        <x:v>AkShare / Tencent all-A market snapshot</x:v>
      </x:c>
      <x:c r="M158" t="str">
        <x:v>ProxyError: primary market source unavailable; see source_id for full audit.</x:v>
      </x:c>
      <x:c r="N158" t="str">
        <x:v>0</x:v>
      </x:c>
      <x:c r="O158" t="str">
        <x:v>0fd6ad2d-3389-4e70-8974-eb85ee223eeb</x:v>
      </x:c>
      <x:c r="P158" t="str">
        <x:v>2026-09-04</x:v>
      </x:c>
    </x:row>
    <x:row r="159">
      <x:c r="A159" t="str">
        <x:v>重点观察</x:v>
      </x:c>
      <x:c r="B159" t="str">
        <x:v>补全 PB、财报，等待Agent自动验证</x:v>
      </x:c>
      <x:c r="C159" t="str">
        <x:v>000885</x:v>
      </x:c>
      <x:c r="D159" t="str">
        <x:v>城发环境</x:v>
      </x:c>
      <x:c r="E159" t="str">
        <x:v>主板</x:v>
      </x:c>
      <x:c r="F159" t="str">
        <x:v>待行业映射</x:v>
      </x:c>
      <x:c r="G159" t="str">
        <x:v>当前全市场行情快照缺少 PB；只能作为待补全研究队列，不得按完整估值条件生成交易建议。</x:v>
      </x:c>
      <x:c r="H159" t="n">
        <x:v>12.16</x:v>
      </x:c>
      <x:c r="I159" t="n">
        <x:v>6.41</x:v>
      </x:c>
      <x:c r="J159"/>
      <x:c r="K159" t="str">
        <x:v>待归档官方财报</x:v>
      </x:c>
      <x:c r="L159" t="str">
        <x:v>AkShare / Tencent all-A market snapshot</x:v>
      </x:c>
      <x:c r="M159" t="str">
        <x:v>ProxyError: primary market source unavailable; see source_id for full audit.</x:v>
      </x:c>
      <x:c r="N159" t="str">
        <x:v>0</x:v>
      </x:c>
      <x:c r="O159" t="str">
        <x:v>0fd6ad2d-3389-4e70-8974-eb85ee223eeb</x:v>
      </x:c>
      <x:c r="P159" t="str">
        <x:v>2026-09-04</x:v>
      </x:c>
    </x:row>
    <x:row r="160">
      <x:c r="A160" t="str">
        <x:v>重点观察</x:v>
      </x:c>
      <x:c r="B160" t="str">
        <x:v>补全 PB、财报，等待Agent自动验证</x:v>
      </x:c>
      <x:c r="C160" t="str">
        <x:v>600219</x:v>
      </x:c>
      <x:c r="D160" t="str">
        <x:v>南山铝业</x:v>
      </x:c>
      <x:c r="E160" t="str">
        <x:v>主板</x:v>
      </x:c>
      <x:c r="F160" t="str">
        <x:v>待行业映射</x:v>
      </x:c>
      <x:c r="G160" t="str">
        <x:v>当前全市场行情快照缺少 PB；只能作为待补全研究队列，不得按完整估值条件生成交易建议。</x:v>
      </x:c>
      <x:c r="H160" t="n">
        <x:v>4.92</x:v>
      </x:c>
      <x:c r="I160" t="n">
        <x:v>12.97</x:v>
      </x:c>
      <x:c r="J160"/>
      <x:c r="K160" t="str">
        <x:v>待归档官方财报</x:v>
      </x:c>
      <x:c r="L160" t="str">
        <x:v>AkShare / Tencent all-A market snapshot</x:v>
      </x:c>
      <x:c r="M160" t="str">
        <x:v>ProxyError: primary market source unavailable; see source_id for full audit.</x:v>
      </x:c>
      <x:c r="N160" t="str">
        <x:v>0</x:v>
      </x:c>
      <x:c r="O160" t="str">
        <x:v>0fd6ad2d-3389-4e70-8974-eb85ee223eeb</x:v>
      </x:c>
      <x:c r="P160" t="str">
        <x:v>2026-09-04</x:v>
      </x:c>
    </x:row>
    <x:row r="161">
      <x:c r="A161" t="str">
        <x:v>重点观察</x:v>
      </x:c>
      <x:c r="B161" t="str">
        <x:v>补全 PB、财报，等待Agent自动验证</x:v>
      </x:c>
      <x:c r="C161" t="str">
        <x:v>600578</x:v>
      </x:c>
      <x:c r="D161" t="str">
        <x:v>京能电力</x:v>
      </x:c>
      <x:c r="E161" t="str">
        <x:v>主板</x:v>
      </x:c>
      <x:c r="F161" t="str">
        <x:v>待行业映射</x:v>
      </x:c>
      <x:c r="G161" t="str">
        <x:v>当前全市场行情快照缺少 PB；只能作为待补全研究队列，不得按完整估值条件生成交易建议。</x:v>
      </x:c>
      <x:c r="H161" t="n">
        <x:v>5.41</x:v>
      </x:c>
      <x:c r="I161" t="n">
        <x:v>10.25</x:v>
      </x:c>
      <x:c r="J161"/>
      <x:c r="K161" t="str">
        <x:v>待归档官方财报</x:v>
      </x:c>
      <x:c r="L161" t="str">
        <x:v>AkShare / Tencent all-A market snapshot</x:v>
      </x:c>
      <x:c r="M161" t="str">
        <x:v>ProxyError: primary market source unavailable; see source_id for full audit.</x:v>
      </x:c>
      <x:c r="N161" t="str">
        <x:v>0</x:v>
      </x:c>
      <x:c r="O161" t="str">
        <x:v>0fd6ad2d-3389-4e70-8974-eb85ee223eeb</x:v>
      </x:c>
      <x:c r="P161" t="str">
        <x:v>2026-09-04</x:v>
      </x:c>
    </x:row>
    <x:row r="162">
      <x:c r="A162" t="str">
        <x:v>重点观察</x:v>
      </x:c>
      <x:c r="B162" t="str">
        <x:v>补全 PB、财报，等待Agent自动验证</x:v>
      </x:c>
      <x:c r="C162" t="str">
        <x:v>600061</x:v>
      </x:c>
      <x:c r="D162" t="str">
        <x:v>国投资本</x:v>
      </x:c>
      <x:c r="E162" t="str">
        <x:v>主板</x:v>
      </x:c>
      <x:c r="F162" t="str">
        <x:v>待行业映射</x:v>
      </x:c>
      <x:c r="G162" t="str">
        <x:v>当前全市场行情快照缺少 PB；只能作为待补全研究队列，不得按完整估值条件生成交易建议。</x:v>
      </x:c>
      <x:c r="H162" t="n">
        <x:v>6.53</x:v>
      </x:c>
      <x:c r="I162" t="n">
        <x:v>11.05</x:v>
      </x:c>
      <x:c r="J162"/>
      <x:c r="K162" t="str">
        <x:v>待归档官方财报</x:v>
      </x:c>
      <x:c r="L162" t="str">
        <x:v>AkShare / Tencent all-A market snapshot</x:v>
      </x:c>
      <x:c r="M162" t="str">
        <x:v>ProxyError: primary market source unavailable; see source_id for full audit.</x:v>
      </x:c>
      <x:c r="N162" t="str">
        <x:v>0</x:v>
      </x:c>
      <x:c r="O162" t="str">
        <x:v>0fd6ad2d-3389-4e70-8974-eb85ee223eeb</x:v>
      </x:c>
      <x:c r="P162" t="str">
        <x:v>2026-09-04</x:v>
      </x:c>
    </x:row>
    <x:row r="163">
      <x:c r="A163" t="str">
        <x:v>重点观察</x:v>
      </x:c>
      <x:c r="B163" t="str">
        <x:v>补全 PB、财报，等待Agent自动验证</x:v>
      </x:c>
      <x:c r="C163" t="str">
        <x:v>688330</x:v>
      </x:c>
      <x:c r="D163" t="str">
        <x:v>宏力达</x:v>
      </x:c>
      <x:c r="E163" t="str">
        <x:v>科创板</x:v>
      </x:c>
      <x:c r="F163" t="str">
        <x:v>待行业映射</x:v>
      </x:c>
      <x:c r="G163" t="str">
        <x:v>当前全市场行情快照缺少 PB；只能作为待补全研究队列，不得按完整估值条件生成交易建议。</x:v>
      </x:c>
      <x:c r="H163" t="n">
        <x:v>36.78</x:v>
      </x:c>
      <x:c r="I163" t="n">
        <x:v>6.21</x:v>
      </x:c>
      <x:c r="J163"/>
      <x:c r="K163" t="str">
        <x:v>待归档官方财报</x:v>
      </x:c>
      <x:c r="L163" t="str">
        <x:v>AkShare / Tencent all-A market snapshot</x:v>
      </x:c>
      <x:c r="M163" t="str">
        <x:v>ProxyError: primary market source unavailable; see source_id for full audit.</x:v>
      </x:c>
      <x:c r="N163" t="str">
        <x:v>0</x:v>
      </x:c>
      <x:c r="O163" t="str">
        <x:v>0fd6ad2d-3389-4e70-8974-eb85ee223eeb</x:v>
      </x:c>
      <x:c r="P163" t="str">
        <x:v>2026-09-04</x:v>
      </x:c>
    </x:row>
    <x:row r="164">
      <x:c r="A164" t="str">
        <x:v>重点观察</x:v>
      </x:c>
      <x:c r="B164" t="str">
        <x:v>补全 PB、财报，等待Agent自动验证</x:v>
      </x:c>
      <x:c r="C164" t="str">
        <x:v>300014</x:v>
      </x:c>
      <x:c r="D164" t="str">
        <x:v>亿纬锂能</x:v>
      </x:c>
      <x:c r="E164" t="str">
        <x:v>创业板</x:v>
      </x:c>
      <x:c r="F164" t="str">
        <x:v>待行业映射</x:v>
      </x:c>
      <x:c r="G164" t="str">
        <x:v>当前全市场行情快照缺少 PB；只能作为待补全研究队列，不得按完整估值条件生成交易建议。</x:v>
      </x:c>
      <x:c r="H164" t="n">
        <x:v>51.04</x:v>
      </x:c>
      <x:c r="I164" t="n">
        <x:v>19.03</x:v>
      </x:c>
      <x:c r="J164"/>
      <x:c r="K164" t="str">
        <x:v>待归档官方财报</x:v>
      </x:c>
      <x:c r="L164" t="str">
        <x:v>AkShare / Tencent all-A market snapshot</x:v>
      </x:c>
      <x:c r="M164" t="str">
        <x:v>ProxyError: primary market source unavailable; see source_id for full audit.</x:v>
      </x:c>
      <x:c r="N164" t="str">
        <x:v>0</x:v>
      </x:c>
      <x:c r="O164" t="str">
        <x:v>0fd6ad2d-3389-4e70-8974-eb85ee223eeb</x:v>
      </x:c>
      <x:c r="P164" t="str">
        <x:v>2026-09-04</x:v>
      </x:c>
    </x:row>
    <x:row r="165">
      <x:c r="A165" t="str">
        <x:v>重点观察</x:v>
      </x:c>
      <x:c r="B165" t="str">
        <x:v>补全 PB、财报，等待Agent自动验证</x:v>
      </x:c>
      <x:c r="C165" t="str">
        <x:v>600188</x:v>
      </x:c>
      <x:c r="D165" t="str">
        <x:v>兖矿能源</x:v>
      </x:c>
      <x:c r="E165" t="str">
        <x:v>主板</x:v>
      </x:c>
      <x:c r="F165" t="str">
        <x:v>待行业映射</x:v>
      </x:c>
      <x:c r="G165" t="str">
        <x:v>当前全市场行情快照缺少 PB；只能作为待补全研究队列，不得按完整估值条件生成交易建议。</x:v>
      </x:c>
      <x:c r="H165" t="n">
        <x:v>21.56</x:v>
      </x:c>
      <x:c r="I165" t="n">
        <x:v>19.1</x:v>
      </x:c>
      <x:c r="J165"/>
      <x:c r="K165" t="str">
        <x:v>待归档官方财报</x:v>
      </x:c>
      <x:c r="L165" t="str">
        <x:v>AkShare / Tencent all-A market snapshot</x:v>
      </x:c>
      <x:c r="M165" t="str">
        <x:v>ProxyError: primary market source unavailable; see source_id for full audit.</x:v>
      </x:c>
      <x:c r="N165" t="str">
        <x:v>0</x:v>
      </x:c>
      <x:c r="O165" t="str">
        <x:v>0fd6ad2d-3389-4e70-8974-eb85ee223eeb</x:v>
      </x:c>
      <x:c r="P165" t="str">
        <x:v>2026-09-04</x:v>
      </x:c>
    </x:row>
    <x:row r="166">
      <x:c r="A166" t="str">
        <x:v>重点观察</x:v>
      </x:c>
      <x:c r="B166" t="str">
        <x:v>补全 PB、财报，等待Agent自动验证</x:v>
      </x:c>
      <x:c r="C166" t="str">
        <x:v>600803</x:v>
      </x:c>
      <x:c r="D166" t="str">
        <x:v>新奥股份</x:v>
      </x:c>
      <x:c r="E166" t="str">
        <x:v>主板</x:v>
      </x:c>
      <x:c r="F166" t="str">
        <x:v>待行业映射</x:v>
      </x:c>
      <x:c r="G166" t="str">
        <x:v>当前全市场行情快照缺少 PB；只能作为待补全研究队列，不得按完整估值条件生成交易建议。</x:v>
      </x:c>
      <x:c r="H166" t="n">
        <x:v>19.26</x:v>
      </x:c>
      <x:c r="I166" t="n">
        <x:v>13.67</x:v>
      </x:c>
      <x:c r="J166"/>
      <x:c r="K166" t="str">
        <x:v>待归档官方财报</x:v>
      </x:c>
      <x:c r="L166" t="str">
        <x:v>AkShare / Tencent all-A market snapshot</x:v>
      </x:c>
      <x:c r="M166" t="str">
        <x:v>ProxyError: primary market source unavailable; see source_id for full audit.</x:v>
      </x:c>
      <x:c r="N166" t="str">
        <x:v>0</x:v>
      </x:c>
      <x:c r="O166" t="str">
        <x:v>0fd6ad2d-3389-4e70-8974-eb85ee223eeb</x:v>
      </x:c>
      <x:c r="P166" t="str">
        <x:v>2026-09-04</x:v>
      </x:c>
    </x:row>
    <x:row r="167">
      <x:c r="A167" t="str">
        <x:v>重点观察</x:v>
      </x:c>
      <x:c r="B167" t="str">
        <x:v>补全 PB、财报，等待Agent自动验证</x:v>
      </x:c>
      <x:c r="C167" t="str">
        <x:v>300750</x:v>
      </x:c>
      <x:c r="D167" t="str">
        <x:v>宁德时代</x:v>
      </x:c>
      <x:c r="E167" t="str">
        <x:v>创业板</x:v>
      </x:c>
      <x:c r="F167" t="str">
        <x:v>待行业映射</x:v>
      </x:c>
      <x:c r="G167" t="str">
        <x:v>当前全市场行情快照缺少 PB；只能作为待补全研究队列，不得按完整估值条件生成交易建议。</x:v>
      </x:c>
      <x:c r="H167" t="n">
        <x:v>351</x:v>
      </x:c>
      <x:c r="I167" t="n">
        <x:v>19.11</x:v>
      </x:c>
      <x:c r="J167"/>
      <x:c r="K167" t="str">
        <x:v>待归档官方财报</x:v>
      </x:c>
      <x:c r="L167" t="str">
        <x:v>AkShare / Tencent all-A market snapshot</x:v>
      </x:c>
      <x:c r="M167" t="str">
        <x:v>ProxyError: primary market source unavailable; see source_id for full audit.</x:v>
      </x:c>
      <x:c r="N167" t="str">
        <x:v>0</x:v>
      </x:c>
      <x:c r="O167" t="str">
        <x:v>0fd6ad2d-3389-4e70-8974-eb85ee223eeb</x:v>
      </x:c>
      <x:c r="P167" t="str">
        <x:v>2026-09-04</x:v>
      </x:c>
    </x:row>
    <x:row r="168">
      <x:c r="A168" t="str">
        <x:v>重点观察</x:v>
      </x:c>
      <x:c r="B168" t="str">
        <x:v>补全 PB、财报，等待Agent自动验证</x:v>
      </x:c>
      <x:c r="C168" t="str">
        <x:v>601088</x:v>
      </x:c>
      <x:c r="D168" t="str">
        <x:v>中国神华</x:v>
      </x:c>
      <x:c r="E168" t="str">
        <x:v>主板</x:v>
      </x:c>
      <x:c r="F168" t="str">
        <x:v>待行业映射</x:v>
      </x:c>
      <x:c r="G168" t="str">
        <x:v>当前全市场行情快照缺少 PB；只能作为待补全研究队列，不得按完整估值条件生成交易建议。</x:v>
      </x:c>
      <x:c r="H168" t="n">
        <x:v>47.61</x:v>
      </x:c>
      <x:c r="I168" t="n">
        <x:v>19.13</x:v>
      </x:c>
      <x:c r="J168"/>
      <x:c r="K168" t="str">
        <x:v>待归档官方财报</x:v>
      </x:c>
      <x:c r="L168" t="str">
        <x:v>AkShare / Tencent all-A market snapshot</x:v>
      </x:c>
      <x:c r="M168" t="str">
        <x:v>ProxyError: primary market source unavailable; see source_id for full audit.</x:v>
      </x:c>
      <x:c r="N168" t="str">
        <x:v>0</x:v>
      </x:c>
      <x:c r="O168" t="str">
        <x:v>0fd6ad2d-3389-4e70-8974-eb85ee223eeb</x:v>
      </x:c>
      <x:c r="P168" t="str">
        <x:v>2026-09-04</x:v>
      </x:c>
    </x:row>
    <x:row r="169">
      <x:c r="A169" t="str">
        <x:v>重点观察</x:v>
      </x:c>
      <x:c r="B169" t="str">
        <x:v>补全 PB、财报，等待Agent自动验证</x:v>
      </x:c>
      <x:c r="C169" t="str">
        <x:v>000612</x:v>
      </x:c>
      <x:c r="D169" t="str">
        <x:v>焦作万方</x:v>
      </x:c>
      <x:c r="E169" t="str">
        <x:v>主板</x:v>
      </x:c>
      <x:c r="F169" t="str">
        <x:v>待行业映射</x:v>
      </x:c>
      <x:c r="G169" t="str">
        <x:v>当前全市场行情快照缺少 PB；只能作为待补全研究队列，不得按完整估值条件生成交易建议。</x:v>
      </x:c>
      <x:c r="H169" t="n">
        <x:v>11.03</x:v>
      </x:c>
      <x:c r="I169" t="n">
        <x:v>7.45</x:v>
      </x:c>
      <x:c r="J169"/>
      <x:c r="K169" t="str">
        <x:v>待归档官方财报</x:v>
      </x:c>
      <x:c r="L169" t="str">
        <x:v>AkShare / Tencent all-A market snapshot</x:v>
      </x:c>
      <x:c r="M169" t="str">
        <x:v>ProxyError: primary market source unavailable; see source_id for full audit.</x:v>
      </x:c>
      <x:c r="N169" t="str">
        <x:v>0</x:v>
      </x:c>
      <x:c r="O169" t="str">
        <x:v>0fd6ad2d-3389-4e70-8974-eb85ee223eeb</x:v>
      </x:c>
      <x:c r="P169" t="str">
        <x:v>2026-09-04</x:v>
      </x:c>
    </x:row>
    <x:row r="170">
      <x:c r="A170" t="str">
        <x:v>重点观察</x:v>
      </x:c>
      <x:c r="B170" t="str">
        <x:v>补全 PB、财报，等待Agent自动验证</x:v>
      </x:c>
      <x:c r="C170" t="str">
        <x:v>600595</x:v>
      </x:c>
      <x:c r="D170" t="str">
        <x:v>中孚实业</x:v>
      </x:c>
      <x:c r="E170" t="str">
        <x:v>主板</x:v>
      </x:c>
      <x:c r="F170" t="str">
        <x:v>待行业映射</x:v>
      </x:c>
      <x:c r="G170" t="str">
        <x:v>当前全市场行情快照缺少 PB；只能作为待补全研究队列，不得按完整估值条件生成交易建议。</x:v>
      </x:c>
      <x:c r="H170" t="n">
        <x:v>6.36</x:v>
      </x:c>
      <x:c r="I170" t="n">
        <x:v>9.13</x:v>
      </x:c>
      <x:c r="J170"/>
      <x:c r="K170" t="str">
        <x:v>待归档官方财报</x:v>
      </x:c>
      <x:c r="L170" t="str">
        <x:v>AkShare / Tencent all-A market snapshot</x:v>
      </x:c>
      <x:c r="M170" t="str">
        <x:v>ProxyError: primary market source unavailable; see source_id for full audit.</x:v>
      </x:c>
      <x:c r="N170" t="str">
        <x:v>0</x:v>
      </x:c>
      <x:c r="O170" t="str">
        <x:v>0fd6ad2d-3389-4e70-8974-eb85ee223eeb</x:v>
      </x:c>
      <x:c r="P170" t="str">
        <x:v>2026-09-04</x:v>
      </x:c>
    </x:row>
    <x:row r="171">
      <x:c r="A171" t="str">
        <x:v>重点观察</x:v>
      </x:c>
      <x:c r="B171" t="str">
        <x:v>补全 PB、财报，等待Agent自动验证</x:v>
      </x:c>
      <x:c r="C171" t="str">
        <x:v>601677</x:v>
      </x:c>
      <x:c r="D171" t="str">
        <x:v>明泰铝业</x:v>
      </x:c>
      <x:c r="E171" t="str">
        <x:v>主板</x:v>
      </x:c>
      <x:c r="F171" t="str">
        <x:v>待行业映射</x:v>
      </x:c>
      <x:c r="G171" t="str">
        <x:v>当前全市场行情快照缺少 PB；只能作为待补全研究队列，不得按完整估值条件生成交易建议。</x:v>
      </x:c>
      <x:c r="H171" t="n">
        <x:v>16.65</x:v>
      </x:c>
      <x:c r="I171" t="n">
        <x:v>8.53</x:v>
      </x:c>
      <x:c r="J171"/>
      <x:c r="K171" t="str">
        <x:v>待归档官方财报</x:v>
      </x:c>
      <x:c r="L171" t="str">
        <x:v>AkShare / Tencent all-A market snapshot</x:v>
      </x:c>
      <x:c r="M171" t="str">
        <x:v>ProxyError: primary market source unavailable; see source_id for full audit.</x:v>
      </x:c>
      <x:c r="N171" t="str">
        <x:v>0</x:v>
      </x:c>
      <x:c r="O171" t="str">
        <x:v>0fd6ad2d-3389-4e70-8974-eb85ee223eeb</x:v>
      </x:c>
      <x:c r="P171" t="str">
        <x:v>2026-09-04</x:v>
      </x:c>
    </x:row>
    <x:row r="172">
      <x:c r="A172" t="str">
        <x:v>重点观察</x:v>
      </x:c>
      <x:c r="B172" t="str">
        <x:v>补全 PB、财报，等待Agent自动验证</x:v>
      </x:c>
      <x:c r="C172" t="str">
        <x:v>002608</x:v>
      </x:c>
      <x:c r="D172" t="str">
        <x:v>江苏国信</x:v>
      </x:c>
      <x:c r="E172" t="str">
        <x:v>主板</x:v>
      </x:c>
      <x:c r="F172" t="str">
        <x:v>待行业映射</x:v>
      </x:c>
      <x:c r="G172" t="str">
        <x:v>当前全市场行情快照缺少 PB；只能作为待补全研究队列，不得按完整估值条件生成交易建议。</x:v>
      </x:c>
      <x:c r="H172" t="n">
        <x:v>7.38</x:v>
      </x:c>
      <x:c r="I172" t="n">
        <x:v>9.5</x:v>
      </x:c>
      <x:c r="J172"/>
      <x:c r="K172" t="str">
        <x:v>待归档官方财报</x:v>
      </x:c>
      <x:c r="L172" t="str">
        <x:v>AkShare / Tencent all-A market snapshot</x:v>
      </x:c>
      <x:c r="M172" t="str">
        <x:v>ProxyError: primary market source unavailable; see source_id for full audit.</x:v>
      </x:c>
      <x:c r="N172" t="str">
        <x:v>0</x:v>
      </x:c>
      <x:c r="O172" t="str">
        <x:v>0fd6ad2d-3389-4e70-8974-eb85ee223eeb</x:v>
      </x:c>
      <x:c r="P172" t="str">
        <x:v>2026-09-04</x:v>
      </x:c>
    </x:row>
    <x:row r="173">
      <x:c r="A173" t="str">
        <x:v>重点观察</x:v>
      </x:c>
      <x:c r="B173" t="str">
        <x:v>补全 PB、财报，等待Agent自动验证</x:v>
      </x:c>
      <x:c r="C173" t="str">
        <x:v>600050</x:v>
      </x:c>
      <x:c r="D173" t="str">
        <x:v>中国联通</x:v>
      </x:c>
      <x:c r="E173" t="str">
        <x:v>主板</x:v>
      </x:c>
      <x:c r="F173" t="str">
        <x:v>待行业映射</x:v>
      </x:c>
      <x:c r="G173" t="str">
        <x:v>当前全市场行情快照缺少 PB；只能作为待补全研究队列，不得按完整估值条件生成交易建议。</x:v>
      </x:c>
      <x:c r="H173" t="n">
        <x:v>4.25</x:v>
      </x:c>
      <x:c r="I173" t="n">
        <x:v>19.21</x:v>
      </x:c>
      <x:c r="J173"/>
      <x:c r="K173" t="str">
        <x:v>待归档官方财报</x:v>
      </x:c>
      <x:c r="L173" t="str">
        <x:v>AkShare / Tencent all-A market snapshot</x:v>
      </x:c>
      <x:c r="M173" t="str">
        <x:v>ProxyError: primary market source unavailable; see source_id for full audit.</x:v>
      </x:c>
      <x:c r="N173" t="str">
        <x:v>0</x:v>
      </x:c>
      <x:c r="O173" t="str">
        <x:v>0fd6ad2d-3389-4e70-8974-eb85ee223eeb</x:v>
      </x:c>
      <x:c r="P173" t="str">
        <x:v>2026-09-04</x:v>
      </x:c>
    </x:row>
    <x:row r="174">
      <x:c r="A174" t="str">
        <x:v>重点观察</x:v>
      </x:c>
      <x:c r="B174" t="str">
        <x:v>补全 PB、财报，等待Agent自动验证</x:v>
      </x:c>
      <x:c r="C174" t="str">
        <x:v>600900</x:v>
      </x:c>
      <x:c r="D174" t="str">
        <x:v>长江电力</x:v>
      </x:c>
      <x:c r="E174" t="str">
        <x:v>主板</x:v>
      </x:c>
      <x:c r="F174" t="str">
        <x:v>待行业映射</x:v>
      </x:c>
      <x:c r="G174" t="str">
        <x:v>当前全市场行情快照缺少 PB；只能作为待补全研究队列，不得按完整估值条件生成交易建议。</x:v>
      </x:c>
      <x:c r="H174" t="n">
        <x:v>28.42</x:v>
      </x:c>
      <x:c r="I174" t="n">
        <x:v>19.21</x:v>
      </x:c>
      <x:c r="J174"/>
      <x:c r="K174" t="str">
        <x:v>待归档官方财报</x:v>
      </x:c>
      <x:c r="L174" t="str">
        <x:v>AkShare / Tencent all-A market snapshot</x:v>
      </x:c>
      <x:c r="M174" t="str">
        <x:v>ProxyError: primary market source unavailable; see source_id for full audit.</x:v>
      </x:c>
      <x:c r="N174" t="str">
        <x:v>0</x:v>
      </x:c>
      <x:c r="O174" t="str">
        <x:v>0fd6ad2d-3389-4e70-8974-eb85ee223eeb</x:v>
      </x:c>
      <x:c r="P174" t="str">
        <x:v>2026-09-04</x:v>
      </x:c>
    </x:row>
    <x:row r="175">
      <x:c r="A175" t="str">
        <x:v>重点观察</x:v>
      </x:c>
      <x:c r="B175" t="str">
        <x:v>补全 PB、财报，等待Agent自动验证</x:v>
      </x:c>
      <x:c r="C175" t="str">
        <x:v>300442</x:v>
      </x:c>
      <x:c r="D175" t="str">
        <x:v>润泽科技</x:v>
      </x:c>
      <x:c r="E175" t="str">
        <x:v>创业板</x:v>
      </x:c>
      <x:c r="F175" t="str">
        <x:v>待行业映射</x:v>
      </x:c>
      <x:c r="G175" t="str">
        <x:v>当前全市场行情快照缺少 PB；只能作为待补全研究队列，不得按完整估值条件生成交易建议。</x:v>
      </x:c>
      <x:c r="H175" t="n">
        <x:v>62.93</x:v>
      </x:c>
      <x:c r="I175" t="n">
        <x:v>19.23</x:v>
      </x:c>
      <x:c r="J175"/>
      <x:c r="K175" t="str">
        <x:v>待归档官方财报</x:v>
      </x:c>
      <x:c r="L175" t="str">
        <x:v>AkShare / Tencent all-A market snapshot</x:v>
      </x:c>
      <x:c r="M175" t="str">
        <x:v>ProxyError: primary market source unavailable; see source_id for full audit.</x:v>
      </x:c>
      <x:c r="N175" t="str">
        <x:v>0</x:v>
      </x:c>
      <x:c r="O175" t="str">
        <x:v>0fd6ad2d-3389-4e70-8974-eb85ee223eeb</x:v>
      </x:c>
      <x:c r="P175" t="str">
        <x:v>2026-09-04</x:v>
      </x:c>
    </x:row>
    <x:row r="176">
      <x:c r="A176" t="str">
        <x:v>重点观察</x:v>
      </x:c>
      <x:c r="B176" t="str">
        <x:v>补全 PB、财报，等待Agent自动验证</x:v>
      </x:c>
      <x:c r="C176" t="str">
        <x:v>600600</x:v>
      </x:c>
      <x:c r="D176" t="str">
        <x:v>青岛啤酒</x:v>
      </x:c>
      <x:c r="E176" t="str">
        <x:v>主板</x:v>
      </x:c>
      <x:c r="F176" t="str">
        <x:v>待行业映射</x:v>
      </x:c>
      <x:c r="G176" t="str">
        <x:v>当前全市场行情快照缺少 PB；只能作为待补全研究队列，不得按完整估值条件生成交易建议。</x:v>
      </x:c>
      <x:c r="H176" t="n">
        <x:v>51.49</x:v>
      </x:c>
      <x:c r="I176" t="n">
        <x:v>15.26</x:v>
      </x:c>
      <x:c r="J176"/>
      <x:c r="K176" t="str">
        <x:v>待归档官方财报</x:v>
      </x:c>
      <x:c r="L176" t="str">
        <x:v>AkShare / Tencent all-A market snapshot</x:v>
      </x:c>
      <x:c r="M176" t="str">
        <x:v>ProxyError: primary market source unavailable; see source_id for full audit.</x:v>
      </x:c>
      <x:c r="N176" t="str">
        <x:v>0</x:v>
      </x:c>
      <x:c r="O176" t="str">
        <x:v>0fd6ad2d-3389-4e70-8974-eb85ee223eeb</x:v>
      </x:c>
      <x:c r="P176" t="str">
        <x:v>2026-09-04</x:v>
      </x:c>
    </x:row>
    <x:row r="177">
      <x:c r="A177" t="str">
        <x:v>重点观察</x:v>
      </x:c>
      <x:c r="B177" t="str">
        <x:v>补全 PB、财报，等待Agent自动验证</x:v>
      </x:c>
      <x:c r="C177" t="str">
        <x:v>301358</x:v>
      </x:c>
      <x:c r="D177" t="str">
        <x:v>湖南裕能</x:v>
      </x:c>
      <x:c r="E177" t="str">
        <x:v>创业板</x:v>
      </x:c>
      <x:c r="F177" t="str">
        <x:v>待行业映射</x:v>
      </x:c>
      <x:c r="G177" t="str">
        <x:v>当前全市场行情快照缺少 PB；只能作为待补全研究队列，不得按完整估值条件生成交易建议。</x:v>
      </x:c>
      <x:c r="H177" t="n">
        <x:v>55.82</x:v>
      </x:c>
      <x:c r="I177" t="n">
        <x:v>12.19</x:v>
      </x:c>
      <x:c r="J177"/>
      <x:c r="K177" t="str">
        <x:v>待归档官方财报</x:v>
      </x:c>
      <x:c r="L177" t="str">
        <x:v>AkShare / Tencent all-A market snapshot</x:v>
      </x:c>
      <x:c r="M177" t="str">
        <x:v>ProxyError: primary market source unavailable; see source_id for full audit.</x:v>
      </x:c>
      <x:c r="N177" t="str">
        <x:v>0</x:v>
      </x:c>
      <x:c r="O177" t="str">
        <x:v>0fd6ad2d-3389-4e70-8974-eb85ee223eeb</x:v>
      </x:c>
      <x:c r="P177" t="str">
        <x:v>2026-09-04</x:v>
      </x:c>
    </x:row>
    <x:row r="178">
      <x:c r="A178" t="str">
        <x:v>重点观察</x:v>
      </x:c>
      <x:c r="B178" t="str">
        <x:v>补全 PB、财报，等待Agent自动验证</x:v>
      </x:c>
      <x:c r="C178" t="str">
        <x:v>000600</x:v>
      </x:c>
      <x:c r="D178" t="str">
        <x:v>建投能源</x:v>
      </x:c>
      <x:c r="E178" t="str">
        <x:v>主板</x:v>
      </x:c>
      <x:c r="F178" t="str">
        <x:v>待行业映射</x:v>
      </x:c>
      <x:c r="G178" t="str">
        <x:v>当前全市场行情快照缺少 PB；只能作为待补全研究队列，不得按完整估值条件生成交易建议。</x:v>
      </x:c>
      <x:c r="H178" t="n">
        <x:v>7.46</x:v>
      </x:c>
      <x:c r="I178" t="n">
        <x:v>7.65</x:v>
      </x:c>
      <x:c r="J178"/>
      <x:c r="K178" t="str">
        <x:v>待归档官方财报</x:v>
      </x:c>
      <x:c r="L178" t="str">
        <x:v>AkShare / Tencent all-A market snapshot</x:v>
      </x:c>
      <x:c r="M178" t="str">
        <x:v>ProxyError: primary market source unavailable; see source_id for full audit.</x:v>
      </x:c>
      <x:c r="N178" t="str">
        <x:v>0</x:v>
      </x:c>
      <x:c r="O178" t="str">
        <x:v>0fd6ad2d-3389-4e70-8974-eb85ee223eeb</x:v>
      </x:c>
      <x:c r="P178" t="str">
        <x:v>2026-09-04</x:v>
      </x:c>
    </x:row>
    <x:row r="179">
      <x:c r="A179" t="str">
        <x:v>重点观察</x:v>
      </x:c>
      <x:c r="B179" t="str">
        <x:v>补全 PB、财报，等待Agent自动验证</x:v>
      </x:c>
      <x:c r="C179" t="str">
        <x:v>000617</x:v>
      </x:c>
      <x:c r="D179" t="str">
        <x:v>中油资本</x:v>
      </x:c>
      <x:c r="E179" t="str">
        <x:v>主板</x:v>
      </x:c>
      <x:c r="F179" t="str">
        <x:v>待行业映射</x:v>
      </x:c>
      <x:c r="G179" t="str">
        <x:v>当前全市场行情快照缺少 PB；只能作为待补全研究队列，不得按完整估值条件生成交易建议。</x:v>
      </x:c>
      <x:c r="H179" t="n">
        <x:v>7.34</x:v>
      </x:c>
      <x:c r="I179" t="n">
        <x:v>18.33</x:v>
      </x:c>
      <x:c r="J179"/>
      <x:c r="K179" t="str">
        <x:v>待归档官方财报</x:v>
      </x:c>
      <x:c r="L179" t="str">
        <x:v>AkShare / Tencent all-A market snapshot</x:v>
      </x:c>
      <x:c r="M179" t="str">
        <x:v>ProxyError: primary market source unavailable; see source_id for full audit.</x:v>
      </x:c>
      <x:c r="N179" t="str">
        <x:v>0</x:v>
      </x:c>
      <x:c r="O179" t="str">
        <x:v>0fd6ad2d-3389-4e70-8974-eb85ee223eeb</x:v>
      </x:c>
      <x:c r="P179" t="str">
        <x:v>2026-09-04</x:v>
      </x:c>
    </x:row>
    <x:row r="180">
      <x:c r="A180" t="str">
        <x:v>重点观察</x:v>
      </x:c>
      <x:c r="B180" t="str">
        <x:v>补全 PB、财报，等待Agent自动验证</x:v>
      </x:c>
      <x:c r="C180" t="str">
        <x:v>600970</x:v>
      </x:c>
      <x:c r="D180" t="str">
        <x:v>中材国际</x:v>
      </x:c>
      <x:c r="E180" t="str">
        <x:v>主板</x:v>
      </x:c>
      <x:c r="F180" t="str">
        <x:v>待行业映射</x:v>
      </x:c>
      <x:c r="G180" t="str">
        <x:v>当前全市场行情快照缺少 PB；只能作为待补全研究队列，不得按完整估值条件生成交易建议。</x:v>
      </x:c>
      <x:c r="H180" t="n">
        <x:v>7.8</x:v>
      </x:c>
      <x:c r="I180" t="n">
        <x:v>8.61</x:v>
      </x:c>
      <x:c r="J180"/>
      <x:c r="K180" t="str">
        <x:v>待归档官方财报</x:v>
      </x:c>
      <x:c r="L180" t="str">
        <x:v>AkShare / Tencent all-A market snapshot</x:v>
      </x:c>
      <x:c r="M180" t="str">
        <x:v>ProxyError: primary market source unavailable; see source_id for full audit.</x:v>
      </x:c>
      <x:c r="N180" t="str">
        <x:v>0</x:v>
      </x:c>
      <x:c r="O180" t="str">
        <x:v>0fd6ad2d-3389-4e70-8974-eb85ee223eeb</x:v>
      </x:c>
      <x:c r="P180" t="str">
        <x:v>2026-09-04</x:v>
      </x:c>
    </x:row>
    <x:row r="181">
      <x:c r="A181" t="str">
        <x:v>重点观察</x:v>
      </x:c>
      <x:c r="B181" t="str">
        <x:v>补全 PB、财报，等待Agent自动验证</x:v>
      </x:c>
      <x:c r="C181" t="str">
        <x:v>000157</x:v>
      </x:c>
      <x:c r="D181" t="str">
        <x:v>中联重科</x:v>
      </x:c>
      <x:c r="E181" t="str">
        <x:v>主板</x:v>
      </x:c>
      <x:c r="F181" t="str">
        <x:v>待行业映射</x:v>
      </x:c>
      <x:c r="G181" t="str">
        <x:v>当前全市场行情快照缺少 PB；只能作为待补全研究队列，不得按完整估值条件生成交易建议。</x:v>
      </x:c>
      <x:c r="H181" t="n">
        <x:v>6.62</x:v>
      </x:c>
      <x:c r="I181" t="n">
        <x:v>13.65</x:v>
      </x:c>
      <x:c r="J181"/>
      <x:c r="K181" t="str">
        <x:v>待归档官方财报</x:v>
      </x:c>
      <x:c r="L181" t="str">
        <x:v>AkShare / Tencent all-A market snapshot</x:v>
      </x:c>
      <x:c r="M181" t="str">
        <x:v>ProxyError: primary market source unavailable; see source_id for full audit.</x:v>
      </x:c>
      <x:c r="N181" t="str">
        <x:v>0</x:v>
      </x:c>
      <x:c r="O181" t="str">
        <x:v>0fd6ad2d-3389-4e70-8974-eb85ee223eeb</x:v>
      </x:c>
      <x:c r="P181" t="str">
        <x:v>2026-09-04</x:v>
      </x:c>
    </x:row>
    <x:row r="182">
      <x:c r="A182" t="str">
        <x:v>重点观察</x:v>
      </x:c>
      <x:c r="B182" t="str">
        <x:v>补全 PB、财报，等待Agent自动验证</x:v>
      </x:c>
      <x:c r="C182" t="str">
        <x:v>600642</x:v>
      </x:c>
      <x:c r="D182" t="str">
        <x:v>申能股份</x:v>
      </x:c>
      <x:c r="E182" t="str">
        <x:v>主板</x:v>
      </x:c>
      <x:c r="F182" t="str">
        <x:v>待行业映射</x:v>
      </x:c>
      <x:c r="G182" t="str">
        <x:v>当前全市场行情快照缺少 PB；只能作为待补全研究队列，不得按完整估值条件生成交易建议。</x:v>
      </x:c>
      <x:c r="H182" t="n">
        <x:v>8.57</x:v>
      </x:c>
      <x:c r="I182" t="n">
        <x:v>11.59</x:v>
      </x:c>
      <x:c r="J182"/>
      <x:c r="K182" t="str">
        <x:v>待归档官方财报</x:v>
      </x:c>
      <x:c r="L182" t="str">
        <x:v>AkShare / Tencent all-A market snapshot</x:v>
      </x:c>
      <x:c r="M182" t="str">
        <x:v>ProxyError: primary market source unavailable; see source_id for full audit.</x:v>
      </x:c>
      <x:c r="N182" t="str">
        <x:v>0</x:v>
      </x:c>
      <x:c r="O182" t="str">
        <x:v>0fd6ad2d-3389-4e70-8974-eb85ee223eeb</x:v>
      </x:c>
      <x:c r="P182" t="str">
        <x:v>2026-09-04</x:v>
      </x:c>
    </x:row>
    <x:row r="183">
      <x:c r="A183" t="str">
        <x:v>重点观察</x:v>
      </x:c>
      <x:c r="B183" t="str">
        <x:v>补全 PB、财报，等待Agent自动验证</x:v>
      </x:c>
      <x:c r="C183" t="str">
        <x:v>002415</x:v>
      </x:c>
      <x:c r="D183" t="str">
        <x:v>海康威视</x:v>
      </x:c>
      <x:c r="E183" t="str">
        <x:v>主板</x:v>
      </x:c>
      <x:c r="F183" t="str">
        <x:v>待行业映射</x:v>
      </x:c>
      <x:c r="G183" t="str">
        <x:v>当前全市场行情快照缺少 PB；只能作为待补全研究队列，不得按完整估值条件生成交易建议。</x:v>
      </x:c>
      <x:c r="H183" t="n">
        <x:v>34.87</x:v>
      </x:c>
      <x:c r="I183" t="n">
        <x:v>19.45</x:v>
      </x:c>
      <x:c r="J183"/>
      <x:c r="K183" t="str">
        <x:v>待归档官方财报</x:v>
      </x:c>
      <x:c r="L183" t="str">
        <x:v>AkShare / Tencent all-A market snapshot</x:v>
      </x:c>
      <x:c r="M183" t="str">
        <x:v>ProxyError: primary market source unavailable; see source_id for full audit.</x:v>
      </x:c>
      <x:c r="N183" t="str">
        <x:v>0</x:v>
      </x:c>
      <x:c r="O183" t="str">
        <x:v>0fd6ad2d-3389-4e70-8974-eb85ee223eeb</x:v>
      </x:c>
      <x:c r="P183" t="str">
        <x:v>2026-09-04</x:v>
      </x:c>
    </x:row>
    <x:row r="184">
      <x:c r="A184" t="str">
        <x:v>重点观察</x:v>
      </x:c>
      <x:c r="B184" t="str">
        <x:v>补全 PB、财报，等待Agent自动验证</x:v>
      </x:c>
      <x:c r="C184" t="str">
        <x:v>600064</x:v>
      </x:c>
      <x:c r="D184" t="str">
        <x:v>南京高科</x:v>
      </x:c>
      <x:c r="E184" t="str">
        <x:v>主板</x:v>
      </x:c>
      <x:c r="F184" t="str">
        <x:v>待行业映射</x:v>
      </x:c>
      <x:c r="G184" t="str">
        <x:v>当前全市场行情快照缺少 PB；只能作为待补全研究队列，不得按完整估值条件生成交易建议。</x:v>
      </x:c>
      <x:c r="H184" t="n">
        <x:v>7.67</x:v>
      </x:c>
      <x:c r="I184" t="n">
        <x:v>7.78</x:v>
      </x:c>
      <x:c r="J184"/>
      <x:c r="K184" t="str">
        <x:v>待归档官方财报</x:v>
      </x:c>
      <x:c r="L184" t="str">
        <x:v>AkShare / Tencent all-A market snapshot</x:v>
      </x:c>
      <x:c r="M184" t="str">
        <x:v>ProxyError: primary market source unavailable; see source_id for full audit.</x:v>
      </x:c>
      <x:c r="N184" t="str">
        <x:v>0</x:v>
      </x:c>
      <x:c r="O184" t="str">
        <x:v>0fd6ad2d-3389-4e70-8974-eb85ee223eeb</x:v>
      </x:c>
      <x:c r="P184" t="str">
        <x:v>2026-09-04</x:v>
      </x:c>
    </x:row>
    <x:row r="185">
      <x:c r="A185" t="str">
        <x:v>重点观察</x:v>
      </x:c>
      <x:c r="B185" t="str">
        <x:v>补全 PB、财报，等待Agent自动验证</x:v>
      </x:c>
      <x:c r="C185" t="str">
        <x:v>601598</x:v>
      </x:c>
      <x:c r="D185" t="str">
        <x:v>中国外运</x:v>
      </x:c>
      <x:c r="E185" t="str">
        <x:v>主板</x:v>
      </x:c>
      <x:c r="F185" t="str">
        <x:v>待行业映射</x:v>
      </x:c>
      <x:c r="G185" t="str">
        <x:v>当前全市场行情快照缺少 PB；只能作为待补全研究队列，不得按完整估值条件生成交易建议。</x:v>
      </x:c>
      <x:c r="H185" t="n">
        <x:v>6.51</x:v>
      </x:c>
      <x:c r="I185" t="n">
        <x:v>12.29</x:v>
      </x:c>
      <x:c r="J185"/>
      <x:c r="K185" t="str">
        <x:v>待归档官方财报</x:v>
      </x:c>
      <x:c r="L185" t="str">
        <x:v>AkShare / Tencent all-A market snapshot</x:v>
      </x:c>
      <x:c r="M185" t="str">
        <x:v>ProxyError: primary market source unavailable; see source_id for full audit.</x:v>
      </x:c>
      <x:c r="N185" t="str">
        <x:v>0</x:v>
      </x:c>
      <x:c r="O185" t="str">
        <x:v>0fd6ad2d-3389-4e70-8974-eb85ee223eeb</x:v>
      </x:c>
      <x:c r="P185" t="str">
        <x:v>2026-09-04</x:v>
      </x:c>
    </x:row>
    <x:row r="186">
      <x:c r="A186" t="str">
        <x:v>重点观察</x:v>
      </x:c>
      <x:c r="B186" t="str">
        <x:v>补全 PB、财报，等待Agent自动验证</x:v>
      </x:c>
      <x:c r="C186" t="str">
        <x:v>000544</x:v>
      </x:c>
      <x:c r="D186" t="str">
        <x:v>中原环保</x:v>
      </x:c>
      <x:c r="E186" t="str">
        <x:v>主板</x:v>
      </x:c>
      <x:c r="F186" t="str">
        <x:v>待行业映射</x:v>
      </x:c>
      <x:c r="G186" t="str">
        <x:v>当前全市场行情快照缺少 PB；只能作为待补全研究队列，不得按完整估值条件生成交易建议。</x:v>
      </x:c>
      <x:c r="H186" t="n">
        <x:v>7.38</x:v>
      </x:c>
      <x:c r="I186" t="n">
        <x:v>6.99</x:v>
      </x:c>
      <x:c r="J186"/>
      <x:c r="K186" t="str">
        <x:v>待归档官方财报</x:v>
      </x:c>
      <x:c r="L186" t="str">
        <x:v>AkShare / Tencent all-A market snapshot</x:v>
      </x:c>
      <x:c r="M186" t="str">
        <x:v>ProxyError: primary market source unavailable; see source_id for full audit.</x:v>
      </x:c>
      <x:c r="N186" t="str">
        <x:v>0</x:v>
      </x:c>
      <x:c r="O186" t="str">
        <x:v>0fd6ad2d-3389-4e70-8974-eb85ee223eeb</x:v>
      </x:c>
      <x:c r="P186" t="str">
        <x:v>2026-09-04</x:v>
      </x:c>
    </x:row>
    <x:row r="187">
      <x:c r="A187" t="str">
        <x:v>重点观察</x:v>
      </x:c>
      <x:c r="B187" t="str">
        <x:v>补全 PB、财报，等待Agent自动验证</x:v>
      </x:c>
      <x:c r="C187" t="str">
        <x:v>600820</x:v>
      </x:c>
      <x:c r="D187" t="str">
        <x:v>隧道股份</x:v>
      </x:c>
      <x:c r="E187" t="str">
        <x:v>主板</x:v>
      </x:c>
      <x:c r="F187" t="str">
        <x:v>待行业映射</x:v>
      </x:c>
      <x:c r="G187" t="str">
        <x:v>当前全市场行情快照缺少 PB；只能作为待补全研究队列，不得按完整估值条件生成交易建议。</x:v>
      </x:c>
      <x:c r="H187" t="n">
        <x:v>5.45</x:v>
      </x:c>
      <x:c r="I187" t="n">
        <x:v>8.38</x:v>
      </x:c>
      <x:c r="J187"/>
      <x:c r="K187" t="str">
        <x:v>待归档官方财报</x:v>
      </x:c>
      <x:c r="L187" t="str">
        <x:v>AkShare / Tencent all-A market snapshot</x:v>
      </x:c>
      <x:c r="M187" t="str">
        <x:v>ProxyError: primary market source unavailable; see source_id for full audit.</x:v>
      </x:c>
      <x:c r="N187" t="str">
        <x:v>0</x:v>
      </x:c>
      <x:c r="O187" t="str">
        <x:v>0fd6ad2d-3389-4e70-8974-eb85ee223eeb</x:v>
      </x:c>
      <x:c r="P187" t="str">
        <x:v>2026-09-04</x:v>
      </x:c>
    </x:row>
    <x:row r="188">
      <x:c r="A188" t="str">
        <x:v>重点观察</x:v>
      </x:c>
      <x:c r="B188" t="str">
        <x:v>补全 PB、财报，等待Agent自动验证</x:v>
      </x:c>
      <x:c r="C188" t="str">
        <x:v>605499</x:v>
      </x:c>
      <x:c r="D188" t="str">
        <x:v>东鹏饮料</x:v>
      </x:c>
      <x:c r="E188" t="str">
        <x:v>主板</x:v>
      </x:c>
      <x:c r="F188" t="str">
        <x:v>待行业映射</x:v>
      </x:c>
      <x:c r="G188" t="str">
        <x:v>当前全市场行情快照缺少 PB；只能作为待补全研究队列，不得按完整估值条件生成交易建议。</x:v>
      </x:c>
      <x:c r="H188" t="n">
        <x:v>120.41</x:v>
      </x:c>
      <x:c r="I188" t="n">
        <x:v>18.01</x:v>
      </x:c>
      <x:c r="J188"/>
      <x:c r="K188" t="str">
        <x:v>待归档官方财报</x:v>
      </x:c>
      <x:c r="L188" t="str">
        <x:v>AkShare / Tencent all-A market snapshot</x:v>
      </x:c>
      <x:c r="M188" t="str">
        <x:v>ProxyError: primary market source unavailable; see source_id for full audit.</x:v>
      </x:c>
      <x:c r="N188" t="str">
        <x:v>0</x:v>
      </x:c>
      <x:c r="O188" t="str">
        <x:v>0fd6ad2d-3389-4e70-8974-eb85ee223eeb</x:v>
      </x:c>
      <x:c r="P188" t="str">
        <x:v>2026-09-04</x:v>
      </x:c>
    </x:row>
    <x:row r="189">
      <x:c r="A189" t="str">
        <x:v>重点观察</x:v>
      </x:c>
      <x:c r="B189" t="str">
        <x:v>补全 PB、财报，等待Agent自动验证</x:v>
      </x:c>
      <x:c r="C189" t="str">
        <x:v>601728</x:v>
      </x:c>
      <x:c r="D189" t="str">
        <x:v>中国电信</x:v>
      </x:c>
      <x:c r="E189" t="str">
        <x:v>主板</x:v>
      </x:c>
      <x:c r="F189" t="str">
        <x:v>待行业映射</x:v>
      </x:c>
      <x:c r="G189" t="str">
        <x:v>当前全市场行情快照缺少 PB；只能作为待补全研究队列，不得按完整估值条件生成交易建议。</x:v>
      </x:c>
      <x:c r="H189" t="n">
        <x:v>6.38</x:v>
      </x:c>
      <x:c r="I189" t="n">
        <x:v>19.62</x:v>
      </x:c>
      <x:c r="J189"/>
      <x:c r="K189" t="str">
        <x:v>待归档官方财报</x:v>
      </x:c>
      <x:c r="L189" t="str">
        <x:v>AkShare / Tencent all-A market snapshot</x:v>
      </x:c>
      <x:c r="M189" t="str">
        <x:v>ProxyError: primary market source unavailable; see source_id for full audit.</x:v>
      </x:c>
      <x:c r="N189" t="str">
        <x:v>0</x:v>
      </x:c>
      <x:c r="O189" t="str">
        <x:v>0fd6ad2d-3389-4e70-8974-eb85ee223eeb</x:v>
      </x:c>
      <x:c r="P189" t="str">
        <x:v>2026-09-04</x:v>
      </x:c>
    </x:row>
    <x:row r="190">
      <x:c r="A190" t="str">
        <x:v>重点观察</x:v>
      </x:c>
      <x:c r="B190" t="str">
        <x:v>银行专用模型待核验</x:v>
      </x:c>
      <x:c r="C190" t="str">
        <x:v>002936</x:v>
      </x:c>
      <x:c r="D190" t="str">
        <x:v>郑州银行</x:v>
      </x:c>
      <x:c r="E190" t="str">
        <x:v>主板</x:v>
      </x:c>
      <x:c r="F190" t="str">
        <x:v>待行业映射</x:v>
      </x:c>
      <x:c r="G190" t="str">
        <x:v>名称/板块初步识别为银行；须以同一报告期官方披露复核专用指标和行业分类，禁止套用通用企业现金流、负债率或 EV/EBITDA 规则。 当前公共行情快照缺少 PB，须在专用模型复核中补齐。</x:v>
      </x:c>
      <x:c r="H190" t="n">
        <x:v>1.8</x:v>
      </x:c>
      <x:c r="I190" t="n">
        <x:v>8.42</x:v>
      </x:c>
      <x:c r="J190"/>
      <x:c r="K190" t="str">
        <x:v>待归档官方财报</x:v>
      </x:c>
      <x:c r="L190" t="str">
        <x:v>AkShare / Tencent all-A market snapshot</x:v>
      </x:c>
      <x:c r="M190" t="str">
        <x:v>ProxyError: primary market source unavailable; see source_id for full audit.</x:v>
      </x:c>
      <x:c r="N190" t="str">
        <x:v>0</x:v>
      </x:c>
      <x:c r="O190" t="str">
        <x:v>0fd6ad2d-3389-4e70-8974-eb85ee223eeb</x:v>
      </x:c>
      <x:c r="P190" t="str">
        <x:v>2026-09-04</x:v>
      </x:c>
    </x:row>
    <x:row r="191">
      <x:c r="A191" t="str">
        <x:v>重点观察</x:v>
      </x:c>
      <x:c r="B191" t="str">
        <x:v>补全 PB、财报，等待Agent自动验证</x:v>
      </x:c>
      <x:c r="C191" t="str">
        <x:v>600426</x:v>
      </x:c>
      <x:c r="D191" t="str">
        <x:v>华鲁恒升</x:v>
      </x:c>
      <x:c r="E191" t="str">
        <x:v>主板</x:v>
      </x:c>
      <x:c r="F191" t="str">
        <x:v>待行业映射</x:v>
      </x:c>
      <x:c r="G191" t="str">
        <x:v>当前全市场行情快照缺少 PB；只能作为待补全研究队列，不得按完整估值条件生成交易建议。</x:v>
      </x:c>
      <x:c r="H191" t="n">
        <x:v>20.83</x:v>
      </x:c>
      <x:c r="I191" t="n">
        <x:v>13.97</x:v>
      </x:c>
      <x:c r="J191"/>
      <x:c r="K191" t="str">
        <x:v>待归档官方财报</x:v>
      </x:c>
      <x:c r="L191" t="str">
        <x:v>AkShare / Tencent all-A market snapshot</x:v>
      </x:c>
      <x:c r="M191" t="str">
        <x:v>ProxyError: primary market source unavailable; see source_id for full audit.</x:v>
      </x:c>
      <x:c r="N191" t="str">
        <x:v>0</x:v>
      </x:c>
      <x:c r="O191" t="str">
        <x:v>0fd6ad2d-3389-4e70-8974-eb85ee223eeb</x:v>
      </x:c>
      <x:c r="P191" t="str">
        <x:v>2026-09-04</x:v>
      </x:c>
    </x:row>
    <x:row r="192">
      <x:c r="A192" t="str">
        <x:v>重点观察</x:v>
      </x:c>
      <x:c r="B192" t="str">
        <x:v>补全 PB、财报，等待Agent自动验证</x:v>
      </x:c>
      <x:c r="C192" t="str">
        <x:v>600674</x:v>
      </x:c>
      <x:c r="D192" t="str">
        <x:v>川投能源</x:v>
      </x:c>
      <x:c r="E192" t="str">
        <x:v>主板</x:v>
      </x:c>
      <x:c r="F192" t="str">
        <x:v>待行业映射</x:v>
      </x:c>
      <x:c r="G192" t="str">
        <x:v>当前全市场行情快照缺少 PB；只能作为待补全研究队列，不得按完整估值条件生成交易建议。</x:v>
      </x:c>
      <x:c r="H192" t="n">
        <x:v>15.76</x:v>
      </x:c>
      <x:c r="I192" t="n">
        <x:v>16.62</x:v>
      </x:c>
      <x:c r="J192"/>
      <x:c r="K192" t="str">
        <x:v>待归档官方财报</x:v>
      </x:c>
      <x:c r="L192" t="str">
        <x:v>AkShare / Tencent all-A market snapshot</x:v>
      </x:c>
      <x:c r="M192" t="str">
        <x:v>ProxyError: primary market source unavailable; see source_id for full audit.</x:v>
      </x:c>
      <x:c r="N192" t="str">
        <x:v>0</x:v>
      </x:c>
      <x:c r="O192" t="str">
        <x:v>0fd6ad2d-3389-4e70-8974-eb85ee223eeb</x:v>
      </x:c>
      <x:c r="P192" t="str">
        <x:v>2026-09-04</x:v>
      </x:c>
    </x:row>
    <x:row r="193">
      <x:c r="A193" t="str">
        <x:v>重点观察</x:v>
      </x:c>
      <x:c r="B193" t="str">
        <x:v>补全 PB、财报，等待Agent自动验证</x:v>
      </x:c>
      <x:c r="C193" t="str">
        <x:v>600901</x:v>
      </x:c>
      <x:c r="D193" t="str">
        <x:v>江苏金租</x:v>
      </x:c>
      <x:c r="E193" t="str">
        <x:v>主板</x:v>
      </x:c>
      <x:c r="F193" t="str">
        <x:v>待行业映射</x:v>
      </x:c>
      <x:c r="G193" t="str">
        <x:v>当前全市场行情快照缺少 PB；只能作为待补全研究队列，不得按完整估值条件生成交易建议。</x:v>
      </x:c>
      <x:c r="H193" t="n">
        <x:v>6.74</x:v>
      </x:c>
      <x:c r="I193" t="n">
        <x:v>11.53</x:v>
      </x:c>
      <x:c r="J193"/>
      <x:c r="K193" t="str">
        <x:v>待归档官方财报</x:v>
      </x:c>
      <x:c r="L193" t="str">
        <x:v>AkShare / Tencent all-A market snapshot</x:v>
      </x:c>
      <x:c r="M193" t="str">
        <x:v>ProxyError: primary market source unavailable; see source_id for full audit.</x:v>
      </x:c>
      <x:c r="N193" t="str">
        <x:v>0</x:v>
      </x:c>
      <x:c r="O193" t="str">
        <x:v>0fd6ad2d-3389-4e70-8974-eb85ee223eeb</x:v>
      </x:c>
      <x:c r="P193" t="str">
        <x:v>2026-09-04</x:v>
      </x:c>
    </x:row>
    <x:row r="194">
      <x:c r="A194" t="str">
        <x:v>重点观察</x:v>
      </x:c>
      <x:c r="B194" t="str">
        <x:v>银行专用模型待核验</x:v>
      </x:c>
      <x:c r="C194" t="str">
        <x:v>601860</x:v>
      </x:c>
      <x:c r="D194" t="str">
        <x:v>紫金银行</x:v>
      </x:c>
      <x:c r="E194" t="str">
        <x:v>主板</x:v>
      </x:c>
      <x:c r="F194" t="str">
        <x:v>待行业映射</x:v>
      </x:c>
      <x:c r="G194" t="str">
        <x:v>名称/板块初步识别为银行；须以同一报告期官方披露复核专用指标和行业分类，禁止套用通用企业现金流、负债率或 EV/EBITDA 规则。 当前公共行情快照缺少 PB，须在专用模型复核中补齐。</x:v>
      </x:c>
      <x:c r="H194" t="n">
        <x:v>2.64</x:v>
      </x:c>
      <x:c r="I194" t="n">
        <x:v>7.58</x:v>
      </x:c>
      <x:c r="J194"/>
      <x:c r="K194" t="str">
        <x:v>待归档官方财报</x:v>
      </x:c>
      <x:c r="L194" t="str">
        <x:v>AkShare / Tencent all-A market snapshot</x:v>
      </x:c>
      <x:c r="M194" t="str">
        <x:v>ProxyError: primary market source unavailable; see source_id for full audit.</x:v>
      </x:c>
      <x:c r="N194" t="str">
        <x:v>0</x:v>
      </x:c>
      <x:c r="O194" t="str">
        <x:v>0fd6ad2d-3389-4e70-8974-eb85ee223eeb</x:v>
      </x:c>
      <x:c r="P194" t="str">
        <x:v>2026-09-04</x:v>
      </x:c>
    </x:row>
    <x:row r="195">
      <x:c r="A195" t="str">
        <x:v>重点观察</x:v>
      </x:c>
      <x:c r="B195" t="str">
        <x:v>补全 PB、财报，等待Agent自动验证</x:v>
      </x:c>
      <x:c r="C195" t="str">
        <x:v>000672</x:v>
      </x:c>
      <x:c r="D195" t="str">
        <x:v>上峰材料</x:v>
      </x:c>
      <x:c r="E195" t="str">
        <x:v>主板</x:v>
      </x:c>
      <x:c r="F195" t="str">
        <x:v>待行业映射</x:v>
      </x:c>
      <x:c r="G195" t="str">
        <x:v>当前全市场行情快照缺少 PB；只能作为待补全研究队列，不得按完整估值条件生成交易建议。</x:v>
      </x:c>
      <x:c r="H195" t="n">
        <x:v>14.89</x:v>
      </x:c>
      <x:c r="I195" t="n">
        <x:v>8.23</x:v>
      </x:c>
      <x:c r="J195"/>
      <x:c r="K195" t="str">
        <x:v>待归档官方财报</x:v>
      </x:c>
      <x:c r="L195" t="str">
        <x:v>AkShare / Tencent all-A market snapshot</x:v>
      </x:c>
      <x:c r="M195" t="str">
        <x:v>ProxyError: primary market source unavailable; see source_id for full audit.</x:v>
      </x:c>
      <x:c r="N195" t="str">
        <x:v>0</x:v>
      </x:c>
      <x:c r="O195" t="str">
        <x:v>0fd6ad2d-3389-4e70-8974-eb85ee223eeb</x:v>
      </x:c>
      <x:c r="P195" t="str">
        <x:v>2026-09-04</x:v>
      </x:c>
    </x:row>
    <x:row r="196">
      <x:c r="A196" t="str">
        <x:v>重点观察</x:v>
      </x:c>
      <x:c r="B196" t="str">
        <x:v>补全 PB、财报，等待Agent自动验证</x:v>
      </x:c>
      <x:c r="C196" t="str">
        <x:v>601058</x:v>
      </x:c>
      <x:c r="D196" t="str">
        <x:v>赛轮轮胎</x:v>
      </x:c>
      <x:c r="E196" t="str">
        <x:v>主板</x:v>
      </x:c>
      <x:c r="F196" t="str">
        <x:v>待行业映射</x:v>
      </x:c>
      <x:c r="G196" t="str">
        <x:v>当前全市场行情快照缺少 PB；只能作为待补全研究队列，不得按完整估值条件生成交易建议。</x:v>
      </x:c>
      <x:c r="H196" t="n">
        <x:v>15.36</x:v>
      </x:c>
      <x:c r="I196" t="n">
        <x:v>13.11</x:v>
      </x:c>
      <x:c r="J196"/>
      <x:c r="K196" t="str">
        <x:v>待归档官方财报</x:v>
      </x:c>
      <x:c r="L196" t="str">
        <x:v>AkShare / Tencent all-A market snapshot</x:v>
      </x:c>
      <x:c r="M196" t="str">
        <x:v>ProxyError: primary market source unavailable; see source_id for full audit.</x:v>
      </x:c>
      <x:c r="N196" t="str">
        <x:v>0</x:v>
      </x:c>
      <x:c r="O196" t="str">
        <x:v>0fd6ad2d-3389-4e70-8974-eb85ee223eeb</x:v>
      </x:c>
      <x:c r="P196" t="str">
        <x:v>2026-09-04</x:v>
      </x:c>
    </x:row>
    <x:row r="197">
      <x:c r="A197" t="str">
        <x:v>重点观察</x:v>
      </x:c>
      <x:c r="B197" t="str">
        <x:v>证券公司专用模型待核验</x:v>
      </x:c>
      <x:c r="C197" t="str">
        <x:v>601108</x:v>
      </x:c>
      <x:c r="D197" t="str">
        <x:v>财通证券</x:v>
      </x:c>
      <x:c r="E197" t="str">
        <x:v>主板</x:v>
      </x:c>
      <x:c r="F197" t="str">
        <x:v>待行业映射</x:v>
      </x:c>
      <x:c r="G197" t="str">
        <x:v>名称/板块初步识别为证券公司；须以同一报告期官方披露复核专用指标和行业分类，禁止套用通用企业现金流、负债率或 EV/EBITDA 规则。 当前公共行情快照缺少 PB，须在专用模型复核中补齐。</x:v>
      </x:c>
      <x:c r="H197" t="n">
        <x:v>8.75</x:v>
      </x:c>
      <x:c r="I197" t="n">
        <x:v>11.78</x:v>
      </x:c>
      <x:c r="J197"/>
      <x:c r="K197" t="str">
        <x:v>待归档官方财报</x:v>
      </x:c>
      <x:c r="L197" t="str">
        <x:v>AkShare / Tencent all-A market snapshot</x:v>
      </x:c>
      <x:c r="M197" t="str">
        <x:v>ProxyError: primary market source unavailable; see source_id for full audit.</x:v>
      </x:c>
      <x:c r="N197" t="str">
        <x:v>0</x:v>
      </x:c>
      <x:c r="O197" t="str">
        <x:v>0fd6ad2d-3389-4e70-8974-eb85ee223eeb</x:v>
      </x:c>
      <x:c r="P197" t="str">
        <x:v>2026-09-04</x:v>
      </x:c>
    </x:row>
    <x:row r="198">
      <x:c r="A198" t="str">
        <x:v>重点观察</x:v>
      </x:c>
      <x:c r="B198" t="str">
        <x:v>补全 PB、财报，等待Agent自动验证</x:v>
      </x:c>
      <x:c r="C198" t="str">
        <x:v>600483</x:v>
      </x:c>
      <x:c r="D198" t="str">
        <x:v>福能股份</x:v>
      </x:c>
      <x:c r="E198" t="str">
        <x:v>主板</x:v>
      </x:c>
      <x:c r="F198" t="str">
        <x:v>待行业映射</x:v>
      </x:c>
      <x:c r="G198" t="str">
        <x:v>当前全市场行情快照缺少 PB；只能作为待补全研究队列，不得按完整估值条件生成交易建议。</x:v>
      </x:c>
      <x:c r="H198" t="n">
        <x:v>11.12</x:v>
      </x:c>
      <x:c r="I198" t="n">
        <x:v>10.48</x:v>
      </x:c>
      <x:c r="J198"/>
      <x:c r="K198" t="str">
        <x:v>待归档官方财报</x:v>
      </x:c>
      <x:c r="L198" t="str">
        <x:v>AkShare / Tencent all-A market snapshot</x:v>
      </x:c>
      <x:c r="M198" t="str">
        <x:v>ProxyError: primary market source unavailable; see source_id for full audit.</x:v>
      </x:c>
      <x:c r="N198" t="str">
        <x:v>0</x:v>
      </x:c>
      <x:c r="O198" t="str">
        <x:v>0fd6ad2d-3389-4e70-8974-eb85ee223eeb</x:v>
      </x:c>
      <x:c r="P198" t="str">
        <x:v>2026-09-04</x:v>
      </x:c>
    </x:row>
    <x:row r="199">
      <x:c r="A199" t="str">
        <x:v>重点观察</x:v>
      </x:c>
      <x:c r="B199" t="str">
        <x:v>补全 PB、财报，等待Agent自动验证</x:v>
      </x:c>
      <x:c r="C199" t="str">
        <x:v>600415</x:v>
      </x:c>
      <x:c r="D199" t="str">
        <x:v>小商品城</x:v>
      </x:c>
      <x:c r="E199" t="str">
        <x:v>主板</x:v>
      </x:c>
      <x:c r="F199" t="str">
        <x:v>待行业映射</x:v>
      </x:c>
      <x:c r="G199" t="str">
        <x:v>当前全市场行情快照缺少 PB；只能作为待补全研究队列，不得按完整估值条件生成交易建议。</x:v>
      </x:c>
      <x:c r="H199" t="n">
        <x:v>13.12</x:v>
      </x:c>
      <x:c r="I199" t="n">
        <x:v>16.02</x:v>
      </x:c>
      <x:c r="J199"/>
      <x:c r="K199" t="str">
        <x:v>待归档官方财报</x:v>
      </x:c>
      <x:c r="L199" t="str">
        <x:v>AkShare / Tencent all-A market snapshot</x:v>
      </x:c>
      <x:c r="M199" t="str">
        <x:v>ProxyError: primary market source unavailable; see source_id for full audit.</x:v>
      </x:c>
      <x:c r="N199" t="str">
        <x:v>0</x:v>
      </x:c>
      <x:c r="O199" t="str">
        <x:v>0fd6ad2d-3389-4e70-8974-eb85ee223eeb</x:v>
      </x:c>
      <x:c r="P199" t="str">
        <x:v>2026-09-04</x:v>
      </x:c>
    </x:row>
    <x:row r="200">
      <x:c r="A200" t="str">
        <x:v>重点观察</x:v>
      </x:c>
      <x:c r="B200" t="str">
        <x:v>补全 PB、财报，等待Agent自动验证</x:v>
      </x:c>
      <x:c r="C200" t="str">
        <x:v>002466</x:v>
      </x:c>
      <x:c r="D200" t="str">
        <x:v>天齐锂业</x:v>
      </x:c>
      <x:c r="E200" t="str">
        <x:v>主板</x:v>
      </x:c>
      <x:c r="F200" t="str">
        <x:v>待行业映射</x:v>
      </x:c>
      <x:c r="G200" t="str">
        <x:v>当前全市场行情快照缺少 PB；只能作为待补全研究队列，不得按完整估值条件生成交易建议。</x:v>
      </x:c>
      <x:c r="H200" t="n">
        <x:v>45.35</x:v>
      </x:c>
      <x:c r="I200" t="n">
        <x:v>16.82</x:v>
      </x:c>
      <x:c r="J200"/>
      <x:c r="K200" t="str">
        <x:v>待归档官方财报</x:v>
      </x:c>
      <x:c r="L200" t="str">
        <x:v>AkShare / Tencent all-A market snapshot</x:v>
      </x:c>
      <x:c r="M200" t="str">
        <x:v>ProxyError: primary market source unavailable; see source_id for full audit.</x:v>
      </x:c>
      <x:c r="N200" t="str">
        <x:v>0</x:v>
      </x:c>
      <x:c r="O200" t="str">
        <x:v>0fd6ad2d-3389-4e70-8974-eb85ee223eeb</x:v>
      </x:c>
      <x:c r="P200" t="str">
        <x:v>2026-09-04</x:v>
      </x:c>
    </x:row>
    <x:row r="201">
      <x:c r="A201" t="str">
        <x:v>重点观察</x:v>
      </x:c>
      <x:c r="B201" t="str">
        <x:v>补全 PB、财报，等待Agent自动验证</x:v>
      </x:c>
      <x:c r="C201" t="str">
        <x:v>000913</x:v>
      </x:c>
      <x:c r="D201" t="str">
        <x:v>钱江摩托</x:v>
      </x:c>
      <x:c r="E201" t="str">
        <x:v>主板</x:v>
      </x:c>
      <x:c r="F201" t="str">
        <x:v>待行业映射</x:v>
      </x:c>
      <x:c r="G201" t="str">
        <x:v>当前全市场行情快照缺少 PB；只能作为待补全研究队列，不得按完整估值条件生成交易建议。</x:v>
      </x:c>
      <x:c r="H201" t="n">
        <x:v>11.2</x:v>
      </x:c>
      <x:c r="I201" t="n">
        <x:v>7.29</x:v>
      </x:c>
      <x:c r="J201"/>
      <x:c r="K201" t="str">
        <x:v>待归档官方财报</x:v>
      </x:c>
      <x:c r="L201" t="str">
        <x:v>AkShare / Tencent all-A market snapshot</x:v>
      </x:c>
      <x:c r="M201" t="str">
        <x:v>ProxyError: primary market source unavailable; see source_id for full audit.</x:v>
      </x:c>
      <x:c r="N201" t="str">
        <x:v>0</x:v>
      </x:c>
      <x:c r="O201" t="str">
        <x:v>0fd6ad2d-3389-4e70-8974-eb85ee223eeb</x:v>
      </x:c>
      <x:c r="P201" t="str">
        <x:v>2026-09-04</x:v>
      </x:c>
    </x:row>
    <x:row r="202">
      <x:c r="A202" t="str">
        <x:v>重点观察</x:v>
      </x:c>
      <x:c r="B202" t="str">
        <x:v>补全 PB、财报，等待Agent自动验证</x:v>
      </x:c>
      <x:c r="C202" t="str">
        <x:v>000567</x:v>
      </x:c>
      <x:c r="D202" t="str">
        <x:v>海德股份</x:v>
      </x:c>
      <x:c r="E202" t="str">
        <x:v>主板</x:v>
      </x:c>
      <x:c r="F202" t="str">
        <x:v>待行业映射</x:v>
      </x:c>
      <x:c r="G202" t="str">
        <x:v>当前全市场行情快照缺少 PB；只能作为待补全研究队列，不得按完整估值条件生成交易建议。</x:v>
      </x:c>
      <x:c r="H202" t="n">
        <x:v>6.72</x:v>
      </x:c>
      <x:c r="I202" t="n">
        <x:v>8.29</x:v>
      </x:c>
      <x:c r="J202"/>
      <x:c r="K202" t="str">
        <x:v>待归档官方财报</x:v>
      </x:c>
      <x:c r="L202" t="str">
        <x:v>AkShare / Tencent all-A market snapshot</x:v>
      </x:c>
      <x:c r="M202" t="str">
        <x:v>ProxyError: primary market source unavailable; see source_id for full audit.</x:v>
      </x:c>
      <x:c r="N202" t="str">
        <x:v>0</x:v>
      </x:c>
      <x:c r="O202" t="str">
        <x:v>0fd6ad2d-3389-4e70-8974-eb85ee223eeb</x:v>
      </x:c>
      <x:c r="P202" t="str">
        <x:v>2026-09-04</x:v>
      </x:c>
    </x:row>
    <x:row r="203">
      <x:c r="A203" t="str">
        <x:v>重点观察</x:v>
      </x:c>
      <x:c r="B203" t="str">
        <x:v>补全 PB、财报，等待Agent自动验证</x:v>
      </x:c>
      <x:c r="C203" t="str">
        <x:v>688187</x:v>
      </x:c>
      <x:c r="D203" t="str">
        <x:v>时代电气</x:v>
      </x:c>
      <x:c r="E203" t="str">
        <x:v>科创板</x:v>
      </x:c>
      <x:c r="F203" t="str">
        <x:v>待行业映射</x:v>
      </x:c>
      <x:c r="G203" t="str">
        <x:v>当前全市场行情快照缺少 PB；只能作为待补全研究队列，不得按完整估值条件生成交易建议。</x:v>
      </x:c>
      <x:c r="H203" t="n">
        <x:v>46.33</x:v>
      </x:c>
      <x:c r="I203" t="n">
        <x:v>14.9</x:v>
      </x:c>
      <x:c r="J203"/>
      <x:c r="K203" t="str">
        <x:v>待归档官方财报</x:v>
      </x:c>
      <x:c r="L203" t="str">
        <x:v>AkShare / Tencent all-A market snapshot</x:v>
      </x:c>
      <x:c r="M203" t="str">
        <x:v>ProxyError: primary market source unavailable; see source_id for full audit.</x:v>
      </x:c>
      <x:c r="N203" t="str">
        <x:v>0</x:v>
      </x:c>
      <x:c r="O203" t="str">
        <x:v>0fd6ad2d-3389-4e70-8974-eb85ee223eeb</x:v>
      </x:c>
      <x:c r="P203" t="str">
        <x:v>2026-09-04</x:v>
      </x:c>
    </x:row>
    <x:row r="204">
      <x:c r="A204" t="str">
        <x:v>重点观察</x:v>
      </x:c>
      <x:c r="B204" t="str">
        <x:v>补全 PB、财报，等待Agent自动验证</x:v>
      </x:c>
      <x:c r="C204" t="str">
        <x:v>002078</x:v>
      </x:c>
      <x:c r="D204" t="str">
        <x:v>太阳纸业</x:v>
      </x:c>
      <x:c r="E204" t="str">
        <x:v>主板</x:v>
      </x:c>
      <x:c r="F204" t="str">
        <x:v>待行业映射</x:v>
      </x:c>
      <x:c r="G204" t="str">
        <x:v>当前全市场行情快照缺少 PB；只能作为待补全研究队列，不得按完整估值条件生成交易建议。</x:v>
      </x:c>
      <x:c r="H204" t="n">
        <x:v>14.78</x:v>
      </x:c>
      <x:c r="I204" t="n">
        <x:v>12.33</x:v>
      </x:c>
      <x:c r="J204"/>
      <x:c r="K204" t="str">
        <x:v>待归档官方财报</x:v>
      </x:c>
      <x:c r="L204" t="str">
        <x:v>AkShare / Tencent all-A market snapshot</x:v>
      </x:c>
      <x:c r="M204" t="str">
        <x:v>ProxyError: primary market source unavailable; see source_id for full audit.</x:v>
      </x:c>
      <x:c r="N204" t="str">
        <x:v>0</x:v>
      </x:c>
      <x:c r="O204" t="str">
        <x:v>0fd6ad2d-3389-4e70-8974-eb85ee223eeb</x:v>
      </x:c>
      <x:c r="P204" t="str">
        <x:v>2026-09-04</x:v>
      </x:c>
    </x:row>
    <x:row r="205">
      <x:c r="A205" t="str">
        <x:v>重点观察</x:v>
      </x:c>
      <x:c r="B205" t="str">
        <x:v>补全 PB、财报，等待Agent自动验证</x:v>
      </x:c>
      <x:c r="C205" t="str">
        <x:v>600150</x:v>
      </x:c>
      <x:c r="D205" t="str">
        <x:v>中国船舶</x:v>
      </x:c>
      <x:c r="E205" t="str">
        <x:v>主板</x:v>
      </x:c>
      <x:c r="F205" t="str">
        <x:v>待行业映射</x:v>
      </x:c>
      <x:c r="G205" t="str">
        <x:v>当前全市场行情快照缺少 PB；只能作为待补全研究队列，不得按完整估值条件生成交易建议。</x:v>
      </x:c>
      <x:c r="H205" t="n">
        <x:v>37.47</x:v>
      </x:c>
      <x:c r="I205" t="n">
        <x:v>20.11</x:v>
      </x:c>
      <x:c r="J205"/>
      <x:c r="K205" t="str">
        <x:v>待归档官方财报</x:v>
      </x:c>
      <x:c r="L205" t="str">
        <x:v>AkShare / Tencent all-A market snapshot</x:v>
      </x:c>
      <x:c r="M205" t="str">
        <x:v>ProxyError: primary market source unavailable; see source_id for full audit.</x:v>
      </x:c>
      <x:c r="N205" t="str">
        <x:v>0</x:v>
      </x:c>
      <x:c r="O205" t="str">
        <x:v>0fd6ad2d-3389-4e70-8974-eb85ee223eeb</x:v>
      </x:c>
      <x:c r="P205" t="str">
        <x:v>2026-09-04</x:v>
      </x:c>
    </x:row>
    <x:row r="206">
      <x:c r="A206" t="str">
        <x:v>重点观察</x:v>
      </x:c>
      <x:c r="B206" t="str">
        <x:v>证券公司专用模型待核验</x:v>
      </x:c>
      <x:c r="C206" t="str">
        <x:v>601788</x:v>
      </x:c>
      <x:c r="D206" t="str">
        <x:v>光大证券</x:v>
      </x:c>
      <x:c r="E206" t="str">
        <x:v>主板</x:v>
      </x:c>
      <x:c r="F206" t="str">
        <x:v>待行业映射</x:v>
      </x:c>
      <x:c r="G206" t="str">
        <x:v>名称/板块初步识别为证券公司；须以同一报告期官方披露复核专用指标和行业分类，禁止套用通用企业现金流、负债率或 EV/EBITDA 规则。 当前公共行情快照缺少 PB，须在专用模型复核中补齐。</x:v>
      </x:c>
      <x:c r="H206" t="n">
        <x:v>14.65</x:v>
      </x:c>
      <x:c r="I206" t="n">
        <x:v>15.82</x:v>
      </x:c>
      <x:c r="J206"/>
      <x:c r="K206" t="str">
        <x:v>待归档官方财报</x:v>
      </x:c>
      <x:c r="L206" t="str">
        <x:v>AkShare / Tencent all-A market snapshot</x:v>
      </x:c>
      <x:c r="M206" t="str">
        <x:v>ProxyError: primary market source unavailable; see source_id for full audit.</x:v>
      </x:c>
      <x:c r="N206" t="str">
        <x:v>0</x:v>
      </x:c>
      <x:c r="O206" t="str">
        <x:v>0fd6ad2d-3389-4e70-8974-eb85ee223eeb</x:v>
      </x:c>
      <x:c r="P206" t="str">
        <x:v>2026-09-04</x:v>
      </x:c>
    </x:row>
    <x:row r="207">
      <x:c r="A207" t="str">
        <x:v>重点观察</x:v>
      </x:c>
      <x:c r="B207" t="str">
        <x:v>补全 PB、财报，等待Agent自动验证</x:v>
      </x:c>
      <x:c r="C207" t="str">
        <x:v>601156</x:v>
      </x:c>
      <x:c r="D207" t="str">
        <x:v>东航物流</x:v>
      </x:c>
      <x:c r="E207" t="str">
        <x:v>主板</x:v>
      </x:c>
      <x:c r="F207" t="str">
        <x:v>待行业映射</x:v>
      </x:c>
      <x:c r="G207" t="str">
        <x:v>当前全市场行情快照缺少 PB；只能作为待补全研究队列，不得按完整估值条件生成交易建议。</x:v>
      </x:c>
      <x:c r="H207" t="n">
        <x:v>19.25</x:v>
      </x:c>
      <x:c r="I207" t="n">
        <x:v>10.85</x:v>
      </x:c>
      <x:c r="J207"/>
      <x:c r="K207" t="str">
        <x:v>待归档官方财报</x:v>
      </x:c>
      <x:c r="L207" t="str">
        <x:v>AkShare / Tencent all-A market snapshot</x:v>
      </x:c>
      <x:c r="M207" t="str">
        <x:v>ProxyError: primary market source unavailable; see source_id for full audit.</x:v>
      </x:c>
      <x:c r="N207" t="str">
        <x:v>0</x:v>
      </x:c>
      <x:c r="O207" t="str">
        <x:v>0fd6ad2d-3389-4e70-8974-eb85ee223eeb</x:v>
      </x:c>
      <x:c r="P207" t="str">
        <x:v>2026-09-04</x:v>
      </x:c>
    </x:row>
    <x:row r="208">
      <x:c r="A208" t="str">
        <x:v>重点观察</x:v>
      </x:c>
      <x:c r="B208" t="str">
        <x:v>补全 PB、财报，等待Agent自动验证</x:v>
      </x:c>
      <x:c r="C208" t="str">
        <x:v>600282</x:v>
      </x:c>
      <x:c r="D208" t="str">
        <x:v>南钢股份</x:v>
      </x:c>
      <x:c r="E208" t="str">
        <x:v>主板</x:v>
      </x:c>
      <x:c r="F208" t="str">
        <x:v>待行业映射</x:v>
      </x:c>
      <x:c r="G208" t="str">
        <x:v>当前全市场行情快照缺少 PB；只能作为待补全研究队列，不得按完整估值条件生成交易建议。</x:v>
      </x:c>
      <x:c r="H208" t="n">
        <x:v>4.74</x:v>
      </x:c>
      <x:c r="I208" t="n">
        <x:v>10.72</x:v>
      </x:c>
      <x:c r="J208"/>
      <x:c r="K208" t="str">
        <x:v>待归档官方财报</x:v>
      </x:c>
      <x:c r="L208" t="str">
        <x:v>AkShare / Tencent all-A market snapshot</x:v>
      </x:c>
      <x:c r="M208" t="str">
        <x:v>ProxyError: primary market source unavailable; see source_id for full audit.</x:v>
      </x:c>
      <x:c r="N208" t="str">
        <x:v>0</x:v>
      </x:c>
      <x:c r="O208" t="str">
        <x:v>0fd6ad2d-3389-4e70-8974-eb85ee223eeb</x:v>
      </x:c>
      <x:c r="P208" t="str">
        <x:v>2026-09-04</x:v>
      </x:c>
    </x:row>
    <x:row r="209">
      <x:c r="A209" t="str">
        <x:v>重点观察</x:v>
      </x:c>
      <x:c r="B209" t="str">
        <x:v>补全 PB、财报，等待Agent自动验证</x:v>
      </x:c>
      <x:c r="C209" t="str">
        <x:v>000543</x:v>
      </x:c>
      <x:c r="D209" t="str">
        <x:v>皖能电力</x:v>
      </x:c>
      <x:c r="E209" t="str">
        <x:v>主板</x:v>
      </x:c>
      <x:c r="F209" t="str">
        <x:v>待行业映射</x:v>
      </x:c>
      <x:c r="G209" t="str">
        <x:v>当前全市场行情快照缺少 PB；只能作为待补全研究队列，不得按完整估值条件生成交易建议。</x:v>
      </x:c>
      <x:c r="H209" t="n">
        <x:v>7.4</x:v>
      </x:c>
      <x:c r="I209" t="n">
        <x:v>9.08</x:v>
      </x:c>
      <x:c r="J209"/>
      <x:c r="K209" t="str">
        <x:v>待归档官方财报</x:v>
      </x:c>
      <x:c r="L209" t="str">
        <x:v>AkShare / Tencent all-A market snapshot</x:v>
      </x:c>
      <x:c r="M209" t="str">
        <x:v>ProxyError: primary market source unavailable; see source_id for full audit.</x:v>
      </x:c>
      <x:c r="N209" t="str">
        <x:v>0</x:v>
      </x:c>
      <x:c r="O209" t="str">
        <x:v>0fd6ad2d-3389-4e70-8974-eb85ee223eeb</x:v>
      </x:c>
      <x:c r="P209" t="str">
        <x:v>2026-09-04</x:v>
      </x:c>
    </x:row>
    <x:row r="210">
      <x:c r="A210" t="str">
        <x:v>重点观察</x:v>
      </x:c>
      <x:c r="B210" t="str">
        <x:v>补全 PB、财报，等待Agent自动验证</x:v>
      </x:c>
      <x:c r="C210" t="str">
        <x:v>601061</x:v>
      </x:c>
      <x:c r="D210" t="str">
        <x:v>中信金属</x:v>
      </x:c>
      <x:c r="E210" t="str">
        <x:v>主板</x:v>
      </x:c>
      <x:c r="F210" t="str">
        <x:v>待行业映射</x:v>
      </x:c>
      <x:c r="G210" t="str">
        <x:v>当前全市场行情快照缺少 PB；只能作为待补全研究队列，不得按完整估值条件生成交易建议。</x:v>
      </x:c>
      <x:c r="H210" t="n">
        <x:v>11.54</x:v>
      </x:c>
      <x:c r="I210" t="n">
        <x:v>14.45</x:v>
      </x:c>
      <x:c r="J210"/>
      <x:c r="K210" t="str">
        <x:v>待归档官方财报</x:v>
      </x:c>
      <x:c r="L210" t="str">
        <x:v>AkShare / Tencent all-A market snapshot</x:v>
      </x:c>
      <x:c r="M210" t="str">
        <x:v>ProxyError: primary market source unavailable; see source_id for full audit.</x:v>
      </x:c>
      <x:c r="N210" t="str">
        <x:v>0</x:v>
      </x:c>
      <x:c r="O210" t="str">
        <x:v>0fd6ad2d-3389-4e70-8974-eb85ee223eeb</x:v>
      </x:c>
      <x:c r="P210" t="str">
        <x:v>2026-09-04</x:v>
      </x:c>
    </x:row>
    <x:row r="211">
      <x:c r="A211" t="str">
        <x:v>重点观察</x:v>
      </x:c>
      <x:c r="B211" t="str">
        <x:v>补全 PB、财报，等待Agent自动验证</x:v>
      </x:c>
      <x:c r="C211" t="str">
        <x:v>002546</x:v>
      </x:c>
      <x:c r="D211" t="str">
        <x:v>新联电子</x:v>
      </x:c>
      <x:c r="E211" t="str">
        <x:v>主板</x:v>
      </x:c>
      <x:c r="F211" t="str">
        <x:v>待行业映射</x:v>
      </x:c>
      <x:c r="G211" t="str">
        <x:v>当前全市场行情快照缺少 PB；只能作为待补全研究队列，不得按完整估值条件生成交易建议。</x:v>
      </x:c>
      <x:c r="H211" t="n">
        <x:v>7.93</x:v>
      </x:c>
      <x:c r="I211" t="n">
        <x:v>7.84</x:v>
      </x:c>
      <x:c r="J211"/>
      <x:c r="K211" t="str">
        <x:v>待归档官方财报</x:v>
      </x:c>
      <x:c r="L211" t="str">
        <x:v>AkShare / Tencent all-A market snapshot</x:v>
      </x:c>
      <x:c r="M211" t="str">
        <x:v>ProxyError: primary market source unavailable; see source_id for full audit.</x:v>
      </x:c>
      <x:c r="N211" t="str">
        <x:v>0</x:v>
      </x:c>
      <x:c r="O211" t="str">
        <x:v>0fd6ad2d-3389-4e70-8974-eb85ee223eeb</x:v>
      </x:c>
      <x:c r="P211" t="str">
        <x:v>2026-09-04</x:v>
      </x:c>
    </x:row>
    <x:row r="212">
      <x:c r="A212" t="str">
        <x:v>重点观察</x:v>
      </x:c>
      <x:c r="B212" t="str">
        <x:v>补全 PB、财报，等待Agent自动验证</x:v>
      </x:c>
      <x:c r="C212" t="str">
        <x:v>600519</x:v>
      </x:c>
      <x:c r="D212" t="str">
        <x:v>贵州茅台</x:v>
      </x:c>
      <x:c r="E212" t="str">
        <x:v>主板</x:v>
      </x:c>
      <x:c r="F212" t="str">
        <x:v>待行业映射</x:v>
      </x:c>
      <x:c r="G212" t="str">
        <x:v>当前全市场行情快照缺少 PB；只能作为待补全研究队列，不得按完整估值条件生成交易建议。</x:v>
      </x:c>
      <x:c r="H212" t="n">
        <x:v>1330</x:v>
      </x:c>
      <x:c r="I212" t="n">
        <x:v>20.42</x:v>
      </x:c>
      <x:c r="J212"/>
      <x:c r="K212" t="str">
        <x:v>待归档官方财报</x:v>
      </x:c>
      <x:c r="L212" t="str">
        <x:v>AkShare / Tencent all-A market snapshot</x:v>
      </x:c>
      <x:c r="M212" t="str">
        <x:v>ProxyError: primary market source unavailable; see source_id for full audit.</x:v>
      </x:c>
      <x:c r="N212" t="str">
        <x:v>0</x:v>
      </x:c>
      <x:c r="O212" t="str">
        <x:v>0fd6ad2d-3389-4e70-8974-eb85ee223eeb</x:v>
      </x:c>
      <x:c r="P212" t="str">
        <x:v>2026-09-04</x:v>
      </x:c>
    </x:row>
    <x:row r="213">
      <x:c r="A213" t="str">
        <x:v>重点观察</x:v>
      </x:c>
      <x:c r="B213" t="str">
        <x:v>补全 PB、财报，等待Agent自动验证</x:v>
      </x:c>
      <x:c r="C213" t="str">
        <x:v>002236</x:v>
      </x:c>
      <x:c r="D213" t="str">
        <x:v>大华股份</x:v>
      </x:c>
      <x:c r="E213" t="str">
        <x:v>主板</x:v>
      </x:c>
      <x:c r="F213" t="str">
        <x:v>待行业映射</x:v>
      </x:c>
      <x:c r="G213" t="str">
        <x:v>当前全市场行情快照缺少 PB；只能作为待补全研究队列，不得按完整估值条件生成交易建议。</x:v>
      </x:c>
      <x:c r="H213" t="n">
        <x:v>16.31</x:v>
      </x:c>
      <x:c r="I213" t="n">
        <x:v>14.16</x:v>
      </x:c>
      <x:c r="J213"/>
      <x:c r="K213" t="str">
        <x:v>待归档官方财报</x:v>
      </x:c>
      <x:c r="L213" t="str">
        <x:v>AkShare / Tencent all-A market snapshot</x:v>
      </x:c>
      <x:c r="M213" t="str">
        <x:v>ProxyError: primary market source unavailable; see source_id for full audit.</x:v>
      </x:c>
      <x:c r="N213" t="str">
        <x:v>0</x:v>
      </x:c>
      <x:c r="O213" t="str">
        <x:v>0fd6ad2d-3389-4e70-8974-eb85ee223eeb</x:v>
      </x:c>
      <x:c r="P213" t="str">
        <x:v>2026-09-04</x:v>
      </x:c>
    </x:row>
    <x:row r="214">
      <x:c r="A214" t="str">
        <x:v>重点观察</x:v>
      </x:c>
      <x:c r="B214" t="str">
        <x:v>补全 PB、财报，等待Agent自动验证</x:v>
      </x:c>
      <x:c r="C214" t="str">
        <x:v>600875</x:v>
      </x:c>
      <x:c r="D214" t="str">
        <x:v>东方电气</x:v>
      </x:c>
      <x:c r="E214" t="str">
        <x:v>主板</x:v>
      </x:c>
      <x:c r="F214" t="str">
        <x:v>待行业映射</x:v>
      </x:c>
      <x:c r="G214" t="str">
        <x:v>当前全市场行情快照缺少 PB；只能作为待补全研究队列，不得按完整估值条件生成交易建议。</x:v>
      </x:c>
      <x:c r="H214" t="n">
        <x:v>25.07</x:v>
      </x:c>
      <x:c r="I214" t="n">
        <x:v>18.71</x:v>
      </x:c>
      <x:c r="J214"/>
      <x:c r="K214" t="str">
        <x:v>待归档官方财报</x:v>
      </x:c>
      <x:c r="L214" t="str">
        <x:v>AkShare / Tencent all-A market snapshot</x:v>
      </x:c>
      <x:c r="M214" t="str">
        <x:v>ProxyError: primary market source unavailable; see source_id for full audit.</x:v>
      </x:c>
      <x:c r="N214" t="str">
        <x:v>0</x:v>
      </x:c>
      <x:c r="O214" t="str">
        <x:v>0fd6ad2d-3389-4e70-8974-eb85ee223eeb</x:v>
      </x:c>
      <x:c r="P214" t="str">
        <x:v>2026-09-04</x:v>
      </x:c>
    </x:row>
    <x:row r="215">
      <x:c r="A215" t="str">
        <x:v>重点观察</x:v>
      </x:c>
      <x:c r="B215" t="str">
        <x:v>补全 PB、财报，等待Agent自动验证</x:v>
      </x:c>
      <x:c r="C215" t="str">
        <x:v>001286</x:v>
      </x:c>
      <x:c r="D215" t="str">
        <x:v>陕西能源</x:v>
      </x:c>
      <x:c r="E215" t="str">
        <x:v>主板</x:v>
      </x:c>
      <x:c r="F215" t="str">
        <x:v>待行业映射</x:v>
      </x:c>
      <x:c r="G215" t="str">
        <x:v>当前全市场行情快照缺少 PB；只能作为待补全研究队列，不得按完整估值条件生成交易建议。</x:v>
      </x:c>
      <x:c r="H215" t="n">
        <x:v>9.58</x:v>
      </x:c>
      <x:c r="I215" t="n">
        <x:v>11.88</x:v>
      </x:c>
      <x:c r="J215"/>
      <x:c r="K215" t="str">
        <x:v>待归档官方财报</x:v>
      </x:c>
      <x:c r="L215" t="str">
        <x:v>AkShare / Tencent all-A market snapshot</x:v>
      </x:c>
      <x:c r="M215" t="str">
        <x:v>ProxyError: primary market source unavailable; see source_id for full audit.</x:v>
      </x:c>
      <x:c r="N215" t="str">
        <x:v>0</x:v>
      </x:c>
      <x:c r="O215" t="str">
        <x:v>0fd6ad2d-3389-4e70-8974-eb85ee223eeb</x:v>
      </x:c>
      <x:c r="P215" t="str">
        <x:v>2026-09-04</x:v>
      </x:c>
    </x:row>
    <x:row r="216">
      <x:c r="A216" t="str">
        <x:v>重点观察</x:v>
      </x:c>
      <x:c r="B216" t="str">
        <x:v>补全 PB、财报，等待Agent自动验证</x:v>
      </x:c>
      <x:c r="C216" t="str">
        <x:v>000999</x:v>
      </x:c>
      <x:c r="D216" t="str">
        <x:v>华润三九</x:v>
      </x:c>
      <x:c r="E216" t="str">
        <x:v>主板</x:v>
      </x:c>
      <x:c r="F216" t="str">
        <x:v>待行业映射</x:v>
      </x:c>
      <x:c r="G216" t="str">
        <x:v>当前全市场行情快照缺少 PB；只能作为待补全研究队列，不得按完整估值条件生成交易建议。</x:v>
      </x:c>
      <x:c r="H216" t="n">
        <x:v>24.9</x:v>
      </x:c>
      <x:c r="I216" t="n">
        <x:v>12.65</x:v>
      </x:c>
      <x:c r="J216"/>
      <x:c r="K216" t="str">
        <x:v>待归档官方财报</x:v>
      </x:c>
      <x:c r="L216" t="str">
        <x:v>AkShare / Tencent all-A market snapshot</x:v>
      </x:c>
      <x:c r="M216" t="str">
        <x:v>ProxyError: primary market source unavailable; see source_id for full audit.</x:v>
      </x:c>
      <x:c r="N216" t="str">
        <x:v>0</x:v>
      </x:c>
      <x:c r="O216" t="str">
        <x:v>0fd6ad2d-3389-4e70-8974-eb85ee223eeb</x:v>
      </x:c>
      <x:c r="P216" t="str">
        <x:v>2026-09-04</x:v>
      </x:c>
    </x:row>
    <x:row r="217">
      <x:c r="A217" t="str">
        <x:v>重点观察</x:v>
      </x:c>
      <x:c r="B217" t="str">
        <x:v>补全 PB、财报，等待Agent自动验证</x:v>
      </x:c>
      <x:c r="C217" t="str">
        <x:v>002555</x:v>
      </x:c>
      <x:c r="D217" t="str">
        <x:v>三七互娱</x:v>
      </x:c>
      <x:c r="E217" t="str">
        <x:v>主板</x:v>
      </x:c>
      <x:c r="F217" t="str">
        <x:v>待行业映射</x:v>
      </x:c>
      <x:c r="G217" t="str">
        <x:v>当前全市场行情快照缺少 PB；只能作为待补全研究队列，不得按完整估值条件生成交易建议。</x:v>
      </x:c>
      <x:c r="H217" t="n">
        <x:v>18.67</x:v>
      </x:c>
      <x:c r="I217" t="n">
        <x:v>12.65</x:v>
      </x:c>
      <x:c r="J217"/>
      <x:c r="K217" t="str">
        <x:v>待归档官方财报</x:v>
      </x:c>
      <x:c r="L217" t="str">
        <x:v>AkShare / Tencent all-A market snapshot</x:v>
      </x:c>
      <x:c r="M217" t="str">
        <x:v>ProxyError: primary market source unavailable; see source_id for full audit.</x:v>
      </x:c>
      <x:c r="N217" t="str">
        <x:v>0</x:v>
      </x:c>
      <x:c r="O217" t="str">
        <x:v>0fd6ad2d-3389-4e70-8974-eb85ee223eeb</x:v>
      </x:c>
      <x:c r="P217" t="str">
        <x:v>2026-09-04</x:v>
      </x:c>
    </x:row>
    <x:row r="218">
      <x:c r="A218" t="str">
        <x:v>重点观察</x:v>
      </x:c>
      <x:c r="B218" t="str">
        <x:v>证券公司专用模型待核验</x:v>
      </x:c>
      <x:c r="C218" t="str">
        <x:v>601377</x:v>
      </x:c>
      <x:c r="D218" t="str">
        <x:v>兴业证券</x:v>
      </x:c>
      <x:c r="E218" t="str">
        <x:v>主板</x:v>
      </x:c>
      <x:c r="F218" t="str">
        <x:v>待行业映射</x:v>
      </x:c>
      <x:c r="G218" t="str">
        <x:v>名称/板块初步识别为证券公司；须以同一报告期官方披露复核专用指标和行业分类，禁止套用通用企业现金流、负债率或 EV/EBITDA 规则。 当前公共行情快照缺少 PB，须在专用模型复核中补齐。</x:v>
      </x:c>
      <x:c r="H218" t="n">
        <x:v>5.96</x:v>
      </x:c>
      <x:c r="I218" t="n">
        <x:v>14.03</x:v>
      </x:c>
      <x:c r="J218"/>
      <x:c r="K218" t="str">
        <x:v>待归档官方财报</x:v>
      </x:c>
      <x:c r="L218" t="str">
        <x:v>AkShare / Tencent all-A market snapshot</x:v>
      </x:c>
      <x:c r="M218" t="str">
        <x:v>ProxyError: primary market source unavailable; see source_id for full audit.</x:v>
      </x:c>
      <x:c r="N218" t="str">
        <x:v>0</x:v>
      </x:c>
      <x:c r="O218" t="str">
        <x:v>0fd6ad2d-3389-4e70-8974-eb85ee223eeb</x:v>
      </x:c>
      <x:c r="P218" t="str">
        <x:v>2026-09-04</x:v>
      </x:c>
    </x:row>
    <x:row r="219">
      <x:c r="A219" t="str">
        <x:v>重点观察</x:v>
      </x:c>
      <x:c r="B219" t="str">
        <x:v>补全 PB、财报，等待Agent自动验证</x:v>
      </x:c>
      <x:c r="C219" t="str">
        <x:v>600210</x:v>
      </x:c>
      <x:c r="D219" t="str">
        <x:v>紫江企业</x:v>
      </x:c>
      <x:c r="E219" t="str">
        <x:v>主板</x:v>
      </x:c>
      <x:c r="F219" t="str">
        <x:v>待行业映射</x:v>
      </x:c>
      <x:c r="G219" t="str">
        <x:v>当前全市场行情快照缺少 PB；只能作为待补全研究队列，不得按完整估值条件生成交易建议。</x:v>
      </x:c>
      <x:c r="H219" t="n">
        <x:v>6.11</x:v>
      </x:c>
      <x:c r="I219" t="n">
        <x:v>8.36</x:v>
      </x:c>
      <x:c r="J219"/>
      <x:c r="K219" t="str">
        <x:v>待归档官方财报</x:v>
      </x:c>
      <x:c r="L219" t="str">
        <x:v>AkShare / Tencent all-A market snapshot</x:v>
      </x:c>
      <x:c r="M219" t="str">
        <x:v>ProxyError: primary market source unavailable; see source_id for full audit.</x:v>
      </x:c>
      <x:c r="N219" t="str">
        <x:v>0</x:v>
      </x:c>
      <x:c r="O219" t="str">
        <x:v>0fd6ad2d-3389-4e70-8974-eb85ee223eeb</x:v>
      </x:c>
      <x:c r="P219" t="str">
        <x:v>2026-09-04</x:v>
      </x:c>
    </x:row>
    <x:row r="220">
      <x:c r="A220" t="str">
        <x:v>重点观察</x:v>
      </x:c>
      <x:c r="B220" t="str">
        <x:v>补全 PB、财报，等待Agent自动验证</x:v>
      </x:c>
      <x:c r="C220" t="str">
        <x:v>600873</x:v>
      </x:c>
      <x:c r="D220" t="str">
        <x:v>梅花生物</x:v>
      </x:c>
      <x:c r="E220" t="str">
        <x:v>主板</x:v>
      </x:c>
      <x:c r="F220" t="str">
        <x:v>待行业映射</x:v>
      </x:c>
      <x:c r="G220" t="str">
        <x:v>当前全市场行情快照缺少 PB；只能作为待补全研究队列，不得按完整估值条件生成交易建议。</x:v>
      </x:c>
      <x:c r="H220" t="n">
        <x:v>7.82</x:v>
      </x:c>
      <x:c r="I220" t="n">
        <x:v>10.08</x:v>
      </x:c>
      <x:c r="J220"/>
      <x:c r="K220" t="str">
        <x:v>待归档官方财报</x:v>
      </x:c>
      <x:c r="L220" t="str">
        <x:v>AkShare / Tencent all-A market snapshot</x:v>
      </x:c>
      <x:c r="M220" t="str">
        <x:v>ProxyError: primary market source unavailable; see source_id for full audit.</x:v>
      </x:c>
      <x:c r="N220" t="str">
        <x:v>0</x:v>
      </x:c>
      <x:c r="O220" t="str">
        <x:v>0fd6ad2d-3389-4e70-8974-eb85ee223eeb</x:v>
      </x:c>
      <x:c r="P220" t="str">
        <x:v>2026-09-04</x:v>
      </x:c>
    </x:row>
    <x:row r="221">
      <x:c r="A221" t="str">
        <x:v>重点观察</x:v>
      </x:c>
      <x:c r="B221" t="str">
        <x:v>补全 PB、财报，等待Agent自动验证</x:v>
      </x:c>
      <x:c r="C221" t="str">
        <x:v>688332</x:v>
      </x:c>
      <x:c r="D221" t="str">
        <x:v>中科蓝讯</x:v>
      </x:c>
      <x:c r="E221" t="str">
        <x:v>科创板</x:v>
      </x:c>
      <x:c r="F221" t="str">
        <x:v>待行业映射</x:v>
      </x:c>
      <x:c r="G221" t="str">
        <x:v>当前全市场行情快照缺少 PB；只能作为待补全研究队列，不得按完整估值条件生成交易建议。</x:v>
      </x:c>
      <x:c r="H221" t="n">
        <x:v>92.59</x:v>
      </x:c>
      <x:c r="I221" t="n">
        <x:v>9.37</x:v>
      </x:c>
      <x:c r="J221"/>
      <x:c r="K221" t="str">
        <x:v>待归档官方财报</x:v>
      </x:c>
      <x:c r="L221" t="str">
        <x:v>AkShare / Tencent all-A market snapshot</x:v>
      </x:c>
      <x:c r="M221" t="str">
        <x:v>ProxyError: primary market source unavailable; see source_id for full audit.</x:v>
      </x:c>
      <x:c r="N221" t="str">
        <x:v>0</x:v>
      </x:c>
      <x:c r="O221" t="str">
        <x:v>0fd6ad2d-3389-4e70-8974-eb85ee223eeb</x:v>
      </x:c>
      <x:c r="P221" t="str">
        <x:v>2026-09-04</x:v>
      </x:c>
    </x:row>
    <x:row r="222">
      <x:c r="A222" t="str">
        <x:v>重点观察</x:v>
      </x:c>
      <x:c r="B222" t="str">
        <x:v>补全 PB、财报，等待Agent自动验证</x:v>
      </x:c>
      <x:c r="C222" t="str">
        <x:v>601868</x:v>
      </x:c>
      <x:c r="D222" t="str">
        <x:v>中国能建</x:v>
      </x:c>
      <x:c r="E222" t="str">
        <x:v>主板</x:v>
      </x:c>
      <x:c r="F222" t="str">
        <x:v>待行业映射</x:v>
      </x:c>
      <x:c r="G222" t="str">
        <x:v>当前全市场行情快照缺少 PB；只能作为待补全研究队列，不得按完整估值条件生成交易建议。</x:v>
      </x:c>
      <x:c r="H222" t="n">
        <x:v>2.48</x:v>
      </x:c>
      <x:c r="I222" t="n">
        <x:v>20.63</x:v>
      </x:c>
      <x:c r="J222"/>
      <x:c r="K222" t="str">
        <x:v>待归档官方财报</x:v>
      </x:c>
      <x:c r="L222" t="str">
        <x:v>AkShare / Tencent all-A market snapshot</x:v>
      </x:c>
      <x:c r="M222" t="str">
        <x:v>ProxyError: primary market source unavailable; see source_id for full audit.</x:v>
      </x:c>
      <x:c r="N222" t="str">
        <x:v>0</x:v>
      </x:c>
      <x:c r="O222" t="str">
        <x:v>0fd6ad2d-3389-4e70-8974-eb85ee223eeb</x:v>
      </x:c>
      <x:c r="P222" t="str">
        <x:v>2026-09-04</x:v>
      </x:c>
    </x:row>
    <x:row r="223">
      <x:c r="A223" t="str">
        <x:v>重点观察</x:v>
      </x:c>
      <x:c r="B223" t="str">
        <x:v>补全 PB、财报，等待Agent自动验证</x:v>
      </x:c>
      <x:c r="C223" t="str">
        <x:v>688336</x:v>
      </x:c>
      <x:c r="D223" t="str">
        <x:v>三生国健</x:v>
      </x:c>
      <x:c r="E223" t="str">
        <x:v>科创板</x:v>
      </x:c>
      <x:c r="F223" t="str">
        <x:v>待行业映射</x:v>
      </x:c>
      <x:c r="G223" t="str">
        <x:v>当前全市场行情快照缺少 PB；只能作为待补全研究队列，不得按完整估值条件生成交易建议。</x:v>
      </x:c>
      <x:c r="H223" t="n">
        <x:v>42.16</x:v>
      </x:c>
      <x:c r="I223" t="n">
        <x:v>12.27</x:v>
      </x:c>
      <x:c r="J223"/>
      <x:c r="K223" t="str">
        <x:v>待归档官方财报</x:v>
      </x:c>
      <x:c r="L223" t="str">
        <x:v>AkShare / Tencent all-A market snapshot</x:v>
      </x:c>
      <x:c r="M223" t="str">
        <x:v>ProxyError: primary market source unavailable; see source_id for full audit.</x:v>
      </x:c>
      <x:c r="N223" t="str">
        <x:v>0</x:v>
      </x:c>
      <x:c r="O223" t="str">
        <x:v>0fd6ad2d-3389-4e70-8974-eb85ee223eeb</x:v>
      </x:c>
      <x:c r="P223" t="str">
        <x:v>2026-09-04</x:v>
      </x:c>
    </x:row>
    <x:row r="224">
      <x:c r="A224" t="str">
        <x:v>重点观察</x:v>
      </x:c>
      <x:c r="B224" t="str">
        <x:v>补全 PB、财报，等待Agent自动验证</x:v>
      </x:c>
      <x:c r="C224" t="str">
        <x:v>600031</x:v>
      </x:c>
      <x:c r="D224" t="str">
        <x:v>三一重工</x:v>
      </x:c>
      <x:c r="E224" t="str">
        <x:v>主板</x:v>
      </x:c>
      <x:c r="F224" t="str">
        <x:v>待行业映射</x:v>
      </x:c>
      <x:c r="G224" t="str">
        <x:v>当前全市场行情快照缺少 PB；只能作为待补全研究队列，不得按完整估值条件生成交易建议。</x:v>
      </x:c>
      <x:c r="H224" t="n">
        <x:v>20</x:v>
      </x:c>
      <x:c r="I224" t="n">
        <x:v>20.7</x:v>
      </x:c>
      <x:c r="J224"/>
      <x:c r="K224" t="str">
        <x:v>待归档官方财报</x:v>
      </x:c>
      <x:c r="L224" t="str">
        <x:v>AkShare / Tencent all-A market snapshot</x:v>
      </x:c>
      <x:c r="M224" t="str">
        <x:v>ProxyError: primary market source unavailable; see source_id for full audit.</x:v>
      </x:c>
      <x:c r="N224" t="str">
        <x:v>0</x:v>
      </x:c>
      <x:c r="O224" t="str">
        <x:v>0fd6ad2d-3389-4e70-8974-eb85ee223eeb</x:v>
      </x:c>
      <x:c r="P224" t="str">
        <x:v>2026-09-04</x:v>
      </x:c>
    </x:row>
    <x:row r="225">
      <x:c r="A225" t="str">
        <x:v>重点观察</x:v>
      </x:c>
      <x:c r="B225" t="str">
        <x:v>补全 PB、财报，等待Agent自动验证</x:v>
      </x:c>
      <x:c r="C225" t="str">
        <x:v>600961</x:v>
      </x:c>
      <x:c r="D225" t="str">
        <x:v>株冶集团</x:v>
      </x:c>
      <x:c r="E225" t="str">
        <x:v>主板</x:v>
      </x:c>
      <x:c r="F225" t="str">
        <x:v>待行业映射</x:v>
      </x:c>
      <x:c r="G225" t="str">
        <x:v>当前全市场行情快照缺少 PB；只能作为待补全研究队列，不得按完整估值条件生成交易建议。</x:v>
      </x:c>
      <x:c r="H225" t="n">
        <x:v>25.37</x:v>
      </x:c>
      <x:c r="I225" t="n">
        <x:v>10.94</x:v>
      </x:c>
      <x:c r="J225"/>
      <x:c r="K225" t="str">
        <x:v>待归档官方财报</x:v>
      </x:c>
      <x:c r="L225" t="str">
        <x:v>AkShare / Tencent all-A market snapshot</x:v>
      </x:c>
      <x:c r="M225" t="str">
        <x:v>ProxyError: primary market source unavailable; see source_id for full audit.</x:v>
      </x:c>
      <x:c r="N225" t="str">
        <x:v>0</x:v>
      </x:c>
      <x:c r="O225" t="str">
        <x:v>0fd6ad2d-3389-4e70-8974-eb85ee223eeb</x:v>
      </x:c>
      <x:c r="P225" t="str">
        <x:v>2026-09-04</x:v>
      </x:c>
    </x:row>
    <x:row r="226">
      <x:c r="A226" t="str">
        <x:v>重点观察</x:v>
      </x:c>
      <x:c r="B226" t="str">
        <x:v>补全 PB、财报，等待Agent自动验证</x:v>
      </x:c>
      <x:c r="C226" t="str">
        <x:v>600517</x:v>
      </x:c>
      <x:c r="D226" t="str">
        <x:v>国网英大</x:v>
      </x:c>
      <x:c r="E226" t="str">
        <x:v>主板</x:v>
      </x:c>
      <x:c r="F226" t="str">
        <x:v>待行业映射</x:v>
      </x:c>
      <x:c r="G226" t="str">
        <x:v>当前全市场行情快照缺少 PB；只能作为待补全研究队列，不得按完整估值条件生成交易建议。</x:v>
      </x:c>
      <x:c r="H226" t="n">
        <x:v>5.05</x:v>
      </x:c>
      <x:c r="I226" t="n">
        <x:v>11.18</x:v>
      </x:c>
      <x:c r="J226"/>
      <x:c r="K226" t="str">
        <x:v>待归档官方财报</x:v>
      </x:c>
      <x:c r="L226" t="str">
        <x:v>AkShare / Tencent all-A market snapshot</x:v>
      </x:c>
      <x:c r="M226" t="str">
        <x:v>ProxyError: primary market source unavailable; see source_id for full audit.</x:v>
      </x:c>
      <x:c r="N226" t="str">
        <x:v>0</x:v>
      </x:c>
      <x:c r="O226" t="str">
        <x:v>0fd6ad2d-3389-4e70-8974-eb85ee223eeb</x:v>
      </x:c>
      <x:c r="P226" t="str">
        <x:v>2026-09-04</x:v>
      </x:c>
    </x:row>
    <x:row r="227">
      <x:c r="A227" t="str">
        <x:v>重点观察</x:v>
      </x:c>
      <x:c r="B227" t="str">
        <x:v>补全 PB、财报，等待Agent自动验证</x:v>
      </x:c>
      <x:c r="C227" t="str">
        <x:v>300059</x:v>
      </x:c>
      <x:c r="D227" t="str">
        <x:v>东方财富</x:v>
      </x:c>
      <x:c r="E227" t="str">
        <x:v>创业板</x:v>
      </x:c>
      <x:c r="F227" t="str">
        <x:v>待行业映射</x:v>
      </x:c>
      <x:c r="G227" t="str">
        <x:v>当前全市场行情快照缺少 PB；只能作为待补全研究队列，不得按完整估值条件生成交易建议。</x:v>
      </x:c>
      <x:c r="H227" t="n">
        <x:v>19.15</x:v>
      </x:c>
      <x:c r="I227" t="n">
        <x:v>20.78</x:v>
      </x:c>
      <x:c r="J227"/>
      <x:c r="K227" t="str">
        <x:v>待归档官方财报</x:v>
      </x:c>
      <x:c r="L227" t="str">
        <x:v>AkShare / Tencent all-A market snapshot</x:v>
      </x:c>
      <x:c r="M227" t="str">
        <x:v>ProxyError: primary market source unavailable; see source_id for full audit.</x:v>
      </x:c>
      <x:c r="N227" t="str">
        <x:v>0</x:v>
      </x:c>
      <x:c r="O227" t="str">
        <x:v>0fd6ad2d-3389-4e70-8974-eb85ee223eeb</x:v>
      </x:c>
      <x:c r="P227" t="str">
        <x:v>2026-09-04</x:v>
      </x:c>
    </x:row>
    <x:row r="228">
      <x:c r="A228" t="str">
        <x:v>重点观察</x:v>
      </x:c>
      <x:c r="B228" t="str">
        <x:v>补全 PB、财报，等待Agent自动验证</x:v>
      </x:c>
      <x:c r="C228" t="str">
        <x:v>601808</x:v>
      </x:c>
      <x:c r="D228" t="str">
        <x:v>中海油服</x:v>
      </x:c>
      <x:c r="E228" t="str">
        <x:v>主板</x:v>
      </x:c>
      <x:c r="F228" t="str">
        <x:v>待行业映射</x:v>
      </x:c>
      <x:c r="G228" t="str">
        <x:v>当前全市场行情快照缺少 PB；只能作为待补全研究队列，不得按完整估值条件生成交易建议。</x:v>
      </x:c>
      <x:c r="H228" t="n">
        <x:v>12.5</x:v>
      </x:c>
      <x:c r="I228" t="n">
        <x:v>15.35</x:v>
      </x:c>
      <x:c r="J228"/>
      <x:c r="K228" t="str">
        <x:v>待归档官方财报</x:v>
      </x:c>
      <x:c r="L228" t="str">
        <x:v>AkShare / Tencent all-A market snapshot</x:v>
      </x:c>
      <x:c r="M228" t="str">
        <x:v>ProxyError: primary market source unavailable; see source_id for full audit.</x:v>
      </x:c>
      <x:c r="N228" t="str">
        <x:v>0</x:v>
      </x:c>
      <x:c r="O228" t="str">
        <x:v>0fd6ad2d-3389-4e70-8974-eb85ee223eeb</x:v>
      </x:c>
      <x:c r="P228" t="str">
        <x:v>2026-09-04</x:v>
      </x:c>
    </x:row>
    <x:row r="229">
      <x:c r="A229" t="str">
        <x:v>重点观察</x:v>
      </x:c>
      <x:c r="B229" t="str">
        <x:v>补全 PB、财报，等待Agent自动验证</x:v>
      </x:c>
      <x:c r="C229" t="str">
        <x:v>000408</x:v>
      </x:c>
      <x:c r="D229" t="str">
        <x:v>藏格矿业</x:v>
      </x:c>
      <x:c r="E229" t="str">
        <x:v>主板</x:v>
      </x:c>
      <x:c r="F229" t="str">
        <x:v>待行业映射</x:v>
      </x:c>
      <x:c r="G229" t="str">
        <x:v>当前全市场行情快照缺少 PB；只能作为待补全研究队列，不得按完整估值条件生成交易建议。</x:v>
      </x:c>
      <x:c r="H229" t="n">
        <x:v>75.62</x:v>
      </x:c>
      <x:c r="I229" t="n">
        <x:v>20.85</x:v>
      </x:c>
      <x:c r="J229"/>
      <x:c r="K229" t="str">
        <x:v>待归档官方财报</x:v>
      </x:c>
      <x:c r="L229" t="str">
        <x:v>AkShare / Tencent all-A market snapshot</x:v>
      </x:c>
      <x:c r="M229" t="str">
        <x:v>ProxyError: primary market source unavailable; see source_id for full audit.</x:v>
      </x:c>
      <x:c r="N229" t="str">
        <x:v>0</x:v>
      </x:c>
      <x:c r="O229" t="str">
        <x:v>0fd6ad2d-3389-4e70-8974-eb85ee223eeb</x:v>
      </x:c>
      <x:c r="P229" t="str">
        <x:v>2026-09-04</x:v>
      </x:c>
    </x:row>
    <x:row r="230">
      <x:c r="A230" t="str">
        <x:v>重点观察</x:v>
      </x:c>
      <x:c r="B230" t="str">
        <x:v>补全 PB、财报，等待Agent自动验证</x:v>
      </x:c>
      <x:c r="C230" t="str">
        <x:v>000963</x:v>
      </x:c>
      <x:c r="D230" t="str">
        <x:v>华东医药</x:v>
      </x:c>
      <x:c r="E230" t="str">
        <x:v>主板</x:v>
      </x:c>
      <x:c r="F230" t="str">
        <x:v>待行业映射</x:v>
      </x:c>
      <x:c r="G230" t="str">
        <x:v>当前全市场行情快照缺少 PB；只能作为待补全研究队列，不得按完整估值条件生成交易建议。</x:v>
      </x:c>
      <x:c r="H230" t="n">
        <x:v>27.37</x:v>
      </x:c>
      <x:c r="I230" t="n">
        <x:v>13.87</x:v>
      </x:c>
      <x:c r="J230"/>
      <x:c r="K230" t="str">
        <x:v>待归档官方财报</x:v>
      </x:c>
      <x:c r="L230" t="str">
        <x:v>AkShare / Tencent all-A market snapshot</x:v>
      </x:c>
      <x:c r="M230" t="str">
        <x:v>ProxyError: primary market source unavailable; see source_id for full audit.</x:v>
      </x:c>
      <x:c r="N230" t="str">
        <x:v>0</x:v>
      </x:c>
      <x:c r="O230" t="str">
        <x:v>0fd6ad2d-3389-4e70-8974-eb85ee223eeb</x:v>
      </x:c>
      <x:c r="P230" t="str">
        <x:v>2026-09-04</x:v>
      </x:c>
    </x:row>
    <x:row r="231">
      <x:c r="A231" t="str">
        <x:v>重点观察</x:v>
      </x:c>
      <x:c r="B231" t="str">
        <x:v>补全 PB、财报，等待Agent自动验证</x:v>
      </x:c>
      <x:c r="C231" t="str">
        <x:v>603195</x:v>
      </x:c>
      <x:c r="D231" t="str">
        <x:v>公牛集团</x:v>
      </x:c>
      <x:c r="E231" t="str">
        <x:v>主板</x:v>
      </x:c>
      <x:c r="F231" t="str">
        <x:v>待行业映射</x:v>
      </x:c>
      <x:c r="G231" t="str">
        <x:v>当前全市场行情快照缺少 PB；只能作为待补全研究队列，不得按完整估值条件生成交易建议。</x:v>
      </x:c>
      <x:c r="H231" t="n">
        <x:v>39.3</x:v>
      </x:c>
      <x:c r="I231" t="n">
        <x:v>17.03</x:v>
      </x:c>
      <x:c r="J231"/>
      <x:c r="K231" t="str">
        <x:v>待归档官方财报</x:v>
      </x:c>
      <x:c r="L231" t="str">
        <x:v>AkShare / Tencent all-A market snapshot</x:v>
      </x:c>
      <x:c r="M231" t="str">
        <x:v>ProxyError: primary market source unavailable; see source_id for full audit.</x:v>
      </x:c>
      <x:c r="N231" t="str">
        <x:v>0</x:v>
      </x:c>
      <x:c r="O231" t="str">
        <x:v>0fd6ad2d-3389-4e70-8974-eb85ee223eeb</x:v>
      </x:c>
      <x:c r="P231" t="str">
        <x:v>2026-09-04</x:v>
      </x:c>
    </x:row>
    <x:row r="232">
      <x:c r="A232" t="str">
        <x:v>重点观察</x:v>
      </x:c>
      <x:c r="B232" t="str">
        <x:v>补全 PB、财报，等待Agent自动验证</x:v>
      </x:c>
      <x:c r="C232" t="str">
        <x:v>002074</x:v>
      </x:c>
      <x:c r="D232" t="str">
        <x:v>国轩高科</x:v>
      </x:c>
      <x:c r="E232" t="str">
        <x:v>主板</x:v>
      </x:c>
      <x:c r="F232" t="str">
        <x:v>待行业映射</x:v>
      </x:c>
      <x:c r="G232" t="str">
        <x:v>当前全市场行情快照缺少 PB；只能作为待补全研究队列，不得按完整估值条件生成交易建议。</x:v>
      </x:c>
      <x:c r="H232" t="n">
        <x:v>25.95</x:v>
      </x:c>
      <x:c r="I232" t="n">
        <x:v>13.84</x:v>
      </x:c>
      <x:c r="J232"/>
      <x:c r="K232" t="str">
        <x:v>待归档官方财报</x:v>
      </x:c>
      <x:c r="L232" t="str">
        <x:v>AkShare / Tencent all-A market snapshot</x:v>
      </x:c>
      <x:c r="M232" t="str">
        <x:v>ProxyError: primary market source unavailable; see source_id for full audit.</x:v>
      </x:c>
      <x:c r="N232" t="str">
        <x:v>0</x:v>
      </x:c>
      <x:c r="O232" t="str">
        <x:v>0fd6ad2d-3389-4e70-8974-eb85ee223eeb</x:v>
      </x:c>
      <x:c r="P232" t="str">
        <x:v>2026-09-04</x:v>
      </x:c>
    </x:row>
    <x:row r="233">
      <x:c r="A233" t="str">
        <x:v>重点观察</x:v>
      </x:c>
      <x:c r="B233" t="str">
        <x:v>证券公司专用模型待核验</x:v>
      </x:c>
      <x:c r="C233" t="str">
        <x:v>600909</x:v>
      </x:c>
      <x:c r="D233" t="str">
        <x:v>华安证券</x:v>
      </x:c>
      <x:c r="E233" t="str">
        <x:v>主板</x:v>
      </x:c>
      <x:c r="F233" t="str">
        <x:v>待行业映射</x:v>
      </x:c>
      <x:c r="G233" t="str">
        <x:v>名称/板块初步识别为证券公司；须以同一报告期官方披露复核专用指标和行业分类，禁止套用通用企业现金流、负债率或 EV/EBITDA 规则。 当前公共行情快照缺少 PB，须在专用模型复核中补齐。</x:v>
      </x:c>
      <x:c r="H233" t="n">
        <x:v>8.25</x:v>
      </x:c>
      <x:c r="I233" t="n">
        <x:v>13.08</x:v>
      </x:c>
      <x:c r="J233"/>
      <x:c r="K233" t="str">
        <x:v>待归档官方财报</x:v>
      </x:c>
      <x:c r="L233" t="str">
        <x:v>AkShare / Tencent all-A market snapshot</x:v>
      </x:c>
      <x:c r="M233" t="str">
        <x:v>ProxyError: primary market source unavailable; see source_id for full audit.</x:v>
      </x:c>
      <x:c r="N233" t="str">
        <x:v>0</x:v>
      </x:c>
      <x:c r="O233" t="str">
        <x:v>0fd6ad2d-3389-4e70-8974-eb85ee223eeb</x:v>
      </x:c>
      <x:c r="P233" t="str">
        <x:v>2026-09-04</x:v>
      </x:c>
    </x:row>
    <x:row r="234">
      <x:c r="A234" t="str">
        <x:v>重点观察</x:v>
      </x:c>
      <x:c r="B234" t="str">
        <x:v>补全 PB、财报，等待Agent自动验证</x:v>
      </x:c>
      <x:c r="C234" t="str">
        <x:v>601918</x:v>
      </x:c>
      <x:c r="D234" t="str">
        <x:v>新集能源</x:v>
      </x:c>
      <x:c r="E234" t="str">
        <x:v>主板</x:v>
      </x:c>
      <x:c r="F234" t="str">
        <x:v>待行业映射</x:v>
      </x:c>
      <x:c r="G234" t="str">
        <x:v>当前全市场行情快照缺少 PB；只能作为待补全研究队列，不得按完整估值条件生成交易建议。</x:v>
      </x:c>
      <x:c r="H234" t="n">
        <x:v>10.48</x:v>
      </x:c>
      <x:c r="I234" t="n">
        <x:v>11.16</x:v>
      </x:c>
      <x:c r="J234"/>
      <x:c r="K234" t="str">
        <x:v>待归档官方财报</x:v>
      </x:c>
      <x:c r="L234" t="str">
        <x:v>AkShare / Tencent all-A market snapshot</x:v>
      </x:c>
      <x:c r="M234" t="str">
        <x:v>ProxyError: primary market source unavailable; see source_id for full audit.</x:v>
      </x:c>
      <x:c r="N234" t="str">
        <x:v>0</x:v>
      </x:c>
      <x:c r="O234" t="str">
        <x:v>0fd6ad2d-3389-4e70-8974-eb85ee223eeb</x:v>
      </x:c>
      <x:c r="P234" t="str">
        <x:v>2026-09-04</x:v>
      </x:c>
    </x:row>
    <x:row r="235">
      <x:c r="A235" t="str">
        <x:v>重点观察</x:v>
      </x:c>
      <x:c r="B235" t="str">
        <x:v>补全 PB、财报，等待Agent自动验证</x:v>
      </x:c>
      <x:c r="C235" t="str">
        <x:v>000598</x:v>
      </x:c>
      <x:c r="D235" t="str">
        <x:v>兴蓉环境</x:v>
      </x:c>
      <x:c r="E235" t="str">
        <x:v>主板</x:v>
      </x:c>
      <x:c r="F235" t="str">
        <x:v>待行业映射</x:v>
      </x:c>
      <x:c r="G235" t="str">
        <x:v>当前全市场行情快照缺少 PB；只能作为待补全研究队列，不得按完整估值条件生成交易建议。</x:v>
      </x:c>
      <x:c r="H235" t="n">
        <x:v>7.22</x:v>
      </x:c>
      <x:c r="I235" t="n">
        <x:v>10.5</x:v>
      </x:c>
      <x:c r="J235"/>
      <x:c r="K235" t="str">
        <x:v>待归档官方财报</x:v>
      </x:c>
      <x:c r="L235" t="str">
        <x:v>AkShare / Tencent all-A market snapshot</x:v>
      </x:c>
      <x:c r="M235" t="str">
        <x:v>ProxyError: primary market source unavailable; see source_id for full audit.</x:v>
      </x:c>
      <x:c r="N235" t="str">
        <x:v>0</x:v>
      </x:c>
      <x:c r="O235" t="str">
        <x:v>0fd6ad2d-3389-4e70-8974-eb85ee223eeb</x:v>
      </x:c>
      <x:c r="P235" t="str">
        <x:v>2026-09-04</x:v>
      </x:c>
    </x:row>
    <x:row r="236">
      <x:c r="A236" t="str">
        <x:v>重点观察</x:v>
      </x:c>
      <x:c r="B236" t="str">
        <x:v>补全 PB、财报，等待Agent自动验证</x:v>
      </x:c>
      <x:c r="C236" t="str">
        <x:v>000719</x:v>
      </x:c>
      <x:c r="D236" t="str">
        <x:v>中原传媒</x:v>
      </x:c>
      <x:c r="E236" t="str">
        <x:v>主板</x:v>
      </x:c>
      <x:c r="F236" t="str">
        <x:v>待行业映射</x:v>
      </x:c>
      <x:c r="G236" t="str">
        <x:v>当前全市场行情快照缺少 PB；只能作为待补全研究队列，不得按完整估值条件生成交易建议。</x:v>
      </x:c>
      <x:c r="H236" t="n">
        <x:v>12.47</x:v>
      </x:c>
      <x:c r="I236" t="n">
        <x:v>9.45</x:v>
      </x:c>
      <x:c r="J236"/>
      <x:c r="K236" t="str">
        <x:v>待归档官方财报</x:v>
      </x:c>
      <x:c r="L236" t="str">
        <x:v>AkShare / Tencent all-A market snapshot</x:v>
      </x:c>
      <x:c r="M236" t="str">
        <x:v>ProxyError: primary market source unavailable; see source_id for full audit.</x:v>
      </x:c>
      <x:c r="N236" t="str">
        <x:v>0</x:v>
      </x:c>
      <x:c r="O236" t="str">
        <x:v>0fd6ad2d-3389-4e70-8974-eb85ee223eeb</x:v>
      </x:c>
      <x:c r="P236" t="str">
        <x:v>2026-09-04</x:v>
      </x:c>
    </x:row>
    <x:row r="237">
      <x:c r="A237" t="str">
        <x:v>重点观察</x:v>
      </x:c>
      <x:c r="B237" t="str">
        <x:v>补全 PB、财报，等待Agent自动验证</x:v>
      </x:c>
      <x:c r="C237" t="str">
        <x:v>600323</x:v>
      </x:c>
      <x:c r="D237" t="str">
        <x:v>瀚蓝环境</x:v>
      </x:c>
      <x:c r="E237" t="str">
        <x:v>主板</x:v>
      </x:c>
      <x:c r="F237" t="str">
        <x:v>待行业映射</x:v>
      </x:c>
      <x:c r="G237" t="str">
        <x:v>当前全市场行情快照缺少 PB；只能作为待补全研究队列，不得按完整估值条件生成交易建议。</x:v>
      </x:c>
      <x:c r="H237" t="n">
        <x:v>29.99</x:v>
      </x:c>
      <x:c r="I237" t="n">
        <x:v>11.05</x:v>
      </x:c>
      <x:c r="J237"/>
      <x:c r="K237" t="str">
        <x:v>待归档官方财报</x:v>
      </x:c>
      <x:c r="L237" t="str">
        <x:v>AkShare / Tencent all-A market snapshot</x:v>
      </x:c>
      <x:c r="M237" t="str">
        <x:v>ProxyError: primary market source unavailable; see source_id for full audit.</x:v>
      </x:c>
      <x:c r="N237" t="str">
        <x:v>0</x:v>
      </x:c>
      <x:c r="O237" t="str">
        <x:v>0fd6ad2d-3389-4e70-8974-eb85ee223eeb</x:v>
      </x:c>
      <x:c r="P237" t="str">
        <x:v>2026-09-04</x:v>
      </x:c>
    </x:row>
    <x:row r="238">
      <x:c r="A238" t="str">
        <x:v>重点观察</x:v>
      </x:c>
      <x:c r="B238" t="str">
        <x:v>补全 PB、财报，等待Agent自动验证</x:v>
      </x:c>
      <x:c r="C238" t="str">
        <x:v>688009</x:v>
      </x:c>
      <x:c r="D238" t="str">
        <x:v>中国通号</x:v>
      </x:c>
      <x:c r="E238" t="str">
        <x:v>科创板</x:v>
      </x:c>
      <x:c r="F238" t="str">
        <x:v>待行业映射</x:v>
      </x:c>
      <x:c r="G238" t="str">
        <x:v>当前全市场行情快照缺少 PB；只能作为待补全研究队列，不得按完整估值条件生成交易建议。</x:v>
      </x:c>
      <x:c r="H238" t="n">
        <x:v>4.96</x:v>
      </x:c>
      <x:c r="I238" t="n">
        <x:v>14.84</x:v>
      </x:c>
      <x:c r="J238"/>
      <x:c r="K238" t="str">
        <x:v>待归档官方财报</x:v>
      </x:c>
      <x:c r="L238" t="str">
        <x:v>AkShare / Tencent all-A market snapshot</x:v>
      </x:c>
      <x:c r="M238" t="str">
        <x:v>ProxyError: primary market source unavailable; see source_id for full audit.</x:v>
      </x:c>
      <x:c r="N238" t="str">
        <x:v>0</x:v>
      </x:c>
      <x:c r="O238" t="str">
        <x:v>0fd6ad2d-3389-4e70-8974-eb85ee223eeb</x:v>
      </x:c>
      <x:c r="P238" t="str">
        <x:v>2026-09-04</x:v>
      </x:c>
    </x:row>
    <x:row r="239">
      <x:c r="A239" t="str">
        <x:v>重点观察</x:v>
      </x:c>
      <x:c r="B239" t="str">
        <x:v>补全 PB、财报，等待Agent自动验证</x:v>
      </x:c>
      <x:c r="C239" t="str">
        <x:v>601216</x:v>
      </x:c>
      <x:c r="D239" t="str">
        <x:v>君正集团</x:v>
      </x:c>
      <x:c r="E239" t="str">
        <x:v>主板</x:v>
      </x:c>
      <x:c r="F239" t="str">
        <x:v>待行业映射</x:v>
      </x:c>
      <x:c r="G239" t="str">
        <x:v>当前全市场行情快照缺少 PB；只能作为待补全研究队列，不得按完整估值条件生成交易建议。</x:v>
      </x:c>
      <x:c r="H239" t="n">
        <x:v>4.82</x:v>
      </x:c>
      <x:c r="I239" t="n">
        <x:v>13.27</x:v>
      </x:c>
      <x:c r="J239"/>
      <x:c r="K239" t="str">
        <x:v>待归档官方财报</x:v>
      </x:c>
      <x:c r="L239" t="str">
        <x:v>AkShare / Tencent all-A market snapshot</x:v>
      </x:c>
      <x:c r="M239" t="str">
        <x:v>ProxyError: primary market source unavailable; see source_id for full audit.</x:v>
      </x:c>
      <x:c r="N239" t="str">
        <x:v>0</x:v>
      </x:c>
      <x:c r="O239" t="str">
        <x:v>0fd6ad2d-3389-4e70-8974-eb85ee223eeb</x:v>
      </x:c>
      <x:c r="P239" t="str">
        <x:v>2026-09-04</x:v>
      </x:c>
    </x:row>
    <x:row r="240">
      <x:c r="A240" t="str">
        <x:v>重点观察</x:v>
      </x:c>
      <x:c r="B240" t="str">
        <x:v>补全 PB、财报，等待Agent自动验证</x:v>
      </x:c>
      <x:c r="C240" t="str">
        <x:v>600511</x:v>
      </x:c>
      <x:c r="D240" t="str">
        <x:v>国药股份</x:v>
      </x:c>
      <x:c r="E240" t="str">
        <x:v>主板</x:v>
      </x:c>
      <x:c r="F240" t="str">
        <x:v>待行业映射</x:v>
      </x:c>
      <x:c r="G240" t="str">
        <x:v>当前全市场行情快照缺少 PB；只能作为待补全研究队列，不得按完整估值条件生成交易建议。</x:v>
      </x:c>
      <x:c r="H240" t="n">
        <x:v>27.05</x:v>
      </x:c>
      <x:c r="I240" t="n">
        <x:v>10.59</x:v>
      </x:c>
      <x:c r="J240"/>
      <x:c r="K240" t="str">
        <x:v>待归档官方财报</x:v>
      </x:c>
      <x:c r="L240" t="str">
        <x:v>AkShare / Tencent all-A market snapshot</x:v>
      </x:c>
      <x:c r="M240" t="str">
        <x:v>ProxyError: primary market source unavailable; see source_id for full audit.</x:v>
      </x:c>
      <x:c r="N240" t="str">
        <x:v>0</x:v>
      </x:c>
      <x:c r="O240" t="str">
        <x:v>0fd6ad2d-3389-4e70-8974-eb85ee223eeb</x:v>
      </x:c>
      <x:c r="P240" t="str">
        <x:v>2026-09-04</x:v>
      </x:c>
    </x:row>
    <x:row r="241">
      <x:c r="A241" t="str">
        <x:v>重点观察</x:v>
      </x:c>
      <x:c r="B241" t="str">
        <x:v>补全 PB、财报，等待Agent自动验证</x:v>
      </x:c>
      <x:c r="C241" t="str">
        <x:v>603259</x:v>
      </x:c>
      <x:c r="D241" t="str">
        <x:v>XD药明康</x:v>
      </x:c>
      <x:c r="E241" t="str">
        <x:v>主板</x:v>
      </x:c>
      <x:c r="F241" t="str">
        <x:v>待行业映射</x:v>
      </x:c>
      <x:c r="G241" t="str">
        <x:v>当前全市场行情快照缺少 PB；只能作为待补全研究队列，不得按完整估值条件生成交易建议。</x:v>
      </x:c>
      <x:c r="H241" t="n">
        <x:v>153.83</x:v>
      </x:c>
      <x:c r="I241" t="n">
        <x:v>21.33</x:v>
      </x:c>
      <x:c r="J241"/>
      <x:c r="K241" t="str">
        <x:v>待归档官方财报</x:v>
      </x:c>
      <x:c r="L241" t="str">
        <x:v>AkShare / Tencent all-A market snapshot</x:v>
      </x:c>
      <x:c r="M241" t="str">
        <x:v>ProxyError: primary market source unavailable; see source_id for full audit.</x:v>
      </x:c>
      <x:c r="N241" t="str">
        <x:v>0</x:v>
      </x:c>
      <x:c r="O241" t="str">
        <x:v>0fd6ad2d-3389-4e70-8974-eb85ee223eeb</x:v>
      </x:c>
      <x:c r="P241" t="str">
        <x:v>2026-09-04</x:v>
      </x:c>
    </x:row>
    <x:row r="242">
      <x:c r="A242" t="str">
        <x:v>重点观察</x:v>
      </x:c>
      <x:c r="B242" t="str">
        <x:v>证券公司专用模型待核验</x:v>
      </x:c>
      <x:c r="C242" t="str">
        <x:v>000728</x:v>
      </x:c>
      <x:c r="D242" t="str">
        <x:v>国元证券</x:v>
      </x:c>
      <x:c r="E242" t="str">
        <x:v>主板</x:v>
      </x:c>
      <x:c r="F242" t="str">
        <x:v>待行业映射</x:v>
      </x:c>
      <x:c r="G242" t="str">
        <x:v>名称/板块初步识别为证券公司；须以同一报告期官方披露复核专用指标和行业分类，禁止套用通用企业现金流、负债率或 EV/EBITDA 规则。 当前公共行情快照缺少 PB，须在专用模型复核中补齐。</x:v>
      </x:c>
      <x:c r="H242" t="n">
        <x:v>7.76</x:v>
      </x:c>
      <x:c r="I242" t="n">
        <x:v>12.43</x:v>
      </x:c>
      <x:c r="J242"/>
      <x:c r="K242" t="str">
        <x:v>待归档官方财报</x:v>
      </x:c>
      <x:c r="L242" t="str">
        <x:v>AkShare / Tencent all-A market snapshot</x:v>
      </x:c>
      <x:c r="M242" t="str">
        <x:v>ProxyError: primary market source unavailable; see source_id for full audit.</x:v>
      </x:c>
      <x:c r="N242" t="str">
        <x:v>0</x:v>
      </x:c>
      <x:c r="O242" t="str">
        <x:v>0fd6ad2d-3389-4e70-8974-eb85ee223eeb</x:v>
      </x:c>
      <x:c r="P242" t="str">
        <x:v>2026-09-04</x:v>
      </x:c>
    </x:row>
    <x:row r="243">
      <x:c r="A243" t="str">
        <x:v>重点观察</x:v>
      </x:c>
      <x:c r="B243" t="str">
        <x:v>补全 PB、财报，等待Agent自动验证</x:v>
      </x:c>
      <x:c r="C243" t="str">
        <x:v>000858</x:v>
      </x:c>
      <x:c r="D243" t="str">
        <x:v>五 粮 液</x:v>
      </x:c>
      <x:c r="E243" t="str">
        <x:v>主板</x:v>
      </x:c>
      <x:c r="F243" t="str">
        <x:v>待行业映射</x:v>
      </x:c>
      <x:c r="G243" t="str">
        <x:v>当前全市场行情快照缺少 PB；只能作为待补全研究队列，不得按完整估值条件生成交易建议。</x:v>
      </x:c>
      <x:c r="H243" t="n">
        <x:v>71.98</x:v>
      </x:c>
      <x:c r="I243" t="n">
        <x:v>21.36</x:v>
      </x:c>
      <x:c r="J243"/>
      <x:c r="K243" t="str">
        <x:v>待归档官方财报</x:v>
      </x:c>
      <x:c r="L243" t="str">
        <x:v>AkShare / Tencent all-A market snapshot</x:v>
      </x:c>
      <x:c r="M243" t="str">
        <x:v>ProxyError: primary market source unavailable; see source_id for full audit.</x:v>
      </x:c>
      <x:c r="N243" t="str">
        <x:v>0</x:v>
      </x:c>
      <x:c r="O243" t="str">
        <x:v>0fd6ad2d-3389-4e70-8974-eb85ee223eeb</x:v>
      </x:c>
      <x:c r="P243" t="str">
        <x:v>2026-09-04</x:v>
      </x:c>
    </x:row>
    <x:row r="244">
      <x:c r="A244" t="str">
        <x:v>重点观察</x:v>
      </x:c>
      <x:c r="B244" t="str">
        <x:v>补全 PB、财报，等待Agent自动验证</x:v>
      </x:c>
      <x:c r="C244" t="str">
        <x:v>600739</x:v>
      </x:c>
      <x:c r="D244" t="str">
        <x:v>辽宁成大</x:v>
      </x:c>
      <x:c r="E244" t="str">
        <x:v>主板</x:v>
      </x:c>
      <x:c r="F244" t="str">
        <x:v>待行业映射</x:v>
      </x:c>
      <x:c r="G244" t="str">
        <x:v>当前全市场行情快照缺少 PB；只能作为待补全研究队列，不得按完整估值条件生成交易建议。</x:v>
      </x:c>
      <x:c r="H244" t="n">
        <x:v>10.92</x:v>
      </x:c>
      <x:c r="I244" t="n">
        <x:v>10.14</x:v>
      </x:c>
      <x:c r="J244"/>
      <x:c r="K244" t="str">
        <x:v>待归档官方财报</x:v>
      </x:c>
      <x:c r="L244" t="str">
        <x:v>AkShare / Tencent all-A market snapshot</x:v>
      </x:c>
      <x:c r="M244" t="str">
        <x:v>ProxyError: primary market source unavailable; see source_id for full audit.</x:v>
      </x:c>
      <x:c r="N244" t="str">
        <x:v>0</x:v>
      </x:c>
      <x:c r="O244" t="str">
        <x:v>0fd6ad2d-3389-4e70-8974-eb85ee223eeb</x:v>
      </x:c>
      <x:c r="P244" t="str">
        <x:v>2026-09-04</x:v>
      </x:c>
    </x:row>
    <x:row r="245">
      <x:c r="A245" t="str">
        <x:v>重点观察</x:v>
      </x:c>
      <x:c r="B245" t="str">
        <x:v>补全 PB、财报，等待Agent自动验证</x:v>
      </x:c>
      <x:c r="C245" t="str">
        <x:v>002612</x:v>
      </x:c>
      <x:c r="D245" t="str">
        <x:v>朗姿股份</x:v>
      </x:c>
      <x:c r="E245" t="str">
        <x:v>主板</x:v>
      </x:c>
      <x:c r="F245" t="str">
        <x:v>待行业映射</x:v>
      </x:c>
      <x:c r="G245" t="str">
        <x:v>当前全市场行情快照缺少 PB；只能作为待补全研究队列，不得按完整估值条件生成交易建议。</x:v>
      </x:c>
      <x:c r="H245" t="n">
        <x:v>16.78</x:v>
      </x:c>
      <x:c r="I245" t="n">
        <x:v>8.92</x:v>
      </x:c>
      <x:c r="J245"/>
      <x:c r="K245" t="str">
        <x:v>待归档官方财报</x:v>
      </x:c>
      <x:c r="L245" t="str">
        <x:v>AkShare / Tencent all-A market snapshot</x:v>
      </x:c>
      <x:c r="M245" t="str">
        <x:v>ProxyError: primary market source unavailable; see source_id for full audit.</x:v>
      </x:c>
      <x:c r="N245" t="str">
        <x:v>0</x:v>
      </x:c>
      <x:c r="O245" t="str">
        <x:v>0fd6ad2d-3389-4e70-8974-eb85ee223eeb</x:v>
      </x:c>
      <x:c r="P245" t="str">
        <x:v>2026-09-04</x:v>
      </x:c>
    </x:row>
    <x:row r="246">
      <x:c r="A246" t="str">
        <x:v>重点观察</x:v>
      </x:c>
      <x:c r="B246" t="str">
        <x:v>补全 PB、财报，等待Agent自动验证</x:v>
      </x:c>
      <x:c r="C246" t="str">
        <x:v>601633</x:v>
      </x:c>
      <x:c r="D246" t="str">
        <x:v>长城汽车</x:v>
      </x:c>
      <x:c r="E246" t="str">
        <x:v>主板</x:v>
      </x:c>
      <x:c r="F246" t="str">
        <x:v>待行业映射</x:v>
      </x:c>
      <x:c r="G246" t="str">
        <x:v>当前全市场行情快照缺少 PB；只能作为待补全研究队列，不得按完整估值条件生成交易建议。</x:v>
      </x:c>
      <x:c r="H246" t="n">
        <x:v>14.94</x:v>
      </x:c>
      <x:c r="I246" t="n">
        <x:v>21.39</x:v>
      </x:c>
      <x:c r="J246"/>
      <x:c r="K246" t="str">
        <x:v>待归档官方财报</x:v>
      </x:c>
      <x:c r="L246" t="str">
        <x:v>AkShare / Tencent all-A market snapshot</x:v>
      </x:c>
      <x:c r="M246" t="str">
        <x:v>ProxyError: primary market source unavailable; see source_id for full audit.</x:v>
      </x:c>
      <x:c r="N246" t="str">
        <x:v>0</x:v>
      </x:c>
      <x:c r="O246" t="str">
        <x:v>0fd6ad2d-3389-4e70-8974-eb85ee223eeb</x:v>
      </x:c>
      <x:c r="P246" t="str">
        <x:v>2026-09-04</x:v>
      </x:c>
    </x:row>
    <x:row r="247">
      <x:c r="A247" t="str">
        <x:v>重点观察</x:v>
      </x:c>
      <x:c r="B247" t="str">
        <x:v>补全 PB、财报，等待Agent自动验证</x:v>
      </x:c>
      <x:c r="C247" t="str">
        <x:v>600801</x:v>
      </x:c>
      <x:c r="D247" t="str">
        <x:v>华新建材</x:v>
      </x:c>
      <x:c r="E247" t="str">
        <x:v>主板</x:v>
      </x:c>
      <x:c r="F247" t="str">
        <x:v>待行业映射</x:v>
      </x:c>
      <x:c r="G247" t="str">
        <x:v>当前全市场行情快照缺少 PB；只能作为待补全研究队列，不得按完整估值条件生成交易建议。</x:v>
      </x:c>
      <x:c r="H247" t="n">
        <x:v>24.8</x:v>
      </x:c>
      <x:c r="I247" t="n">
        <x:v>14.89</x:v>
      </x:c>
      <x:c r="J247"/>
      <x:c r="K247" t="str">
        <x:v>待归档官方财报</x:v>
      </x:c>
      <x:c r="L247" t="str">
        <x:v>AkShare / Tencent all-A market snapshot</x:v>
      </x:c>
      <x:c r="M247" t="str">
        <x:v>ProxyError: primary market source unavailable; see source_id for full audit.</x:v>
      </x:c>
      <x:c r="N247" t="str">
        <x:v>0</x:v>
      </x:c>
      <x:c r="O247" t="str">
        <x:v>0fd6ad2d-3389-4e70-8974-eb85ee223eeb</x:v>
      </x:c>
      <x:c r="P247" t="str">
        <x:v>2026-09-04</x:v>
      </x:c>
    </x:row>
    <x:row r="248">
      <x:c r="A248" t="str">
        <x:v>重点观察</x:v>
      </x:c>
      <x:c r="B248" t="str">
        <x:v>补全 PB、财报，等待Agent自动验证</x:v>
      </x:c>
      <x:c r="C248" t="str">
        <x:v>002452</x:v>
      </x:c>
      <x:c r="D248" t="str">
        <x:v>长高电气</x:v>
      </x:c>
      <x:c r="E248" t="str">
        <x:v>主板</x:v>
      </x:c>
      <x:c r="F248" t="str">
        <x:v>待行业映射</x:v>
      </x:c>
      <x:c r="G248" t="str">
        <x:v>当前全市场行情快照缺少 PB；只能作为待补全研究队列，不得按完整估值条件生成交易建议。</x:v>
      </x:c>
      <x:c r="H248" t="n">
        <x:v>11.81</x:v>
      </x:c>
      <x:c r="I248" t="n">
        <x:v>8.95</x:v>
      </x:c>
      <x:c r="J248"/>
      <x:c r="K248" t="str">
        <x:v>待归档官方财报</x:v>
      </x:c>
      <x:c r="L248" t="str">
        <x:v>AkShare / Tencent all-A market snapshot</x:v>
      </x:c>
      <x:c r="M248" t="str">
        <x:v>ProxyError: primary market source unavailable; see source_id for full audit.</x:v>
      </x:c>
      <x:c r="N248" t="str">
        <x:v>0</x:v>
      </x:c>
      <x:c r="O248" t="str">
        <x:v>0fd6ad2d-3389-4e70-8974-eb85ee223eeb</x:v>
      </x:c>
      <x:c r="P248" t="str">
        <x:v>2026-09-04</x:v>
      </x:c>
    </x:row>
    <x:row r="249">
      <x:c r="A249" t="str">
        <x:v>重点观察</x:v>
      </x:c>
      <x:c r="B249" t="str">
        <x:v>补全 PB、财报，等待Agent自动验证</x:v>
      </x:c>
      <x:c r="C249" t="str">
        <x:v>002048</x:v>
      </x:c>
      <x:c r="D249" t="str">
        <x:v>宁波华翔</x:v>
      </x:c>
      <x:c r="E249" t="str">
        <x:v>主板</x:v>
      </x:c>
      <x:c r="F249" t="str">
        <x:v>待行业映射</x:v>
      </x:c>
      <x:c r="G249" t="str">
        <x:v>当前全市场行情快照缺少 PB；只能作为待补全研究队列，不得按完整估值条件生成交易建议。</x:v>
      </x:c>
      <x:c r="H249" t="n">
        <x:v>18.72</x:v>
      </x:c>
      <x:c r="I249" t="n">
        <x:v>10.04</x:v>
      </x:c>
      <x:c r="J249"/>
      <x:c r="K249" t="str">
        <x:v>待归档官方财报</x:v>
      </x:c>
      <x:c r="L249" t="str">
        <x:v>AkShare / Tencent all-A market snapshot</x:v>
      </x:c>
      <x:c r="M249" t="str">
        <x:v>ProxyError: primary market source unavailable; see source_id for full audit.</x:v>
      </x:c>
      <x:c r="N249" t="str">
        <x:v>0</x:v>
      </x:c>
      <x:c r="O249" t="str">
        <x:v>0fd6ad2d-3389-4e70-8974-eb85ee223eeb</x:v>
      </x:c>
      <x:c r="P249" t="str">
        <x:v>2026-09-04</x:v>
      </x:c>
    </x:row>
    <x:row r="250">
      <x:c r="A250" t="str">
        <x:v>重点观察</x:v>
      </x:c>
      <x:c r="B250" t="str">
        <x:v>补全 PB、财报，等待Agent自动验证</x:v>
      </x:c>
      <x:c r="C250" t="str">
        <x:v>920599</x:v>
      </x:c>
      <x:c r="D250" t="str">
        <x:v>同力股份</x:v>
      </x:c>
      <x:c r="E250" t="str">
        <x:v>北交所</x:v>
      </x:c>
      <x:c r="F250" t="str">
        <x:v>待行业映射</x:v>
      </x:c>
      <x:c r="G250" t="str">
        <x:v>当前全市场行情快照缺少 PB；只能作为待补全研究队列，不得按完整估值条件生成交易建议。</x:v>
      </x:c>
      <x:c r="H250" t="n">
        <x:v>18.26</x:v>
      </x:c>
      <x:c r="I250" t="n">
        <x:v>9.14</x:v>
      </x:c>
      <x:c r="J250"/>
      <x:c r="K250" t="str">
        <x:v>待归档官方财报</x:v>
      </x:c>
      <x:c r="L250" t="str">
        <x:v>AkShare / Tencent all-A market snapshot</x:v>
      </x:c>
      <x:c r="M250" t="str">
        <x:v>ProxyError: primary market source unavailable; see source_id for full audit.</x:v>
      </x:c>
      <x:c r="N250" t="str">
        <x:v>0</x:v>
      </x:c>
      <x:c r="O250" t="str">
        <x:v>0fd6ad2d-3389-4e70-8974-eb85ee223eeb</x:v>
      </x:c>
      <x:c r="P250" t="str">
        <x:v>2026-09-04</x:v>
      </x:c>
    </x:row>
    <x:row r="251">
      <x:c r="A251" t="str">
        <x:v>重点观察</x:v>
      </x:c>
      <x:c r="B251" t="str">
        <x:v>补全 PB、财报，等待Agent自动验证</x:v>
      </x:c>
      <x:c r="C251" t="str">
        <x:v>000786</x:v>
      </x:c>
      <x:c r="D251" t="str">
        <x:v>北新建材</x:v>
      </x:c>
      <x:c r="E251" t="str">
        <x:v>主板</x:v>
      </x:c>
      <x:c r="F251" t="str">
        <x:v>待行业映射</x:v>
      </x:c>
      <x:c r="G251" t="str">
        <x:v>当前全市场行情快照缺少 PB；只能作为待补全研究队列，不得按完整估值条件生成交易建议。</x:v>
      </x:c>
      <x:c r="H251" t="n">
        <x:v>16.28</x:v>
      </x:c>
      <x:c r="I251" t="n">
        <x:v>11.78</x:v>
      </x:c>
      <x:c r="J251"/>
      <x:c r="K251" t="str">
        <x:v>待归档官方财报</x:v>
      </x:c>
      <x:c r="L251" t="str">
        <x:v>AkShare / Tencent all-A market snapshot</x:v>
      </x:c>
      <x:c r="M251" t="str">
        <x:v>ProxyError: primary market source unavailable; see source_id for full audit.</x:v>
      </x:c>
      <x:c r="N251" t="str">
        <x:v>0</x:v>
      </x:c>
      <x:c r="O251" t="str">
        <x:v>0fd6ad2d-3389-4e70-8974-eb85ee223eeb</x:v>
      </x:c>
      <x:c r="P251" t="str">
        <x:v>2026-09-04</x:v>
      </x:c>
    </x:row>
    <x:row r="252">
      <x:c r="A252" t="str">
        <x:v>重点观察</x:v>
      </x:c>
      <x:c r="B252" t="str">
        <x:v>补全 PB、财报，等待Agent自动验证</x:v>
      </x:c>
      <x:c r="C252" t="str">
        <x:v>600062</x:v>
      </x:c>
      <x:c r="D252" t="str">
        <x:v>华润双鹤</x:v>
      </x:c>
      <x:c r="E252" t="str">
        <x:v>主板</x:v>
      </x:c>
      <x:c r="F252" t="str">
        <x:v>待行业映射</x:v>
      </x:c>
      <x:c r="G252" t="str">
        <x:v>当前全市场行情快照缺少 PB；只能作为待补全研究队列，不得按完整估值条件生成交易建议。</x:v>
      </x:c>
      <x:c r="H252" t="n">
        <x:v>16.02</x:v>
      </x:c>
      <x:c r="I252" t="n">
        <x:v>10.31</x:v>
      </x:c>
      <x:c r="J252"/>
      <x:c r="K252" t="str">
        <x:v>待归档官方财报</x:v>
      </x:c>
      <x:c r="L252" t="str">
        <x:v>AkShare / Tencent all-A market snapshot</x:v>
      </x:c>
      <x:c r="M252" t="str">
        <x:v>ProxyError: primary market source unavailable; see source_id for full audit.</x:v>
      </x:c>
      <x:c r="N252" t="str">
        <x:v>0</x:v>
      </x:c>
      <x:c r="O252" t="str">
        <x:v>0fd6ad2d-3389-4e70-8974-eb85ee223eeb</x:v>
      </x:c>
      <x:c r="P252" t="str">
        <x:v>2026-09-04</x:v>
      </x:c>
    </x:row>
    <x:row r="253">
      <x:c r="A253" t="str">
        <x:v>重点观察</x:v>
      </x:c>
      <x:c r="B253" t="str">
        <x:v>证券公司专用模型待核验</x:v>
      </x:c>
      <x:c r="C253" t="str">
        <x:v>000686</x:v>
      </x:c>
      <x:c r="D253" t="str">
        <x:v>东北证券</x:v>
      </x:c>
      <x:c r="E253" t="str">
        <x:v>主板</x:v>
      </x:c>
      <x:c r="F253" t="str">
        <x:v>待行业映射</x:v>
      </x:c>
      <x:c r="G253" t="str">
        <x:v>名称/板块初步识别为证券公司；须以同一报告期官方披露复核专用指标和行业分类，禁止套用通用企业现金流、负债率或 EV/EBITDA 规则。 当前公共行情快照缺少 PB，须在专用模型复核中补齐。</x:v>
      </x:c>
      <x:c r="H253" t="n">
        <x:v>8.11</x:v>
      </x:c>
      <x:c r="I253" t="n">
        <x:v>10.63</x:v>
      </x:c>
      <x:c r="J253"/>
      <x:c r="K253" t="str">
        <x:v>待归档官方财报</x:v>
      </x:c>
      <x:c r="L253" t="str">
        <x:v>AkShare / Tencent all-A market snapshot</x:v>
      </x:c>
      <x:c r="M253" t="str">
        <x:v>ProxyError: primary market source unavailable; see source_id for full audit.</x:v>
      </x:c>
      <x:c r="N253" t="str">
        <x:v>0</x:v>
      </x:c>
      <x:c r="O253" t="str">
        <x:v>0fd6ad2d-3389-4e70-8974-eb85ee223eeb</x:v>
      </x:c>
      <x:c r="P253" t="str">
        <x:v>2026-09-04</x:v>
      </x:c>
    </x:row>
    <x:row r="254">
      <x:c r="A254" t="str">
        <x:v>重点观察</x:v>
      </x:c>
      <x:c r="B254" t="str">
        <x:v>补全 PB、财报，等待Agent自动验证</x:v>
      </x:c>
      <x:c r="C254" t="str">
        <x:v>600710</x:v>
      </x:c>
      <x:c r="D254" t="str">
        <x:v>苏美达</x:v>
      </x:c>
      <x:c r="E254" t="str">
        <x:v>主板</x:v>
      </x:c>
      <x:c r="F254" t="str">
        <x:v>待行业映射</x:v>
      </x:c>
      <x:c r="G254" t="str">
        <x:v>当前全市场行情快照缺少 PB；只能作为待补全研究队列，不得按完整估值条件生成交易建议。</x:v>
      </x:c>
      <x:c r="H254" t="n">
        <x:v>10.7</x:v>
      </x:c>
      <x:c r="I254" t="n">
        <x:v>10</x:v>
      </x:c>
      <x:c r="J254"/>
      <x:c r="K254" t="str">
        <x:v>待归档官方财报</x:v>
      </x:c>
      <x:c r="L254" t="str">
        <x:v>AkShare / Tencent all-A market snapshot</x:v>
      </x:c>
      <x:c r="M254" t="str">
        <x:v>ProxyError: primary market source unavailable; see source_id for full audit.</x:v>
      </x:c>
      <x:c r="N254" t="str">
        <x:v>0</x:v>
      </x:c>
      <x:c r="O254" t="str">
        <x:v>0fd6ad2d-3389-4e70-8974-eb85ee223eeb</x:v>
      </x:c>
      <x:c r="P254" t="str">
        <x:v>2026-09-04</x:v>
      </x:c>
    </x:row>
    <x:row r="255">
      <x:c r="A255" t="str">
        <x:v>重点观察</x:v>
      </x:c>
      <x:c r="B255" t="str">
        <x:v>补全 PB、财报，等待Agent自动验证</x:v>
      </x:c>
      <x:c r="C255" t="str">
        <x:v>002709</x:v>
      </x:c>
      <x:c r="D255" t="str">
        <x:v>天赐材料</x:v>
      </x:c>
      <x:c r="E255" t="str">
        <x:v>主板</x:v>
      </x:c>
      <x:c r="F255" t="str">
        <x:v>待行业映射</x:v>
      </x:c>
      <x:c r="G255" t="str">
        <x:v>当前全市场行情快照缺少 PB；只能作为待补全研究队列，不得按完整估值条件生成交易建议。</x:v>
      </x:c>
      <x:c r="H255" t="n">
        <x:v>33.83</x:v>
      </x:c>
      <x:c r="I255" t="n">
        <x:v>17.44</x:v>
      </x:c>
      <x:c r="J255"/>
      <x:c r="K255" t="str">
        <x:v>待归档官方财报</x:v>
      </x:c>
      <x:c r="L255" t="str">
        <x:v>AkShare / Tencent all-A market snapshot</x:v>
      </x:c>
      <x:c r="M255" t="str">
        <x:v>ProxyError: primary market source unavailable; see source_id for full audit.</x:v>
      </x:c>
      <x:c r="N255" t="str">
        <x:v>0</x:v>
      </x:c>
      <x:c r="O255" t="str">
        <x:v>0fd6ad2d-3389-4e70-8974-eb85ee223eeb</x:v>
      </x:c>
      <x:c r="P255" t="str">
        <x:v>2026-09-04</x:v>
      </x:c>
    </x:row>
    <x:row r="256">
      <x:c r="A256" t="str">
        <x:v>重点观察</x:v>
      </x:c>
      <x:c r="B256" t="str">
        <x:v>补全 PB、财报，等待Agent自动验证</x:v>
      </x:c>
      <x:c r="C256" t="str">
        <x:v>000791</x:v>
      </x:c>
      <x:c r="D256" t="str">
        <x:v>甘肃能源</x:v>
      </x:c>
      <x:c r="E256" t="str">
        <x:v>主板</x:v>
      </x:c>
      <x:c r="F256" t="str">
        <x:v>待行业映射</x:v>
      </x:c>
      <x:c r="G256" t="str">
        <x:v>当前全市场行情快照缺少 PB；只能作为待补全研究队列，不得按完整估值条件生成交易建议。</x:v>
      </x:c>
      <x:c r="H256" t="n">
        <x:v>7.22</x:v>
      </x:c>
      <x:c r="I256" t="n">
        <x:v>11.33</x:v>
      </x:c>
      <x:c r="J256"/>
      <x:c r="K256" t="str">
        <x:v>待归档官方财报</x:v>
      </x:c>
      <x:c r="L256" t="str">
        <x:v>AkShare / Tencent all-A market snapshot</x:v>
      </x:c>
      <x:c r="M256" t="str">
        <x:v>ProxyError: primary market source unavailable; see source_id for full audit.</x:v>
      </x:c>
      <x:c r="N256" t="str">
        <x:v>0</x:v>
      </x:c>
      <x:c r="O256" t="str">
        <x:v>0fd6ad2d-3389-4e70-8974-eb85ee223eeb</x:v>
      </x:c>
      <x:c r="P256" t="str">
        <x:v>2026-09-04</x:v>
      </x:c>
    </x:row>
    <x:row r="257">
      <x:c r="A257" t="str">
        <x:v>重点观察</x:v>
      </x:c>
      <x:c r="B257" t="str">
        <x:v>补全 PB、财报，等待Agent自动验证</x:v>
      </x:c>
      <x:c r="C257" t="str">
        <x:v>600177</x:v>
      </x:c>
      <x:c r="D257" t="str">
        <x:v>雅戈尔</x:v>
      </x:c>
      <x:c r="E257" t="str">
        <x:v>主板</x:v>
      </x:c>
      <x:c r="F257" t="str">
        <x:v>待行业映射</x:v>
      </x:c>
      <x:c r="G257" t="str">
        <x:v>当前全市场行情快照缺少 PB；只能作为待补全研究队列，不得按完整估值条件生成交易建议。</x:v>
      </x:c>
      <x:c r="H257" t="n">
        <x:v>8.22</x:v>
      </x:c>
      <x:c r="I257" t="n">
        <x:v>13.31</x:v>
      </x:c>
      <x:c r="J257"/>
      <x:c r="K257" t="str">
        <x:v>待归档官方财报</x:v>
      </x:c>
      <x:c r="L257" t="str">
        <x:v>AkShare / Tencent all-A market snapshot</x:v>
      </x:c>
      <x:c r="M257" t="str">
        <x:v>ProxyError: primary market source unavailable; see source_id for full audit.</x:v>
      </x:c>
      <x:c r="N257" t="str">
        <x:v>0</x:v>
      </x:c>
      <x:c r="O257" t="str">
        <x:v>0fd6ad2d-3389-4e70-8974-eb85ee223eeb</x:v>
      </x:c>
      <x:c r="P257" t="str">
        <x:v>2026-09-04</x:v>
      </x:c>
    </x:row>
    <x:row r="258">
      <x:c r="A258" t="str">
        <x:v>重点观察</x:v>
      </x:c>
      <x:c r="B258" t="str">
        <x:v>补全 PB、财报，等待Agent自动验证</x:v>
      </x:c>
      <x:c r="C258" t="str">
        <x:v>600406</x:v>
      </x:c>
      <x:c r="D258" t="str">
        <x:v>国电南瑞</x:v>
      </x:c>
      <x:c r="E258" t="str">
        <x:v>主板</x:v>
      </x:c>
      <x:c r="F258" t="str">
        <x:v>待行业映射</x:v>
      </x:c>
      <x:c r="G258" t="str">
        <x:v>当前全市场行情快照缺少 PB；只能作为待补全研究队列，不得按完整估值条件生成交易建议。</x:v>
      </x:c>
      <x:c r="H258" t="n">
        <x:v>22.71</x:v>
      </x:c>
      <x:c r="I258" t="n">
        <x:v>21.72</x:v>
      </x:c>
      <x:c r="J258"/>
      <x:c r="K258" t="str">
        <x:v>待归档官方财报</x:v>
      </x:c>
      <x:c r="L258" t="str">
        <x:v>AkShare / Tencent all-A market snapshot</x:v>
      </x:c>
      <x:c r="M258" t="str">
        <x:v>ProxyError: primary market source unavailable; see source_id for full audit.</x:v>
      </x:c>
      <x:c r="N258" t="str">
        <x:v>0</x:v>
      </x:c>
      <x:c r="O258" t="str">
        <x:v>0fd6ad2d-3389-4e70-8974-eb85ee223eeb</x:v>
      </x:c>
      <x:c r="P258" t="str">
        <x:v>2026-09-04</x:v>
      </x:c>
    </x:row>
    <x:row r="259">
      <x:c r="A259" t="str">
        <x:v>重点观察</x:v>
      </x:c>
      <x:c r="B259" t="str">
        <x:v>补全 PB、财报，等待Agent自动验证</x:v>
      </x:c>
      <x:c r="C259" t="str">
        <x:v>600461</x:v>
      </x:c>
      <x:c r="D259" t="str">
        <x:v>洪城环境</x:v>
      </x:c>
      <x:c r="E259" t="str">
        <x:v>主板</x:v>
      </x:c>
      <x:c r="F259" t="str">
        <x:v>待行业映射</x:v>
      </x:c>
      <x:c r="G259" t="str">
        <x:v>当前全市场行情快照缺少 PB；只能作为待补全研究队列，不得按完整估值条件生成交易建议。</x:v>
      </x:c>
      <x:c r="H259" t="n">
        <x:v>8.92</x:v>
      </x:c>
      <x:c r="I259" t="n">
        <x:v>9.82</x:v>
      </x:c>
      <x:c r="J259"/>
      <x:c r="K259" t="str">
        <x:v>待归档官方财报</x:v>
      </x:c>
      <x:c r="L259" t="str">
        <x:v>AkShare / Tencent all-A market snapshot</x:v>
      </x:c>
      <x:c r="M259" t="str">
        <x:v>ProxyError: primary market source unavailable; see source_id for full audit.</x:v>
      </x:c>
      <x:c r="N259" t="str">
        <x:v>0</x:v>
      </x:c>
      <x:c r="O259" t="str">
        <x:v>0fd6ad2d-3389-4e70-8974-eb85ee223eeb</x:v>
      </x:c>
      <x:c r="P259" t="str">
        <x:v>2026-09-04</x:v>
      </x:c>
    </x:row>
    <x:row r="260">
      <x:c r="A260" t="str">
        <x:v>重点观察</x:v>
      </x:c>
      <x:c r="B260" t="str">
        <x:v>补全 PB、财报，等待Agent自动验证</x:v>
      </x:c>
      <x:c r="C260" t="str">
        <x:v>002468</x:v>
      </x:c>
      <x:c r="D260" t="str">
        <x:v>申通快递</x:v>
      </x:c>
      <x:c r="E260" t="str">
        <x:v>主板</x:v>
      </x:c>
      <x:c r="F260" t="str">
        <x:v>待行业映射</x:v>
      </x:c>
      <x:c r="G260" t="str">
        <x:v>当前全市场行情快照缺少 PB；只能作为待补全研究队列，不得按完整估值条件生成交易建议。</x:v>
      </x:c>
      <x:c r="H260" t="n">
        <x:v>14.31</x:v>
      </x:c>
      <x:c r="I260" t="n">
        <x:v>11.23</x:v>
      </x:c>
      <x:c r="J260"/>
      <x:c r="K260" t="str">
        <x:v>待归档官方财报</x:v>
      </x:c>
      <x:c r="L260" t="str">
        <x:v>AkShare / Tencent all-A market snapshot</x:v>
      </x:c>
      <x:c r="M260" t="str">
        <x:v>ProxyError: primary market source unavailable; see source_id for full audit.</x:v>
      </x:c>
      <x:c r="N260" t="str">
        <x:v>0</x:v>
      </x:c>
      <x:c r="O260" t="str">
        <x:v>0fd6ad2d-3389-4e70-8974-eb85ee223eeb</x:v>
      </x:c>
      <x:c r="P260" t="str">
        <x:v>2026-09-04</x:v>
      </x:c>
    </x:row>
    <x:row r="261">
      <x:c r="A261" t="str">
        <x:v>重点观察</x:v>
      </x:c>
      <x:c r="B261" t="str">
        <x:v>补全 PB、财报，等待Agent自动验证</x:v>
      </x:c>
      <x:c r="C261" t="str">
        <x:v>600720</x:v>
      </x:c>
      <x:c r="D261" t="str">
        <x:v>中交设计</x:v>
      </x:c>
      <x:c r="E261" t="str">
        <x:v>主板</x:v>
      </x:c>
      <x:c r="F261" t="str">
        <x:v>待行业映射</x:v>
      </x:c>
      <x:c r="G261" t="str">
        <x:v>当前全市场行情快照缺少 PB；只能作为待补全研究队列，不得按完整估值条件生成交易建议。</x:v>
      </x:c>
      <x:c r="H261" t="n">
        <x:v>5.2</x:v>
      </x:c>
      <x:c r="I261" t="n">
        <x:v>9.91</x:v>
      </x:c>
      <x:c r="J261"/>
      <x:c r="K261" t="str">
        <x:v>待归档官方财报</x:v>
      </x:c>
      <x:c r="L261" t="str">
        <x:v>AkShare / Tencent all-A market snapshot</x:v>
      </x:c>
      <x:c r="M261" t="str">
        <x:v>ProxyError: primary market source unavailable; see source_id for full audit.</x:v>
      </x:c>
      <x:c r="N261" t="str">
        <x:v>0</x:v>
      </x:c>
      <x:c r="O261" t="str">
        <x:v>0fd6ad2d-3389-4e70-8974-eb85ee223eeb</x:v>
      </x:c>
      <x:c r="P261" t="str">
        <x:v>2026-09-04</x:v>
      </x:c>
    </x:row>
    <x:row r="262">
      <x:c r="A262" t="str">
        <x:v>重点观察</x:v>
      </x:c>
      <x:c r="B262" t="str">
        <x:v>补全 PB、财报，等待Agent自动验证</x:v>
      </x:c>
      <x:c r="C262" t="str">
        <x:v>600711</x:v>
      </x:c>
      <x:c r="D262" t="str">
        <x:v>盛屯矿业</x:v>
      </x:c>
      <x:c r="E262" t="str">
        <x:v>主板</x:v>
      </x:c>
      <x:c r="F262" t="str">
        <x:v>待行业映射</x:v>
      </x:c>
      <x:c r="G262" t="str">
        <x:v>当前全市场行情快照缺少 PB；只能作为待补全研究队列，不得按完整估值条件生成交易建议。</x:v>
      </x:c>
      <x:c r="H262" t="n">
        <x:v>11.52</x:v>
      </x:c>
      <x:c r="I262" t="n">
        <x:v>13.12</x:v>
      </x:c>
      <x:c r="J262"/>
      <x:c r="K262" t="str">
        <x:v>待归档官方财报</x:v>
      </x:c>
      <x:c r="L262" t="str">
        <x:v>AkShare / Tencent all-A market snapshot</x:v>
      </x:c>
      <x:c r="M262" t="str">
        <x:v>ProxyError: primary market source unavailable; see source_id for full audit.</x:v>
      </x:c>
      <x:c r="N262" t="str">
        <x:v>0</x:v>
      </x:c>
      <x:c r="O262" t="str">
        <x:v>0fd6ad2d-3389-4e70-8974-eb85ee223eeb</x:v>
      </x:c>
      <x:c r="P262" t="str">
        <x:v>2026-09-04</x:v>
      </x:c>
    </x:row>
    <x:row r="263">
      <x:c r="A263" t="str">
        <x:v>重点观察</x:v>
      </x:c>
      <x:c r="B263" t="str">
        <x:v>补全 PB、财报，等待Agent自动验证</x:v>
      </x:c>
      <x:c r="C263" t="str">
        <x:v>002588</x:v>
      </x:c>
      <x:c r="D263" t="str">
        <x:v>史丹利</x:v>
      </x:c>
      <x:c r="E263" t="str">
        <x:v>主板</x:v>
      </x:c>
      <x:c r="F263" t="str">
        <x:v>待行业映射</x:v>
      </x:c>
      <x:c r="G263" t="str">
        <x:v>当前全市场行情快照缺少 PB；只能作为待补全研究队列，不得按完整估值条件生成交易建议。</x:v>
      </x:c>
      <x:c r="H263" t="n">
        <x:v>8.08</x:v>
      </x:c>
      <x:c r="I263" t="n">
        <x:v>9.59</x:v>
      </x:c>
      <x:c r="J263"/>
      <x:c r="K263" t="str">
        <x:v>待归档官方财报</x:v>
      </x:c>
      <x:c r="L263" t="str">
        <x:v>AkShare / Tencent all-A market snapshot</x:v>
      </x:c>
      <x:c r="M263" t="str">
        <x:v>ProxyError: primary market source unavailable; see source_id for full audit.</x:v>
      </x:c>
      <x:c r="N263" t="str">
        <x:v>0</x:v>
      </x:c>
      <x:c r="O263" t="str">
        <x:v>0fd6ad2d-3389-4e70-8974-eb85ee223eeb</x:v>
      </x:c>
      <x:c r="P263" t="str">
        <x:v>2026-09-04</x:v>
      </x:c>
    </x:row>
    <x:row r="264">
      <x:c r="A264" t="str">
        <x:v>重点观察</x:v>
      </x:c>
      <x:c r="B264" t="str">
        <x:v>补全 PB、财报，等待Agent自动验证</x:v>
      </x:c>
      <x:c r="C264" t="str">
        <x:v>600987</x:v>
      </x:c>
      <x:c r="D264" t="str">
        <x:v>航民股份</x:v>
      </x:c>
      <x:c r="E264" t="str">
        <x:v>主板</x:v>
      </x:c>
      <x:c r="F264" t="str">
        <x:v>待行业映射</x:v>
      </x:c>
      <x:c r="G264" t="str">
        <x:v>当前全市场行情快照缺少 PB；只能作为待补全研究队列，不得按完整估值条件生成交易建议。</x:v>
      </x:c>
      <x:c r="H264" t="n">
        <x:v>6.52</x:v>
      </x:c>
      <x:c r="I264" t="n">
        <x:v>9.24</x:v>
      </x:c>
      <x:c r="J264"/>
      <x:c r="K264" t="str">
        <x:v>待归档官方财报</x:v>
      </x:c>
      <x:c r="L264" t="str">
        <x:v>AkShare / Tencent all-A market snapshot</x:v>
      </x:c>
      <x:c r="M264" t="str">
        <x:v>ProxyError: primary market source unavailable; see source_id for full audit.</x:v>
      </x:c>
      <x:c r="N264" t="str">
        <x:v>0</x:v>
      </x:c>
      <x:c r="O264" t="str">
        <x:v>0fd6ad2d-3389-4e70-8974-eb85ee223eeb</x:v>
      </x:c>
      <x:c r="P264" t="str">
        <x:v>2026-09-04</x:v>
      </x:c>
    </x:row>
    <x:row r="265">
      <x:c r="A265" t="str">
        <x:v>重点观察</x:v>
      </x:c>
      <x:c r="B265" t="str">
        <x:v>补全 PB、财报，等待Agent自动验证</x:v>
      </x:c>
      <x:c r="C265" t="str">
        <x:v>000589</x:v>
      </x:c>
      <x:c r="D265" t="str">
        <x:v>贵州轮胎</x:v>
      </x:c>
      <x:c r="E265" t="str">
        <x:v>主板</x:v>
      </x:c>
      <x:c r="F265" t="str">
        <x:v>待行业映射</x:v>
      </x:c>
      <x:c r="G265" t="str">
        <x:v>当前全市场行情快照缺少 PB；只能作为待补全研究队列，不得按完整估值条件生成交易建议。</x:v>
      </x:c>
      <x:c r="H265" t="n">
        <x:v>4.35</x:v>
      </x:c>
      <x:c r="I265" t="n">
        <x:v>9.26</x:v>
      </x:c>
      <x:c r="J265"/>
      <x:c r="K265" t="str">
        <x:v>待归档官方财报</x:v>
      </x:c>
      <x:c r="L265" t="str">
        <x:v>AkShare / Tencent all-A market snapshot</x:v>
      </x:c>
      <x:c r="M265" t="str">
        <x:v>ProxyError: primary market source unavailable; see source_id for full audit.</x:v>
      </x:c>
      <x:c r="N265" t="str">
        <x:v>0</x:v>
      </x:c>
      <x:c r="O265" t="str">
        <x:v>0fd6ad2d-3389-4e70-8974-eb85ee223eeb</x:v>
      </x:c>
      <x:c r="P265" t="str">
        <x:v>2026-09-04</x:v>
      </x:c>
    </x:row>
    <x:row r="266">
      <x:c r="A266" t="str">
        <x:v>重点观察</x:v>
      </x:c>
      <x:c r="B266" t="str">
        <x:v>补全 PB、财报，等待Agent自动验证</x:v>
      </x:c>
      <x:c r="C266" t="str">
        <x:v>000690</x:v>
      </x:c>
      <x:c r="D266" t="str">
        <x:v>宝新能源</x:v>
      </x:c>
      <x:c r="E266" t="str">
        <x:v>主板</x:v>
      </x:c>
      <x:c r="F266" t="str">
        <x:v>待行业映射</x:v>
      </x:c>
      <x:c r="G266" t="str">
        <x:v>当前全市场行情快照缺少 PB；只能作为待补全研究队列，不得按完整估值条件生成交易建议。</x:v>
      </x:c>
      <x:c r="H266" t="n">
        <x:v>4.95</x:v>
      </x:c>
      <x:c r="I266" t="n">
        <x:v>9.8</x:v>
      </x:c>
      <x:c r="J266"/>
      <x:c r="K266" t="str">
        <x:v>待归档官方财报</x:v>
      </x:c>
      <x:c r="L266" t="str">
        <x:v>AkShare / Tencent all-A market snapshot</x:v>
      </x:c>
      <x:c r="M266" t="str">
        <x:v>ProxyError: primary market source unavailable; see source_id for full audit.</x:v>
      </x:c>
      <x:c r="N266" t="str">
        <x:v>0</x:v>
      </x:c>
      <x:c r="O266" t="str">
        <x:v>0fd6ad2d-3389-4e70-8974-eb85ee223eeb</x:v>
      </x:c>
      <x:c r="P266" t="str">
        <x:v>2026-09-04</x:v>
      </x:c>
    </x:row>
    <x:row r="267">
      <x:c r="A267" t="str">
        <x:v>重点观察</x:v>
      </x:c>
      <x:c r="B267" t="str">
        <x:v>补全 PB、财报，等待Agent自动验证</x:v>
      </x:c>
      <x:c r="C267" t="str">
        <x:v>600332</x:v>
      </x:c>
      <x:c r="D267" t="str">
        <x:v>白云山</x:v>
      </x:c>
      <x:c r="E267" t="str">
        <x:v>主板</x:v>
      </x:c>
      <x:c r="F267" t="str">
        <x:v>待行业映射</x:v>
      </x:c>
      <x:c r="G267" t="str">
        <x:v>当前全市场行情快照缺少 PB；只能作为待补全研究队列，不得按完整估值条件生成交易建议。</x:v>
      </x:c>
      <x:c r="H267" t="n">
        <x:v>20.24</x:v>
      </x:c>
      <x:c r="I267" t="n">
        <x:v>12.84</x:v>
      </x:c>
      <x:c r="J267"/>
      <x:c r="K267" t="str">
        <x:v>待归档官方财报</x:v>
      </x:c>
      <x:c r="L267" t="str">
        <x:v>AkShare / Tencent all-A market snapshot</x:v>
      </x:c>
      <x:c r="M267" t="str">
        <x:v>ProxyError: primary market source unavailable; see source_id for full audit.</x:v>
      </x:c>
      <x:c r="N267" t="str">
        <x:v>0</x:v>
      </x:c>
      <x:c r="O267" t="str">
        <x:v>0fd6ad2d-3389-4e70-8974-eb85ee223eeb</x:v>
      </x:c>
      <x:c r="P267" t="str">
        <x:v>2026-09-04</x:v>
      </x:c>
    </x:row>
    <x:row r="268">
      <x:c r="A268" t="str">
        <x:v>重点观察</x:v>
      </x:c>
      <x:c r="B268" t="str">
        <x:v>补全 PB、财报，等待Agent自动验证</x:v>
      </x:c>
      <x:c r="C268" t="str">
        <x:v>601811</x:v>
      </x:c>
      <x:c r="D268" t="str">
        <x:v>新华文轩</x:v>
      </x:c>
      <x:c r="E268" t="str">
        <x:v>主板</x:v>
      </x:c>
      <x:c r="F268" t="str">
        <x:v>待行业映射</x:v>
      </x:c>
      <x:c r="G268" t="str">
        <x:v>当前全市场行情快照缺少 PB；只能作为待补全研究队列，不得按完整估值条件生成交易建议。</x:v>
      </x:c>
      <x:c r="H268" t="n">
        <x:v>11.49</x:v>
      </x:c>
      <x:c r="I268" t="n">
        <x:v>10.38</x:v>
      </x:c>
      <x:c r="J268"/>
      <x:c r="K268" t="str">
        <x:v>待归档官方财报</x:v>
      </x:c>
      <x:c r="L268" t="str">
        <x:v>AkShare / Tencent all-A market snapshot</x:v>
      </x:c>
      <x:c r="M268" t="str">
        <x:v>ProxyError: primary market source unavailable; see source_id for full audit.</x:v>
      </x:c>
      <x:c r="N268" t="str">
        <x:v>0</x:v>
      </x:c>
      <x:c r="O268" t="str">
        <x:v>0fd6ad2d-3389-4e70-8974-eb85ee223eeb</x:v>
      </x:c>
      <x:c r="P268" t="str">
        <x:v>2026-09-04</x:v>
      </x:c>
    </x:row>
    <x:row r="269">
      <x:c r="A269" t="str">
        <x:v>重点观察</x:v>
      </x:c>
      <x:c r="B269" t="str">
        <x:v>补全 PB、财报，等待Agent自动验证</x:v>
      </x:c>
      <x:c r="C269" t="str">
        <x:v>002818</x:v>
      </x:c>
      <x:c r="D269" t="str">
        <x:v>富森美</x:v>
      </x:c>
      <x:c r="E269" t="str">
        <x:v>主板</x:v>
      </x:c>
      <x:c r="F269" t="str">
        <x:v>待行业映射</x:v>
      </x:c>
      <x:c r="G269" t="str">
        <x:v>当前全市场行情快照缺少 PB；只能作为待补全研究队列，不得按完整估值条件生成交易建议。</x:v>
      </x:c>
      <x:c r="H269" t="n">
        <x:v>11.03</x:v>
      </x:c>
      <x:c r="I269" t="n">
        <x:v>9.59</x:v>
      </x:c>
      <x:c r="J269"/>
      <x:c r="K269" t="str">
        <x:v>待归档官方财报</x:v>
      </x:c>
      <x:c r="L269" t="str">
        <x:v>AkShare / Tencent all-A market snapshot</x:v>
      </x:c>
      <x:c r="M269" t="str">
        <x:v>ProxyError: primary market source unavailable; see source_id for full audit.</x:v>
      </x:c>
      <x:c r="N269" t="str">
        <x:v>0</x:v>
      </x:c>
      <x:c r="O269" t="str">
        <x:v>0fd6ad2d-3389-4e70-8974-eb85ee223eeb</x:v>
      </x:c>
      <x:c r="P269" t="str">
        <x:v>2026-09-04</x:v>
      </x:c>
    </x:row>
    <x:row r="270">
      <x:c r="A270" t="str">
        <x:v>重点观察</x:v>
      </x:c>
      <x:c r="B270" t="str">
        <x:v>补全 PB、财报，等待Agent自动验证</x:v>
      </x:c>
      <x:c r="C270" t="str">
        <x:v>600025</x:v>
      </x:c>
      <x:c r="D270" t="str">
        <x:v>华能水电</x:v>
      </x:c>
      <x:c r="E270" t="str">
        <x:v>主板</x:v>
      </x:c>
      <x:c r="F270" t="str">
        <x:v>待行业映射</x:v>
      </x:c>
      <x:c r="G270" t="str">
        <x:v>当前全市场行情快照缺少 PB；只能作为待补全研究队列，不得按完整估值条件生成交易建议。</x:v>
      </x:c>
      <x:c r="H270" t="n">
        <x:v>9.76</x:v>
      </x:c>
      <x:c r="I270" t="n">
        <x:v>21.98</x:v>
      </x:c>
      <x:c r="J270"/>
      <x:c r="K270" t="str">
        <x:v>待归档官方财报</x:v>
      </x:c>
      <x:c r="L270" t="str">
        <x:v>AkShare / Tencent all-A market snapshot</x:v>
      </x:c>
      <x:c r="M270" t="str">
        <x:v>ProxyError: primary market source unavailable; see source_id for full audit.</x:v>
      </x:c>
      <x:c r="N270" t="str">
        <x:v>0</x:v>
      </x:c>
      <x:c r="O270" t="str">
        <x:v>0fd6ad2d-3389-4e70-8974-eb85ee223eeb</x:v>
      </x:c>
      <x:c r="P270" t="str">
        <x:v>2026-09-04</x:v>
      </x:c>
    </x:row>
    <x:row r="271">
      <x:c r="A271" t="str">
        <x:v>重点观察</x:v>
      </x:c>
      <x:c r="B271" t="str">
        <x:v>补全 PB、财报，等待Agent自动验证</x:v>
      </x:c>
      <x:c r="C271" t="str">
        <x:v>002091</x:v>
      </x:c>
      <x:c r="D271" t="str">
        <x:v>江苏国泰</x:v>
      </x:c>
      <x:c r="E271" t="str">
        <x:v>主板</x:v>
      </x:c>
      <x:c r="F271" t="str">
        <x:v>待行业映射</x:v>
      </x:c>
      <x:c r="G271" t="str">
        <x:v>当前全市场行情快照缺少 PB；只能作为待补全研究队列，不得按完整估值条件生成交易建议。</x:v>
      </x:c>
      <x:c r="H271" t="n">
        <x:v>7.71</x:v>
      </x:c>
      <x:c r="I271" t="n">
        <x:v>10.3</x:v>
      </x:c>
      <x:c r="J271"/>
      <x:c r="K271" t="str">
        <x:v>待归档官方财报</x:v>
      </x:c>
      <x:c r="L271" t="str">
        <x:v>AkShare / Tencent all-A market snapshot</x:v>
      </x:c>
      <x:c r="M271" t="str">
        <x:v>ProxyError: primary market source unavailable; see source_id for full audit.</x:v>
      </x:c>
      <x:c r="N271" t="str">
        <x:v>0</x:v>
      </x:c>
      <x:c r="O271" t="str">
        <x:v>0fd6ad2d-3389-4e70-8974-eb85ee223eeb</x:v>
      </x:c>
      <x:c r="P271" t="str">
        <x:v>2026-09-04</x:v>
      </x:c>
    </x:row>
    <x:row r="272">
      <x:c r="A272" t="str">
        <x:v>重点观察</x:v>
      </x:c>
      <x:c r="B272" t="str">
        <x:v>补全 PB、财报，等待Agent自动验证</x:v>
      </x:c>
      <x:c r="C272" t="str">
        <x:v>600861</x:v>
      </x:c>
      <x:c r="D272" t="str">
        <x:v>北京人力</x:v>
      </x:c>
      <x:c r="E272" t="str">
        <x:v>主板</x:v>
      </x:c>
      <x:c r="F272" t="str">
        <x:v>待行业映射</x:v>
      </x:c>
      <x:c r="G272" t="str">
        <x:v>当前全市场行情快照缺少 PB；只能作为待补全研究队列，不得按完整估值条件生成交易建议。</x:v>
      </x:c>
      <x:c r="H272" t="n">
        <x:v>13.04</x:v>
      </x:c>
      <x:c r="I272" t="n">
        <x:v>9.63</x:v>
      </x:c>
      <x:c r="J272"/>
      <x:c r="K272" t="str">
        <x:v>待归档官方财报</x:v>
      </x:c>
      <x:c r="L272" t="str">
        <x:v>AkShare / Tencent all-A market snapshot</x:v>
      </x:c>
      <x:c r="M272" t="str">
        <x:v>ProxyError: primary market source unavailable; see source_id for full audit.</x:v>
      </x:c>
      <x:c r="N272" t="str">
        <x:v>0</x:v>
      </x:c>
      <x:c r="O272" t="str">
        <x:v>0fd6ad2d-3389-4e70-8974-eb85ee223eeb</x:v>
      </x:c>
      <x:c r="P272" t="str">
        <x:v>2026-09-04</x:v>
      </x:c>
    </x:row>
    <x:row r="273">
      <x:c r="A273" t="str">
        <x:v>重点观察</x:v>
      </x:c>
      <x:c r="B273" t="str">
        <x:v>证券公司专用模型待核验</x:v>
      </x:c>
      <x:c r="C273" t="str">
        <x:v>002926</x:v>
      </x:c>
      <x:c r="D273" t="str">
        <x:v>华西证券</x:v>
      </x:c>
      <x:c r="E273" t="str">
        <x:v>主板</x:v>
      </x:c>
      <x:c r="F273" t="str">
        <x:v>待行业映射</x:v>
      </x:c>
      <x:c r="G273" t="str">
        <x:v>名称/板块初步识别为证券公司；须以同一报告期官方披露复核专用指标和行业分类，禁止套用通用企业现金流、负债率或 EV/EBITDA 规则。 当前公共行情快照缺少 PB，须在专用模型复核中补齐。</x:v>
      </x:c>
      <x:c r="H273" t="n">
        <x:v>8.58</x:v>
      </x:c>
      <x:c r="I273" t="n">
        <x:v>11.67</x:v>
      </x:c>
      <x:c r="J273"/>
      <x:c r="K273" t="str">
        <x:v>待归档官方财报</x:v>
      </x:c>
      <x:c r="L273" t="str">
        <x:v>AkShare / Tencent all-A market snapshot</x:v>
      </x:c>
      <x:c r="M273" t="str">
        <x:v>ProxyError: primary market source unavailable; see source_id for full audit.</x:v>
      </x:c>
      <x:c r="N273" t="str">
        <x:v>0</x:v>
      </x:c>
      <x:c r="O273" t="str">
        <x:v>0fd6ad2d-3389-4e70-8974-eb85ee223eeb</x:v>
      </x:c>
      <x:c r="P273" t="str">
        <x:v>2026-09-04</x:v>
      </x:c>
    </x:row>
    <x:row r="274">
      <x:c r="A274" t="str">
        <x:v>重点观察</x:v>
      </x:c>
      <x:c r="B274" t="str">
        <x:v>证券公司专用模型待核验</x:v>
      </x:c>
      <x:c r="C274" t="str">
        <x:v>600109</x:v>
      </x:c>
      <x:c r="D274" t="str">
        <x:v>国金证券</x:v>
      </x:c>
      <x:c r="E274" t="str">
        <x:v>主板</x:v>
      </x:c>
      <x:c r="F274" t="str">
        <x:v>待行业映射</x:v>
      </x:c>
      <x:c r="G274" t="str">
        <x:v>名称/板块初步识别为证券公司；须以同一报告期官方披露复核专用指标和行业分类，禁止套用通用企业现金流、负债率或 EV/EBITDA 规则。 当前公共行情快照缺少 PB，须在专用模型复核中补齐。</x:v>
      </x:c>
      <x:c r="H274" t="n">
        <x:v>8.74</x:v>
      </x:c>
      <x:c r="I274" t="n">
        <x:v>12.98</x:v>
      </x:c>
      <x:c r="J274"/>
      <x:c r="K274" t="str">
        <x:v>待归档官方财报</x:v>
      </x:c>
      <x:c r="L274" t="str">
        <x:v>AkShare / Tencent all-A market snapshot</x:v>
      </x:c>
      <x:c r="M274" t="str">
        <x:v>ProxyError: primary market source unavailable; see source_id for full audit.</x:v>
      </x:c>
      <x:c r="N274" t="str">
        <x:v>0</x:v>
      </x:c>
      <x:c r="O274" t="str">
        <x:v>0fd6ad2d-3389-4e70-8974-eb85ee223eeb</x:v>
      </x:c>
      <x:c r="P274" t="str">
        <x:v>2026-09-04</x:v>
      </x:c>
    </x:row>
    <x:row r="275">
      <x:c r="A275" t="str">
        <x:v>重点观察</x:v>
      </x:c>
      <x:c r="B275" t="str">
        <x:v>补全 PB、财报，等待Agent自动验证</x:v>
      </x:c>
      <x:c r="C275" t="str">
        <x:v>301219</x:v>
      </x:c>
      <x:c r="D275" t="str">
        <x:v>腾远钴业</x:v>
      </x:c>
      <x:c r="E275" t="str">
        <x:v>创业板</x:v>
      </x:c>
      <x:c r="F275" t="str">
        <x:v>待行业映射</x:v>
      </x:c>
      <x:c r="G275" t="str">
        <x:v>当前全市场行情快照缺少 PB；只能作为待补全研究队列，不得按完整估值条件生成交易建议。</x:v>
      </x:c>
      <x:c r="H275" t="n">
        <x:v>43.27</x:v>
      </x:c>
      <x:c r="I275" t="n">
        <x:v>10.88</x:v>
      </x:c>
      <x:c r="J275"/>
      <x:c r="K275" t="str">
        <x:v>待归档官方财报</x:v>
      </x:c>
      <x:c r="L275" t="str">
        <x:v>AkShare / Tencent all-A market snapshot</x:v>
      </x:c>
      <x:c r="M275" t="str">
        <x:v>ProxyError: primary market source unavailable; see source_id for full audit.</x:v>
      </x:c>
      <x:c r="N275" t="str">
        <x:v>0</x:v>
      </x:c>
      <x:c r="O275" t="str">
        <x:v>0fd6ad2d-3389-4e70-8974-eb85ee223eeb</x:v>
      </x:c>
      <x:c r="P275" t="str">
        <x:v>2026-09-04</x:v>
      </x:c>
    </x:row>
    <x:row r="276">
      <x:c r="A276" t="str">
        <x:v>重点观察</x:v>
      </x:c>
      <x:c r="B276" t="str">
        <x:v>补全 PB、财报，等待Agent自动验证</x:v>
      </x:c>
      <x:c r="C276" t="str">
        <x:v>000902</x:v>
      </x:c>
      <x:c r="D276" t="str">
        <x:v>新洋丰</x:v>
      </x:c>
      <x:c r="E276" t="str">
        <x:v>主板</x:v>
      </x:c>
      <x:c r="F276" t="str">
        <x:v>待行业映射</x:v>
      </x:c>
      <x:c r="G276" t="str">
        <x:v>当前全市场行情快照缺少 PB；只能作为待补全研究队列，不得按完整估值条件生成交易建议。</x:v>
      </x:c>
      <x:c r="H276" t="n">
        <x:v>14.33</x:v>
      </x:c>
      <x:c r="I276" t="n">
        <x:v>11.09</x:v>
      </x:c>
      <x:c r="J276"/>
      <x:c r="K276" t="str">
        <x:v>待归档官方财报</x:v>
      </x:c>
      <x:c r="L276" t="str">
        <x:v>AkShare / Tencent all-A market snapshot</x:v>
      </x:c>
      <x:c r="M276" t="str">
        <x:v>ProxyError: primary market source unavailable; see source_id for full audit.</x:v>
      </x:c>
      <x:c r="N276" t="str">
        <x:v>0</x:v>
      </x:c>
      <x:c r="O276" t="str">
        <x:v>0fd6ad2d-3389-4e70-8974-eb85ee223eeb</x:v>
      </x:c>
      <x:c r="P276" t="str">
        <x:v>2026-09-04</x:v>
      </x:c>
    </x:row>
    <x:row r="277">
      <x:c r="A277" t="str">
        <x:v>重点观察</x:v>
      </x:c>
      <x:c r="B277" t="str">
        <x:v>补全 PB、财报，等待Agent自动验证</x:v>
      </x:c>
      <x:c r="C277" t="str">
        <x:v>000563</x:v>
      </x:c>
      <x:c r="D277" t="str">
        <x:v>陕国投Ａ</x:v>
      </x:c>
      <x:c r="E277" t="str">
        <x:v>主板</x:v>
      </x:c>
      <x:c r="F277" t="str">
        <x:v>待行业映射</x:v>
      </x:c>
      <x:c r="G277" t="str">
        <x:v>当前全市场行情快照缺少 PB；只能作为待补全研究队列，不得按完整估值条件生成交易建议。</x:v>
      </x:c>
      <x:c r="H277" t="n">
        <x:v>3.04</x:v>
      </x:c>
      <x:c r="I277" t="n">
        <x:v>10.83</x:v>
      </x:c>
      <x:c r="J277"/>
      <x:c r="K277" t="str">
        <x:v>待归档官方财报</x:v>
      </x:c>
      <x:c r="L277" t="str">
        <x:v>AkShare / Tencent all-A market snapshot</x:v>
      </x:c>
      <x:c r="M277" t="str">
        <x:v>ProxyError: primary market source unavailable; see source_id for full audit.</x:v>
      </x:c>
      <x:c r="N277" t="str">
        <x:v>0</x:v>
      </x:c>
      <x:c r="O277" t="str">
        <x:v>0fd6ad2d-3389-4e70-8974-eb85ee223eeb</x:v>
      </x:c>
      <x:c r="P277" t="str">
        <x:v>2026-09-04</x:v>
      </x:c>
    </x:row>
    <x:row r="278">
      <x:c r="A278" t="str">
        <x:v>重点观察</x:v>
      </x:c>
      <x:c r="B278" t="str">
        <x:v>补全 PB、财报，等待Agent自动验证</x:v>
      </x:c>
      <x:c r="C278" t="str">
        <x:v>002668</x:v>
      </x:c>
      <x:c r="D278" t="str">
        <x:v>TCL智家</x:v>
      </x:c>
      <x:c r="E278" t="str">
        <x:v>主板</x:v>
      </x:c>
      <x:c r="F278" t="str">
        <x:v>待行业映射</x:v>
      </x:c>
      <x:c r="G278" t="str">
        <x:v>当前全市场行情快照缺少 PB；只能作为待补全研究队列，不得按完整估值条件生成交易建议。</x:v>
      </x:c>
      <x:c r="H278" t="n">
        <x:v>9.27</x:v>
      </x:c>
      <x:c r="I278" t="n">
        <x:v>10.09</x:v>
      </x:c>
      <x:c r="J278"/>
      <x:c r="K278" t="str">
        <x:v>待归档官方财报</x:v>
      </x:c>
      <x:c r="L278" t="str">
        <x:v>AkShare / Tencent all-A market snapshot</x:v>
      </x:c>
      <x:c r="M278" t="str">
        <x:v>ProxyError: primary market source unavailable; see source_id for full audit.</x:v>
      </x:c>
      <x:c r="N278" t="str">
        <x:v>0</x:v>
      </x:c>
      <x:c r="O278" t="str">
        <x:v>0fd6ad2d-3389-4e70-8974-eb85ee223eeb</x:v>
      </x:c>
      <x:c r="P278" t="str">
        <x:v>2026-09-04</x:v>
      </x:c>
    </x:row>
    <x:row r="279">
      <x:c r="A279" t="str">
        <x:v>重点观察</x:v>
      </x:c>
      <x:c r="B279" t="str">
        <x:v>补全 PB、财报，等待Agent自动验证</x:v>
      </x:c>
      <x:c r="C279" t="str">
        <x:v>603368</x:v>
      </x:c>
      <x:c r="D279" t="str">
        <x:v>柳药集团</x:v>
      </x:c>
      <x:c r="E279" t="str">
        <x:v>主板</x:v>
      </x:c>
      <x:c r="F279" t="str">
        <x:v>待行业映射</x:v>
      </x:c>
      <x:c r="G279" t="str">
        <x:v>当前全市场行情快照缺少 PB；只能作为待补全研究队列，不得按完整估值条件生成交易建议。</x:v>
      </x:c>
      <x:c r="H279" t="n">
        <x:v>15.68</x:v>
      </x:c>
      <x:c r="I279" t="n">
        <x:v>9.59</x:v>
      </x:c>
      <x:c r="J279"/>
      <x:c r="K279" t="str">
        <x:v>待归档官方财报</x:v>
      </x:c>
      <x:c r="L279" t="str">
        <x:v>AkShare / Tencent all-A market snapshot</x:v>
      </x:c>
      <x:c r="M279" t="str">
        <x:v>ProxyError: primary market source unavailable; see source_id for full audit.</x:v>
      </x:c>
      <x:c r="N279" t="str">
        <x:v>0</x:v>
      </x:c>
      <x:c r="O279" t="str">
        <x:v>0fd6ad2d-3389-4e70-8974-eb85ee223eeb</x:v>
      </x:c>
      <x:c r="P279" t="str">
        <x:v>2026-09-04</x:v>
      </x:c>
    </x:row>
    <x:row r="280">
      <x:c r="A280" t="str">
        <x:v>重点观察</x:v>
      </x:c>
      <x:c r="B280" t="str">
        <x:v>补全 PB、财报，等待Agent自动验证</x:v>
      </x:c>
      <x:c r="C280" t="str">
        <x:v>000921</x:v>
      </x:c>
      <x:c r="D280" t="str">
        <x:v>海信家电</x:v>
      </x:c>
      <x:c r="E280" t="str">
        <x:v>主板</x:v>
      </x:c>
      <x:c r="F280" t="str">
        <x:v>待行业映射</x:v>
      </x:c>
      <x:c r="G280" t="str">
        <x:v>当前全市场行情快照缺少 PB；只能作为待补全研究队列，不得按完整估值条件生成交易建议。</x:v>
      </x:c>
      <x:c r="H280" t="n">
        <x:v>27.88</x:v>
      </x:c>
      <x:c r="I280" t="n">
        <x:v>13.95</x:v>
      </x:c>
      <x:c r="J280"/>
      <x:c r="K280" t="str">
        <x:v>待归档官方财报</x:v>
      </x:c>
      <x:c r="L280" t="str">
        <x:v>AkShare / Tencent all-A market snapshot</x:v>
      </x:c>
      <x:c r="M280" t="str">
        <x:v>ProxyError: primary market source unavailable; see source_id for full audit.</x:v>
      </x:c>
      <x:c r="N280" t="str">
        <x:v>0</x:v>
      </x:c>
      <x:c r="O280" t="str">
        <x:v>0fd6ad2d-3389-4e70-8974-eb85ee223eeb</x:v>
      </x:c>
      <x:c r="P280" t="str">
        <x:v>2026-09-04</x:v>
      </x:c>
    </x:row>
    <x:row r="281">
      <x:c r="A281" t="str">
        <x:v>重点观察</x:v>
      </x:c>
      <x:c r="B281" t="str">
        <x:v>补全 PB、财报，等待Agent自动验证</x:v>
      </x:c>
      <x:c r="C281" t="str">
        <x:v>003816</x:v>
      </x:c>
      <x:c r="D281" t="str">
        <x:v>中国广核</x:v>
      </x:c>
      <x:c r="E281" t="str">
        <x:v>主板</x:v>
      </x:c>
      <x:c r="F281" t="str">
        <x:v>待行业映射</x:v>
      </x:c>
      <x:c r="G281" t="str">
        <x:v>当前全市场行情快照缺少 PB；只能作为待补全研究队列，不得按完整估值条件生成交易建议。</x:v>
      </x:c>
      <x:c r="H281" t="n">
        <x:v>4.37</x:v>
      </x:c>
      <x:c r="I281" t="n">
        <x:v>22.24</x:v>
      </x:c>
      <x:c r="J281"/>
      <x:c r="K281" t="str">
        <x:v>待归档官方财报</x:v>
      </x:c>
      <x:c r="L281" t="str">
        <x:v>AkShare / Tencent all-A market snapshot</x:v>
      </x:c>
      <x:c r="M281" t="str">
        <x:v>ProxyError: primary market source unavailable; see source_id for full audit.</x:v>
      </x:c>
      <x:c r="N281" t="str">
        <x:v>0</x:v>
      </x:c>
      <x:c r="O281" t="str">
        <x:v>0fd6ad2d-3389-4e70-8974-eb85ee223eeb</x:v>
      </x:c>
      <x:c r="P281" t="str">
        <x:v>2026-09-04</x:v>
      </x:c>
    </x:row>
    <x:row r="282">
      <x:c r="A282" t="str">
        <x:v>重点观察</x:v>
      </x:c>
      <x:c r="B282" t="str">
        <x:v>补全 PB、财报，等待Agent自动验证</x:v>
      </x:c>
      <x:c r="C282" t="str">
        <x:v>300475</x:v>
      </x:c>
      <x:c r="D282" t="str">
        <x:v>香农芯创</x:v>
      </x:c>
      <x:c r="E282" t="str">
        <x:v>创业板</x:v>
      </x:c>
      <x:c r="F282" t="str">
        <x:v>待行业映射</x:v>
      </x:c>
      <x:c r="G282" t="str">
        <x:v>当前全市场行情快照缺少 PB；只能作为待补全研究队列，不得按完整估值条件生成交易建议。</x:v>
      </x:c>
      <x:c r="H282" t="n">
        <x:v>164.85</x:v>
      </x:c>
      <x:c r="I282" t="n">
        <x:v>19.22</x:v>
      </x:c>
      <x:c r="J282"/>
      <x:c r="K282" t="str">
        <x:v>待归档官方财报</x:v>
      </x:c>
      <x:c r="L282" t="str">
        <x:v>AkShare / Tencent all-A market snapshot</x:v>
      </x:c>
      <x:c r="M282" t="str">
        <x:v>ProxyError: primary market source unavailable; see source_id for full audit.</x:v>
      </x:c>
      <x:c r="N282" t="str">
        <x:v>0</x:v>
      </x:c>
      <x:c r="O282" t="str">
        <x:v>0fd6ad2d-3389-4e70-8974-eb85ee223eeb</x:v>
      </x:c>
      <x:c r="P282" t="str">
        <x:v>2026-09-04</x:v>
      </x:c>
    </x:row>
    <x:row r="283">
      <x:c r="A283" t="str">
        <x:v>重点观察</x:v>
      </x:c>
      <x:c r="B283" t="str">
        <x:v>补全 PB、财报，等待Agent自动验证</x:v>
      </x:c>
      <x:c r="C283" t="str">
        <x:v>601900</x:v>
      </x:c>
      <x:c r="D283" t="str">
        <x:v>南方传媒</x:v>
      </x:c>
      <x:c r="E283" t="str">
        <x:v>主板</x:v>
      </x:c>
      <x:c r="F283" t="str">
        <x:v>待行业映射</x:v>
      </x:c>
      <x:c r="G283" t="str">
        <x:v>当前全市场行情快照缺少 PB；只能作为待补全研究队列，不得按完整估值条件生成交易建议。</x:v>
      </x:c>
      <x:c r="H283" t="n">
        <x:v>12.45</x:v>
      </x:c>
      <x:c r="I283" t="n">
        <x:v>10.29</x:v>
      </x:c>
      <x:c r="J283"/>
      <x:c r="K283" t="str">
        <x:v>待归档官方财报</x:v>
      </x:c>
      <x:c r="L283" t="str">
        <x:v>AkShare / Tencent all-A market snapshot</x:v>
      </x:c>
      <x:c r="M283" t="str">
        <x:v>ProxyError: primary market source unavailable; see source_id for full audit.</x:v>
      </x:c>
      <x:c r="N283" t="str">
        <x:v>0</x:v>
      </x:c>
      <x:c r="O283" t="str">
        <x:v>0fd6ad2d-3389-4e70-8974-eb85ee223eeb</x:v>
      </x:c>
      <x:c r="P283" t="str">
        <x:v>2026-09-04</x:v>
      </x:c>
    </x:row>
    <x:row r="284">
      <x:c r="A284" t="str">
        <x:v>重点观察</x:v>
      </x:c>
      <x:c r="B284" t="str">
        <x:v>补全 PB、财报，等待Agent自动验证</x:v>
      </x:c>
      <x:c r="C284" t="str">
        <x:v>603296</x:v>
      </x:c>
      <x:c r="D284" t="str">
        <x:v>华勤技术</x:v>
      </x:c>
      <x:c r="E284" t="str">
        <x:v>主板</x:v>
      </x:c>
      <x:c r="F284" t="str">
        <x:v>待行业映射</x:v>
      </x:c>
      <x:c r="G284" t="str">
        <x:v>当前全市场行情快照缺少 PB；只能作为待补全研究队列，不得按完整估值条件生成交易建议。</x:v>
      </x:c>
      <x:c r="H284" t="n">
        <x:v>75.98</x:v>
      </x:c>
      <x:c r="I284" t="n">
        <x:v>22.3</x:v>
      </x:c>
      <x:c r="J284"/>
      <x:c r="K284" t="str">
        <x:v>待归档官方财报</x:v>
      </x:c>
      <x:c r="L284" t="str">
        <x:v>AkShare / Tencent all-A market snapshot</x:v>
      </x:c>
      <x:c r="M284" t="str">
        <x:v>ProxyError: primary market source unavailable; see source_id for full audit.</x:v>
      </x:c>
      <x:c r="N284" t="str">
        <x:v>0</x:v>
      </x:c>
      <x:c r="O284" t="str">
        <x:v>0fd6ad2d-3389-4e70-8974-eb85ee223eeb</x:v>
      </x:c>
      <x:c r="P284" t="str">
        <x:v>2026-09-04</x:v>
      </x:c>
    </x:row>
    <x:row r="285">
      <x:c r="A285" t="str">
        <x:v>重点观察</x:v>
      </x:c>
      <x:c r="B285" t="str">
        <x:v>补全 PB、财报，等待Agent自动验证</x:v>
      </x:c>
      <x:c r="C285" t="str">
        <x:v>600874</x:v>
      </x:c>
      <x:c r="D285" t="str">
        <x:v>创业环保</x:v>
      </x:c>
      <x:c r="E285" t="str">
        <x:v>主板</x:v>
      </x:c>
      <x:c r="F285" t="str">
        <x:v>待行业映射</x:v>
      </x:c>
      <x:c r="G285" t="str">
        <x:v>当前全市场行情快照缺少 PB；只能作为待补全研究队列，不得按完整估值条件生成交易建议。</x:v>
      </x:c>
      <x:c r="H285" t="n">
        <x:v>5.61</x:v>
      </x:c>
      <x:c r="I285" t="n">
        <x:v>10.04</x:v>
      </x:c>
      <x:c r="J285"/>
      <x:c r="K285" t="str">
        <x:v>待归档官方财报</x:v>
      </x:c>
      <x:c r="L285" t="str">
        <x:v>AkShare / Tencent all-A market snapshot</x:v>
      </x:c>
      <x:c r="M285" t="str">
        <x:v>ProxyError: primary market source unavailable; see source_id for full audit.</x:v>
      </x:c>
      <x:c r="N285" t="str">
        <x:v>0</x:v>
      </x:c>
      <x:c r="O285" t="str">
        <x:v>0fd6ad2d-3389-4e70-8974-eb85ee223eeb</x:v>
      </x:c>
      <x:c r="P285" t="str">
        <x:v>2026-09-04</x:v>
      </x:c>
    </x:row>
    <x:row r="286">
      <x:c r="A286" t="str">
        <x:v>重点观察</x:v>
      </x:c>
      <x:c r="B286" t="str">
        <x:v>补全 PB、财报，等待Agent自动验证</x:v>
      </x:c>
      <x:c r="C286" t="str">
        <x:v>300926</x:v>
      </x:c>
      <x:c r="D286" t="str">
        <x:v>博俊科技</x:v>
      </x:c>
      <x:c r="E286" t="str">
        <x:v>创业板</x:v>
      </x:c>
      <x:c r="F286" t="str">
        <x:v>待行业映射</x:v>
      </x:c>
      <x:c r="G286" t="str">
        <x:v>当前全市场行情快照缺少 PB；只能作为待补全研究队列，不得按完整估值条件生成交易建议。</x:v>
      </x:c>
      <x:c r="H286" t="n">
        <x:v>17.69</x:v>
      </x:c>
      <x:c r="I286" t="n">
        <x:v>9.9</x:v>
      </x:c>
      <x:c r="J286"/>
      <x:c r="K286" t="str">
        <x:v>待归档官方财报</x:v>
      </x:c>
      <x:c r="L286" t="str">
        <x:v>AkShare / Tencent all-A market snapshot</x:v>
      </x:c>
      <x:c r="M286" t="str">
        <x:v>ProxyError: primary market source unavailable; see source_id for full audit.</x:v>
      </x:c>
      <x:c r="N286" t="str">
        <x:v>0</x:v>
      </x:c>
      <x:c r="O286" t="str">
        <x:v>0fd6ad2d-3389-4e70-8974-eb85ee223eeb</x:v>
      </x:c>
      <x:c r="P286" t="str">
        <x:v>2026-09-04</x:v>
      </x:c>
    </x:row>
    <x:row r="287">
      <x:c r="A287" t="str">
        <x:v>重点观察</x:v>
      </x:c>
      <x:c r="B287" t="str">
        <x:v>补全 PB、财报，等待Agent自动验证</x:v>
      </x:c>
      <x:c r="C287" t="str">
        <x:v>605599</x:v>
      </x:c>
      <x:c r="D287" t="str">
        <x:v>菜百股份</x:v>
      </x:c>
      <x:c r="E287" t="str">
        <x:v>主板</x:v>
      </x:c>
      <x:c r="F287" t="str">
        <x:v>待行业映射</x:v>
      </x:c>
      <x:c r="G287" t="str">
        <x:v>当前全市场行情快照缺少 PB；只能作为待补全研究队列，不得按完整估值条件生成交易建议。</x:v>
      </x:c>
      <x:c r="H287" t="n">
        <x:v>14.9</x:v>
      </x:c>
      <x:c r="I287" t="n">
        <x:v>10.43</x:v>
      </x:c>
      <x:c r="J287"/>
      <x:c r="K287" t="str">
        <x:v>待归档官方财报</x:v>
      </x:c>
      <x:c r="L287" t="str">
        <x:v>AkShare / Tencent all-A market snapshot</x:v>
      </x:c>
      <x:c r="M287" t="str">
        <x:v>ProxyError: primary market source unavailable; see source_id for full audit.</x:v>
      </x:c>
      <x:c r="N287" t="str">
        <x:v>0</x:v>
      </x:c>
      <x:c r="O287" t="str">
        <x:v>0fd6ad2d-3389-4e70-8974-eb85ee223eeb</x:v>
      </x:c>
      <x:c r="P287" t="str">
        <x:v>2026-09-04</x:v>
      </x:c>
    </x:row>
    <x:row r="288">
      <x:c r="A288" t="str">
        <x:v>重点观察</x:v>
      </x:c>
      <x:c r="B288" t="str">
        <x:v>补全 PB、财报，等待Agent自动验证</x:v>
      </x:c>
      <x:c r="C288" t="str">
        <x:v>300773</x:v>
      </x:c>
      <x:c r="D288" t="str">
        <x:v>拉卡拉</x:v>
      </x:c>
      <x:c r="E288" t="str">
        <x:v>创业板</x:v>
      </x:c>
      <x:c r="F288" t="str">
        <x:v>待行业映射</x:v>
      </x:c>
      <x:c r="G288" t="str">
        <x:v>当前全市场行情快照缺少 PB；只能作为待补全研究队列，不得按完整估值条件生成交易建议。</x:v>
      </x:c>
      <x:c r="H288" t="n">
        <x:v>16.9</x:v>
      </x:c>
      <x:c r="I288" t="n">
        <x:v>11.41</x:v>
      </x:c>
      <x:c r="J288"/>
      <x:c r="K288" t="str">
        <x:v>待归档官方财报</x:v>
      </x:c>
      <x:c r="L288" t="str">
        <x:v>AkShare / Tencent all-A market snapshot</x:v>
      </x:c>
      <x:c r="M288" t="str">
        <x:v>ProxyError: primary market source unavailable; see source_id for full audit.</x:v>
      </x:c>
      <x:c r="N288" t="str">
        <x:v>0</x:v>
      </x:c>
      <x:c r="O288" t="str">
        <x:v>0fd6ad2d-3389-4e70-8974-eb85ee223eeb</x:v>
      </x:c>
      <x:c r="P288" t="str">
        <x:v>2026-09-04</x:v>
      </x:c>
    </x:row>
    <x:row r="289">
      <x:c r="A289" t="str">
        <x:v>重点观察</x:v>
      </x:c>
      <x:c r="B289" t="str">
        <x:v>补全 PB、财报，等待Agent自动验证</x:v>
      </x:c>
      <x:c r="C289" t="str">
        <x:v>603444</x:v>
      </x:c>
      <x:c r="D289" t="str">
        <x:v>吉比特</x:v>
      </x:c>
      <x:c r="E289" t="str">
        <x:v>主板</x:v>
      </x:c>
      <x:c r="F289" t="str">
        <x:v>待行业映射</x:v>
      </x:c>
      <x:c r="G289" t="str">
        <x:v>当前全市场行情快照缺少 PB；只能作为待补全研究队列，不得按完整估值条件生成交易建议。</x:v>
      </x:c>
      <x:c r="H289" t="n">
        <x:v>399.9</x:v>
      </x:c>
      <x:c r="I289" t="n">
        <x:v>12.86</x:v>
      </x:c>
      <x:c r="J289"/>
      <x:c r="K289" t="str">
        <x:v>待归档官方财报</x:v>
      </x:c>
      <x:c r="L289" t="str">
        <x:v>AkShare / Tencent all-A market snapshot</x:v>
      </x:c>
      <x:c r="M289" t="str">
        <x:v>ProxyError: primary market source unavailable; see source_id for full audit.</x:v>
      </x:c>
      <x:c r="N289" t="str">
        <x:v>0</x:v>
      </x:c>
      <x:c r="O289" t="str">
        <x:v>0fd6ad2d-3389-4e70-8974-eb85ee223eeb</x:v>
      </x:c>
      <x:c r="P289" t="str">
        <x:v>2026-09-04</x:v>
      </x:c>
    </x:row>
    <x:row r="290">
      <x:c r="A290" t="str">
        <x:v>重点观察</x:v>
      </x:c>
      <x:c r="B290" t="str">
        <x:v>补全 PB、财报，等待Agent自动验证</x:v>
      </x:c>
      <x:c r="C290" t="str">
        <x:v>000027</x:v>
      </x:c>
      <x:c r="D290" t="str">
        <x:v>深圳能源</x:v>
      </x:c>
      <x:c r="E290" t="str">
        <x:v>主板</x:v>
      </x:c>
      <x:c r="F290" t="str">
        <x:v>待行业映射</x:v>
      </x:c>
      <x:c r="G290" t="str">
        <x:v>当前全市场行情快照缺少 PB；只能作为待补全研究队列，不得按完整估值条件生成交易建议。</x:v>
      </x:c>
      <x:c r="H290" t="n">
        <x:v>6.32</x:v>
      </x:c>
      <x:c r="I290" t="n">
        <x:v>13.07</x:v>
      </x:c>
      <x:c r="J290"/>
      <x:c r="K290" t="str">
        <x:v>待归档官方财报</x:v>
      </x:c>
      <x:c r="L290" t="str">
        <x:v>AkShare / Tencent all-A market snapshot</x:v>
      </x:c>
      <x:c r="M290" t="str">
        <x:v>ProxyError: primary market source unavailable; see source_id for full audit.</x:v>
      </x:c>
      <x:c r="N290" t="str">
        <x:v>0</x:v>
      </x:c>
      <x:c r="O290" t="str">
        <x:v>0fd6ad2d-3389-4e70-8974-eb85ee223eeb</x:v>
      </x:c>
      <x:c r="P290" t="str">
        <x:v>2026-09-04</x:v>
      </x:c>
    </x:row>
    <x:row r="291">
      <x:c r="A291" t="str">
        <x:v>重点观察</x:v>
      </x:c>
      <x:c r="B291" t="str">
        <x:v>补全 PB、财报，等待Agent自动验证</x:v>
      </x:c>
      <x:c r="C291" t="str">
        <x:v>600780</x:v>
      </x:c>
      <x:c r="D291" t="str">
        <x:v>通宝能源</x:v>
      </x:c>
      <x:c r="E291" t="str">
        <x:v>主板</x:v>
      </x:c>
      <x:c r="F291" t="str">
        <x:v>待行业映射</x:v>
      </x:c>
      <x:c r="G291" t="str">
        <x:v>当前全市场行情快照缺少 PB；只能作为待补全研究队列，不得按完整估值条件生成交易建议。</x:v>
      </x:c>
      <x:c r="H291" t="n">
        <x:v>6.33</x:v>
      </x:c>
      <x:c r="I291" t="n">
        <x:v>10</x:v>
      </x:c>
      <x:c r="J291"/>
      <x:c r="K291" t="str">
        <x:v>待归档官方财报</x:v>
      </x:c>
      <x:c r="L291" t="str">
        <x:v>AkShare / Tencent all-A market snapshot</x:v>
      </x:c>
      <x:c r="M291" t="str">
        <x:v>ProxyError: primary market source unavailable; see source_id for full audit.</x:v>
      </x:c>
      <x:c r="N291" t="str">
        <x:v>0</x:v>
      </x:c>
      <x:c r="O291" t="str">
        <x:v>0fd6ad2d-3389-4e70-8974-eb85ee223eeb</x:v>
      </x:c>
      <x:c r="P291" t="str">
        <x:v>2026-09-04</x:v>
      </x:c>
    </x:row>
    <x:row r="292">
      <x:c r="A292" t="str">
        <x:v>重点观察</x:v>
      </x:c>
      <x:c r="B292" t="str">
        <x:v>补全 PB、财报，等待Agent自动验证</x:v>
      </x:c>
      <x:c r="C292" t="str">
        <x:v>000528</x:v>
      </x:c>
      <x:c r="D292" t="str">
        <x:v>柳    工</x:v>
      </x:c>
      <x:c r="E292" t="str">
        <x:v>主板</x:v>
      </x:c>
      <x:c r="F292" t="str">
        <x:v>待行业映射</x:v>
      </x:c>
      <x:c r="G292" t="str">
        <x:v>当前全市场行情快照缺少 PB；只能作为待补全研究队列，不得按完整估值条件生成交易建议。</x:v>
      </x:c>
      <x:c r="H292" t="n">
        <x:v>7.94</x:v>
      </x:c>
      <x:c r="I292" t="n">
        <x:v>11.23</x:v>
      </x:c>
      <x:c r="J292"/>
      <x:c r="K292" t="str">
        <x:v>待归档官方财报</x:v>
      </x:c>
      <x:c r="L292" t="str">
        <x:v>AkShare / Tencent all-A market snapshot</x:v>
      </x:c>
      <x:c r="M292" t="str">
        <x:v>ProxyError: primary market source unavailable; see source_id for full audit.</x:v>
      </x:c>
      <x:c r="N292" t="str">
        <x:v>0</x:v>
      </x:c>
      <x:c r="O292" t="str">
        <x:v>0fd6ad2d-3389-4e70-8974-eb85ee223eeb</x:v>
      </x:c>
      <x:c r="P292" t="str">
        <x:v>2026-09-04</x:v>
      </x:c>
    </x:row>
    <x:row r="293">
      <x:c r="A293" t="str">
        <x:v>重点观察</x:v>
      </x:c>
      <x:c r="B293" t="str">
        <x:v>补全 PB、财报，等待Agent自动验证</x:v>
      </x:c>
      <x:c r="C293" t="str">
        <x:v>600639</x:v>
      </x:c>
      <x:c r="D293" t="str">
        <x:v>浦东金桥</x:v>
      </x:c>
      <x:c r="E293" t="str">
        <x:v>主板</x:v>
      </x:c>
      <x:c r="F293" t="str">
        <x:v>待行业映射</x:v>
      </x:c>
      <x:c r="G293" t="str">
        <x:v>当前全市场行情快照缺少 PB；只能作为待补全研究队列，不得按完整估值条件生成交易建议。</x:v>
      </x:c>
      <x:c r="H293" t="n">
        <x:v>9.58</x:v>
      </x:c>
      <x:c r="I293" t="n">
        <x:v>10.53</x:v>
      </x:c>
      <x:c r="J293"/>
      <x:c r="K293" t="str">
        <x:v>待归档官方财报</x:v>
      </x:c>
      <x:c r="L293" t="str">
        <x:v>AkShare / Tencent all-A market snapshot</x:v>
      </x:c>
      <x:c r="M293" t="str">
        <x:v>ProxyError: primary market source unavailable; see source_id for full audit.</x:v>
      </x:c>
      <x:c r="N293" t="str">
        <x:v>0</x:v>
      </x:c>
      <x:c r="O293" t="str">
        <x:v>0fd6ad2d-3389-4e70-8974-eb85ee223eeb</x:v>
      </x:c>
      <x:c r="P293" t="str">
        <x:v>2026-09-04</x:v>
      </x:c>
    </x:row>
    <x:row r="294">
      <x:c r="A294" t="str">
        <x:v>重点观察</x:v>
      </x:c>
      <x:c r="B294" t="str">
        <x:v>补全 PB、财报，等待Agent自动验证</x:v>
      </x:c>
      <x:c r="C294" t="str">
        <x:v>002034</x:v>
      </x:c>
      <x:c r="D294" t="str">
        <x:v>旺能环境</x:v>
      </x:c>
      <x:c r="E294" t="str">
        <x:v>主板</x:v>
      </x:c>
      <x:c r="F294" t="str">
        <x:v>待行业映射</x:v>
      </x:c>
      <x:c r="G294" t="str">
        <x:v>当前全市场行情快照缺少 PB；只能作为待补全研究队列，不得按完整估值条件生成交易建议。</x:v>
      </x:c>
      <x:c r="H294" t="n">
        <x:v>14.83</x:v>
      </x:c>
      <x:c r="I294" t="n">
        <x:v>10.18</x:v>
      </x:c>
      <x:c r="J294"/>
      <x:c r="K294" t="str">
        <x:v>待归档官方财报</x:v>
      </x:c>
      <x:c r="L294" t="str">
        <x:v>AkShare / Tencent all-A market snapshot</x:v>
      </x:c>
      <x:c r="M294" t="str">
        <x:v>ProxyError: primary market source unavailable; see source_id for full audit.</x:v>
      </x:c>
      <x:c r="N294" t="str">
        <x:v>0</x:v>
      </x:c>
      <x:c r="O294" t="str">
        <x:v>0fd6ad2d-3389-4e70-8974-eb85ee223eeb</x:v>
      </x:c>
      <x:c r="P294" t="str">
        <x:v>2026-09-04</x:v>
      </x:c>
    </x:row>
    <x:row r="295">
      <x:c r="A295" t="str">
        <x:v>重点观察</x:v>
      </x:c>
      <x:c r="B295" t="str">
        <x:v>证券公司专用模型待核验</x:v>
      </x:c>
      <x:c r="C295" t="str">
        <x:v>601878</x:v>
      </x:c>
      <x:c r="D295" t="str">
        <x:v>浙商证券</x:v>
      </x:c>
      <x:c r="E295" t="str">
        <x:v>主板</x:v>
      </x:c>
      <x:c r="F295" t="str">
        <x:v>待行业映射</x:v>
      </x:c>
      <x:c r="G295" t="str">
        <x:v>名称/板块初步识别为证券公司；须以同一报告期官方披露复核专用指标和行业分类，禁止套用通用企业现金流、负债率或 EV/EBITDA 规则。 当前公共行情快照缺少 PB，须在专用模型复核中补齐。</x:v>
      </x:c>
      <x:c r="H295" t="n">
        <x:v>9.47</x:v>
      </x:c>
      <x:c r="I295" t="n">
        <x:v>14.94</x:v>
      </x:c>
      <x:c r="J295"/>
      <x:c r="K295" t="str">
        <x:v>待归档官方财报</x:v>
      </x:c>
      <x:c r="L295" t="str">
        <x:v>AkShare / Tencent all-A market snapshot</x:v>
      </x:c>
      <x:c r="M295" t="str">
        <x:v>ProxyError: primary market source unavailable; see source_id for full audit.</x:v>
      </x:c>
      <x:c r="N295" t="str">
        <x:v>0</x:v>
      </x:c>
      <x:c r="O295" t="str">
        <x:v>0fd6ad2d-3389-4e70-8974-eb85ee223eeb</x:v>
      </x:c>
      <x:c r="P295" t="str">
        <x:v>2026-09-04</x:v>
      </x:c>
    </x:row>
    <x:row r="296">
      <x:c r="A296" t="str">
        <x:v>重点观察</x:v>
      </x:c>
      <x:c r="B296" t="str">
        <x:v>补全 PB、财报，等待Agent自动验证</x:v>
      </x:c>
      <x:c r="C296" t="str">
        <x:v>601107</x:v>
      </x:c>
      <x:c r="D296" t="str">
        <x:v>四川成渝</x:v>
      </x:c>
      <x:c r="E296" t="str">
        <x:v>主板</x:v>
      </x:c>
      <x:c r="F296" t="str">
        <x:v>待行业映射</x:v>
      </x:c>
      <x:c r="G296" t="str">
        <x:v>当前全市场行情快照缺少 PB；只能作为待补全研究队列，不得按完整估值条件生成交易建议。</x:v>
      </x:c>
      <x:c r="H296" t="n">
        <x:v>5.79</x:v>
      </x:c>
      <x:c r="I296" t="n">
        <x:v>11.57</x:v>
      </x:c>
      <x:c r="J296"/>
      <x:c r="K296" t="str">
        <x:v>待归档官方财报</x:v>
      </x:c>
      <x:c r="L296" t="str">
        <x:v>AkShare / Tencent all-A market snapshot</x:v>
      </x:c>
      <x:c r="M296" t="str">
        <x:v>ProxyError: primary market source unavailable; see source_id for full audit.</x:v>
      </x:c>
      <x:c r="N296" t="str">
        <x:v>0</x:v>
      </x:c>
      <x:c r="O296" t="str">
        <x:v>0fd6ad2d-3389-4e70-8974-eb85ee223eeb</x:v>
      </x:c>
      <x:c r="P296" t="str">
        <x:v>2026-09-04</x:v>
      </x:c>
    </x:row>
    <x:row r="297">
      <x:c r="A297" t="str">
        <x:v>重点观察</x:v>
      </x:c>
      <x:c r="B297" t="str">
        <x:v>补全 PB、财报，等待Agent自动验证</x:v>
      </x:c>
      <x:c r="C297" t="str">
        <x:v>603071</x:v>
      </x:c>
      <x:c r="D297" t="str">
        <x:v>物产环能</x:v>
      </x:c>
      <x:c r="E297" t="str">
        <x:v>主板</x:v>
      </x:c>
      <x:c r="F297" t="str">
        <x:v>待行业映射</x:v>
      </x:c>
      <x:c r="G297" t="str">
        <x:v>当前全市场行情快照缺少 PB；只能作为待补全研究队列，不得按完整估值条件生成交易建议。</x:v>
      </x:c>
      <x:c r="H297" t="n">
        <x:v>12.69</x:v>
      </x:c>
      <x:c r="I297" t="n">
        <x:v>10.15</x:v>
      </x:c>
      <x:c r="J297"/>
      <x:c r="K297" t="str">
        <x:v>待归档官方财报</x:v>
      </x:c>
      <x:c r="L297" t="str">
        <x:v>AkShare / Tencent all-A market snapshot</x:v>
      </x:c>
      <x:c r="M297" t="str">
        <x:v>ProxyError: primary market source unavailable; see source_id for full audit.</x:v>
      </x:c>
      <x:c r="N297" t="str">
        <x:v>0</x:v>
      </x:c>
      <x:c r="O297" t="str">
        <x:v>0fd6ad2d-3389-4e70-8974-eb85ee223eeb</x:v>
      </x:c>
      <x:c r="P297" t="str">
        <x:v>2026-09-04</x:v>
      </x:c>
    </x:row>
    <x:row r="298">
      <x:c r="A298" t="str">
        <x:v>重点观察</x:v>
      </x:c>
      <x:c r="B298" t="str">
        <x:v>补全 PB、财报，等待Agent自动验证</x:v>
      </x:c>
      <x:c r="C298" t="str">
        <x:v>603613</x:v>
      </x:c>
      <x:c r="D298" t="str">
        <x:v>国联股份</x:v>
      </x:c>
      <x:c r="E298" t="str">
        <x:v>主板</x:v>
      </x:c>
      <x:c r="F298" t="str">
        <x:v>待行业映射</x:v>
      </x:c>
      <x:c r="G298" t="str">
        <x:v>当前全市场行情快照缺少 PB；只能作为待补全研究队列，不得按完整估值条件生成交易建议。</x:v>
      </x:c>
      <x:c r="H298" t="n">
        <x:v>20.68</x:v>
      </x:c>
      <x:c r="I298" t="n">
        <x:v>11.22</x:v>
      </x:c>
      <x:c r="J298"/>
      <x:c r="K298" t="str">
        <x:v>待归档官方财报</x:v>
      </x:c>
      <x:c r="L298" t="str">
        <x:v>AkShare / Tencent all-A market snapshot</x:v>
      </x:c>
      <x:c r="M298" t="str">
        <x:v>ProxyError: primary market source unavailable; see source_id for full audit.</x:v>
      </x:c>
      <x:c r="N298" t="str">
        <x:v>0</x:v>
      </x:c>
      <x:c r="O298" t="str">
        <x:v>0fd6ad2d-3389-4e70-8974-eb85ee223eeb</x:v>
      </x:c>
      <x:c r="P298" t="str">
        <x:v>2026-09-04</x:v>
      </x:c>
    </x:row>
    <x:row r="299">
      <x:c r="A299" t="str">
        <x:v>重点观察</x:v>
      </x:c>
      <x:c r="B299" t="str">
        <x:v>补全 PB、财报，等待Agent自动验证</x:v>
      </x:c>
      <x:c r="C299" t="str">
        <x:v>600295</x:v>
      </x:c>
      <x:c r="D299" t="str">
        <x:v>鄂尔多斯</x:v>
      </x:c>
      <x:c r="E299" t="str">
        <x:v>主板</x:v>
      </x:c>
      <x:c r="F299" t="str">
        <x:v>待行业映射</x:v>
      </x:c>
      <x:c r="G299" t="str">
        <x:v>当前全市场行情快照缺少 PB；只能作为待补全研究队列，不得按完整估值条件生成交易建议。</x:v>
      </x:c>
      <x:c r="H299" t="n">
        <x:v>14.71</x:v>
      </x:c>
      <x:c r="I299" t="n">
        <x:v>14.76</x:v>
      </x:c>
      <x:c r="J299"/>
      <x:c r="K299" t="str">
        <x:v>待归档官方财报</x:v>
      </x:c>
      <x:c r="L299" t="str">
        <x:v>AkShare / Tencent all-A market snapshot</x:v>
      </x:c>
      <x:c r="M299" t="str">
        <x:v>ProxyError: primary market source unavailable; see source_id for full audit.</x:v>
      </x:c>
      <x:c r="N299" t="str">
        <x:v>0</x:v>
      </x:c>
      <x:c r="O299" t="str">
        <x:v>0fd6ad2d-3389-4e70-8974-eb85ee223eeb</x:v>
      </x:c>
      <x:c r="P299" t="str">
        <x:v>2026-09-04</x:v>
      </x:c>
    </x:row>
    <x:row r="300">
      <x:c r="A300" t="str">
        <x:v>重点观察</x:v>
      </x:c>
      <x:c r="B300" t="str">
        <x:v>补全 PB、财报，等待Agent自动验证</x:v>
      </x:c>
      <x:c r="C300" t="str">
        <x:v>600717</x:v>
      </x:c>
      <x:c r="D300" t="str">
        <x:v>天津港</x:v>
      </x:c>
      <x:c r="E300" t="str">
        <x:v>主板</x:v>
      </x:c>
      <x:c r="F300" t="str">
        <x:v>待行业映射</x:v>
      </x:c>
      <x:c r="G300" t="str">
        <x:v>当前全市场行情快照缺少 PB；只能作为待补全研究队列，不得按完整估值条件生成交易建议。</x:v>
      </x:c>
      <x:c r="H300" t="n">
        <x:v>4.36</x:v>
      </x:c>
      <x:c r="I300" t="n">
        <x:v>10.93</x:v>
      </x:c>
      <x:c r="J300"/>
      <x:c r="K300" t="str">
        <x:v>待归档官方财报</x:v>
      </x:c>
      <x:c r="L300" t="str">
        <x:v>AkShare / Tencent all-A market snapshot</x:v>
      </x:c>
      <x:c r="M300" t="str">
        <x:v>ProxyError: primary market source unavailable; see source_id for full audit.</x:v>
      </x:c>
      <x:c r="N300" t="str">
        <x:v>0</x:v>
      </x:c>
      <x:c r="O300" t="str">
        <x:v>0fd6ad2d-3389-4e70-8974-eb85ee223eeb</x:v>
      </x:c>
      <x:c r="P300" t="str">
        <x:v>2026-09-04</x:v>
      </x:c>
    </x:row>
    <x:row r="301">
      <x:c r="A301" t="str">
        <x:v>重点观察</x:v>
      </x:c>
      <x:c r="B301" t="str">
        <x:v>补全 PB、财报，等待Agent自动验证</x:v>
      </x:c>
      <x:c r="C301" t="str">
        <x:v>002170</x:v>
      </x:c>
      <x:c r="D301" t="str">
        <x:v>芭田股份</x:v>
      </x:c>
      <x:c r="E301" t="str">
        <x:v>主板</x:v>
      </x:c>
      <x:c r="F301" t="str">
        <x:v>待行业映射</x:v>
      </x:c>
      <x:c r="G301" t="str">
        <x:v>当前全市场行情快照缺少 PB；只能作为待补全研究队列，不得按完整估值条件生成交易建议。</x:v>
      </x:c>
      <x:c r="H301" t="n">
        <x:v>11.73</x:v>
      </x:c>
      <x:c r="I301" t="n">
        <x:v>10.77</x:v>
      </x:c>
      <x:c r="J301"/>
      <x:c r="K301" t="str">
        <x:v>待归档官方财报</x:v>
      </x:c>
      <x:c r="L301" t="str">
        <x:v>AkShare / Tencent all-A market snapshot</x:v>
      </x:c>
      <x:c r="M301" t="str">
        <x:v>ProxyError: primary market source unavailable; see source_id for full audit.</x:v>
      </x:c>
      <x:c r="N301" t="str">
        <x:v>0</x:v>
      </x:c>
      <x:c r="O301" t="str">
        <x:v>0fd6ad2d-3389-4e70-8974-eb85ee223eeb</x:v>
      </x:c>
      <x:c r="P301" t="str">
        <x:v>2026-09-04</x:v>
      </x:c>
    </x:row>
    <x:row r="302">
      <x:c r="A302" t="str">
        <x:v>重点观察</x:v>
      </x:c>
      <x:c r="B302" t="str">
        <x:v>补全 PB、财报，等待Agent自动验证</x:v>
      </x:c>
      <x:c r="C302" t="str">
        <x:v>600998</x:v>
      </x:c>
      <x:c r="D302" t="str">
        <x:v>九州通</x:v>
      </x:c>
      <x:c r="E302" t="str">
        <x:v>主板</x:v>
      </x:c>
      <x:c r="F302" t="str">
        <x:v>待行业映射</x:v>
      </x:c>
      <x:c r="G302" t="str">
        <x:v>当前全市场行情快照缺少 PB；只能作为待补全研究队列，不得按完整估值条件生成交易建议。</x:v>
      </x:c>
      <x:c r="H302" t="n">
        <x:v>5.05</x:v>
      </x:c>
      <x:c r="I302" t="n">
        <x:v>12.67</x:v>
      </x:c>
      <x:c r="J302"/>
      <x:c r="K302" t="str">
        <x:v>待归档官方财报</x:v>
      </x:c>
      <x:c r="L302" t="str">
        <x:v>AkShare / Tencent all-A market snapshot</x:v>
      </x:c>
      <x:c r="M302" t="str">
        <x:v>ProxyError: primary market source unavailable; see source_id for full audit.</x:v>
      </x:c>
      <x:c r="N302" t="str">
        <x:v>0</x:v>
      </x:c>
      <x:c r="O302" t="str">
        <x:v>0fd6ad2d-3389-4e70-8974-eb85ee223eeb</x:v>
      </x:c>
      <x:c r="P302" t="str">
        <x:v>2026-09-04</x:v>
      </x:c>
    </x:row>
    <x:row r="303">
      <x:c r="A303" t="str">
        <x:v>重点观察</x:v>
      </x:c>
      <x:c r="B303" t="str">
        <x:v>补全 PB、财报，等待Agent自动验证</x:v>
      </x:c>
      <x:c r="C303" t="str">
        <x:v>002497</x:v>
      </x:c>
      <x:c r="D303" t="str">
        <x:v>雅化集团</x:v>
      </x:c>
      <x:c r="E303" t="str">
        <x:v>主板</x:v>
      </x:c>
      <x:c r="F303" t="str">
        <x:v>待行业映射</x:v>
      </x:c>
      <x:c r="G303" t="str">
        <x:v>当前全市场行情快照缺少 PB；只能作为待补全研究队列，不得按完整估值条件生成交易建议。</x:v>
      </x:c>
      <x:c r="H303" t="n">
        <x:v>17.88</x:v>
      </x:c>
      <x:c r="I303" t="n">
        <x:v>12.03</x:v>
      </x:c>
      <x:c r="J303"/>
      <x:c r="K303" t="str">
        <x:v>待归档官方财报</x:v>
      </x:c>
      <x:c r="L303" t="str">
        <x:v>AkShare / Tencent all-A market snapshot</x:v>
      </x:c>
      <x:c r="M303" t="str">
        <x:v>ProxyError: primary market source unavailable; see source_id for full audit.</x:v>
      </x:c>
      <x:c r="N303" t="str">
        <x:v>0</x:v>
      </x:c>
      <x:c r="O303" t="str">
        <x:v>0fd6ad2d-3389-4e70-8974-eb85ee223eeb</x:v>
      </x:c>
      <x:c r="P303" t="str">
        <x:v>2026-09-04</x:v>
      </x:c>
    </x:row>
    <x:row r="304">
      <x:c r="A304" t="str">
        <x:v>重点观察</x:v>
      </x:c>
      <x:c r="B304" t="str">
        <x:v>补全 PB、财报，等待Agent自动验证</x:v>
      </x:c>
      <x:c r="C304" t="str">
        <x:v>601827</x:v>
      </x:c>
      <x:c r="D304" t="str">
        <x:v>三峰环境</x:v>
      </x:c>
      <x:c r="E304" t="str">
        <x:v>主板</x:v>
      </x:c>
      <x:c r="F304" t="str">
        <x:v>待行业映射</x:v>
      </x:c>
      <x:c r="G304" t="str">
        <x:v>当前全市场行情快照缺少 PB；只能作为待补全研究队列，不得按完整估值条件生成交易建议。</x:v>
      </x:c>
      <x:c r="H304" t="n">
        <x:v>8.04</x:v>
      </x:c>
      <x:c r="I304" t="n">
        <x:v>11.08</x:v>
      </x:c>
      <x:c r="J304"/>
      <x:c r="K304" t="str">
        <x:v>待归档官方财报</x:v>
      </x:c>
      <x:c r="L304" t="str">
        <x:v>AkShare / Tencent all-A market snapshot</x:v>
      </x:c>
      <x:c r="M304" t="str">
        <x:v>ProxyError: primary market source unavailable; see source_id for full audit.</x:v>
      </x:c>
      <x:c r="N304" t="str">
        <x:v>0</x:v>
      </x:c>
      <x:c r="O304" t="str">
        <x:v>0fd6ad2d-3389-4e70-8974-eb85ee223eeb</x:v>
      </x:c>
      <x:c r="P304" t="str">
        <x:v>2026-09-04</x:v>
      </x:c>
    </x:row>
    <x:row r="305">
      <x:c r="A305" t="str">
        <x:v>重点观察</x:v>
      </x:c>
      <x:c r="B305" t="str">
        <x:v>补全 PB、财报，等待Agent自动验证</x:v>
      </x:c>
      <x:c r="C305" t="str">
        <x:v>600350</x:v>
      </x:c>
      <x:c r="D305" t="str">
        <x:v>山东高速</x:v>
      </x:c>
      <x:c r="E305" t="str">
        <x:v>主板</x:v>
      </x:c>
      <x:c r="F305" t="str">
        <x:v>待行业映射</x:v>
      </x:c>
      <x:c r="G305" t="str">
        <x:v>当前全市场行情快照缺少 PB；只能作为待补全研究队列，不得按完整估值条件生成交易建议。</x:v>
      </x:c>
      <x:c r="H305" t="n">
        <x:v>10.17</x:v>
      </x:c>
      <x:c r="I305" t="n">
        <x:v>15.93</x:v>
      </x:c>
      <x:c r="J305"/>
      <x:c r="K305" t="str">
        <x:v>待归档官方财报</x:v>
      </x:c>
      <x:c r="L305" t="str">
        <x:v>AkShare / Tencent all-A market snapshot</x:v>
      </x:c>
      <x:c r="M305" t="str">
        <x:v>ProxyError: primary market source unavailable; see source_id for full audit.</x:v>
      </x:c>
      <x:c r="N305" t="str">
        <x:v>0</x:v>
      </x:c>
      <x:c r="O305" t="str">
        <x:v>0fd6ad2d-3389-4e70-8974-eb85ee223eeb</x:v>
      </x:c>
      <x:c r="P305" t="str">
        <x:v>2026-09-04</x:v>
      </x:c>
    </x:row>
    <x:row r="306">
      <x:c r="A306" t="str">
        <x:v>重点观察</x:v>
      </x:c>
      <x:c r="B306" t="str">
        <x:v>补全 PB、财报，等待Agent自动验证</x:v>
      </x:c>
      <x:c r="C306" t="str">
        <x:v>601000</x:v>
      </x:c>
      <x:c r="D306" t="str">
        <x:v>唐山港</x:v>
      </x:c>
      <x:c r="E306" t="str">
        <x:v>主板</x:v>
      </x:c>
      <x:c r="F306" t="str">
        <x:v>待行业映射</x:v>
      </x:c>
      <x:c r="G306" t="str">
        <x:v>当前全市场行情快照缺少 PB；只能作为待补全研究队列，不得按完整估值条件生成交易建议。</x:v>
      </x:c>
      <x:c r="H306" t="n">
        <x:v>4.69</x:v>
      </x:c>
      <x:c r="I306" t="n">
        <x:v>13.1</x:v>
      </x:c>
      <x:c r="J306"/>
      <x:c r="K306" t="str">
        <x:v>待归档官方财报</x:v>
      </x:c>
      <x:c r="L306" t="str">
        <x:v>AkShare / Tencent all-A market snapshot</x:v>
      </x:c>
      <x:c r="M306" t="str">
        <x:v>ProxyError: primary market source unavailable; see source_id for full audit.</x:v>
      </x:c>
      <x:c r="N306" t="str">
        <x:v>0</x:v>
      </x:c>
      <x:c r="O306" t="str">
        <x:v>0fd6ad2d-3389-4e70-8974-eb85ee223eeb</x:v>
      </x:c>
      <x:c r="P306" t="str">
        <x:v>2026-09-04</x:v>
      </x:c>
    </x:row>
    <x:row r="307">
      <x:c r="A307" t="str">
        <x:v>重点观察</x:v>
      </x:c>
      <x:c r="B307" t="str">
        <x:v>补全 PB、财报，等待Agent自动验证</x:v>
      </x:c>
      <x:c r="C307" t="str">
        <x:v>600060</x:v>
      </x:c>
      <x:c r="D307" t="str">
        <x:v>海信视像</x:v>
      </x:c>
      <x:c r="E307" t="str">
        <x:v>主板</x:v>
      </x:c>
      <x:c r="F307" t="str">
        <x:v>待行业映射</x:v>
      </x:c>
      <x:c r="G307" t="str">
        <x:v>当前全市场行情快照缺少 PB；只能作为待补全研究队列，不得按完整估值条件生成交易建议。</x:v>
      </x:c>
      <x:c r="H307" t="n">
        <x:v>28.6</x:v>
      </x:c>
      <x:c r="I307" t="n">
        <x:v>14.39</x:v>
      </x:c>
      <x:c r="J307"/>
      <x:c r="K307" t="str">
        <x:v>待归档官方财报</x:v>
      </x:c>
      <x:c r="L307" t="str">
        <x:v>AkShare / Tencent all-A market snapshot</x:v>
      </x:c>
      <x:c r="M307" t="str">
        <x:v>ProxyError: primary market source unavailable; see source_id for full audit.</x:v>
      </x:c>
      <x:c r="N307" t="str">
        <x:v>0</x:v>
      </x:c>
      <x:c r="O307" t="str">
        <x:v>0fd6ad2d-3389-4e70-8974-eb85ee223eeb</x:v>
      </x:c>
      <x:c r="P307" t="str">
        <x:v>2026-09-04</x:v>
      </x:c>
    </x:row>
    <x:row r="308">
      <x:c r="A308" t="str">
        <x:v>重点观察</x:v>
      </x:c>
      <x:c r="B308" t="str">
        <x:v>补全 PB、财报，等待Agent自动验证</x:v>
      </x:c>
      <x:c r="C308" t="str">
        <x:v>000975</x:v>
      </x:c>
      <x:c r="D308" t="str">
        <x:v>山金国际</x:v>
      </x:c>
      <x:c r="E308" t="str">
        <x:v>主板</x:v>
      </x:c>
      <x:c r="F308" t="str">
        <x:v>待行业映射</x:v>
      </x:c>
      <x:c r="G308" t="str">
        <x:v>当前全市场行情快照缺少 PB；只能作为待补全研究队列，不得按完整估值条件生成交易建议。</x:v>
      </x:c>
      <x:c r="H308" t="n">
        <x:v>26.25</x:v>
      </x:c>
      <x:c r="I308" t="n">
        <x:v>19.19</x:v>
      </x:c>
      <x:c r="J308"/>
      <x:c r="K308" t="str">
        <x:v>待归档官方财报</x:v>
      </x:c>
      <x:c r="L308" t="str">
        <x:v>AkShare / Tencent all-A market snapshot</x:v>
      </x:c>
      <x:c r="M308" t="str">
        <x:v>ProxyError: primary market source unavailable; see source_id for full audit.</x:v>
      </x:c>
      <x:c r="N308" t="str">
        <x:v>0</x:v>
      </x:c>
      <x:c r="O308" t="str">
        <x:v>0fd6ad2d-3389-4e70-8974-eb85ee223eeb</x:v>
      </x:c>
      <x:c r="P308" t="str">
        <x:v>2026-09-04</x:v>
      </x:c>
    </x:row>
    <x:row r="309">
      <x:c r="A309" t="str">
        <x:v>重点观察</x:v>
      </x:c>
      <x:c r="B309" t="str">
        <x:v>补全 PB、财报，等待Agent自动验证</x:v>
      </x:c>
      <x:c r="C309" t="str">
        <x:v>002061</x:v>
      </x:c>
      <x:c r="D309" t="str">
        <x:v>浙江交科</x:v>
      </x:c>
      <x:c r="E309" t="str">
        <x:v>主板</x:v>
      </x:c>
      <x:c r="F309" t="str">
        <x:v>待行业映射</x:v>
      </x:c>
      <x:c r="G309" t="str">
        <x:v>当前全市场行情快照缺少 PB；只能作为待补全研究队列，不得按完整估值条件生成交易建议。</x:v>
      </x:c>
      <x:c r="H309" t="n">
        <x:v>3.47</x:v>
      </x:c>
      <x:c r="I309" t="n">
        <x:v>10.66</x:v>
      </x:c>
      <x:c r="J309"/>
      <x:c r="K309" t="str">
        <x:v>待归档官方财报</x:v>
      </x:c>
      <x:c r="L309" t="str">
        <x:v>AkShare / Tencent all-A market snapshot</x:v>
      </x:c>
      <x:c r="M309" t="str">
        <x:v>ProxyError: primary market source unavailable; see source_id for full audit.</x:v>
      </x:c>
      <x:c r="N309" t="str">
        <x:v>0</x:v>
      </x:c>
      <x:c r="O309" t="str">
        <x:v>0fd6ad2d-3389-4e70-8974-eb85ee223eeb</x:v>
      </x:c>
      <x:c r="P309" t="str">
        <x:v>2026-09-04</x:v>
      </x:c>
    </x:row>
    <x:row r="310">
      <x:c r="A310" t="str">
        <x:v>重点观察</x:v>
      </x:c>
      <x:c r="B310" t="str">
        <x:v>补全 PB、财报，等待Agent自动验证</x:v>
      </x:c>
      <x:c r="C310" t="str">
        <x:v>600583</x:v>
      </x:c>
      <x:c r="D310" t="str">
        <x:v>海油工程</x:v>
      </x:c>
      <x:c r="E310" t="str">
        <x:v>主板</x:v>
      </x:c>
      <x:c r="F310" t="str">
        <x:v>待行业映射</x:v>
      </x:c>
      <x:c r="G310" t="str">
        <x:v>当前全市场行情快照缺少 PB；只能作为待补全研究队列，不得按完整估值条件生成交易建议。</x:v>
      </x:c>
      <x:c r="H310" t="n">
        <x:v>6.15</x:v>
      </x:c>
      <x:c r="I310" t="n">
        <x:v>13.09</x:v>
      </x:c>
      <x:c r="J310"/>
      <x:c r="K310" t="str">
        <x:v>待归档官方财报</x:v>
      </x:c>
      <x:c r="L310" t="str">
        <x:v>AkShare / Tencent all-A market snapshot</x:v>
      </x:c>
      <x:c r="M310" t="str">
        <x:v>ProxyError: primary market source unavailable; see source_id for full audit.</x:v>
      </x:c>
      <x:c r="N310" t="str">
        <x:v>0</x:v>
      </x:c>
      <x:c r="O310" t="str">
        <x:v>0fd6ad2d-3389-4e70-8974-eb85ee223eeb</x:v>
      </x:c>
      <x:c r="P310" t="str">
        <x:v>2026-09-04</x:v>
      </x:c>
    </x:row>
    <x:row r="311">
      <x:c r="A311" t="str">
        <x:v>重点观察</x:v>
      </x:c>
      <x:c r="B311" t="str">
        <x:v>补全 PB、财报，等待Agent自动验证</x:v>
      </x:c>
      <x:c r="C311" t="str">
        <x:v>603565</x:v>
      </x:c>
      <x:c r="D311" t="str">
        <x:v>中谷物流</x:v>
      </x:c>
      <x:c r="E311" t="str">
        <x:v>主板</x:v>
      </x:c>
      <x:c r="F311" t="str">
        <x:v>待行业映射</x:v>
      </x:c>
      <x:c r="G311" t="str">
        <x:v>当前全市场行情快照缺少 PB；只能作为待补全研究队列，不得按完整估值条件生成交易建议。</x:v>
      </x:c>
      <x:c r="H311" t="n">
        <x:v>12.4</x:v>
      </x:c>
      <x:c r="I311" t="n">
        <x:v>12.94</x:v>
      </x:c>
      <x:c r="J311"/>
      <x:c r="K311" t="str">
        <x:v>待归档官方财报</x:v>
      </x:c>
      <x:c r="L311" t="str">
        <x:v>AkShare / Tencent all-A market snapshot</x:v>
      </x:c>
      <x:c r="M311" t="str">
        <x:v>ProxyError: primary market source unavailable; see source_id for full audit.</x:v>
      </x:c>
      <x:c r="N311" t="str">
        <x:v>0</x:v>
      </x:c>
      <x:c r="O311" t="str">
        <x:v>0fd6ad2d-3389-4e70-8974-eb85ee223eeb</x:v>
      </x:c>
      <x:c r="P311" t="str">
        <x:v>2026-09-04</x:v>
      </x:c>
    </x:row>
    <x:row r="312">
      <x:c r="A312" t="str">
        <x:v>重点观察</x:v>
      </x:c>
      <x:c r="B312" t="str">
        <x:v>补全 PB、财报，等待Agent自动验证</x:v>
      </x:c>
      <x:c r="C312" t="str">
        <x:v>600428</x:v>
      </x:c>
      <x:c r="D312" t="str">
        <x:v>中远海特</x:v>
      </x:c>
      <x:c r="E312" t="str">
        <x:v>主板</x:v>
      </x:c>
      <x:c r="F312" t="str">
        <x:v>待行业映射</x:v>
      </x:c>
      <x:c r="G312" t="str">
        <x:v>当前全市场行情快照缺少 PB；只能作为待补全研究队列，不得按完整估值条件生成交易建议。</x:v>
      </x:c>
      <x:c r="H312" t="n">
        <x:v>11.66</x:v>
      </x:c>
      <x:c r="I312" t="n">
        <x:v>13.75</x:v>
      </x:c>
      <x:c r="J312"/>
      <x:c r="K312" t="str">
        <x:v>待归档官方财报</x:v>
      </x:c>
      <x:c r="L312" t="str">
        <x:v>AkShare / Tencent all-A market snapshot</x:v>
      </x:c>
      <x:c r="M312" t="str">
        <x:v>ProxyError: primary market source unavailable; see source_id for full audit.</x:v>
      </x:c>
      <x:c r="N312" t="str">
        <x:v>0</x:v>
      </x:c>
      <x:c r="O312" t="str">
        <x:v>0fd6ad2d-3389-4e70-8974-eb85ee223eeb</x:v>
      </x:c>
      <x:c r="P312" t="str">
        <x:v>2026-09-04</x:v>
      </x:c>
    </x:row>
    <x:row r="313">
      <x:c r="A313" t="str">
        <x:v>重点观察</x:v>
      </x:c>
      <x:c r="B313" t="str">
        <x:v>补全 PB、财报，等待Agent自动验证</x:v>
      </x:c>
      <x:c r="C313" t="str">
        <x:v>002444</x:v>
      </x:c>
      <x:c r="D313" t="str">
        <x:v>巨星科技</x:v>
      </x:c>
      <x:c r="E313" t="str">
        <x:v>主板</x:v>
      </x:c>
      <x:c r="F313" t="str">
        <x:v>待行业映射</x:v>
      </x:c>
      <x:c r="G313" t="str">
        <x:v>当前全市场行情快照缺少 PB；只能作为待补全研究队列，不得按完整估值条件生成交易建议。</x:v>
      </x:c>
      <x:c r="H313" t="n">
        <x:v>30.55</x:v>
      </x:c>
      <x:c r="I313" t="n">
        <x:v>14.36</x:v>
      </x:c>
      <x:c r="J313"/>
      <x:c r="K313" t="str">
        <x:v>待归档官方财报</x:v>
      </x:c>
      <x:c r="L313" t="str">
        <x:v>AkShare / Tencent all-A market snapshot</x:v>
      </x:c>
      <x:c r="M313" t="str">
        <x:v>ProxyError: primary market source unavailable; see source_id for full audit.</x:v>
      </x:c>
      <x:c r="N313" t="str">
        <x:v>0</x:v>
      </x:c>
      <x:c r="O313" t="str">
        <x:v>0fd6ad2d-3389-4e70-8974-eb85ee223eeb</x:v>
      </x:c>
      <x:c r="P313" t="str">
        <x:v>2026-09-04</x:v>
      </x:c>
    </x:row>
    <x:row r="314">
      <x:c r="A314" t="str">
        <x:v>重点观察</x:v>
      </x:c>
      <x:c r="B314" t="str">
        <x:v>补全 PB、财报，等待Agent自动验证</x:v>
      </x:c>
      <x:c r="C314" t="str">
        <x:v>601083</x:v>
      </x:c>
      <x:c r="D314" t="str">
        <x:v>锦江航运</x:v>
      </x:c>
      <x:c r="E314" t="str">
        <x:v>主板</x:v>
      </x:c>
      <x:c r="F314" t="str">
        <x:v>待行业映射</x:v>
      </x:c>
      <x:c r="G314" t="str">
        <x:v>当前全市场行情快照缺少 PB；只能作为待补全研究队列，不得按完整估值条件生成交易建议。</x:v>
      </x:c>
      <x:c r="H314" t="n">
        <x:v>13.23</x:v>
      </x:c>
      <x:c r="I314" t="n">
        <x:v>11.75</x:v>
      </x:c>
      <x:c r="J314"/>
      <x:c r="K314" t="str">
        <x:v>待归档官方财报</x:v>
      </x:c>
      <x:c r="L314" t="str">
        <x:v>AkShare / Tencent all-A market snapshot</x:v>
      </x:c>
      <x:c r="M314" t="str">
        <x:v>ProxyError: primary market source unavailable; see source_id for full audit.</x:v>
      </x:c>
      <x:c r="N314" t="str">
        <x:v>0</x:v>
      </x:c>
      <x:c r="O314" t="str">
        <x:v>0fd6ad2d-3389-4e70-8974-eb85ee223eeb</x:v>
      </x:c>
      <x:c r="P314" t="str">
        <x:v>2026-09-04</x:v>
      </x:c>
    </x:row>
    <x:row r="315">
      <x:c r="A315" t="str">
        <x:v>重点观察</x:v>
      </x:c>
      <x:c r="B315" t="str">
        <x:v>补全 PB、财报，等待Agent自动验证</x:v>
      </x:c>
      <x:c r="C315" t="str">
        <x:v>600008</x:v>
      </x:c>
      <x:c r="D315" t="str">
        <x:v>首创环保</x:v>
      </x:c>
      <x:c r="E315" t="str">
        <x:v>主板</x:v>
      </x:c>
      <x:c r="F315" t="str">
        <x:v>待行业映射</x:v>
      </x:c>
      <x:c r="G315" t="str">
        <x:v>当前全市场行情快照缺少 PB；只能作为待补全研究队列，不得按完整估值条件生成交易建议。</x:v>
      </x:c>
      <x:c r="H315" t="n">
        <x:v>2.8</x:v>
      </x:c>
      <x:c r="I315" t="n">
        <x:v>12.22</x:v>
      </x:c>
      <x:c r="J315"/>
      <x:c r="K315" t="str">
        <x:v>待归档官方财报</x:v>
      </x:c>
      <x:c r="L315" t="str">
        <x:v>AkShare / Tencent all-A market snapshot</x:v>
      </x:c>
      <x:c r="M315" t="str">
        <x:v>ProxyError: primary market source unavailable; see source_id for full audit.</x:v>
      </x:c>
      <x:c r="N315" t="str">
        <x:v>0</x:v>
      </x:c>
      <x:c r="O315" t="str">
        <x:v>0fd6ad2d-3389-4e70-8974-eb85ee223eeb</x:v>
      </x:c>
      <x:c r="P315" t="str">
        <x:v>2026-09-04</x:v>
      </x:c>
    </x:row>
    <x:row r="316">
      <x:c r="A316" t="str">
        <x:v>重点观察</x:v>
      </x:c>
      <x:c r="B316" t="str">
        <x:v>补全 PB、财报，等待Agent自动验证</x:v>
      </x:c>
      <x:c r="C316" t="str">
        <x:v>002120</x:v>
      </x:c>
      <x:c r="D316" t="str">
        <x:v>韵达股份</x:v>
      </x:c>
      <x:c r="E316" t="str">
        <x:v>主板</x:v>
      </x:c>
      <x:c r="F316" t="str">
        <x:v>待行业映射</x:v>
      </x:c>
      <x:c r="G316" t="str">
        <x:v>当前全市场行情快照缺少 PB；只能作为待补全研究队列，不得按完整估值条件生成交易建议。</x:v>
      </x:c>
      <x:c r="H316" t="n">
        <x:v>6.87</x:v>
      </x:c>
      <x:c r="I316" t="n">
        <x:v>12.14</x:v>
      </x:c>
      <x:c r="J316"/>
      <x:c r="K316" t="str">
        <x:v>待归档官方财报</x:v>
      </x:c>
      <x:c r="L316" t="str">
        <x:v>AkShare / Tencent all-A market snapshot</x:v>
      </x:c>
      <x:c r="M316" t="str">
        <x:v>ProxyError: primary market source unavailable; see source_id for full audit.</x:v>
      </x:c>
      <x:c r="N316" t="str">
        <x:v>0</x:v>
      </x:c>
      <x:c r="O316" t="str">
        <x:v>0fd6ad2d-3389-4e70-8974-eb85ee223eeb</x:v>
      </x:c>
      <x:c r="P316" t="str">
        <x:v>2026-09-04</x:v>
      </x:c>
    </x:row>
    <x:row r="317">
      <x:c r="A317" t="str">
        <x:v>重点观察</x:v>
      </x:c>
      <x:c r="B317" t="str">
        <x:v>证券公司专用模型待核验</x:v>
      </x:c>
      <x:c r="C317" t="str">
        <x:v>002939</x:v>
      </x:c>
      <x:c r="D317" t="str">
        <x:v>长城证券</x:v>
      </x:c>
      <x:c r="E317" t="str">
        <x:v>主板</x:v>
      </x:c>
      <x:c r="F317" t="str">
        <x:v>待行业映射</x:v>
      </x:c>
      <x:c r="G317" t="str">
        <x:v>名称/板块初步识别为证券公司；须以同一报告期官方披露复核专用指标和行业分类，禁止套用通用企业现金流、负债率或 EV/EBITDA 规则。 当前公共行情快照缺少 PB，须在专用模型复核中补齐。</x:v>
      </x:c>
      <x:c r="H317" t="n">
        <x:v>8.13</x:v>
      </x:c>
      <x:c r="I317" t="n">
        <x:v>13.89</x:v>
      </x:c>
      <x:c r="J317"/>
      <x:c r="K317" t="str">
        <x:v>待归档官方财报</x:v>
      </x:c>
      <x:c r="L317" t="str">
        <x:v>AkShare / Tencent all-A market snapshot</x:v>
      </x:c>
      <x:c r="M317" t="str">
        <x:v>ProxyError: primary market source unavailable; see source_id for full audit.</x:v>
      </x:c>
      <x:c r="N317" t="str">
        <x:v>0</x:v>
      </x:c>
      <x:c r="O317" t="str">
        <x:v>0fd6ad2d-3389-4e70-8974-eb85ee223eeb</x:v>
      </x:c>
      <x:c r="P317" t="str">
        <x:v>2026-09-04</x:v>
      </x:c>
    </x:row>
    <x:row r="318">
      <x:c r="A318" t="str">
        <x:v>重点观察</x:v>
      </x:c>
      <x:c r="B318" t="str">
        <x:v>补全 PB、财报，等待Agent自动验证</x:v>
      </x:c>
      <x:c r="C318" t="str">
        <x:v>600827</x:v>
      </x:c>
      <x:c r="D318" t="str">
        <x:v>百联股份</x:v>
      </x:c>
      <x:c r="E318" t="str">
        <x:v>主板</x:v>
      </x:c>
      <x:c r="F318" t="str">
        <x:v>待行业映射</x:v>
      </x:c>
      <x:c r="G318" t="str">
        <x:v>当前全市场行情快照缺少 PB；只能作为待补全研究队列，不得按完整估值条件生成交易建议。</x:v>
      </x:c>
      <x:c r="H318" t="n">
        <x:v>7.84</x:v>
      </x:c>
      <x:c r="I318" t="n">
        <x:v>11.36</x:v>
      </x:c>
      <x:c r="J318"/>
      <x:c r="K318" t="str">
        <x:v>待归档官方财报</x:v>
      </x:c>
      <x:c r="L318" t="str">
        <x:v>AkShare / Tencent all-A market snapshot</x:v>
      </x:c>
      <x:c r="M318" t="str">
        <x:v>ProxyError: primary market source unavailable; see source_id for full audit.</x:v>
      </x:c>
      <x:c r="N318" t="str">
        <x:v>0</x:v>
      </x:c>
      <x:c r="O318" t="str">
        <x:v>0fd6ad2d-3389-4e70-8974-eb85ee223eeb</x:v>
      </x:c>
      <x:c r="P318" t="str">
        <x:v>2026-09-04</x:v>
      </x:c>
    </x:row>
    <x:row r="319">
      <x:c r="A319" t="str">
        <x:v>重点观察</x:v>
      </x:c>
      <x:c r="B319" t="str">
        <x:v>补全 PB、财报，等待Agent自动验证</x:v>
      </x:c>
      <x:c r="C319" t="str">
        <x:v>601139</x:v>
      </x:c>
      <x:c r="D319" t="str">
        <x:v>深圳燃气</x:v>
      </x:c>
      <x:c r="E319" t="str">
        <x:v>主板</x:v>
      </x:c>
      <x:c r="F319" t="str">
        <x:v>待行业映射</x:v>
      </x:c>
      <x:c r="G319" t="str">
        <x:v>当前全市场行情快照缺少 PB；只能作为待补全研究队列，不得按完整估值条件生成交易建议。</x:v>
      </x:c>
      <x:c r="H319" t="n">
        <x:v>6.45</x:v>
      </x:c>
      <x:c r="I319" t="n">
        <x:v>11.98</x:v>
      </x:c>
      <x:c r="J319"/>
      <x:c r="K319" t="str">
        <x:v>待归档官方财报</x:v>
      </x:c>
      <x:c r="L319" t="str">
        <x:v>AkShare / Tencent all-A market snapshot</x:v>
      </x:c>
      <x:c r="M319" t="str">
        <x:v>ProxyError: primary market source unavailable; see source_id for full audit.</x:v>
      </x:c>
      <x:c r="N319" t="str">
        <x:v>0</x:v>
      </x:c>
      <x:c r="O319" t="str">
        <x:v>0fd6ad2d-3389-4e70-8974-eb85ee223eeb</x:v>
      </x:c>
      <x:c r="P319" t="str">
        <x:v>2026-09-04</x:v>
      </x:c>
    </x:row>
    <x:row r="320">
      <x:c r="A320" t="str">
        <x:v>重点观察</x:v>
      </x:c>
      <x:c r="B320" t="str">
        <x:v>补全 PB、财报，等待Agent自动验证</x:v>
      </x:c>
      <x:c r="C320" t="str">
        <x:v>601326</x:v>
      </x:c>
      <x:c r="D320" t="str">
        <x:v>秦港股份</x:v>
      </x:c>
      <x:c r="E320" t="str">
        <x:v>主板</x:v>
      </x:c>
      <x:c r="F320" t="str">
        <x:v>待行业映射</x:v>
      </x:c>
      <x:c r="G320" t="str">
        <x:v>当前全市场行情快照缺少 PB；只能作为待补全研究队列，不得按完整估值条件生成交易建议。</x:v>
      </x:c>
      <x:c r="H320" t="n">
        <x:v>3.58</x:v>
      </x:c>
      <x:c r="I320" t="n">
        <x:v>12.24</x:v>
      </x:c>
      <x:c r="J320"/>
      <x:c r="K320" t="str">
        <x:v>待归档官方财报</x:v>
      </x:c>
      <x:c r="L320" t="str">
        <x:v>AkShare / Tencent all-A market snapshot</x:v>
      </x:c>
      <x:c r="M320" t="str">
        <x:v>ProxyError: primary market source unavailable; see source_id for full audit.</x:v>
      </x:c>
      <x:c r="N320" t="str">
        <x:v>0</x:v>
      </x:c>
      <x:c r="O320" t="str">
        <x:v>0fd6ad2d-3389-4e70-8974-eb85ee223eeb</x:v>
      </x:c>
      <x:c r="P320" t="str">
        <x:v>2026-09-04</x:v>
      </x:c>
    </x:row>
    <x:row r="321">
      <x:c r="A321" t="str">
        <x:v>重点观察</x:v>
      </x:c>
      <x:c r="B321" t="str">
        <x:v>补全 PB、财报，等待Agent自动验证</x:v>
      </x:c>
      <x:c r="C321" t="str">
        <x:v>600196</x:v>
      </x:c>
      <x:c r="D321" t="str">
        <x:v>复星医药</x:v>
      </x:c>
      <x:c r="E321" t="str">
        <x:v>主板</x:v>
      </x:c>
      <x:c r="F321" t="str">
        <x:v>待行业映射</x:v>
      </x:c>
      <x:c r="G321" t="str">
        <x:v>当前全市场行情快照缺少 PB；只能作为待补全研究队列，不得按完整估值条件生成交易建议。</x:v>
      </x:c>
      <x:c r="H321" t="n">
        <x:v>22.34</x:v>
      </x:c>
      <x:c r="I321" t="n">
        <x:v>17.6</x:v>
      </x:c>
      <x:c r="J321"/>
      <x:c r="K321" t="str">
        <x:v>待归档官方财报</x:v>
      </x:c>
      <x:c r="L321" t="str">
        <x:v>AkShare / Tencent all-A market snapshot</x:v>
      </x:c>
      <x:c r="M321" t="str">
        <x:v>ProxyError: primary market source unavailable; see source_id for full audit.</x:v>
      </x:c>
      <x:c r="N321" t="str">
        <x:v>0</x:v>
      </x:c>
      <x:c r="O321" t="str">
        <x:v>0fd6ad2d-3389-4e70-8974-eb85ee223eeb</x:v>
      </x:c>
      <x:c r="P321" t="str">
        <x:v>2026-09-04</x:v>
      </x:c>
    </x:row>
    <x:row r="322">
      <x:c r="A322" t="str">
        <x:v>重点观察</x:v>
      </x:c>
      <x:c r="B322" t="str">
        <x:v>补全 PB、财报，等待Agent自动验证</x:v>
      </x:c>
      <x:c r="C322" t="str">
        <x:v>000951</x:v>
      </x:c>
      <x:c r="D322" t="str">
        <x:v>中国重汽</x:v>
      </x:c>
      <x:c r="E322" t="str">
        <x:v>主板</x:v>
      </x:c>
      <x:c r="F322" t="str">
        <x:v>待行业映射</x:v>
      </x:c>
      <x:c r="G322" t="str">
        <x:v>当前全市场行情快照缺少 PB；只能作为待补全研究队列，不得按完整估值条件生成交易建议。</x:v>
      </x:c>
      <x:c r="H322" t="n">
        <x:v>21.96</x:v>
      </x:c>
      <x:c r="I322" t="n">
        <x:v>13.03</x:v>
      </x:c>
      <x:c r="J322"/>
      <x:c r="K322" t="str">
        <x:v>待归档官方财报</x:v>
      </x:c>
      <x:c r="L322" t="str">
        <x:v>AkShare / Tencent all-A market snapshot</x:v>
      </x:c>
      <x:c r="M322" t="str">
        <x:v>ProxyError: primary market source unavailable; see source_id for full audit.</x:v>
      </x:c>
      <x:c r="N322" t="str">
        <x:v>0</x:v>
      </x:c>
      <x:c r="O322" t="str">
        <x:v>0fd6ad2d-3389-4e70-8974-eb85ee223eeb</x:v>
      </x:c>
      <x:c r="P322" t="str">
        <x:v>2026-09-04</x:v>
      </x:c>
    </x:row>
    <x:row r="323">
      <x:c r="A323" t="str">
        <x:v>重点观察</x:v>
      </x:c>
      <x:c r="B323" t="str">
        <x:v>补全 PB、财报，等待Agent自动验证</x:v>
      </x:c>
      <x:c r="C323" t="str">
        <x:v>600035</x:v>
      </x:c>
      <x:c r="D323" t="str">
        <x:v>楚天高速</x:v>
      </x:c>
      <x:c r="E323" t="str">
        <x:v>主板</x:v>
      </x:c>
      <x:c r="F323" t="str">
        <x:v>待行业映射</x:v>
      </x:c>
      <x:c r="G323" t="str">
        <x:v>当前全市场行情快照缺少 PB；只能作为待补全研究队列，不得按完整估值条件生成交易建议。</x:v>
      </x:c>
      <x:c r="H323" t="n">
        <x:v>3.71</x:v>
      </x:c>
      <x:c r="I323" t="n">
        <x:v>10.4</x:v>
      </x:c>
      <x:c r="J323"/>
      <x:c r="K323" t="str">
        <x:v>待归档官方财报</x:v>
      </x:c>
      <x:c r="L323" t="str">
        <x:v>AkShare / Tencent all-A market snapshot</x:v>
      </x:c>
      <x:c r="M323" t="str">
        <x:v>ProxyError: primary market source unavailable; see source_id for full audit.</x:v>
      </x:c>
      <x:c r="N323" t="str">
        <x:v>0</x:v>
      </x:c>
      <x:c r="O323" t="str">
        <x:v>0fd6ad2d-3389-4e70-8974-eb85ee223eeb</x:v>
      </x:c>
      <x:c r="P323" t="str">
        <x:v>2026-09-04</x:v>
      </x:c>
    </x:row>
    <x:row r="324">
      <x:c r="A324" t="str">
        <x:v>重点观察</x:v>
      </x:c>
      <x:c r="B324" t="str">
        <x:v>补全 PB、财报，等待Agent自动验证</x:v>
      </x:c>
      <x:c r="C324" t="str">
        <x:v>600033</x:v>
      </x:c>
      <x:c r="D324" t="str">
        <x:v>福建高速</x:v>
      </x:c>
      <x:c r="E324" t="str">
        <x:v>主板</x:v>
      </x:c>
      <x:c r="F324" t="str">
        <x:v>待行业映射</x:v>
      </x:c>
      <x:c r="G324" t="str">
        <x:v>当前全市场行情快照缺少 PB；只能作为待补全研究队列，不得按完整估值条件生成交易建议。</x:v>
      </x:c>
      <x:c r="H324" t="n">
        <x:v>3.64</x:v>
      </x:c>
      <x:c r="I324" t="n">
        <x:v>10.96</x:v>
      </x:c>
      <x:c r="J324"/>
      <x:c r="K324" t="str">
        <x:v>待归档官方财报</x:v>
      </x:c>
      <x:c r="L324" t="str">
        <x:v>AkShare / Tencent all-A market snapshot</x:v>
      </x:c>
      <x:c r="M324" t="str">
        <x:v>ProxyError: primary market source unavailable; see source_id for full audit.</x:v>
      </x:c>
      <x:c r="N324" t="str">
        <x:v>0</x:v>
      </x:c>
      <x:c r="O324" t="str">
        <x:v>0fd6ad2d-3389-4e70-8974-eb85ee223eeb</x:v>
      </x:c>
      <x:c r="P324" t="str">
        <x:v>2026-09-04</x:v>
      </x:c>
    </x:row>
    <x:row r="325">
      <x:c r="A325" t="str">
        <x:v>重点观察</x:v>
      </x:c>
      <x:c r="B325" t="str">
        <x:v>补全 PB、财报，等待Agent自动验证</x:v>
      </x:c>
      <x:c r="C325" t="str">
        <x:v>601098</x:v>
      </x:c>
      <x:c r="D325" t="str">
        <x:v>中南传媒</x:v>
      </x:c>
      <x:c r="E325" t="str">
        <x:v>主板</x:v>
      </x:c>
      <x:c r="F325" t="str">
        <x:v>待行业映射</x:v>
      </x:c>
      <x:c r="G325" t="str">
        <x:v>当前全市场行情快照缺少 PB；只能作为待补全研究队列，不得按完整估值条件生成交易建议。</x:v>
      </x:c>
      <x:c r="H325" t="n">
        <x:v>10.16</x:v>
      </x:c>
      <x:c r="I325" t="n">
        <x:v>12.08</x:v>
      </x:c>
      <x:c r="J325"/>
      <x:c r="K325" t="str">
        <x:v>待归档官方财报</x:v>
      </x:c>
      <x:c r="L325" t="str">
        <x:v>AkShare / Tencent all-A market snapshot</x:v>
      </x:c>
      <x:c r="M325" t="str">
        <x:v>ProxyError: primary market source unavailable; see source_id for full audit.</x:v>
      </x:c>
      <x:c r="N325" t="str">
        <x:v>0</x:v>
      </x:c>
      <x:c r="O325" t="str">
        <x:v>0fd6ad2d-3389-4e70-8974-eb85ee223eeb</x:v>
      </x:c>
      <x:c r="P325" t="str">
        <x:v>2026-09-04</x:v>
      </x:c>
    </x:row>
    <x:row r="326">
      <x:c r="A326" t="str">
        <x:v>重点观察</x:v>
      </x:c>
      <x:c r="B326" t="str">
        <x:v>补全 PB、财报，等待Agent自动验证</x:v>
      </x:c>
      <x:c r="C326" t="str">
        <x:v>002241</x:v>
      </x:c>
      <x:c r="D326" t="str">
        <x:v>歌尔股份</x:v>
      </x:c>
      <x:c r="E326" t="str">
        <x:v>主板</x:v>
      </x:c>
      <x:c r="F326" t="str">
        <x:v>待行业映射</x:v>
      </x:c>
      <x:c r="G326" t="str">
        <x:v>当前全市场行情快照缺少 PB；只能作为待补全研究队列，不得按完整估值条件生成交易建议。</x:v>
      </x:c>
      <x:c r="H326" t="n">
        <x:v>23.41</x:v>
      </x:c>
      <x:c r="I326" t="n">
        <x:v>20.85</x:v>
      </x:c>
      <x:c r="J326"/>
      <x:c r="K326" t="str">
        <x:v>待归档官方财报</x:v>
      </x:c>
      <x:c r="L326" t="str">
        <x:v>AkShare / Tencent all-A market snapshot</x:v>
      </x:c>
      <x:c r="M326" t="str">
        <x:v>ProxyError: primary market source unavailable; see source_id for full audit.</x:v>
      </x:c>
      <x:c r="N326" t="str">
        <x:v>0</x:v>
      </x:c>
      <x:c r="O326" t="str">
        <x:v>0fd6ad2d-3389-4e70-8974-eb85ee223eeb</x:v>
      </x:c>
      <x:c r="P326" t="str">
        <x:v>2026-09-04</x:v>
      </x:c>
    </x:row>
    <x:row r="327">
      <x:c r="A327" t="str">
        <x:v>重点观察</x:v>
      </x:c>
      <x:c r="B327" t="str">
        <x:v>补全 PB、财报，等待Agent自动验证</x:v>
      </x:c>
      <x:c r="C327" t="str">
        <x:v>600894</x:v>
      </x:c>
      <x:c r="D327" t="str">
        <x:v>广日股份</x:v>
      </x:c>
      <x:c r="E327" t="str">
        <x:v>主板</x:v>
      </x:c>
      <x:c r="F327" t="str">
        <x:v>待行业映射</x:v>
      </x:c>
      <x:c r="G327" t="str">
        <x:v>当前全市场行情快照缺少 PB；只能作为待补全研究队列，不得按完整估值条件生成交易建议。</x:v>
      </x:c>
      <x:c r="H327" t="n">
        <x:v>7.43</x:v>
      </x:c>
      <x:c r="I327" t="n">
        <x:v>10.53</x:v>
      </x:c>
      <x:c r="J327"/>
      <x:c r="K327" t="str">
        <x:v>待归档官方财报</x:v>
      </x:c>
      <x:c r="L327" t="str">
        <x:v>AkShare / Tencent all-A market snapshot</x:v>
      </x:c>
      <x:c r="M327" t="str">
        <x:v>ProxyError: primary market source unavailable; see source_id for full audit.</x:v>
      </x:c>
      <x:c r="N327" t="str">
        <x:v>0</x:v>
      </x:c>
      <x:c r="O327" t="str">
        <x:v>0fd6ad2d-3389-4e70-8974-eb85ee223eeb</x:v>
      </x:c>
      <x:c r="P327" t="str">
        <x:v>2026-09-04</x:v>
      </x:c>
    </x:row>
    <x:row r="328">
      <x:c r="A328" t="str">
        <x:v>重点观察</x:v>
      </x:c>
      <x:c r="B328" t="str">
        <x:v>补全 PB、财报，等待Agent自动验证</x:v>
      </x:c>
      <x:c r="C328" t="str">
        <x:v>600120</x:v>
      </x:c>
      <x:c r="D328" t="str">
        <x:v>浙江东方</x:v>
      </x:c>
      <x:c r="E328" t="str">
        <x:v>主板</x:v>
      </x:c>
      <x:c r="F328" t="str">
        <x:v>待行业映射</x:v>
      </x:c>
      <x:c r="G328" t="str">
        <x:v>当前全市场行情快照缺少 PB；只能作为待补全研究队列，不得按完整估值条件生成交易建议。</x:v>
      </x:c>
      <x:c r="H328" t="n">
        <x:v>4.92</x:v>
      </x:c>
      <x:c r="I328" t="n">
        <x:v>11.96</x:v>
      </x:c>
      <x:c r="J328"/>
      <x:c r="K328" t="str">
        <x:v>待归档官方财报</x:v>
      </x:c>
      <x:c r="L328" t="str">
        <x:v>AkShare / Tencent all-A market snapshot</x:v>
      </x:c>
      <x:c r="M328" t="str">
        <x:v>ProxyError: primary market source unavailable; see source_id for full audit.</x:v>
      </x:c>
      <x:c r="N328" t="str">
        <x:v>0</x:v>
      </x:c>
      <x:c r="O328" t="str">
        <x:v>0fd6ad2d-3389-4e70-8974-eb85ee223eeb</x:v>
      </x:c>
      <x:c r="P328" t="str">
        <x:v>2026-09-04</x:v>
      </x:c>
    </x:row>
    <x:row r="329">
      <x:c r="A329" t="str">
        <x:v>重点观察</x:v>
      </x:c>
      <x:c r="B329" t="str">
        <x:v>补全 PB、财报，等待Agent自动验证</x:v>
      </x:c>
      <x:c r="C329" t="str">
        <x:v>600566</x:v>
      </x:c>
      <x:c r="D329" t="str">
        <x:v>济川药业</x:v>
      </x:c>
      <x:c r="E329" t="str">
        <x:v>主板</x:v>
      </x:c>
      <x:c r="F329" t="str">
        <x:v>待行业映射</x:v>
      </x:c>
      <x:c r="G329" t="str">
        <x:v>当前全市场行情快照缺少 PB；只能作为待补全研究队列，不得按完整估值条件生成交易建议。</x:v>
      </x:c>
      <x:c r="H329" t="n">
        <x:v>25.74</x:v>
      </x:c>
      <x:c r="I329" t="n">
        <x:v>12.91</x:v>
      </x:c>
      <x:c r="J329"/>
      <x:c r="K329" t="str">
        <x:v>待归档官方财报</x:v>
      </x:c>
      <x:c r="L329" t="str">
        <x:v>AkShare / Tencent all-A market snapshot</x:v>
      </x:c>
      <x:c r="M329" t="str">
        <x:v>ProxyError: primary market source unavailable; see source_id for full audit.</x:v>
      </x:c>
      <x:c r="N329" t="str">
        <x:v>0</x:v>
      </x:c>
      <x:c r="O329" t="str">
        <x:v>0fd6ad2d-3389-4e70-8974-eb85ee223eeb</x:v>
      </x:c>
      <x:c r="P329" t="str">
        <x:v>2026-09-04</x:v>
      </x:c>
    </x:row>
    <x:row r="330">
      <x:c r="A330" t="str">
        <x:v>重点观察</x:v>
      </x:c>
      <x:c r="B330" t="str">
        <x:v>补全 PB、财报，等待Agent自动验证</x:v>
      </x:c>
      <x:c r="C330" t="str">
        <x:v>600236</x:v>
      </x:c>
      <x:c r="D330" t="str">
        <x:v>桂冠电力</x:v>
      </x:c>
      <x:c r="E330" t="str">
        <x:v>主板</x:v>
      </x:c>
      <x:c r="F330" t="str">
        <x:v>待行业映射</x:v>
      </x:c>
      <x:c r="G330" t="str">
        <x:v>当前全市场行情快照缺少 PB；只能作为待补全研究队列，不得按完整估值条件生成交易建议。</x:v>
      </x:c>
      <x:c r="H330" t="n">
        <x:v>9.88</x:v>
      </x:c>
      <x:c r="I330" t="n">
        <x:v>20.22</x:v>
      </x:c>
      <x:c r="J330"/>
      <x:c r="K330" t="str">
        <x:v>待归档官方财报</x:v>
      </x:c>
      <x:c r="L330" t="str">
        <x:v>AkShare / Tencent all-A market snapshot</x:v>
      </x:c>
      <x:c r="M330" t="str">
        <x:v>ProxyError: primary market source unavailable; see source_id for full audit.</x:v>
      </x:c>
      <x:c r="N330" t="str">
        <x:v>0</x:v>
      </x:c>
      <x:c r="O330" t="str">
        <x:v>0fd6ad2d-3389-4e70-8974-eb85ee223eeb</x:v>
      </x:c>
      <x:c r="P330" t="str">
        <x:v>2026-09-04</x:v>
      </x:c>
    </x:row>
    <x:row r="331">
      <x:c r="A331" t="str">
        <x:v>重点观察</x:v>
      </x:c>
      <x:c r="B331" t="str">
        <x:v>补全 PB、财报，等待Agent自动验证</x:v>
      </x:c>
      <x:c r="C331" t="str">
        <x:v>000301</x:v>
      </x:c>
      <x:c r="D331" t="str">
        <x:v>东方盛虹</x:v>
      </x:c>
      <x:c r="E331" t="str">
        <x:v>主板</x:v>
      </x:c>
      <x:c r="F331" t="str">
        <x:v>待行业映射</x:v>
      </x:c>
      <x:c r="G331" t="str">
        <x:v>当前全市场行情快照缺少 PB；只能作为待补全研究队列，不得按完整估值条件生成交易建议。</x:v>
      </x:c>
      <x:c r="H331" t="n">
        <x:v>14.62</x:v>
      </x:c>
      <x:c r="I331" t="n">
        <x:v>22.76</x:v>
      </x:c>
      <x:c r="J331"/>
      <x:c r="K331" t="str">
        <x:v>待归档官方财报</x:v>
      </x:c>
      <x:c r="L331" t="str">
        <x:v>AkShare / Tencent all-A market snapshot</x:v>
      </x:c>
      <x:c r="M331" t="str">
        <x:v>ProxyError: primary market source unavailable; see source_id for full audit.</x:v>
      </x:c>
      <x:c r="N331" t="str">
        <x:v>0</x:v>
      </x:c>
      <x:c r="O331" t="str">
        <x:v>0fd6ad2d-3389-4e70-8974-eb85ee223eeb</x:v>
      </x:c>
      <x:c r="P331" t="str">
        <x:v>2026-09-04</x:v>
      </x:c>
    </x:row>
    <x:row r="332">
      <x:c r="A332" t="str">
        <x:v>重点观察</x:v>
      </x:c>
      <x:c r="B332" t="str">
        <x:v>补全 PB、财报，等待Agent自动验证</x:v>
      </x:c>
      <x:c r="C332" t="str">
        <x:v>600757</x:v>
      </x:c>
      <x:c r="D332" t="str">
        <x:v>长江传媒</x:v>
      </x:c>
      <x:c r="E332" t="str">
        <x:v>主板</x:v>
      </x:c>
      <x:c r="F332" t="str">
        <x:v>待行业映射</x:v>
      </x:c>
      <x:c r="G332" t="str">
        <x:v>当前全市场行情快照缺少 PB；只能作为待补全研究队列，不得按完整估值条件生成交易建议。</x:v>
      </x:c>
      <x:c r="H332" t="n">
        <x:v>7.33</x:v>
      </x:c>
      <x:c r="I332" t="n">
        <x:v>10.96</x:v>
      </x:c>
      <x:c r="J332"/>
      <x:c r="K332" t="str">
        <x:v>待归档官方财报</x:v>
      </x:c>
      <x:c r="L332" t="str">
        <x:v>AkShare / Tencent all-A market snapshot</x:v>
      </x:c>
      <x:c r="M332" t="str">
        <x:v>ProxyError: primary market source unavailable; see source_id for full audit.</x:v>
      </x:c>
      <x:c r="N332" t="str">
        <x:v>0</x:v>
      </x:c>
      <x:c r="O332" t="str">
        <x:v>0fd6ad2d-3389-4e70-8974-eb85ee223eeb</x:v>
      </x:c>
      <x:c r="P332" t="str">
        <x:v>2026-09-04</x:v>
      </x:c>
    </x:row>
    <x:row r="333">
      <x:c r="A333" t="str">
        <x:v>重点观察</x:v>
      </x:c>
      <x:c r="B333" t="str">
        <x:v>补全 PB、财报，等待Agent自动验证</x:v>
      </x:c>
      <x:c r="C333" t="str">
        <x:v>002558</x:v>
      </x:c>
      <x:c r="D333" t="str">
        <x:v>巨人网络</x:v>
      </x:c>
      <x:c r="E333" t="str">
        <x:v>主板</x:v>
      </x:c>
      <x:c r="F333" t="str">
        <x:v>待行业映射</x:v>
      </x:c>
      <x:c r="G333" t="str">
        <x:v>当前全市场行情快照缺少 PB；只能作为待补全研究队列，不得按完整估值条件生成交易建议。</x:v>
      </x:c>
      <x:c r="H333" t="n">
        <x:v>27.67</x:v>
      </x:c>
      <x:c r="I333" t="n">
        <x:v>16.85</x:v>
      </x:c>
      <x:c r="J333"/>
      <x:c r="K333" t="str">
        <x:v>待归档官方财报</x:v>
      </x:c>
      <x:c r="L333" t="str">
        <x:v>AkShare / Tencent all-A market snapshot</x:v>
      </x:c>
      <x:c r="M333" t="str">
        <x:v>ProxyError: primary market source unavailable; see source_id for full audit.</x:v>
      </x:c>
      <x:c r="N333" t="str">
        <x:v>0</x:v>
      </x:c>
      <x:c r="O333" t="str">
        <x:v>0fd6ad2d-3389-4e70-8974-eb85ee223eeb</x:v>
      </x:c>
      <x:c r="P333" t="str">
        <x:v>2026-09-04</x:v>
      </x:c>
    </x:row>
    <x:row r="334">
      <x:c r="A334" t="str">
        <x:v>重点观察</x:v>
      </x:c>
      <x:c r="B334" t="str">
        <x:v>补全 PB、财报，等待Agent自动验证</x:v>
      </x:c>
      <x:c r="C334" t="str">
        <x:v>000899</x:v>
      </x:c>
      <x:c r="D334" t="str">
        <x:v>赣能股份</x:v>
      </x:c>
      <x:c r="E334" t="str">
        <x:v>主板</x:v>
      </x:c>
      <x:c r="F334" t="str">
        <x:v>待行业映射</x:v>
      </x:c>
      <x:c r="G334" t="str">
        <x:v>当前全市场行情快照缺少 PB；只能作为待补全研究队列，不得按完整估值条件生成交易建议。</x:v>
      </x:c>
      <x:c r="H334" t="n">
        <x:v>9.39</x:v>
      </x:c>
      <x:c r="I334" t="n">
        <x:v>11.01</x:v>
      </x:c>
      <x:c r="J334"/>
      <x:c r="K334" t="str">
        <x:v>待归档官方财报</x:v>
      </x:c>
      <x:c r="L334" t="str">
        <x:v>AkShare / Tencent all-A market snapshot</x:v>
      </x:c>
      <x:c r="M334" t="str">
        <x:v>ProxyError: primary market source unavailable; see source_id for full audit.</x:v>
      </x:c>
      <x:c r="N334" t="str">
        <x:v>0</x:v>
      </x:c>
      <x:c r="O334" t="str">
        <x:v>0fd6ad2d-3389-4e70-8974-eb85ee223eeb</x:v>
      </x:c>
      <x:c r="P334" t="str">
        <x:v>2026-09-04</x:v>
      </x:c>
    </x:row>
    <x:row r="335">
      <x:c r="A335" t="str">
        <x:v>重点观察</x:v>
      </x:c>
      <x:c r="B335" t="str">
        <x:v>补全 PB、财报，等待Agent自动验证</x:v>
      </x:c>
      <x:c r="C335" t="str">
        <x:v>600496</x:v>
      </x:c>
      <x:c r="D335" t="str">
        <x:v>精工钢构</x:v>
      </x:c>
      <x:c r="E335" t="str">
        <x:v>主板</x:v>
      </x:c>
      <x:c r="F335" t="str">
        <x:v>待行业映射</x:v>
      </x:c>
      <x:c r="G335" t="str">
        <x:v>当前全市场行情快照缺少 PB；只能作为待补全研究队列，不得按完整估值条件生成交易建议。</x:v>
      </x:c>
      <x:c r="H335" t="n">
        <x:v>3.34</x:v>
      </x:c>
      <x:c r="I335" t="n">
        <x:v>10.67</x:v>
      </x:c>
      <x:c r="J335"/>
      <x:c r="K335" t="str">
        <x:v>待归档官方财报</x:v>
      </x:c>
      <x:c r="L335" t="str">
        <x:v>AkShare / Tencent all-A market snapshot</x:v>
      </x:c>
      <x:c r="M335" t="str">
        <x:v>ProxyError: primary market source unavailable; see source_id for full audit.</x:v>
      </x:c>
      <x:c r="N335" t="str">
        <x:v>0</x:v>
      </x:c>
      <x:c r="O335" t="str">
        <x:v>0fd6ad2d-3389-4e70-8974-eb85ee223eeb</x:v>
      </x:c>
      <x:c r="P335" t="str">
        <x:v>2026-09-04</x:v>
      </x:c>
    </x:row>
    <x:row r="336">
      <x:c r="A336" t="str">
        <x:v>重点观察</x:v>
      </x:c>
      <x:c r="B336" t="str">
        <x:v>补全 PB、财报，等待Agent自动验证</x:v>
      </x:c>
      <x:c r="C336" t="str">
        <x:v>000028</x:v>
      </x:c>
      <x:c r="D336" t="str">
        <x:v>国药一致</x:v>
      </x:c>
      <x:c r="E336" t="str">
        <x:v>主板</x:v>
      </x:c>
      <x:c r="F336" t="str">
        <x:v>待行业映射</x:v>
      </x:c>
      <x:c r="G336" t="str">
        <x:v>当前全市场行情快照缺少 PB；只能作为待补全研究队列，不得按完整估值条件生成交易建议。</x:v>
      </x:c>
      <x:c r="H336" t="n">
        <x:v>20.19</x:v>
      </x:c>
      <x:c r="I336" t="n">
        <x:v>11.49</x:v>
      </x:c>
      <x:c r="J336"/>
      <x:c r="K336" t="str">
        <x:v>待归档官方财报</x:v>
      </x:c>
      <x:c r="L336" t="str">
        <x:v>AkShare / Tencent all-A market snapshot</x:v>
      </x:c>
      <x:c r="M336" t="str">
        <x:v>ProxyError: primary market source unavailable; see source_id for full audit.</x:v>
      </x:c>
      <x:c r="N336" t="str">
        <x:v>0</x:v>
      </x:c>
      <x:c r="O336" t="str">
        <x:v>0fd6ad2d-3389-4e70-8974-eb85ee223eeb</x:v>
      </x:c>
      <x:c r="P336" t="str">
        <x:v>2026-09-04</x:v>
      </x:c>
    </x:row>
    <x:row r="337">
      <x:c r="A337" t="str">
        <x:v>重点观察</x:v>
      </x:c>
      <x:c r="B337" t="str">
        <x:v>补全 PB、财报，等待Agent自动验证</x:v>
      </x:c>
      <x:c r="C337" t="str">
        <x:v>603271</x:v>
      </x:c>
      <x:c r="D337" t="str">
        <x:v>永杰新材</x:v>
      </x:c>
      <x:c r="E337" t="str">
        <x:v>主板</x:v>
      </x:c>
      <x:c r="F337" t="str">
        <x:v>待行业映射</x:v>
      </x:c>
      <x:c r="G337" t="str">
        <x:v>当前全市场行情快照缺少 PB；只能作为待补全研究队列，不得按完整估值条件生成交易建议。</x:v>
      </x:c>
      <x:c r="H337" t="n">
        <x:v>41.04</x:v>
      </x:c>
      <x:c r="I337" t="n">
        <x:v>10.94</x:v>
      </x:c>
      <x:c r="J337"/>
      <x:c r="K337" t="str">
        <x:v>待归档官方财报</x:v>
      </x:c>
      <x:c r="L337" t="str">
        <x:v>AkShare / Tencent all-A market snapshot</x:v>
      </x:c>
      <x:c r="M337" t="str">
        <x:v>ProxyError: primary market source unavailable; see source_id for full audit.</x:v>
      </x:c>
      <x:c r="N337" t="str">
        <x:v>0</x:v>
      </x:c>
      <x:c r="O337" t="str">
        <x:v>0fd6ad2d-3389-4e70-8974-eb85ee223eeb</x:v>
      </x:c>
      <x:c r="P337" t="str">
        <x:v>2026-09-04</x:v>
      </x:c>
    </x:row>
    <x:row r="338">
      <x:c r="A338" t="str">
        <x:v>重点观察</x:v>
      </x:c>
      <x:c r="B338" t="str">
        <x:v>补全 PB、财报，等待Agent自动验证</x:v>
      </x:c>
      <x:c r="C338" t="str">
        <x:v>600398</x:v>
      </x:c>
      <x:c r="D338" t="str">
        <x:v>海澜之家</x:v>
      </x:c>
      <x:c r="E338" t="str">
        <x:v>主板</x:v>
      </x:c>
      <x:c r="F338" t="str">
        <x:v>待行业映射</x:v>
      </x:c>
      <x:c r="G338" t="str">
        <x:v>当前全市场行情快照缺少 PB；只能作为待补全研究队列，不得按完整估值条件生成交易建议。</x:v>
      </x:c>
      <x:c r="H338" t="n">
        <x:v>5.9</x:v>
      </x:c>
      <x:c r="I338" t="n">
        <x:v>13.67</x:v>
      </x:c>
      <x:c r="J338"/>
      <x:c r="K338" t="str">
        <x:v>待归档官方财报</x:v>
      </x:c>
      <x:c r="L338" t="str">
        <x:v>AkShare / Tencent all-A market snapshot</x:v>
      </x:c>
      <x:c r="M338" t="str">
        <x:v>ProxyError: primary market source unavailable; see source_id for full audit.</x:v>
      </x:c>
      <x:c r="N338" t="str">
        <x:v>0</x:v>
      </x:c>
      <x:c r="O338" t="str">
        <x:v>0fd6ad2d-3389-4e70-8974-eb85ee223eeb</x:v>
      </x:c>
      <x:c r="P338" t="str">
        <x:v>2026-09-04</x:v>
      </x:c>
    </x:row>
    <x:row r="339">
      <x:c r="A339" t="str">
        <x:v>重点观察</x:v>
      </x:c>
      <x:c r="B339" t="str">
        <x:v>补全 PB、财报，等待Agent自动验证</x:v>
      </x:c>
      <x:c r="C339" t="str">
        <x:v>600528</x:v>
      </x:c>
      <x:c r="D339" t="str">
        <x:v>中铁工业</x:v>
      </x:c>
      <x:c r="E339" t="str">
        <x:v>主板</x:v>
      </x:c>
      <x:c r="F339" t="str">
        <x:v>待行业映射</x:v>
      </x:c>
      <x:c r="G339" t="str">
        <x:v>当前全市场行情快照缺少 PB；只能作为待补全研究队列，不得按完整估值条件生成交易建议。</x:v>
      </x:c>
      <x:c r="H339" t="n">
        <x:v>6.96</x:v>
      </x:c>
      <x:c r="I339" t="n">
        <x:v>11.96</x:v>
      </x:c>
      <x:c r="J339"/>
      <x:c r="K339" t="str">
        <x:v>待归档官方财报</x:v>
      </x:c>
      <x:c r="L339" t="str">
        <x:v>AkShare / Tencent all-A market snapshot</x:v>
      </x:c>
      <x:c r="M339" t="str">
        <x:v>ProxyError: primary market source unavailable; see source_id for full audit.</x:v>
      </x:c>
      <x:c r="N339" t="str">
        <x:v>0</x:v>
      </x:c>
      <x:c r="O339" t="str">
        <x:v>0fd6ad2d-3389-4e70-8974-eb85ee223eeb</x:v>
      </x:c>
      <x:c r="P339" t="str">
        <x:v>2026-09-04</x:v>
      </x:c>
    </x:row>
    <x:row r="340">
      <x:c r="A340" t="str">
        <x:v>重点观察</x:v>
      </x:c>
      <x:c r="B340" t="str">
        <x:v>补全 PB、财报，等待Agent自动验证</x:v>
      </x:c>
      <x:c r="C340" t="str">
        <x:v>600160</x:v>
      </x:c>
      <x:c r="D340" t="str">
        <x:v>巨化股份</x:v>
      </x:c>
      <x:c r="E340" t="str">
        <x:v>主板</x:v>
      </x:c>
      <x:c r="F340" t="str">
        <x:v>待行业映射</x:v>
      </x:c>
      <x:c r="G340" t="str">
        <x:v>当前全市场行情快照缺少 PB；只能作为待补全研究队列，不得按完整估值条件生成交易建议。</x:v>
      </x:c>
      <x:c r="H340" t="n">
        <x:v>37.92</x:v>
      </x:c>
      <x:c r="I340" t="n">
        <x:v>23.36</x:v>
      </x:c>
      <x:c r="J340"/>
      <x:c r="K340" t="str">
        <x:v>待归档官方财报</x:v>
      </x:c>
      <x:c r="L340" t="str">
        <x:v>AkShare / Tencent all-A market snapshot</x:v>
      </x:c>
      <x:c r="M340" t="str">
        <x:v>ProxyError: primary market source unavailable; see source_id for full audit.</x:v>
      </x:c>
      <x:c r="N340" t="str">
        <x:v>0</x:v>
      </x:c>
      <x:c r="O340" t="str">
        <x:v>0fd6ad2d-3389-4e70-8974-eb85ee223eeb</x:v>
      </x:c>
      <x:c r="P340" t="str">
        <x:v>2026-09-04</x:v>
      </x:c>
    </x:row>
    <x:row r="341">
      <x:c r="A341" t="str">
        <x:v>重点观察</x:v>
      </x:c>
      <x:c r="B341" t="str">
        <x:v>补全 PB、财报，等待Agent自动验证</x:v>
      </x:c>
      <x:c r="C341" t="str">
        <x:v>000680</x:v>
      </x:c>
      <x:c r="D341" t="str">
        <x:v>山推股份</x:v>
      </x:c>
      <x:c r="E341" t="str">
        <x:v>主板</x:v>
      </x:c>
      <x:c r="F341" t="str">
        <x:v>待行业映射</x:v>
      </x:c>
      <x:c r="G341" t="str">
        <x:v>当前全市场行情快照缺少 PB；只能作为待补全研究队列，不得按完整估值条件生成交易建议。</x:v>
      </x:c>
      <x:c r="H341" t="n">
        <x:v>10.6</x:v>
      </x:c>
      <x:c r="I341" t="n">
        <x:v>12.05</x:v>
      </x:c>
      <x:c r="J341"/>
      <x:c r="K341" t="str">
        <x:v>待归档官方财报</x:v>
      </x:c>
      <x:c r="L341" t="str">
        <x:v>AkShare / Tencent all-A market snapshot</x:v>
      </x:c>
      <x:c r="M341" t="str">
        <x:v>ProxyError: primary market source unavailable; see source_id for full audit.</x:v>
      </x:c>
      <x:c r="N341" t="str">
        <x:v>0</x:v>
      </x:c>
      <x:c r="O341" t="str">
        <x:v>0fd6ad2d-3389-4e70-8974-eb85ee223eeb</x:v>
      </x:c>
      <x:c r="P341" t="str">
        <x:v>2026-09-04</x:v>
      </x:c>
    </x:row>
    <x:row r="342">
      <x:c r="A342" t="str">
        <x:v>重点观察</x:v>
      </x:c>
      <x:c r="B342" t="str">
        <x:v>补全 PB、财报，等待Agent自动验证</x:v>
      </x:c>
      <x:c r="C342" t="str">
        <x:v>002266</x:v>
      </x:c>
      <x:c r="D342" t="str">
        <x:v>浙富控股</x:v>
      </x:c>
      <x:c r="E342" t="str">
        <x:v>主板</x:v>
      </x:c>
      <x:c r="F342" t="str">
        <x:v>待行业映射</x:v>
      </x:c>
      <x:c r="G342" t="str">
        <x:v>当前全市场行情快照缺少 PB；只能作为待补全研究队列，不得按完整估值条件生成交易建议。</x:v>
      </x:c>
      <x:c r="H342" t="n">
        <x:v>4.87</x:v>
      </x:c>
      <x:c r="I342" t="n">
        <x:v>13.33</x:v>
      </x:c>
      <x:c r="J342"/>
      <x:c r="K342" t="str">
        <x:v>待归档官方财报</x:v>
      </x:c>
      <x:c r="L342" t="str">
        <x:v>AkShare / Tencent all-A market snapshot</x:v>
      </x:c>
      <x:c r="M342" t="str">
        <x:v>ProxyError: primary market source unavailable; see source_id for full audit.</x:v>
      </x:c>
      <x:c r="N342" t="str">
        <x:v>0</x:v>
      </x:c>
      <x:c r="O342" t="str">
        <x:v>0fd6ad2d-3389-4e70-8974-eb85ee223eeb</x:v>
      </x:c>
      <x:c r="P342" t="str">
        <x:v>2026-09-04</x:v>
      </x:c>
    </x:row>
    <x:row r="343">
      <x:c r="A343" t="str">
        <x:v>重点观察</x:v>
      </x:c>
      <x:c r="B343" t="str">
        <x:v>补全 PB、财报，等待Agent自动验证</x:v>
      </x:c>
      <x:c r="C343" t="str">
        <x:v>600867</x:v>
      </x:c>
      <x:c r="D343" t="str">
        <x:v>通化东宝</x:v>
      </x:c>
      <x:c r="E343" t="str">
        <x:v>主板</x:v>
      </x:c>
      <x:c r="F343" t="str">
        <x:v>待行业映射</x:v>
      </x:c>
      <x:c r="G343" t="str">
        <x:v>当前全市场行情快照缺少 PB；只能作为待补全研究队列，不得按完整估值条件生成交易建议。</x:v>
      </x:c>
      <x:c r="H343" t="n">
        <x:v>8.02</x:v>
      </x:c>
      <x:c r="I343" t="n">
        <x:v>12.09</x:v>
      </x:c>
      <x:c r="J343"/>
      <x:c r="K343" t="str">
        <x:v>待归档官方财报</x:v>
      </x:c>
      <x:c r="L343" t="str">
        <x:v>AkShare / Tencent all-A market snapshot</x:v>
      </x:c>
      <x:c r="M343" t="str">
        <x:v>ProxyError: primary market source unavailable; see source_id for full audit.</x:v>
      </x:c>
      <x:c r="N343" t="str">
        <x:v>0</x:v>
      </x:c>
      <x:c r="O343" t="str">
        <x:v>0fd6ad2d-3389-4e70-8974-eb85ee223eeb</x:v>
      </x:c>
      <x:c r="P343" t="str">
        <x:v>2026-09-04</x:v>
      </x:c>
    </x:row>
    <x:row r="344">
      <x:c r="A344" t="str">
        <x:v>重点观察</x:v>
      </x:c>
      <x:c r="B344" t="str">
        <x:v>补全 PB、财报，等待Agent自动验证</x:v>
      </x:c>
      <x:c r="C344" t="str">
        <x:v>002011</x:v>
      </x:c>
      <x:c r="D344" t="str">
        <x:v>盾安环境</x:v>
      </x:c>
      <x:c r="E344" t="str">
        <x:v>主板</x:v>
      </x:c>
      <x:c r="F344" t="str">
        <x:v>待行业映射</x:v>
      </x:c>
      <x:c r="G344" t="str">
        <x:v>当前全市场行情快照缺少 PB；只能作为待补全研究队列，不得按完整估值条件生成交易建议。</x:v>
      </x:c>
      <x:c r="H344" t="n">
        <x:v>10.85</x:v>
      </x:c>
      <x:c r="I344" t="n">
        <x:v>11.55</x:v>
      </x:c>
      <x:c r="J344"/>
      <x:c r="K344" t="str">
        <x:v>待归档官方财报</x:v>
      </x:c>
      <x:c r="L344" t="str">
        <x:v>AkShare / Tencent all-A market snapshot</x:v>
      </x:c>
      <x:c r="M344" t="str">
        <x:v>ProxyError: primary market source unavailable; see source_id for full audit.</x:v>
      </x:c>
      <x:c r="N344" t="str">
        <x:v>0</x:v>
      </x:c>
      <x:c r="O344" t="str">
        <x:v>0fd6ad2d-3389-4e70-8974-eb85ee223eeb</x:v>
      </x:c>
      <x:c r="P344" t="str">
        <x:v>2026-09-04</x:v>
      </x:c>
    </x:row>
    <x:row r="345">
      <x:c r="A345" t="str">
        <x:v>重点观察</x:v>
      </x:c>
      <x:c r="B345" t="str">
        <x:v>补全 PB、财报，等待Agent自动验证</x:v>
      </x:c>
      <x:c r="C345" t="str">
        <x:v>603605</x:v>
      </x:c>
      <x:c r="D345" t="str">
        <x:v>珀莱雅</x:v>
      </x:c>
      <x:c r="E345" t="str">
        <x:v>主板</x:v>
      </x:c>
      <x:c r="F345" t="str">
        <x:v>待行业映射</x:v>
      </x:c>
      <x:c r="G345" t="str">
        <x:v>当前全市场行情快照缺少 PB；只能作为待补全研究队列，不得按完整估值条件生成交易建议。</x:v>
      </x:c>
      <x:c r="H345" t="n">
        <x:v>63.04</x:v>
      </x:c>
      <x:c r="I345" t="n">
        <x:v>13.37</x:v>
      </x:c>
      <x:c r="J345"/>
      <x:c r="K345" t="str">
        <x:v>待归档官方财报</x:v>
      </x:c>
      <x:c r="L345" t="str">
        <x:v>AkShare / Tencent all-A market snapshot</x:v>
      </x:c>
      <x:c r="M345" t="str">
        <x:v>ProxyError: primary market source unavailable; see source_id for full audit.</x:v>
      </x:c>
      <x:c r="N345" t="str">
        <x:v>0</x:v>
      </x:c>
      <x:c r="O345" t="str">
        <x:v>0fd6ad2d-3389-4e70-8974-eb85ee223eeb</x:v>
      </x:c>
      <x:c r="P345" t="str">
        <x:v>2026-09-04</x:v>
      </x:c>
    </x:row>
    <x:row r="346">
      <x:c r="A346" t="str">
        <x:v>重点观察</x:v>
      </x:c>
      <x:c r="B346" t="str">
        <x:v>补全 PB、财报，等待Agent自动验证</x:v>
      </x:c>
      <x:c r="C346" t="str">
        <x:v>603816</x:v>
      </x:c>
      <x:c r="D346" t="str">
        <x:v>顾家家居</x:v>
      </x:c>
      <x:c r="E346" t="str">
        <x:v>主板</x:v>
      </x:c>
      <x:c r="F346" t="str">
        <x:v>待行业映射</x:v>
      </x:c>
      <x:c r="G346" t="str">
        <x:v>当前全市场行情快照缺少 PB；只能作为待补全研究队列，不得按完整估值条件生成交易建议。</x:v>
      </x:c>
      <x:c r="H346" t="n">
        <x:v>23.74</x:v>
      </x:c>
      <x:c r="I346" t="n">
        <x:v>12.97</x:v>
      </x:c>
      <x:c r="J346"/>
      <x:c r="K346" t="str">
        <x:v>待归档官方财报</x:v>
      </x:c>
      <x:c r="L346" t="str">
        <x:v>AkShare / Tencent all-A market snapshot</x:v>
      </x:c>
      <x:c r="M346" t="str">
        <x:v>ProxyError: primary market source unavailable; see source_id for full audit.</x:v>
      </x:c>
      <x:c r="N346" t="str">
        <x:v>0</x:v>
      </x:c>
      <x:c r="O346" t="str">
        <x:v>0fd6ad2d-3389-4e70-8974-eb85ee223eeb</x:v>
      </x:c>
      <x:c r="P346" t="str">
        <x:v>2026-09-04</x:v>
      </x:c>
    </x:row>
    <x:row r="347">
      <x:c r="A347" t="str">
        <x:v>重点观察</x:v>
      </x:c>
      <x:c r="B347" t="str">
        <x:v>补全 PB、财报，等待Agent自动验证</x:v>
      </x:c>
      <x:c r="C347" t="str">
        <x:v>600713</x:v>
      </x:c>
      <x:c r="D347" t="str">
        <x:v>南京医药</x:v>
      </x:c>
      <x:c r="E347" t="str">
        <x:v>主板</x:v>
      </x:c>
      <x:c r="F347" t="str">
        <x:v>待行业映射</x:v>
      </x:c>
      <x:c r="G347" t="str">
        <x:v>当前全市场行情快照缺少 PB；只能作为待补全研究队列，不得按完整估值条件生成交易建议。</x:v>
      </x:c>
      <x:c r="H347" t="n">
        <x:v>5.26</x:v>
      </x:c>
      <x:c r="I347" t="n">
        <x:v>10.96</x:v>
      </x:c>
      <x:c r="J347"/>
      <x:c r="K347" t="str">
        <x:v>待归档官方财报</x:v>
      </x:c>
      <x:c r="L347" t="str">
        <x:v>AkShare / Tencent all-A market snapshot</x:v>
      </x:c>
      <x:c r="M347" t="str">
        <x:v>ProxyError: primary market source unavailable; see source_id for full audit.</x:v>
      </x:c>
      <x:c r="N347" t="str">
        <x:v>0</x:v>
      </x:c>
      <x:c r="O347" t="str">
        <x:v>0fd6ad2d-3389-4e70-8974-eb85ee223eeb</x:v>
      </x:c>
      <x:c r="P347" t="str">
        <x:v>2026-09-04</x:v>
      </x:c>
    </x:row>
    <x:row r="348">
      <x:c r="A348" t="str">
        <x:v>重点观察</x:v>
      </x:c>
      <x:c r="B348" t="str">
        <x:v>补全 PB、财报，等待Agent自动验证</x:v>
      </x:c>
      <x:c r="C348" t="str">
        <x:v>000630</x:v>
      </x:c>
      <x:c r="D348" t="str">
        <x:v>铜陵有色</x:v>
      </x:c>
      <x:c r="E348" t="str">
        <x:v>主板</x:v>
      </x:c>
      <x:c r="F348" t="str">
        <x:v>待行业映射</x:v>
      </x:c>
      <x:c r="G348" t="str">
        <x:v>当前全市场行情快照缺少 PB；只能作为待补全研究队列，不得按完整估值条件生成交易建议。</x:v>
      </x:c>
      <x:c r="H348" t="n">
        <x:v>6.39</x:v>
      </x:c>
      <x:c r="I348" t="n">
        <x:v>21.59</x:v>
      </x:c>
      <x:c r="J348"/>
      <x:c r="K348" t="str">
        <x:v>待归档官方财报</x:v>
      </x:c>
      <x:c r="L348" t="str">
        <x:v>AkShare / Tencent all-A market snapshot</x:v>
      </x:c>
      <x:c r="M348" t="str">
        <x:v>ProxyError: primary market source unavailable; see source_id for full audit.</x:v>
      </x:c>
      <x:c r="N348" t="str">
        <x:v>0</x:v>
      </x:c>
      <x:c r="O348" t="str">
        <x:v>0fd6ad2d-3389-4e70-8974-eb85ee223eeb</x:v>
      </x:c>
      <x:c r="P348" t="str">
        <x:v>2026-09-04</x:v>
      </x:c>
    </x:row>
    <x:row r="349">
      <x:c r="A349" t="str">
        <x:v>重点观察</x:v>
      </x:c>
      <x:c r="B349" t="str">
        <x:v>补全 PB、财报，等待Agent自动验证</x:v>
      </x:c>
      <x:c r="C349" t="str">
        <x:v>603529</x:v>
      </x:c>
      <x:c r="D349" t="str">
        <x:v>爱玛科技</x:v>
      </x:c>
      <x:c r="E349" t="str">
        <x:v>主板</x:v>
      </x:c>
      <x:c r="F349" t="str">
        <x:v>待行业映射</x:v>
      </x:c>
      <x:c r="G349" t="str">
        <x:v>当前全市场行情快照缺少 PB；只能作为待补全研究队列，不得按完整估值条件生成交易建议。</x:v>
      </x:c>
      <x:c r="H349" t="n">
        <x:v>21.69</x:v>
      </x:c>
      <x:c r="I349" t="n">
        <x:v>12.61</x:v>
      </x:c>
      <x:c r="J349"/>
      <x:c r="K349" t="str">
        <x:v>待归档官方财报</x:v>
      </x:c>
      <x:c r="L349" t="str">
        <x:v>AkShare / Tencent all-A market snapshot</x:v>
      </x:c>
      <x:c r="M349" t="str">
        <x:v>ProxyError: primary market source unavailable; see source_id for full audit.</x:v>
      </x:c>
      <x:c r="N349" t="str">
        <x:v>0</x:v>
      </x:c>
      <x:c r="O349" t="str">
        <x:v>0fd6ad2d-3389-4e70-8974-eb85ee223eeb</x:v>
      </x:c>
      <x:c r="P349" t="str">
        <x:v>2026-09-04</x:v>
      </x:c>
    </x:row>
    <x:row r="350">
      <x:c r="A350" t="str">
        <x:v>重点观察</x:v>
      </x:c>
      <x:c r="B350" t="str">
        <x:v>补全 PB、财报，等待Agent自动验证</x:v>
      </x:c>
      <x:c r="C350" t="str">
        <x:v>601163</x:v>
      </x:c>
      <x:c r="D350" t="str">
        <x:v>三角轮胎</x:v>
      </x:c>
      <x:c r="E350" t="str">
        <x:v>主板</x:v>
      </x:c>
      <x:c r="F350" t="str">
        <x:v>待行业映射</x:v>
      </x:c>
      <x:c r="G350" t="str">
        <x:v>当前全市场行情快照缺少 PB；只能作为待补全研究队列，不得按完整估值条件生成交易建议。</x:v>
      </x:c>
      <x:c r="H350" t="n">
        <x:v>12.44</x:v>
      </x:c>
      <x:c r="I350" t="n">
        <x:v>11.48</x:v>
      </x:c>
      <x:c r="J350"/>
      <x:c r="K350" t="str">
        <x:v>待归档官方财报</x:v>
      </x:c>
      <x:c r="L350" t="str">
        <x:v>AkShare / Tencent all-A market snapshot</x:v>
      </x:c>
      <x:c r="M350" t="str">
        <x:v>ProxyError: primary market source unavailable; see source_id for full audit.</x:v>
      </x:c>
      <x:c r="N350" t="str">
        <x:v>0</x:v>
      </x:c>
      <x:c r="O350" t="str">
        <x:v>0fd6ad2d-3389-4e70-8974-eb85ee223eeb</x:v>
      </x:c>
      <x:c r="P350" t="str">
        <x:v>2026-09-04</x:v>
      </x:c>
    </x:row>
    <x:row r="351">
      <x:c r="A351" t="str">
        <x:v>重点观察</x:v>
      </x:c>
      <x:c r="B351" t="str">
        <x:v>补全 PB、财报，等待Agent自动验证</x:v>
      </x:c>
      <x:c r="C351" t="str">
        <x:v>603298</x:v>
      </x:c>
      <x:c r="D351" t="str">
        <x:v>杭叉集团</x:v>
      </x:c>
      <x:c r="E351" t="str">
        <x:v>主板</x:v>
      </x:c>
      <x:c r="F351" t="str">
        <x:v>待行业映射</x:v>
      </x:c>
      <x:c r="G351" t="str">
        <x:v>当前全市场行情快照缺少 PB；只能作为待补全研究队列，不得按完整估值条件生成交易建议。</x:v>
      </x:c>
      <x:c r="H351" t="n">
        <x:v>25.64</x:v>
      </x:c>
      <x:c r="I351" t="n">
        <x:v>14.66</x:v>
      </x:c>
      <x:c r="J351"/>
      <x:c r="K351" t="str">
        <x:v>待归档官方财报</x:v>
      </x:c>
      <x:c r="L351" t="str">
        <x:v>AkShare / Tencent all-A market snapshot</x:v>
      </x:c>
      <x:c r="M351" t="str">
        <x:v>ProxyError: primary market source unavailable; see source_id for full audit.</x:v>
      </x:c>
      <x:c r="N351" t="str">
        <x:v>0</x:v>
      </x:c>
      <x:c r="O351" t="str">
        <x:v>0fd6ad2d-3389-4e70-8974-eb85ee223eeb</x:v>
      </x:c>
      <x:c r="P351" t="str">
        <x:v>2026-09-04</x:v>
      </x:c>
    </x:row>
    <x:row r="352">
      <x:c r="A352" t="str">
        <x:v>重点观察</x:v>
      </x:c>
      <x:c r="B352" t="str">
        <x:v>补全 PB、财报，等待Agent自动验证</x:v>
      </x:c>
      <x:c r="C352" t="str">
        <x:v>002475</x:v>
      </x:c>
      <x:c r="D352" t="str">
        <x:v>立讯精密</x:v>
      </x:c>
      <x:c r="E352" t="str">
        <x:v>主板</x:v>
      </x:c>
      <x:c r="F352" t="str">
        <x:v>待行业映射</x:v>
      </x:c>
      <x:c r="G352" t="str">
        <x:v>当前全市场行情快照缺少 PB；只能作为待补全研究队列，不得按完整估值条件生成交易建议。</x:v>
      </x:c>
      <x:c r="H352" t="n">
        <x:v>54.3</x:v>
      </x:c>
      <x:c r="I352" t="n">
        <x:v>23.61</x:v>
      </x:c>
      <x:c r="J352"/>
      <x:c r="K352" t="str">
        <x:v>待归档官方财报</x:v>
      </x:c>
      <x:c r="L352" t="str">
        <x:v>AkShare / Tencent all-A market snapshot</x:v>
      </x:c>
      <x:c r="M352" t="str">
        <x:v>ProxyError: primary market source unavailable; see source_id for full audit.</x:v>
      </x:c>
      <x:c r="N352" t="str">
        <x:v>0</x:v>
      </x:c>
      <x:c r="O352" t="str">
        <x:v>0fd6ad2d-3389-4e70-8974-eb85ee223eeb</x:v>
      </x:c>
      <x:c r="P352" t="str">
        <x:v>2026-09-04</x:v>
      </x:c>
    </x:row>
    <x:row r="353">
      <x:c r="A353" t="str">
        <x:v>重点观察</x:v>
      </x:c>
      <x:c r="B353" t="str">
        <x:v>补全 PB、财报，等待Agent自动验证</x:v>
      </x:c>
      <x:c r="C353" t="str">
        <x:v>601958</x:v>
      </x:c>
      <x:c r="D353" t="str">
        <x:v>金钼股份</x:v>
      </x:c>
      <x:c r="E353" t="str">
        <x:v>主板</x:v>
      </x:c>
      <x:c r="F353" t="str">
        <x:v>待行业映射</x:v>
      </x:c>
      <x:c r="G353" t="str">
        <x:v>当前全市场行情快照缺少 PB；只能作为待补全研究队列，不得按完整估值条件生成交易建议。</x:v>
      </x:c>
      <x:c r="H353" t="n">
        <x:v>20.98</x:v>
      </x:c>
      <x:c r="I353" t="n">
        <x:v>19.27</x:v>
      </x:c>
      <x:c r="J353"/>
      <x:c r="K353" t="str">
        <x:v>待归档官方财报</x:v>
      </x:c>
      <x:c r="L353" t="str">
        <x:v>AkShare / Tencent all-A market snapshot</x:v>
      </x:c>
      <x:c r="M353" t="str">
        <x:v>ProxyError: primary market source unavailable; see source_id for full audit.</x:v>
      </x:c>
      <x:c r="N353" t="str">
        <x:v>0</x:v>
      </x:c>
      <x:c r="O353" t="str">
        <x:v>0fd6ad2d-3389-4e70-8974-eb85ee223eeb</x:v>
      </x:c>
      <x:c r="P353" t="str">
        <x:v>2026-09-04</x:v>
      </x:c>
    </x:row>
    <x:row r="354">
      <x:c r="A354" t="str">
        <x:v>重点观察</x:v>
      </x:c>
      <x:c r="B354" t="str">
        <x:v>补全 PB、财报，等待Agent自动验证</x:v>
      </x:c>
      <x:c r="C354" t="str">
        <x:v>002545</x:v>
      </x:c>
      <x:c r="D354" t="str">
        <x:v>东方铁塔</x:v>
      </x:c>
      <x:c r="E354" t="str">
        <x:v>主板</x:v>
      </x:c>
      <x:c r="F354" t="str">
        <x:v>待行业映射</x:v>
      </x:c>
      <x:c r="G354" t="str">
        <x:v>当前全市场行情快照缺少 PB；只能作为待补全研究队列，不得按完整估值条件生成交易建议。</x:v>
      </x:c>
      <x:c r="H354" t="n">
        <x:v>17.85</x:v>
      </x:c>
      <x:c r="I354" t="n">
        <x:v>13.15</x:v>
      </x:c>
      <x:c r="J354"/>
      <x:c r="K354" t="str">
        <x:v>待归档官方财报</x:v>
      </x:c>
      <x:c r="L354" t="str">
        <x:v>AkShare / Tencent all-A market snapshot</x:v>
      </x:c>
      <x:c r="M354" t="str">
        <x:v>ProxyError: primary market source unavailable; see source_id for full audit.</x:v>
      </x:c>
      <x:c r="N354" t="str">
        <x:v>0</x:v>
      </x:c>
      <x:c r="O354" t="str">
        <x:v>0fd6ad2d-3389-4e70-8974-eb85ee223eeb</x:v>
      </x:c>
      <x:c r="P354" t="str">
        <x:v>2026-09-04</x:v>
      </x:c>
    </x:row>
    <x:row r="355">
      <x:c r="A355" t="str">
        <x:v>重点观察</x:v>
      </x:c>
      <x:c r="B355" t="str">
        <x:v>补全 PB、财报，等待Agent自动验证</x:v>
      </x:c>
      <x:c r="C355" t="str">
        <x:v>300979</x:v>
      </x:c>
      <x:c r="D355" t="str">
        <x:v>华利集团</x:v>
      </x:c>
      <x:c r="E355" t="str">
        <x:v>创业板</x:v>
      </x:c>
      <x:c r="F355" t="str">
        <x:v>待行业映射</x:v>
      </x:c>
      <x:c r="G355" t="str">
        <x:v>当前全市场行情快照缺少 PB；只能作为待补全研究队列，不得按完整估值条件生成交易建议。</x:v>
      </x:c>
      <x:c r="H355" t="n">
        <x:v>32.86</x:v>
      </x:c>
      <x:c r="I355" t="n">
        <x:v>15.41</x:v>
      </x:c>
      <x:c r="J355"/>
      <x:c r="K355" t="str">
        <x:v>待归档官方财报</x:v>
      </x:c>
      <x:c r="L355" t="str">
        <x:v>AkShare / Tencent all-A market snapshot</x:v>
      </x:c>
      <x:c r="M355" t="str">
        <x:v>ProxyError: primary market source unavailable; see source_id for full audit.</x:v>
      </x:c>
      <x:c r="N355" t="str">
        <x:v>0</x:v>
      </x:c>
      <x:c r="O355" t="str">
        <x:v>0fd6ad2d-3389-4e70-8974-eb85ee223eeb</x:v>
      </x:c>
      <x:c r="P355" t="str">
        <x:v>2026-09-04</x:v>
      </x:c>
    </x:row>
    <x:row r="356">
      <x:c r="A356" t="str">
        <x:v>重点观察</x:v>
      </x:c>
      <x:c r="B356" t="str">
        <x:v>补全 PB、财报，等待Agent自动验证</x:v>
      </x:c>
      <x:c r="C356" t="str">
        <x:v>600098</x:v>
      </x:c>
      <x:c r="D356" t="str">
        <x:v>广州发展</x:v>
      </x:c>
      <x:c r="E356" t="str">
        <x:v>主板</x:v>
      </x:c>
      <x:c r="F356" t="str">
        <x:v>待行业映射</x:v>
      </x:c>
      <x:c r="G356" t="str">
        <x:v>当前全市场行情快照缺少 PB；只能作为待补全研究队列，不得按完整估值条件生成交易建议。</x:v>
      </x:c>
      <x:c r="H356" t="n">
        <x:v>6.11</x:v>
      </x:c>
      <x:c r="I356" t="n">
        <x:v>13.14</x:v>
      </x:c>
      <x:c r="J356"/>
      <x:c r="K356" t="str">
        <x:v>待归档官方财报</x:v>
      </x:c>
      <x:c r="L356" t="str">
        <x:v>AkShare / Tencent all-A market snapshot</x:v>
      </x:c>
      <x:c r="M356" t="str">
        <x:v>ProxyError: primary market source unavailable; see source_id for full audit.</x:v>
      </x:c>
      <x:c r="N356" t="str">
        <x:v>0</x:v>
      </x:c>
      <x:c r="O356" t="str">
        <x:v>0fd6ad2d-3389-4e70-8974-eb85ee223eeb</x:v>
      </x:c>
      <x:c r="P356" t="str">
        <x:v>2026-09-04</x:v>
      </x:c>
    </x:row>
    <x:row r="357">
      <x:c r="A357" t="str">
        <x:v>重点观察</x:v>
      </x:c>
      <x:c r="B357" t="str">
        <x:v>补全 PB、财报，等待Agent自动验证</x:v>
      </x:c>
      <x:c r="C357" t="str">
        <x:v>603889</x:v>
      </x:c>
      <x:c r="D357" t="str">
        <x:v>新澳股份</x:v>
      </x:c>
      <x:c r="E357" t="str">
        <x:v>主板</x:v>
      </x:c>
      <x:c r="F357" t="str">
        <x:v>待行业映射</x:v>
      </x:c>
      <x:c r="G357" t="str">
        <x:v>当前全市场行情快照缺少 PB；只能作为待补全研究队列，不得按完整估值条件生成交易建议。</x:v>
      </x:c>
      <x:c r="H357" t="n">
        <x:v>6.23</x:v>
      </x:c>
      <x:c r="I357" t="n">
        <x:v>11.06</x:v>
      </x:c>
      <x:c r="J357"/>
      <x:c r="K357" t="str">
        <x:v>待归档官方财报</x:v>
      </x:c>
      <x:c r="L357" t="str">
        <x:v>AkShare / Tencent all-A market snapshot</x:v>
      </x:c>
      <x:c r="M357" t="str">
        <x:v>ProxyError: primary market source unavailable; see source_id for full audit.</x:v>
      </x:c>
      <x:c r="N357" t="str">
        <x:v>0</x:v>
      </x:c>
      <x:c r="O357" t="str">
        <x:v>0fd6ad2d-3389-4e70-8974-eb85ee223eeb</x:v>
      </x:c>
      <x:c r="P357" t="str">
        <x:v>2026-09-04</x:v>
      </x:c>
    </x:row>
    <x:row r="358">
      <x:c r="A358" t="str">
        <x:v>重点观察</x:v>
      </x:c>
      <x:c r="B358" t="str">
        <x:v>补全 PB、财报，等待Agent自动验证</x:v>
      </x:c>
      <x:c r="C358" t="str">
        <x:v>300815</x:v>
      </x:c>
      <x:c r="D358" t="str">
        <x:v>玉禾田</x:v>
      </x:c>
      <x:c r="E358" t="str">
        <x:v>创业板</x:v>
      </x:c>
      <x:c r="F358" t="str">
        <x:v>待行业映射</x:v>
      </x:c>
      <x:c r="G358" t="str">
        <x:v>当前全市场行情快照缺少 PB；只能作为待补全研究队列，不得按完整估值条件生成交易建议。</x:v>
      </x:c>
      <x:c r="H358" t="n">
        <x:v>15.16</x:v>
      </x:c>
      <x:c r="I358" t="n">
        <x:v>11.1</x:v>
      </x:c>
      <x:c r="J358"/>
      <x:c r="K358" t="str">
        <x:v>待归档官方财报</x:v>
      </x:c>
      <x:c r="L358" t="str">
        <x:v>AkShare / Tencent all-A market snapshot</x:v>
      </x:c>
      <x:c r="M358" t="str">
        <x:v>ProxyError: primary market source unavailable; see source_id for full audit.</x:v>
      </x:c>
      <x:c r="N358" t="str">
        <x:v>0</x:v>
      </x:c>
      <x:c r="O358" t="str">
        <x:v>0fd6ad2d-3389-4e70-8974-eb85ee223eeb</x:v>
      </x:c>
      <x:c r="P358" t="str">
        <x:v>2026-09-04</x:v>
      </x:c>
    </x:row>
    <x:row r="359">
      <x:c r="A359" t="str">
        <x:v>重点观察</x:v>
      </x:c>
      <x:c r="B359" t="str">
        <x:v>补全 PB、财报，等待Agent自动验证</x:v>
      </x:c>
      <x:c r="C359" t="str">
        <x:v>000550</x:v>
      </x:c>
      <x:c r="D359" t="str">
        <x:v>江铃汽车</x:v>
      </x:c>
      <x:c r="E359" t="str">
        <x:v>主板</x:v>
      </x:c>
      <x:c r="F359" t="str">
        <x:v>待行业映射</x:v>
      </x:c>
      <x:c r="G359" t="str">
        <x:v>当前全市场行情快照缺少 PB；只能作为待补全研究队列，不得按完整估值条件生成交易建议。</x:v>
      </x:c>
      <x:c r="H359" t="n">
        <x:v>17.19</x:v>
      </x:c>
      <x:c r="I359" t="n">
        <x:v>12.43</x:v>
      </x:c>
      <x:c r="J359"/>
      <x:c r="K359" t="str">
        <x:v>待归档官方财报</x:v>
      </x:c>
      <x:c r="L359" t="str">
        <x:v>AkShare / Tencent all-A market snapshot</x:v>
      </x:c>
      <x:c r="M359" t="str">
        <x:v>ProxyError: primary market source unavailable; see source_id for full audit.</x:v>
      </x:c>
      <x:c r="N359" t="str">
        <x:v>0</x:v>
      </x:c>
      <x:c r="O359" t="str">
        <x:v>0fd6ad2d-3389-4e70-8974-eb85ee223eeb</x:v>
      </x:c>
      <x:c r="P359" t="str">
        <x:v>2026-09-04</x:v>
      </x:c>
    </x:row>
    <x:row r="360">
      <x:c r="A360" t="str">
        <x:v>重点观察</x:v>
      </x:c>
      <x:c r="B360" t="str">
        <x:v>补全 PB、财报，等待Agent自动验证</x:v>
      </x:c>
      <x:c r="C360" t="str">
        <x:v>601518</x:v>
      </x:c>
      <x:c r="D360" t="str">
        <x:v>吉林高速</x:v>
      </x:c>
      <x:c r="E360" t="str">
        <x:v>主板</x:v>
      </x:c>
      <x:c r="F360" t="str">
        <x:v>待行业映射</x:v>
      </x:c>
      <x:c r="G360" t="str">
        <x:v>当前全市场行情快照缺少 PB；只能作为待补全研究队列，不得按完整估值条件生成交易建议。</x:v>
      </x:c>
      <x:c r="H360" t="n">
        <x:v>2.88</x:v>
      </x:c>
      <x:c r="I360" t="n">
        <x:v>11.21</x:v>
      </x:c>
      <x:c r="J360"/>
      <x:c r="K360" t="str">
        <x:v>待归档官方财报</x:v>
      </x:c>
      <x:c r="L360" t="str">
        <x:v>AkShare / Tencent all-A market snapshot</x:v>
      </x:c>
      <x:c r="M360" t="str">
        <x:v>ProxyError: primary market source unavailable; see source_id for full audit.</x:v>
      </x:c>
      <x:c r="N360" t="str">
        <x:v>0</x:v>
      </x:c>
      <x:c r="O360" t="str">
        <x:v>0fd6ad2d-3389-4e70-8974-eb85ee223eeb</x:v>
      </x:c>
      <x:c r="P360" t="str">
        <x:v>2026-09-04</x:v>
      </x:c>
    </x:row>
    <x:row r="361">
      <x:c r="A361" t="str">
        <x:v>重点观察</x:v>
      </x:c>
      <x:c r="B361" t="str">
        <x:v>补全 PB、财报，等待Agent自动验证</x:v>
      </x:c>
      <x:c r="C361" t="str">
        <x:v>603369</x:v>
      </x:c>
      <x:c r="D361" t="str">
        <x:v>今世缘</x:v>
      </x:c>
      <x:c r="E361" t="str">
        <x:v>主板</x:v>
      </x:c>
      <x:c r="F361" t="str">
        <x:v>待行业映射</x:v>
      </x:c>
      <x:c r="G361" t="str">
        <x:v>当前全市场行情快照缺少 PB；只能作为待补全研究队列，不得按完整估值条件生成交易建议。</x:v>
      </x:c>
      <x:c r="H361" t="n">
        <x:v>30.9</x:v>
      </x:c>
      <x:c r="I361" t="n">
        <x:v>15.68</x:v>
      </x:c>
      <x:c r="J361"/>
      <x:c r="K361" t="str">
        <x:v>待归档官方财报</x:v>
      </x:c>
      <x:c r="L361" t="str">
        <x:v>AkShare / Tencent all-A market snapshot</x:v>
      </x:c>
      <x:c r="M361" t="str">
        <x:v>ProxyError: primary market source unavailable; see source_id for full audit.</x:v>
      </x:c>
      <x:c r="N361" t="str">
        <x:v>0</x:v>
      </x:c>
      <x:c r="O361" t="str">
        <x:v>0fd6ad2d-3389-4e70-8974-eb85ee223eeb</x:v>
      </x:c>
      <x:c r="P361" t="str">
        <x:v>2026-09-04</x:v>
      </x:c>
    </x:row>
    <x:row r="362">
      <x:c r="A362" t="str">
        <x:v>重点观察</x:v>
      </x:c>
      <x:c r="B362" t="str">
        <x:v>补全 PB、财报，等待Agent自动验证</x:v>
      </x:c>
      <x:c r="C362" t="str">
        <x:v>601686</x:v>
      </x:c>
      <x:c r="D362" t="str">
        <x:v>友发集团</x:v>
      </x:c>
      <x:c r="E362" t="str">
        <x:v>主板</x:v>
      </x:c>
      <x:c r="F362" t="str">
        <x:v>待行业映射</x:v>
      </x:c>
      <x:c r="G362" t="str">
        <x:v>当前全市场行情快照缺少 PB；只能作为待补全研究队列，不得按完整估值条件生成交易建议。</x:v>
      </x:c>
      <x:c r="H362" t="n">
        <x:v>5.24</x:v>
      </x:c>
      <x:c r="I362" t="n">
        <x:v>11.54</x:v>
      </x:c>
      <x:c r="J362"/>
      <x:c r="K362" t="str">
        <x:v>待归档官方财报</x:v>
      </x:c>
      <x:c r="L362" t="str">
        <x:v>AkShare / Tencent all-A market snapshot</x:v>
      </x:c>
      <x:c r="M362" t="str">
        <x:v>ProxyError: primary market source unavailable; see source_id for full audit.</x:v>
      </x:c>
      <x:c r="N362" t="str">
        <x:v>0</x:v>
      </x:c>
      <x:c r="O362" t="str">
        <x:v>0fd6ad2d-3389-4e70-8974-eb85ee223eeb</x:v>
      </x:c>
      <x:c r="P362" t="str">
        <x:v>2026-09-04</x:v>
      </x:c>
    </x:row>
    <x:row r="363">
      <x:c r="A363" t="str">
        <x:v>重点观察</x:v>
      </x:c>
      <x:c r="B363" t="str">
        <x:v>补全 PB、财报，等待Agent自动验证</x:v>
      </x:c>
      <x:c r="C363" t="str">
        <x:v>002517</x:v>
      </x:c>
      <x:c r="D363" t="str">
        <x:v>恺英网络</x:v>
      </x:c>
      <x:c r="E363" t="str">
        <x:v>主板</x:v>
      </x:c>
      <x:c r="F363" t="str">
        <x:v>待行业映射</x:v>
      </x:c>
      <x:c r="G363" t="str">
        <x:v>当前全市场行情快照缺少 PB；只能作为待补全研究队列，不得按完整估值条件生成交易建议。</x:v>
      </x:c>
      <x:c r="H363" t="n">
        <x:v>17.41</x:v>
      </x:c>
      <x:c r="I363" t="n">
        <x:v>15.62</x:v>
      </x:c>
      <x:c r="J363"/>
      <x:c r="K363" t="str">
        <x:v>待归档官方财报</x:v>
      </x:c>
      <x:c r="L363" t="str">
        <x:v>AkShare / Tencent all-A market snapshot</x:v>
      </x:c>
      <x:c r="M363" t="str">
        <x:v>ProxyError: primary market source unavailable; see source_id for full audit.</x:v>
      </x:c>
      <x:c r="N363" t="str">
        <x:v>0</x:v>
      </x:c>
      <x:c r="O363" t="str">
        <x:v>0fd6ad2d-3389-4e70-8974-eb85ee223eeb</x:v>
      </x:c>
      <x:c r="P363" t="str">
        <x:v>2026-09-04</x:v>
      </x:c>
    </x:row>
    <x:row r="364">
      <x:c r="A364" t="str">
        <x:v>重点观察</x:v>
      </x:c>
      <x:c r="B364" t="str">
        <x:v>补全 PB、财报，等待Agent自动验证</x:v>
      </x:c>
      <x:c r="C364" t="str">
        <x:v>002039</x:v>
      </x:c>
      <x:c r="D364" t="str">
        <x:v>黔源电力</x:v>
      </x:c>
      <x:c r="E364" t="str">
        <x:v>主板</x:v>
      </x:c>
      <x:c r="F364" t="str">
        <x:v>待行业映射</x:v>
      </x:c>
      <x:c r="G364" t="str">
        <x:v>当前全市场行情快照缺少 PB；只能作为待补全研究队列，不得按完整估值条件生成交易建议。</x:v>
      </x:c>
      <x:c r="H364" t="n">
        <x:v>19.4</x:v>
      </x:c>
      <x:c r="I364" t="n">
        <x:v>11.75</x:v>
      </x:c>
      <x:c r="J364"/>
      <x:c r="K364" t="str">
        <x:v>待归档官方财报</x:v>
      </x:c>
      <x:c r="L364" t="str">
        <x:v>AkShare / Tencent all-A market snapshot</x:v>
      </x:c>
      <x:c r="M364" t="str">
        <x:v>ProxyError: primary market source unavailable; see source_id for full audit.</x:v>
      </x:c>
      <x:c r="N364" t="str">
        <x:v>0</x:v>
      </x:c>
      <x:c r="O364" t="str">
        <x:v>0fd6ad2d-3389-4e70-8974-eb85ee223eeb</x:v>
      </x:c>
      <x:c r="P364" t="str">
        <x:v>2026-09-04</x:v>
      </x:c>
    </x:row>
    <x:row r="365">
      <x:c r="A365" t="str">
        <x:v>重点观察</x:v>
      </x:c>
      <x:c r="B365" t="str">
        <x:v>补全 PB、财报，等待Agent自动验证</x:v>
      </x:c>
      <x:c r="C365" t="str">
        <x:v>601975</x:v>
      </x:c>
      <x:c r="D365" t="str">
        <x:v>招商南油</x:v>
      </x:c>
      <x:c r="E365" t="str">
        <x:v>主板</x:v>
      </x:c>
      <x:c r="F365" t="str">
        <x:v>待行业映射</x:v>
      </x:c>
      <x:c r="G365" t="str">
        <x:v>当前全市场行情快照缺少 PB；只能作为待补全研究队列，不得按完整估值条件生成交易建议。</x:v>
      </x:c>
      <x:c r="H365" t="n">
        <x:v>4.48</x:v>
      </x:c>
      <x:c r="I365" t="n">
        <x:v>13.5</x:v>
      </x:c>
      <x:c r="J365"/>
      <x:c r="K365" t="str">
        <x:v>待归档官方财报</x:v>
      </x:c>
      <x:c r="L365" t="str">
        <x:v>AkShare / Tencent all-A market snapshot</x:v>
      </x:c>
      <x:c r="M365" t="str">
        <x:v>ProxyError: primary market source unavailable; see source_id for full audit.</x:v>
      </x:c>
      <x:c r="N365" t="str">
        <x:v>0</x:v>
      </x:c>
      <x:c r="O365" t="str">
        <x:v>0fd6ad2d-3389-4e70-8974-eb85ee223eeb</x:v>
      </x:c>
      <x:c r="P365" t="str">
        <x:v>2026-09-04</x:v>
      </x:c>
    </x:row>
    <x:row r="366">
      <x:c r="A366" t="str">
        <x:v>重点观察</x:v>
      </x:c>
      <x:c r="B366" t="str">
        <x:v>补全 PB、财报，等待Agent自动验证</x:v>
      </x:c>
      <x:c r="C366" t="str">
        <x:v>600839</x:v>
      </x:c>
      <x:c r="D366" t="str">
        <x:v>四川长虹</x:v>
      </x:c>
      <x:c r="E366" t="str">
        <x:v>主板</x:v>
      </x:c>
      <x:c r="F366" t="str">
        <x:v>待行业映射</x:v>
      </x:c>
      <x:c r="G366" t="str">
        <x:v>当前全市场行情快照缺少 PB；只能作为待补全研究队列，不得按完整估值条件生成交易建议。</x:v>
      </x:c>
      <x:c r="H366" t="n">
        <x:v>6.95</x:v>
      </x:c>
      <x:c r="I366" t="n">
        <x:v>15.03</x:v>
      </x:c>
      <x:c r="J366"/>
      <x:c r="K366" t="str">
        <x:v>待归档官方财报</x:v>
      </x:c>
      <x:c r="L366" t="str">
        <x:v>AkShare / Tencent all-A market snapshot</x:v>
      </x:c>
      <x:c r="M366" t="str">
        <x:v>ProxyError: primary market source unavailable; see source_id for full audit.</x:v>
      </x:c>
      <x:c r="N366" t="str">
        <x:v>0</x:v>
      </x:c>
      <x:c r="O366" t="str">
        <x:v>0fd6ad2d-3389-4e70-8974-eb85ee223eeb</x:v>
      </x:c>
      <x:c r="P366" t="str">
        <x:v>2026-09-04</x:v>
      </x:c>
    </x:row>
    <x:row r="367">
      <x:c r="A367" t="str">
        <x:v>重点观察</x:v>
      </x:c>
      <x:c r="B367" t="str">
        <x:v>补全 PB、财报，等待Agent自动验证</x:v>
      </x:c>
      <x:c r="C367" t="str">
        <x:v>002867</x:v>
      </x:c>
      <x:c r="D367" t="str">
        <x:v>周大生</x:v>
      </x:c>
      <x:c r="E367" t="str">
        <x:v>主板</x:v>
      </x:c>
      <x:c r="F367" t="str">
        <x:v>待行业映射</x:v>
      </x:c>
      <x:c r="G367" t="str">
        <x:v>当前全市场行情快照缺少 PB；只能作为待补全研究队列，不得按完整估值条件生成交易建议。</x:v>
      </x:c>
      <x:c r="H367" t="n">
        <x:v>10.88</x:v>
      </x:c>
      <x:c r="I367" t="n">
        <x:v>12.31</x:v>
      </x:c>
      <x:c r="J367"/>
      <x:c r="K367" t="str">
        <x:v>待归档官方财报</x:v>
      </x:c>
      <x:c r="L367" t="str">
        <x:v>AkShare / Tencent all-A market snapshot</x:v>
      </x:c>
      <x:c r="M367" t="str">
        <x:v>ProxyError: primary market source unavailable; see source_id for full audit.</x:v>
      </x:c>
      <x:c r="N367" t="str">
        <x:v>0</x:v>
      </x:c>
      <x:c r="O367" t="str">
        <x:v>0fd6ad2d-3389-4e70-8974-eb85ee223eeb</x:v>
      </x:c>
      <x:c r="P367" t="str">
        <x:v>2026-09-04</x:v>
      </x:c>
    </x:row>
    <x:row r="368">
      <x:c r="A368" t="str">
        <x:v>重点观察</x:v>
      </x:c>
      <x:c r="B368" t="str">
        <x:v>补全 PB、财报，等待Agent自动验证</x:v>
      </x:c>
      <x:c r="C368" t="str">
        <x:v>600694</x:v>
      </x:c>
      <x:c r="D368" t="str">
        <x:v>大商股份</x:v>
      </x:c>
      <x:c r="E368" t="str">
        <x:v>主板</x:v>
      </x:c>
      <x:c r="F368" t="str">
        <x:v>待行业映射</x:v>
      </x:c>
      <x:c r="G368" t="str">
        <x:v>当前全市场行情快照缺少 PB；只能作为待补全研究队列，不得按完整估值条件生成交易建议。</x:v>
      </x:c>
      <x:c r="H368" t="n">
        <x:v>14.9</x:v>
      </x:c>
      <x:c r="I368" t="n">
        <x:v>11.48</x:v>
      </x:c>
      <x:c r="J368"/>
      <x:c r="K368" t="str">
        <x:v>待归档官方财报</x:v>
      </x:c>
      <x:c r="L368" t="str">
        <x:v>AkShare / Tencent all-A market snapshot</x:v>
      </x:c>
      <x:c r="M368" t="str">
        <x:v>ProxyError: primary market source unavailable; see source_id for full audit.</x:v>
      </x:c>
      <x:c r="N368" t="str">
        <x:v>0</x:v>
      </x:c>
      <x:c r="O368" t="str">
        <x:v>0fd6ad2d-3389-4e70-8974-eb85ee223eeb</x:v>
      </x:c>
      <x:c r="P368" t="str">
        <x:v>2026-09-04</x:v>
      </x:c>
    </x:row>
    <x:row r="369">
      <x:c r="A369" t="str">
        <x:v>重点观察</x:v>
      </x:c>
      <x:c r="B369" t="str">
        <x:v>补全 PB、财报，等待Agent自动验证</x:v>
      </x:c>
      <x:c r="C369" t="str">
        <x:v>603979</x:v>
      </x:c>
      <x:c r="D369" t="str">
        <x:v>金诚信</x:v>
      </x:c>
      <x:c r="E369" t="str">
        <x:v>主板</x:v>
      </x:c>
      <x:c r="F369" t="str">
        <x:v>待行业映射</x:v>
      </x:c>
      <x:c r="G369" t="str">
        <x:v>当前全市场行情快照缺少 PB；只能作为待补全研究队列，不得按完整估值条件生成交易建议。</x:v>
      </x:c>
      <x:c r="H369" t="n">
        <x:v>79.54</x:v>
      </x:c>
      <x:c r="I369" t="n">
        <x:v>17.46</x:v>
      </x:c>
      <x:c r="J369"/>
      <x:c r="K369" t="str">
        <x:v>待归档官方财报</x:v>
      </x:c>
      <x:c r="L369" t="str">
        <x:v>AkShare / Tencent all-A market snapshot</x:v>
      </x:c>
      <x:c r="M369" t="str">
        <x:v>ProxyError: primary market source unavailable; see source_id for full audit.</x:v>
      </x:c>
      <x:c r="N369" t="str">
        <x:v>0</x:v>
      </x:c>
      <x:c r="O369" t="str">
        <x:v>0fd6ad2d-3389-4e70-8974-eb85ee223eeb</x:v>
      </x:c>
      <x:c r="P369" t="str">
        <x:v>2026-09-04</x:v>
      </x:c>
    </x:row>
    <x:row r="370">
      <x:c r="A370" t="str">
        <x:v>重点观察</x:v>
      </x:c>
      <x:c r="B370" t="str">
        <x:v>补全 PB、财报，等待Agent自动验证</x:v>
      </x:c>
      <x:c r="C370" t="str">
        <x:v>603833</x:v>
      </x:c>
      <x:c r="D370" t="str">
        <x:v>欧派家居</x:v>
      </x:c>
      <x:c r="E370" t="str">
        <x:v>主板</x:v>
      </x:c>
      <x:c r="F370" t="str">
        <x:v>待行业映射</x:v>
      </x:c>
      <x:c r="G370" t="str">
        <x:v>当前全市场行情快照缺少 PB；只能作为待补全研究队列，不得按完整估值条件生成交易建议。</x:v>
      </x:c>
      <x:c r="H370" t="n">
        <x:v>31.3</x:v>
      </x:c>
      <x:c r="I370" t="n">
        <x:v>13.35</x:v>
      </x:c>
      <x:c r="J370"/>
      <x:c r="K370" t="str">
        <x:v>待归档官方财报</x:v>
      </x:c>
      <x:c r="L370" t="str">
        <x:v>AkShare / Tencent all-A market snapshot</x:v>
      </x:c>
      <x:c r="M370" t="str">
        <x:v>ProxyError: primary market source unavailable; see source_id for full audit.</x:v>
      </x:c>
      <x:c r="N370" t="str">
        <x:v>0</x:v>
      </x:c>
      <x:c r="O370" t="str">
        <x:v>0fd6ad2d-3389-4e70-8974-eb85ee223eeb</x:v>
      </x:c>
      <x:c r="P370" t="str">
        <x:v>2026-09-04</x:v>
      </x:c>
    </x:row>
    <x:row r="371">
      <x:c r="A371" t="str">
        <x:v>重点观察</x:v>
      </x:c>
      <x:c r="B371" t="str">
        <x:v>补全 PB、财报，等待Agent自动验证</x:v>
      </x:c>
      <x:c r="C371" t="str">
        <x:v>300390</x:v>
      </x:c>
      <x:c r="D371" t="str">
        <x:v>天华新能</x:v>
      </x:c>
      <x:c r="E371" t="str">
        <x:v>创业板</x:v>
      </x:c>
      <x:c r="F371" t="str">
        <x:v>待行业映射</x:v>
      </x:c>
      <x:c r="G371" t="str">
        <x:v>当前全市场行情快照缺少 PB；只能作为待补全研究队列，不得按完整估值条件生成交易建议。</x:v>
      </x:c>
      <x:c r="H371" t="n">
        <x:v>57.94</x:v>
      </x:c>
      <x:c r="I371" t="n">
        <x:v>17.28</x:v>
      </x:c>
      <x:c r="J371"/>
      <x:c r="K371" t="str">
        <x:v>待归档官方财报</x:v>
      </x:c>
      <x:c r="L371" t="str">
        <x:v>AkShare / Tencent all-A market snapshot</x:v>
      </x:c>
      <x:c r="M371" t="str">
        <x:v>ProxyError: primary market source unavailable; see source_id for full audit.</x:v>
      </x:c>
      <x:c r="N371" t="str">
        <x:v>0</x:v>
      </x:c>
      <x:c r="O371" t="str">
        <x:v>0fd6ad2d-3389-4e70-8974-eb85ee223eeb</x:v>
      </x:c>
      <x:c r="P371" t="str">
        <x:v>2026-09-04</x:v>
      </x:c>
    </x:row>
    <x:row r="372">
      <x:c r="A372" t="str">
        <x:v>重点观察</x:v>
      </x:c>
      <x:c r="B372" t="str">
        <x:v>补全 PB、财报，等待Agent自动验证</x:v>
      </x:c>
      <x:c r="C372" t="str">
        <x:v>601799</x:v>
      </x:c>
      <x:c r="D372" t="str">
        <x:v>星宇股份</x:v>
      </x:c>
      <x:c r="E372" t="str">
        <x:v>主板</x:v>
      </x:c>
      <x:c r="F372" t="str">
        <x:v>待行业映射</x:v>
      </x:c>
      <x:c r="G372" t="str">
        <x:v>当前全市场行情快照缺少 PB；只能作为待补全研究队列，不得按完整估值条件生成交易建议。</x:v>
      </x:c>
      <x:c r="H372" t="n">
        <x:v>76.32</x:v>
      </x:c>
      <x:c r="I372" t="n">
        <x:v>13.74</x:v>
      </x:c>
      <x:c r="J372"/>
      <x:c r="K372" t="str">
        <x:v>待归档官方财报</x:v>
      </x:c>
      <x:c r="L372" t="str">
        <x:v>AkShare / Tencent all-A market snapshot</x:v>
      </x:c>
      <x:c r="M372" t="str">
        <x:v>ProxyError: primary market source unavailable; see source_id for full audit.</x:v>
      </x:c>
      <x:c r="N372" t="str">
        <x:v>0</x:v>
      </x:c>
      <x:c r="O372" t="str">
        <x:v>0fd6ad2d-3389-4e70-8974-eb85ee223eeb</x:v>
      </x:c>
      <x:c r="P372" t="str">
        <x:v>2026-09-04</x:v>
      </x:c>
    </x:row>
    <x:row r="373">
      <x:c r="A373" t="str">
        <x:v>重点观察</x:v>
      </x:c>
      <x:c r="B373" t="str">
        <x:v>补全 PB、财报，等待Agent自动验证</x:v>
      </x:c>
      <x:c r="C373" t="str">
        <x:v>600729</x:v>
      </x:c>
      <x:c r="D373" t="str">
        <x:v>重百集团</x:v>
      </x:c>
      <x:c r="E373" t="str">
        <x:v>主板</x:v>
      </x:c>
      <x:c r="F373" t="str">
        <x:v>待行业映射</x:v>
      </x:c>
      <x:c r="G373" t="str">
        <x:v>当前全市场行情快照缺少 PB；只能作为待补全研究队列，不得按完整估值条件生成交易建议。</x:v>
      </x:c>
      <x:c r="H373" t="n">
        <x:v>19.52</x:v>
      </x:c>
      <x:c r="I373" t="n">
        <x:v>11.98</x:v>
      </x:c>
      <x:c r="J373"/>
      <x:c r="K373" t="str">
        <x:v>待归档官方财报</x:v>
      </x:c>
      <x:c r="L373" t="str">
        <x:v>AkShare / Tencent all-A market snapshot</x:v>
      </x:c>
      <x:c r="M373" t="str">
        <x:v>ProxyError: primary market source unavailable; see source_id for full audit.</x:v>
      </x:c>
      <x:c r="N373" t="str">
        <x:v>0</x:v>
      </x:c>
      <x:c r="O373" t="str">
        <x:v>0fd6ad2d-3389-4e70-8974-eb85ee223eeb</x:v>
      </x:c>
      <x:c r="P373" t="str">
        <x:v>2026-09-04</x:v>
      </x:c>
    </x:row>
    <x:row r="374">
      <x:c r="A374" t="str">
        <x:v>重点观察</x:v>
      </x:c>
      <x:c r="B374" t="str">
        <x:v>补全 PB、财报，等待Agent自动验证</x:v>
      </x:c>
      <x:c r="C374" t="str">
        <x:v>603486</x:v>
      </x:c>
      <x:c r="D374" t="str">
        <x:v>科沃斯</x:v>
      </x:c>
      <x:c r="E374" t="str">
        <x:v>主板</x:v>
      </x:c>
      <x:c r="F374" t="str">
        <x:v>待行业映射</x:v>
      </x:c>
      <x:c r="G374" t="str">
        <x:v>当前全市场行情快照缺少 PB；只能作为待补全研究队列，不得按完整估值条件生成交易建议。</x:v>
      </x:c>
      <x:c r="H374" t="n">
        <x:v>52.22</x:v>
      </x:c>
      <x:c r="I374" t="n">
        <x:v>14.93</x:v>
      </x:c>
      <x:c r="J374"/>
      <x:c r="K374" t="str">
        <x:v>待归档官方财报</x:v>
      </x:c>
      <x:c r="L374" t="str">
        <x:v>AkShare / Tencent all-A market snapshot</x:v>
      </x:c>
      <x:c r="M374" t="str">
        <x:v>ProxyError: primary market source unavailable; see source_id for full audit.</x:v>
      </x:c>
      <x:c r="N374" t="str">
        <x:v>0</x:v>
      </x:c>
      <x:c r="O374" t="str">
        <x:v>0fd6ad2d-3389-4e70-8974-eb85ee223eeb</x:v>
      </x:c>
      <x:c r="P374" t="str">
        <x:v>2026-09-04</x:v>
      </x:c>
    </x:row>
    <x:row r="375">
      <x:c r="A375" t="str">
        <x:v>重点观察</x:v>
      </x:c>
      <x:c r="B375" t="str">
        <x:v>补全 PB、财报，等待Agent自动验证</x:v>
      </x:c>
      <x:c r="C375" t="str">
        <x:v>600012</x:v>
      </x:c>
      <x:c r="D375" t="str">
        <x:v>皖通高速</x:v>
      </x:c>
      <x:c r="E375" t="str">
        <x:v>主板</x:v>
      </x:c>
      <x:c r="F375" t="str">
        <x:v>待行业映射</x:v>
      </x:c>
      <x:c r="G375" t="str">
        <x:v>当前全市场行情快照缺少 PB；只能作为待补全研究队列，不得按完整估值条件生成交易建议。</x:v>
      </x:c>
      <x:c r="H375" t="n">
        <x:v>16.51</x:v>
      </x:c>
      <x:c r="I375" t="n">
        <x:v>14.66</x:v>
      </x:c>
      <x:c r="J375"/>
      <x:c r="K375" t="str">
        <x:v>待归档官方财报</x:v>
      </x:c>
      <x:c r="L375" t="str">
        <x:v>AkShare / Tencent all-A market snapshot</x:v>
      </x:c>
      <x:c r="M375" t="str">
        <x:v>ProxyError: primary market source unavailable; see source_id for full audit.</x:v>
      </x:c>
      <x:c r="N375" t="str">
        <x:v>0</x:v>
      </x:c>
      <x:c r="O375" t="str">
        <x:v>0fd6ad2d-3389-4e70-8974-eb85ee223eeb</x:v>
      </x:c>
      <x:c r="P375" t="str">
        <x:v>2026-09-04</x:v>
      </x:c>
    </x:row>
    <x:row r="376">
      <x:c r="A376" t="str">
        <x:v>重点观察</x:v>
      </x:c>
      <x:c r="B376" t="str">
        <x:v>补全 PB、财报，等待Agent自动验证</x:v>
      </x:c>
      <x:c r="C376" t="str">
        <x:v>002572</x:v>
      </x:c>
      <x:c r="D376" t="str">
        <x:v>索菲亚</x:v>
      </x:c>
      <x:c r="E376" t="str">
        <x:v>主板</x:v>
      </x:c>
      <x:c r="F376" t="str">
        <x:v>待行业映射</x:v>
      </x:c>
      <x:c r="G376" t="str">
        <x:v>当前全市场行情快照缺少 PB；只能作为待补全研究队列，不得按完整估值条件生成交易建议。</x:v>
      </x:c>
      <x:c r="H376" t="n">
        <x:v>7.97</x:v>
      </x:c>
      <x:c r="I376" t="n">
        <x:v>11.92</x:v>
      </x:c>
      <x:c r="J376"/>
      <x:c r="K376" t="str">
        <x:v>待归档官方财报</x:v>
      </x:c>
      <x:c r="L376" t="str">
        <x:v>AkShare / Tencent all-A market snapshot</x:v>
      </x:c>
      <x:c r="M376" t="str">
        <x:v>ProxyError: primary market source unavailable; see source_id for full audit.</x:v>
      </x:c>
      <x:c r="N376" t="str">
        <x:v>0</x:v>
      </x:c>
      <x:c r="O376" t="str">
        <x:v>0fd6ad2d-3389-4e70-8974-eb85ee223eeb</x:v>
      </x:c>
      <x:c r="P376" t="str">
        <x:v>2026-09-04</x:v>
      </x:c>
    </x:row>
    <x:row r="377">
      <x:c r="A377" t="str">
        <x:v>重点观察</x:v>
      </x:c>
      <x:c r="B377" t="str">
        <x:v>补全 PB、财报，等待Agent自动验证</x:v>
      </x:c>
      <x:c r="C377" t="str">
        <x:v>600211</x:v>
      </x:c>
      <x:c r="D377" t="str">
        <x:v>西藏药业</x:v>
      </x:c>
      <x:c r="E377" t="str">
        <x:v>主板</x:v>
      </x:c>
      <x:c r="F377" t="str">
        <x:v>待行业映射</x:v>
      </x:c>
      <x:c r="G377" t="str">
        <x:v>当前全市场行情快照缺少 PB；只能作为待补全研究队列，不得按完整估值条件生成交易建议。</x:v>
      </x:c>
      <x:c r="H377" t="n">
        <x:v>38.06</x:v>
      </x:c>
      <x:c r="I377" t="n">
        <x:v>12.54</x:v>
      </x:c>
      <x:c r="J377"/>
      <x:c r="K377" t="str">
        <x:v>待归档官方财报</x:v>
      </x:c>
      <x:c r="L377" t="str">
        <x:v>AkShare / Tencent all-A market snapshot</x:v>
      </x:c>
      <x:c r="M377" t="str">
        <x:v>ProxyError: primary market source unavailable; see source_id for full audit.</x:v>
      </x:c>
      <x:c r="N377" t="str">
        <x:v>0</x:v>
      </x:c>
      <x:c r="O377" t="str">
        <x:v>0fd6ad2d-3389-4e70-8974-eb85ee223eeb</x:v>
      </x:c>
      <x:c r="P377" t="str">
        <x:v>2026-09-04</x:v>
      </x:c>
    </x:row>
    <x:row r="378">
      <x:c r="A378" t="str">
        <x:v>重点观察</x:v>
      </x:c>
      <x:c r="B378" t="str">
        <x:v>补全 PB、财报，等待Agent自动验证</x:v>
      </x:c>
      <x:c r="C378" t="str">
        <x:v>000030</x:v>
      </x:c>
      <x:c r="D378" t="str">
        <x:v>富奥股份</x:v>
      </x:c>
      <x:c r="E378" t="str">
        <x:v>主板</x:v>
      </x:c>
      <x:c r="F378" t="str">
        <x:v>待行业映射</x:v>
      </x:c>
      <x:c r="G378" t="str">
        <x:v>当前全市场行情快照缺少 PB；只能作为待补全研究队列，不得按完整估值条件生成交易建议。</x:v>
      </x:c>
      <x:c r="H378" t="n">
        <x:v>4.05</x:v>
      </x:c>
      <x:c r="I378" t="n">
        <x:v>11.87</x:v>
      </x:c>
      <x:c r="J378"/>
      <x:c r="K378" t="str">
        <x:v>待归档官方财报</x:v>
      </x:c>
      <x:c r="L378" t="str">
        <x:v>AkShare / Tencent all-A market snapshot</x:v>
      </x:c>
      <x:c r="M378" t="str">
        <x:v>ProxyError: primary market source unavailable; see source_id for full audit.</x:v>
      </x:c>
      <x:c r="N378" t="str">
        <x:v>0</x:v>
      </x:c>
      <x:c r="O378" t="str">
        <x:v>0fd6ad2d-3389-4e70-8974-eb85ee223eeb</x:v>
      </x:c>
      <x:c r="P378" t="str">
        <x:v>2026-09-04</x:v>
      </x:c>
    </x:row>
    <x:row r="379">
      <x:c r="A379" t="str">
        <x:v>重点观察</x:v>
      </x:c>
      <x:c r="B379" t="str">
        <x:v>补全 PB、财报，等待Agent自动验证</x:v>
      </x:c>
      <x:c r="C379" t="str">
        <x:v>603659</x:v>
      </x:c>
      <x:c r="D379" t="str">
        <x:v>璞泰来</x:v>
      </x:c>
      <x:c r="E379" t="str">
        <x:v>主板</x:v>
      </x:c>
      <x:c r="F379" t="str">
        <x:v>待行业映射</x:v>
      </x:c>
      <x:c r="G379" t="str">
        <x:v>当前全市场行情快照缺少 PB；只能作为待补全研究队列，不得按完整估值条件生成交易建议。</x:v>
      </x:c>
      <x:c r="H379" t="n">
        <x:v>22.45</x:v>
      </x:c>
      <x:c r="I379" t="n">
        <x:v>17.47</x:v>
      </x:c>
      <x:c r="J379"/>
      <x:c r="K379" t="str">
        <x:v>待归档官方财报</x:v>
      </x:c>
      <x:c r="L379" t="str">
        <x:v>AkShare / Tencent all-A market snapshot</x:v>
      </x:c>
      <x:c r="M379" t="str">
        <x:v>ProxyError: primary market source unavailable; see source_id for full audit.</x:v>
      </x:c>
      <x:c r="N379" t="str">
        <x:v>0</x:v>
      </x:c>
      <x:c r="O379" t="str">
        <x:v>0fd6ad2d-3389-4e70-8974-eb85ee223eeb</x:v>
      </x:c>
      <x:c r="P379" t="str">
        <x:v>2026-09-04</x:v>
      </x:c>
    </x:row>
    <x:row r="380">
      <x:c r="A380" t="str">
        <x:v>重点观察</x:v>
      </x:c>
      <x:c r="B380" t="str">
        <x:v>补全 PB、财报，等待Agent自动验证</x:v>
      </x:c>
      <x:c r="C380" t="str">
        <x:v>000513</x:v>
      </x:c>
      <x:c r="D380" t="str">
        <x:v>丽珠集团</x:v>
      </x:c>
      <x:c r="E380" t="str">
        <x:v>主板</x:v>
      </x:c>
      <x:c r="F380" t="str">
        <x:v>待行业映射</x:v>
      </x:c>
      <x:c r="G380" t="str">
        <x:v>当前全市场行情快照缺少 PB；只能作为待补全研究队列，不得按完整估值条件生成交易建议。</x:v>
      </x:c>
      <x:c r="H380" t="n">
        <x:v>26.77</x:v>
      </x:c>
      <x:c r="I380" t="n">
        <x:v>14.2</x:v>
      </x:c>
      <x:c r="J380"/>
      <x:c r="K380" t="str">
        <x:v>待归档官方财报</x:v>
      </x:c>
      <x:c r="L380" t="str">
        <x:v>AkShare / Tencent all-A market snapshot</x:v>
      </x:c>
      <x:c r="M380" t="str">
        <x:v>ProxyError: primary market source unavailable; see source_id for full audit.</x:v>
      </x:c>
      <x:c r="N380" t="str">
        <x:v>0</x:v>
      </x:c>
      <x:c r="O380" t="str">
        <x:v>0fd6ad2d-3389-4e70-8974-eb85ee223eeb</x:v>
      </x:c>
      <x:c r="P380" t="str">
        <x:v>2026-09-04</x:v>
      </x:c>
    </x:row>
    <x:row r="381">
      <x:c r="A381" t="str">
        <x:v>重点观察</x:v>
      </x:c>
      <x:c r="B381" t="str">
        <x:v>补全 PB、财报，等待Agent自动验证</x:v>
      </x:c>
      <x:c r="C381" t="str">
        <x:v>601019</x:v>
      </x:c>
      <x:c r="D381" t="str">
        <x:v>山东出版</x:v>
      </x:c>
      <x:c r="E381" t="str">
        <x:v>主板</x:v>
      </x:c>
      <x:c r="F381" t="str">
        <x:v>待行业映射</x:v>
      </x:c>
      <x:c r="G381" t="str">
        <x:v>当前全市场行情快照缺少 PB；只能作为待补全研究队列，不得按完整估值条件生成交易建议。</x:v>
      </x:c>
      <x:c r="H381" t="n">
        <x:v>7.12</x:v>
      </x:c>
      <x:c r="I381" t="n">
        <x:v>13.01</x:v>
      </x:c>
      <x:c r="J381"/>
      <x:c r="K381" t="str">
        <x:v>待归档官方财报</x:v>
      </x:c>
      <x:c r="L381" t="str">
        <x:v>AkShare / Tencent all-A market snapshot</x:v>
      </x:c>
      <x:c r="M381" t="str">
        <x:v>ProxyError: primary market source unavailable; see source_id for full audit.</x:v>
      </x:c>
      <x:c r="N381" t="str">
        <x:v>0</x:v>
      </x:c>
      <x:c r="O381" t="str">
        <x:v>0fd6ad2d-3389-4e70-8974-eb85ee223eeb</x:v>
      </x:c>
      <x:c r="P381" t="str">
        <x:v>2026-09-04</x:v>
      </x:c>
    </x:row>
    <x:row r="382">
      <x:c r="A382" t="str">
        <x:v>重点观察</x:v>
      </x:c>
      <x:c r="B382" t="str">
        <x:v>补全 PB、财报，等待Agent自动验证</x:v>
      </x:c>
      <x:c r="C382" t="str">
        <x:v>600933</x:v>
      </x:c>
      <x:c r="D382" t="str">
        <x:v>爱柯迪</x:v>
      </x:c>
      <x:c r="E382" t="str">
        <x:v>主板</x:v>
      </x:c>
      <x:c r="F382" t="str">
        <x:v>待行业映射</x:v>
      </x:c>
      <x:c r="G382" t="str">
        <x:v>当前全市场行情快照缺少 PB；只能作为待补全研究队列，不得按完整估值条件生成交易建议。</x:v>
      </x:c>
      <x:c r="H382" t="n">
        <x:v>13.46</x:v>
      </x:c>
      <x:c r="I382" t="n">
        <x:v>12.89</x:v>
      </x:c>
      <x:c r="J382"/>
      <x:c r="K382" t="str">
        <x:v>待归档官方财报</x:v>
      </x:c>
      <x:c r="L382" t="str">
        <x:v>AkShare / Tencent all-A market snapshot</x:v>
      </x:c>
      <x:c r="M382" t="str">
        <x:v>ProxyError: primary market source unavailable; see source_id for full audit.</x:v>
      </x:c>
      <x:c r="N382" t="str">
        <x:v>0</x:v>
      </x:c>
      <x:c r="O382" t="str">
        <x:v>0fd6ad2d-3389-4e70-8974-eb85ee223eeb</x:v>
      </x:c>
      <x:c r="P382" t="str">
        <x:v>2026-09-04</x:v>
      </x:c>
    </x:row>
    <x:row r="383">
      <x:c r="A383" t="str">
        <x:v>重点观察</x:v>
      </x:c>
      <x:c r="B383" t="str">
        <x:v>补全 PB、财报，等待Agent自动验证</x:v>
      </x:c>
      <x:c r="C383" t="str">
        <x:v>002440</x:v>
      </x:c>
      <x:c r="D383" t="str">
        <x:v>闰土股份</x:v>
      </x:c>
      <x:c r="E383" t="str">
        <x:v>主板</x:v>
      </x:c>
      <x:c r="F383" t="str">
        <x:v>待行业映射</x:v>
      </x:c>
      <x:c r="G383" t="str">
        <x:v>当前全市场行情快照缺少 PB；只能作为待补全研究队列，不得按完整估值条件生成交易建议。</x:v>
      </x:c>
      <x:c r="H383" t="n">
        <x:v>13.3</x:v>
      </x:c>
      <x:c r="I383" t="n">
        <x:v>13.04</x:v>
      </x:c>
      <x:c r="J383"/>
      <x:c r="K383" t="str">
        <x:v>待归档官方财报</x:v>
      </x:c>
      <x:c r="L383" t="str">
        <x:v>AkShare / Tencent all-A market snapshot</x:v>
      </x:c>
      <x:c r="M383" t="str">
        <x:v>ProxyError: primary market source unavailable; see source_id for full audit.</x:v>
      </x:c>
      <x:c r="N383" t="str">
        <x:v>0</x:v>
      </x:c>
      <x:c r="O383" t="str">
        <x:v>0fd6ad2d-3389-4e70-8974-eb85ee223eeb</x:v>
      </x:c>
      <x:c r="P383" t="str">
        <x:v>2026-09-04</x:v>
      </x:c>
    </x:row>
    <x:row r="384">
      <x:c r="A384" t="str">
        <x:v>重点观察</x:v>
      </x:c>
      <x:c r="B384" t="str">
        <x:v>补全 PB、财报，等待Agent自动验证</x:v>
      </x:c>
      <x:c r="C384" t="str">
        <x:v>000828</x:v>
      </x:c>
      <x:c r="D384" t="str">
        <x:v>东莞控股</x:v>
      </x:c>
      <x:c r="E384" t="str">
        <x:v>主板</x:v>
      </x:c>
      <x:c r="F384" t="str">
        <x:v>待行业映射</x:v>
      </x:c>
      <x:c r="G384" t="str">
        <x:v>当前全市场行情快照缺少 PB；只能作为待补全研究队列，不得按完整估值条件生成交易建议。</x:v>
      </x:c>
      <x:c r="H384" t="n">
        <x:v>10.07</x:v>
      </x:c>
      <x:c r="I384" t="n">
        <x:v>12.44</x:v>
      </x:c>
      <x:c r="J384"/>
      <x:c r="K384" t="str">
        <x:v>待归档官方财报</x:v>
      </x:c>
      <x:c r="L384" t="str">
        <x:v>AkShare / Tencent all-A market snapshot</x:v>
      </x:c>
      <x:c r="M384" t="str">
        <x:v>ProxyError: primary market source unavailable; see source_id for full audit.</x:v>
      </x:c>
      <x:c r="N384" t="str">
        <x:v>0</x:v>
      </x:c>
      <x:c r="O384" t="str">
        <x:v>0fd6ad2d-3389-4e70-8974-eb85ee223eeb</x:v>
      </x:c>
      <x:c r="P384" t="str">
        <x:v>2026-09-04</x:v>
      </x:c>
    </x:row>
    <x:row r="385">
      <x:c r="A385" t="str">
        <x:v>重点观察</x:v>
      </x:c>
      <x:c r="B385" t="str">
        <x:v>补全 PB、财报，等待Agent自动验证</x:v>
      </x:c>
      <x:c r="C385" t="str">
        <x:v>603680</x:v>
      </x:c>
      <x:c r="D385" t="str">
        <x:v>今创集团</x:v>
      </x:c>
      <x:c r="E385" t="str">
        <x:v>主板</x:v>
      </x:c>
      <x:c r="F385" t="str">
        <x:v>待行业映射</x:v>
      </x:c>
      <x:c r="G385" t="str">
        <x:v>当前全市场行情快照缺少 PB；只能作为待补全研究队列，不得按完整估值条件生成交易建议。</x:v>
      </x:c>
      <x:c r="H385" t="n">
        <x:v>10.02</x:v>
      </x:c>
      <x:c r="I385" t="n">
        <x:v>12.13</x:v>
      </x:c>
      <x:c r="J385"/>
      <x:c r="K385" t="str">
        <x:v>待归档官方财报</x:v>
      </x:c>
      <x:c r="L385" t="str">
        <x:v>AkShare / Tencent all-A market snapshot</x:v>
      </x:c>
      <x:c r="M385" t="str">
        <x:v>ProxyError: primary market source unavailable; see source_id for full audit.</x:v>
      </x:c>
      <x:c r="N385" t="str">
        <x:v>0</x:v>
      </x:c>
      <x:c r="O385" t="str">
        <x:v>0fd6ad2d-3389-4e70-8974-eb85ee223eeb</x:v>
      </x:c>
      <x:c r="P385" t="str">
        <x:v>2026-09-04</x:v>
      </x:c>
    </x:row>
    <x:row r="386">
      <x:c r="A386" t="str">
        <x:v>重点观察</x:v>
      </x:c>
      <x:c r="B386" t="str">
        <x:v>补全 PB、财报，等待Agent自动验证</x:v>
      </x:c>
      <x:c r="C386" t="str">
        <x:v>601921</x:v>
      </x:c>
      <x:c r="D386" t="str">
        <x:v>浙版传媒</x:v>
      </x:c>
      <x:c r="E386" t="str">
        <x:v>主板</x:v>
      </x:c>
      <x:c r="F386" t="str">
        <x:v>待行业映射</x:v>
      </x:c>
      <x:c r="G386" t="str">
        <x:v>当前全市场行情快照缺少 PB；只能作为待补全研究队列，不得按完整估值条件生成交易建议。</x:v>
      </x:c>
      <x:c r="H386" t="n">
        <x:v>7.53</x:v>
      </x:c>
      <x:c r="I386" t="n">
        <x:v>13.33</x:v>
      </x:c>
      <x:c r="J386"/>
      <x:c r="K386" t="str">
        <x:v>待归档官方财报</x:v>
      </x:c>
      <x:c r="L386" t="str">
        <x:v>AkShare / Tencent all-A market snapshot</x:v>
      </x:c>
      <x:c r="M386" t="str">
        <x:v>ProxyError: primary market source unavailable; see source_id for full audit.</x:v>
      </x:c>
      <x:c r="N386" t="str">
        <x:v>0</x:v>
      </x:c>
      <x:c r="O386" t="str">
        <x:v>0fd6ad2d-3389-4e70-8974-eb85ee223eeb</x:v>
      </x:c>
      <x:c r="P386" t="str">
        <x:v>2026-09-04</x:v>
      </x:c>
    </x:row>
    <x:row r="387">
      <x:c r="A387" t="str">
        <x:v>重点观察</x:v>
      </x:c>
      <x:c r="B387" t="str">
        <x:v>补全 PB、财报，等待Agent自动验证</x:v>
      </x:c>
      <x:c r="C387" t="str">
        <x:v>002060</x:v>
      </x:c>
      <x:c r="D387" t="str">
        <x:v>广东建工</x:v>
      </x:c>
      <x:c r="E387" t="str">
        <x:v>主板</x:v>
      </x:c>
      <x:c r="F387" t="str">
        <x:v>待行业映射</x:v>
      </x:c>
      <x:c r="G387" t="str">
        <x:v>当前全市场行情快照缺少 PB；只能作为待补全研究队列，不得按完整估值条件生成交易建议。</x:v>
      </x:c>
      <x:c r="H387" t="n">
        <x:v>3.18</x:v>
      </x:c>
      <x:c r="I387" t="n">
        <x:v>12.7</x:v>
      </x:c>
      <x:c r="J387"/>
      <x:c r="K387" t="str">
        <x:v>待归档官方财报</x:v>
      </x:c>
      <x:c r="L387" t="str">
        <x:v>AkShare / Tencent all-A market snapshot</x:v>
      </x:c>
      <x:c r="M387" t="str">
        <x:v>ProxyError: primary market source unavailable; see source_id for full audit.</x:v>
      </x:c>
      <x:c r="N387" t="str">
        <x:v>0</x:v>
      </x:c>
      <x:c r="O387" t="str">
        <x:v>0fd6ad2d-3389-4e70-8974-eb85ee223eeb</x:v>
      </x:c>
      <x:c r="P387" t="str">
        <x:v>2026-09-04</x:v>
      </x:c>
    </x:row>
    <x:row r="388">
      <x:c r="A388" t="str">
        <x:v>重点观察</x:v>
      </x:c>
      <x:c r="B388" t="str">
        <x:v>补全 PB、财报，等待Agent自动验证</x:v>
      </x:c>
      <x:c r="C388" t="str">
        <x:v>002206</x:v>
      </x:c>
      <x:c r="D388" t="str">
        <x:v>海 利 得</x:v>
      </x:c>
      <x:c r="E388" t="str">
        <x:v>主板</x:v>
      </x:c>
      <x:c r="F388" t="str">
        <x:v>待行业映射</x:v>
      </x:c>
      <x:c r="G388" t="str">
        <x:v>当前全市场行情快照缺少 PB；只能作为待补全研究队列，不得按完整估值条件生成交易建议。</x:v>
      </x:c>
      <x:c r="H388" t="n">
        <x:v>5.27</x:v>
      </x:c>
      <x:c r="I388" t="n">
        <x:v>11.92</x:v>
      </x:c>
      <x:c r="J388"/>
      <x:c r="K388" t="str">
        <x:v>待归档官方财报</x:v>
      </x:c>
      <x:c r="L388" t="str">
        <x:v>AkShare / Tencent all-A market snapshot</x:v>
      </x:c>
      <x:c r="M388" t="str">
        <x:v>ProxyError: primary market source unavailable; see source_id for full audit.</x:v>
      </x:c>
      <x:c r="N388" t="str">
        <x:v>0</x:v>
      </x:c>
      <x:c r="O388" t="str">
        <x:v>0fd6ad2d-3389-4e70-8974-eb85ee223eeb</x:v>
      </x:c>
      <x:c r="P388" t="str">
        <x:v>2026-09-04</x:v>
      </x:c>
    </x:row>
    <x:row r="389">
      <x:c r="A389" t="str">
        <x:v>重点观察</x:v>
      </x:c>
      <x:c r="B389" t="str">
        <x:v>补全 PB、财报，等待Agent自动验证</x:v>
      </x:c>
      <x:c r="C389" t="str">
        <x:v>300428</x:v>
      </x:c>
      <x:c r="D389" t="str">
        <x:v>立中集团</x:v>
      </x:c>
      <x:c r="E389" t="str">
        <x:v>创业板</x:v>
      </x:c>
      <x:c r="F389" t="str">
        <x:v>待行业映射</x:v>
      </x:c>
      <x:c r="G389" t="str">
        <x:v>当前全市场行情快照缺少 PB；只能作为待补全研究队列，不得按完整估值条件生成交易建议。</x:v>
      </x:c>
      <x:c r="H389" t="n">
        <x:v>20.05</x:v>
      </x:c>
      <x:c r="I389" t="n">
        <x:v>12.95</x:v>
      </x:c>
      <x:c r="J389"/>
      <x:c r="K389" t="str">
        <x:v>待归档官方财报</x:v>
      </x:c>
      <x:c r="L389" t="str">
        <x:v>AkShare / Tencent all-A market snapshot</x:v>
      </x:c>
      <x:c r="M389" t="str">
        <x:v>ProxyError: primary market source unavailable; see source_id for full audit.</x:v>
      </x:c>
      <x:c r="N389" t="str">
        <x:v>0</x:v>
      </x:c>
      <x:c r="O389" t="str">
        <x:v>0fd6ad2d-3389-4e70-8974-eb85ee223eeb</x:v>
      </x:c>
      <x:c r="P389" t="str">
        <x:v>2026-09-04</x:v>
      </x:c>
    </x:row>
    <x:row r="390">
      <x:c r="A390" t="str">
        <x:v>重点观察</x:v>
      </x:c>
      <x:c r="B390" t="str">
        <x:v>补全 PB、财报，等待Agent自动验证</x:v>
      </x:c>
      <x:c r="C390" t="str">
        <x:v>603202</x:v>
      </x:c>
      <x:c r="D390" t="str">
        <x:v>天有为</x:v>
      </x:c>
      <x:c r="E390" t="str">
        <x:v>主板</x:v>
      </x:c>
      <x:c r="F390" t="str">
        <x:v>待行业映射</x:v>
      </x:c>
      <x:c r="G390" t="str">
        <x:v>当前全市场行情快照缺少 PB；只能作为待补全研究队列，不得按完整估值条件生成交易建议。</x:v>
      </x:c>
      <x:c r="H390" t="n">
        <x:v>52.61</x:v>
      </x:c>
      <x:c r="I390" t="n">
        <x:v>12.24</x:v>
      </x:c>
      <x:c r="J390"/>
      <x:c r="K390" t="str">
        <x:v>待归档官方财报</x:v>
      </x:c>
      <x:c r="L390" t="str">
        <x:v>AkShare / Tencent all-A market snapshot</x:v>
      </x:c>
      <x:c r="M390" t="str">
        <x:v>ProxyError: primary market source unavailable; see source_id for full audit.</x:v>
      </x:c>
      <x:c r="N390" t="str">
        <x:v>0</x:v>
      </x:c>
      <x:c r="O390" t="str">
        <x:v>0fd6ad2d-3389-4e70-8974-eb85ee223eeb</x:v>
      </x:c>
      <x:c r="P390" t="str">
        <x:v>2026-09-04</x:v>
      </x:c>
    </x:row>
    <x:row r="391">
      <x:c r="A391" t="str">
        <x:v>重点观察</x:v>
      </x:c>
      <x:c r="B391" t="str">
        <x:v>补全 PB、财报，等待Agent自动验证</x:v>
      </x:c>
      <x:c r="C391" t="str">
        <x:v>601702</x:v>
      </x:c>
      <x:c r="D391" t="str">
        <x:v>华峰铝业</x:v>
      </x:c>
      <x:c r="E391" t="str">
        <x:v>主板</x:v>
      </x:c>
      <x:c r="F391" t="str">
        <x:v>待行业映射</x:v>
      </x:c>
      <x:c r="G391" t="str">
        <x:v>当前全市场行情快照缺少 PB；只能作为待补全研究队列，不得按完整估值条件生成交易建议。</x:v>
      </x:c>
      <x:c r="H391" t="n">
        <x:v>15.75</x:v>
      </x:c>
      <x:c r="I391" t="n">
        <x:v>13.23</x:v>
      </x:c>
      <x:c r="J391"/>
      <x:c r="K391" t="str">
        <x:v>待归档官方财报</x:v>
      </x:c>
      <x:c r="L391" t="str">
        <x:v>AkShare / Tencent all-A market snapshot</x:v>
      </x:c>
      <x:c r="M391" t="str">
        <x:v>ProxyError: primary market source unavailable; see source_id for full audit.</x:v>
      </x:c>
      <x:c r="N391" t="str">
        <x:v>0</x:v>
      </x:c>
      <x:c r="O391" t="str">
        <x:v>0fd6ad2d-3389-4e70-8974-eb85ee223eeb</x:v>
      </x:c>
      <x:c r="P391" t="str">
        <x:v>2026-09-04</x:v>
      </x:c>
    </x:row>
    <x:row r="392">
      <x:c r="A392" t="str">
        <x:v>重点观察</x:v>
      </x:c>
      <x:c r="B392" t="str">
        <x:v>补全 PB、财报，等待Agent自动验证</x:v>
      </x:c>
      <x:c r="C392" t="str">
        <x:v>002140</x:v>
      </x:c>
      <x:c r="D392" t="str">
        <x:v>东华科技</x:v>
      </x:c>
      <x:c r="E392" t="str">
        <x:v>主板</x:v>
      </x:c>
      <x:c r="F392" t="str">
        <x:v>待行业映射</x:v>
      </x:c>
      <x:c r="G392" t="str">
        <x:v>当前全市场行情快照缺少 PB；只能作为待补全研究队列，不得按完整估值条件生成交易建议。</x:v>
      </x:c>
      <x:c r="H392" t="n">
        <x:v>9.19</x:v>
      </x:c>
      <x:c r="I392" t="n">
        <x:v>12.04</x:v>
      </x:c>
      <x:c r="J392"/>
      <x:c r="K392" t="str">
        <x:v>待归档官方财报</x:v>
      </x:c>
      <x:c r="L392" t="str">
        <x:v>AkShare / Tencent all-A market snapshot</x:v>
      </x:c>
      <x:c r="M392" t="str">
        <x:v>ProxyError: primary market source unavailable; see source_id for full audit.</x:v>
      </x:c>
      <x:c r="N392" t="str">
        <x:v>0</x:v>
      </x:c>
      <x:c r="O392" t="str">
        <x:v>0fd6ad2d-3389-4e70-8974-eb85ee223eeb</x:v>
      </x:c>
      <x:c r="P392" t="str">
        <x:v>2026-09-04</x:v>
      </x:c>
    </x:row>
    <x:row r="393">
      <x:c r="A393" t="str">
        <x:v>重点观察</x:v>
      </x:c>
      <x:c r="B393" t="str">
        <x:v>补全 PB、财报，等待Agent自动验证</x:v>
      </x:c>
      <x:c r="C393" t="str">
        <x:v>002027</x:v>
      </x:c>
      <x:c r="D393" t="str">
        <x:v>分众传媒</x:v>
      </x:c>
      <x:c r="E393" t="str">
        <x:v>主板</x:v>
      </x:c>
      <x:c r="F393" t="str">
        <x:v>待行业映射</x:v>
      </x:c>
      <x:c r="G393" t="str">
        <x:v>当前全市场行情快照缺少 PB；只能作为待补全研究队列，不得按完整估值条件生成交易建议。</x:v>
      </x:c>
      <x:c r="H393" t="n">
        <x:v>4.88</x:v>
      </x:c>
      <x:c r="I393" t="n">
        <x:v>20.67</x:v>
      </x:c>
      <x:c r="J393"/>
      <x:c r="K393" t="str">
        <x:v>待归档官方财报</x:v>
      </x:c>
      <x:c r="L393" t="str">
        <x:v>AkShare / Tencent all-A market snapshot</x:v>
      </x:c>
      <x:c r="M393" t="str">
        <x:v>ProxyError: primary market source unavailable; see source_id for full audit.</x:v>
      </x:c>
      <x:c r="N393" t="str">
        <x:v>0</x:v>
      </x:c>
      <x:c r="O393" t="str">
        <x:v>0fd6ad2d-3389-4e70-8974-eb85ee223eeb</x:v>
      </x:c>
      <x:c r="P393" t="str">
        <x:v>2026-09-04</x:v>
      </x:c>
    </x:row>
    <x:row r="394">
      <x:c r="A394" t="str">
        <x:v>重点观察</x:v>
      </x:c>
      <x:c r="B394" t="str">
        <x:v>补全 PB、财报，等待Agent自动验证</x:v>
      </x:c>
      <x:c r="C394" t="str">
        <x:v>601965</x:v>
      </x:c>
      <x:c r="D394" t="str">
        <x:v>中国汽研</x:v>
      </x:c>
      <x:c r="E394" t="str">
        <x:v>主板</x:v>
      </x:c>
      <x:c r="F394" t="str">
        <x:v>待行业映射</x:v>
      </x:c>
      <x:c r="G394" t="str">
        <x:v>当前全市场行情快照缺少 PB；只能作为待补全研究队列，不得按完整估值条件生成交易建议。</x:v>
      </x:c>
      <x:c r="H394" t="n">
        <x:v>14.05</x:v>
      </x:c>
      <x:c r="I394" t="n">
        <x:v>13.09</x:v>
      </x:c>
      <x:c r="J394"/>
      <x:c r="K394" t="str">
        <x:v>待归档官方财报</x:v>
      </x:c>
      <x:c r="L394" t="str">
        <x:v>AkShare / Tencent all-A market snapshot</x:v>
      </x:c>
      <x:c r="M394" t="str">
        <x:v>ProxyError: primary market source unavailable; see source_id for full audit.</x:v>
      </x:c>
      <x:c r="N394" t="str">
        <x:v>0</x:v>
      </x:c>
      <x:c r="O394" t="str">
        <x:v>0fd6ad2d-3389-4e70-8974-eb85ee223eeb</x:v>
      </x:c>
      <x:c r="P394" t="str">
        <x:v>2026-09-04</x:v>
      </x:c>
    </x:row>
    <x:row r="395">
      <x:c r="A395" t="str">
        <x:v>重点观察</x:v>
      </x:c>
      <x:c r="B395" t="str">
        <x:v>补全 PB、财报，等待Agent自动验证</x:v>
      </x:c>
      <x:c r="C395" t="str">
        <x:v>000883</x:v>
      </x:c>
      <x:c r="D395" t="str">
        <x:v>湖北能源</x:v>
      </x:c>
      <x:c r="E395" t="str">
        <x:v>主板</x:v>
      </x:c>
      <x:c r="F395" t="str">
        <x:v>待行业映射</x:v>
      </x:c>
      <x:c r="G395" t="str">
        <x:v>当前全市场行情快照缺少 PB；只能作为待补全研究队列，不得按完整估值条件生成交易建议。</x:v>
      </x:c>
      <x:c r="H395" t="n">
        <x:v>4.51</x:v>
      </x:c>
      <x:c r="I395" t="n">
        <x:v>15.59</x:v>
      </x:c>
      <x:c r="J395"/>
      <x:c r="K395" t="str">
        <x:v>待归档官方财报</x:v>
      </x:c>
      <x:c r="L395" t="str">
        <x:v>AkShare / Tencent all-A market snapshot</x:v>
      </x:c>
      <x:c r="M395" t="str">
        <x:v>ProxyError: primary market source unavailable; see source_id for full audit.</x:v>
      </x:c>
      <x:c r="N395" t="str">
        <x:v>0</x:v>
      </x:c>
      <x:c r="O395" t="str">
        <x:v>0fd6ad2d-3389-4e70-8974-eb85ee223eeb</x:v>
      </x:c>
      <x:c r="P395" t="str">
        <x:v>2026-09-04</x:v>
      </x:c>
    </x:row>
    <x:row r="396">
      <x:c r="A396" t="str">
        <x:v>重点观察</x:v>
      </x:c>
      <x:c r="B396" t="str">
        <x:v>证券公司专用模型待核验</x:v>
      </x:c>
      <x:c r="C396" t="str">
        <x:v>002673</x:v>
      </x:c>
      <x:c r="D396" t="str">
        <x:v>西部证券</x:v>
      </x:c>
      <x:c r="E396" t="str">
        <x:v>主板</x:v>
      </x:c>
      <x:c r="F396" t="str">
        <x:v>待行业映射</x:v>
      </x:c>
      <x:c r="G396" t="str">
        <x:v>名称/板块初步识别为证券公司；须以同一报告期官方披露复核专用指标和行业分类，禁止套用通用企业现金流、负债率或 EV/EBITDA 规则。 当前公共行情快照缺少 PB，须在专用模型复核中补齐。</x:v>
      </x:c>
      <x:c r="H396" t="n">
        <x:v>6.94</x:v>
      </x:c>
      <x:c r="I396" t="n">
        <x:v>15.48</x:v>
      </x:c>
      <x:c r="J396"/>
      <x:c r="K396" t="str">
        <x:v>待归档官方财报</x:v>
      </x:c>
      <x:c r="L396" t="str">
        <x:v>AkShare / Tencent all-A market snapshot</x:v>
      </x:c>
      <x:c r="M396" t="str">
        <x:v>ProxyError: primary market source unavailable; see source_id for full audit.</x:v>
      </x:c>
      <x:c r="N396" t="str">
        <x:v>0</x:v>
      </x:c>
      <x:c r="O396" t="str">
        <x:v>0fd6ad2d-3389-4e70-8974-eb85ee223eeb</x:v>
      </x:c>
      <x:c r="P396" t="str">
        <x:v>2026-09-04</x:v>
      </x:c>
    </x:row>
    <x:row r="397">
      <x:c r="A397" t="str">
        <x:v>重点观察</x:v>
      </x:c>
      <x:c r="B397" t="str">
        <x:v>补全 PB、财报，等待Agent自动验证</x:v>
      </x:c>
      <x:c r="C397" t="str">
        <x:v>300628</x:v>
      </x:c>
      <x:c r="D397" t="str">
        <x:v>亿联网络</x:v>
      </x:c>
      <x:c r="E397" t="str">
        <x:v>创业板</x:v>
      </x:c>
      <x:c r="F397" t="str">
        <x:v>待行业映射</x:v>
      </x:c>
      <x:c r="G397" t="str">
        <x:v>当前全市场行情快照缺少 PB；只能作为待补全研究队列，不得按完整估值条件生成交易建议。</x:v>
      </x:c>
      <x:c r="H397" t="n">
        <x:v>42.08</x:v>
      </x:c>
      <x:c r="I397" t="n">
        <x:v>18.48</x:v>
      </x:c>
      <x:c r="J397"/>
      <x:c r="K397" t="str">
        <x:v>待归档官方财报</x:v>
      </x:c>
      <x:c r="L397" t="str">
        <x:v>AkShare / Tencent all-A market snapshot</x:v>
      </x:c>
      <x:c r="M397" t="str">
        <x:v>ProxyError: primary market source unavailable; see source_id for full audit.</x:v>
      </x:c>
      <x:c r="N397" t="str">
        <x:v>0</x:v>
      </x:c>
      <x:c r="O397" t="str">
        <x:v>0fd6ad2d-3389-4e70-8974-eb85ee223eeb</x:v>
      </x:c>
      <x:c r="P397" t="str">
        <x:v>2026-09-04</x:v>
      </x:c>
    </x:row>
    <x:row r="398">
      <x:c r="A398" t="str">
        <x:v>重点观察</x:v>
      </x:c>
      <x:c r="B398" t="str">
        <x:v>补全 PB、财报，等待Agent自动验证</x:v>
      </x:c>
      <x:c r="C398" t="str">
        <x:v>002244</x:v>
      </x:c>
      <x:c r="D398" t="str">
        <x:v>滨江集团</x:v>
      </x:c>
      <x:c r="E398" t="str">
        <x:v>主板</x:v>
      </x:c>
      <x:c r="F398" t="str">
        <x:v>待行业映射</x:v>
      </x:c>
      <x:c r="G398" t="str">
        <x:v>当前全市场行情快照缺少 PB；只能作为待补全研究队列，不得按完整估值条件生成交易建议。</x:v>
      </x:c>
      <x:c r="H398" t="n">
        <x:v>8.73</x:v>
      </x:c>
      <x:c r="I398" t="n">
        <x:v>14.97</x:v>
      </x:c>
      <x:c r="J398"/>
      <x:c r="K398" t="str">
        <x:v>待归档官方财报</x:v>
      </x:c>
      <x:c r="L398" t="str">
        <x:v>AkShare / Tencent all-A market snapshot</x:v>
      </x:c>
      <x:c r="M398" t="str">
        <x:v>ProxyError: primary market source unavailable; see source_id for full audit.</x:v>
      </x:c>
      <x:c r="N398" t="str">
        <x:v>0</x:v>
      </x:c>
      <x:c r="O398" t="str">
        <x:v>0fd6ad2d-3389-4e70-8974-eb85ee223eeb</x:v>
      </x:c>
      <x:c r="P398" t="str">
        <x:v>2026-09-04</x:v>
      </x:c>
    </x:row>
    <x:row r="399">
      <x:c r="A399" t="str">
        <x:v>重点观察</x:v>
      </x:c>
      <x:c r="B399" t="str">
        <x:v>补全 PB、财报，等待Agent自动验证</x:v>
      </x:c>
      <x:c r="C399" t="str">
        <x:v>600983</x:v>
      </x:c>
      <x:c r="D399" t="str">
        <x:v>惠而浦</x:v>
      </x:c>
      <x:c r="E399" t="str">
        <x:v>主板</x:v>
      </x:c>
      <x:c r="F399" t="str">
        <x:v>待行业映射</x:v>
      </x:c>
      <x:c r="G399" t="str">
        <x:v>当前全市场行情快照缺少 PB；只能作为待补全研究队列，不得按完整估值条件生成交易建议。</x:v>
      </x:c>
      <x:c r="H399" t="n">
        <x:v>7.61</x:v>
      </x:c>
      <x:c r="I399" t="n">
        <x:v>12.12</x:v>
      </x:c>
      <x:c r="J399"/>
      <x:c r="K399" t="str">
        <x:v>待归档官方财报</x:v>
      </x:c>
      <x:c r="L399" t="str">
        <x:v>AkShare / Tencent all-A market snapshot</x:v>
      </x:c>
      <x:c r="M399" t="str">
        <x:v>ProxyError: primary market source unavailable; see source_id for full audit.</x:v>
      </x:c>
      <x:c r="N399" t="str">
        <x:v>0</x:v>
      </x:c>
      <x:c r="O399" t="str">
        <x:v>0fd6ad2d-3389-4e70-8974-eb85ee223eeb</x:v>
      </x:c>
      <x:c r="P399" t="str">
        <x:v>2026-09-04</x:v>
      </x:c>
    </x:row>
    <x:row r="400">
      <x:c r="A400" t="str">
        <x:v>重点观察</x:v>
      </x:c>
      <x:c r="B400" t="str">
        <x:v>补全 PB、财报，等待Agent自动验证</x:v>
      </x:c>
      <x:c r="C400" t="str">
        <x:v>600499</x:v>
      </x:c>
      <x:c r="D400" t="str">
        <x:v>科达制造</x:v>
      </x:c>
      <x:c r="E400" t="str">
        <x:v>主板</x:v>
      </x:c>
      <x:c r="F400" t="str">
        <x:v>待行业映射</x:v>
      </x:c>
      <x:c r="G400" t="str">
        <x:v>当前全市场行情快照缺少 PB；只能作为待补全研究队列，不得按完整估值条件生成交易建议。</x:v>
      </x:c>
      <x:c r="H400" t="n">
        <x:v>14.59</x:v>
      </x:c>
      <x:c r="I400" t="n">
        <x:v>15.14</x:v>
      </x:c>
      <x:c r="J400"/>
      <x:c r="K400" t="str">
        <x:v>待归档官方财报</x:v>
      </x:c>
      <x:c r="L400" t="str">
        <x:v>AkShare / Tencent all-A market snapshot</x:v>
      </x:c>
      <x:c r="M400" t="str">
        <x:v>ProxyError: primary market source unavailable; see source_id for full audit.</x:v>
      </x:c>
      <x:c r="N400" t="str">
        <x:v>0</x:v>
      </x:c>
      <x:c r="O400" t="str">
        <x:v>0fd6ad2d-3389-4e70-8974-eb85ee223eeb</x:v>
      </x:c>
      <x:c r="P400" t="str">
        <x:v>2026-09-04</x:v>
      </x:c>
    </x:row>
    <x:row r="401">
      <x:c r="A401" t="str">
        <x:v>重点观察</x:v>
      </x:c>
      <x:c r="B401" t="str">
        <x:v>补全 PB、财报，等待Agent自动验证</x:v>
      </x:c>
      <x:c r="C401" t="str">
        <x:v>002841</x:v>
      </x:c>
      <x:c r="D401" t="str">
        <x:v>视源股份</x:v>
      </x:c>
      <x:c r="E401" t="str">
        <x:v>主板</x:v>
      </x:c>
      <x:c r="F401" t="str">
        <x:v>待行业映射</x:v>
      </x:c>
      <x:c r="G401" t="str">
        <x:v>当前全市场行情快照缺少 PB；只能作为待补全研究队列，不得按完整估值条件生成交易建议。</x:v>
      </x:c>
      <x:c r="H401" t="n">
        <x:v>48.85</x:v>
      </x:c>
      <x:c r="I401" t="n">
        <x:v>15.99</x:v>
      </x:c>
      <x:c r="J401"/>
      <x:c r="K401" t="str">
        <x:v>待归档官方财报</x:v>
      </x:c>
      <x:c r="L401" t="str">
        <x:v>AkShare / Tencent all-A market snapshot</x:v>
      </x:c>
      <x:c r="M401" t="str">
        <x:v>ProxyError: primary market source unavailable; see source_id for full audit.</x:v>
      </x:c>
      <x:c r="N401" t="str">
        <x:v>0</x:v>
      </x:c>
      <x:c r="O401" t="str">
        <x:v>0fd6ad2d-3389-4e70-8974-eb85ee223eeb</x:v>
      </x:c>
      <x:c r="P401" t="str">
        <x:v>2026-09-04</x:v>
      </x:c>
    </x:row>
    <x:row r="402">
      <x:c r="A402" t="str">
        <x:v>重点观察</x:v>
      </x:c>
      <x:c r="B402" t="str">
        <x:v>补全 PB、财报，等待Agent自动验证</x:v>
      </x:c>
      <x:c r="C402" t="str">
        <x:v>600269</x:v>
      </x:c>
      <x:c r="D402" t="str">
        <x:v>赣粤高速</x:v>
      </x:c>
      <x:c r="E402" t="str">
        <x:v>主板</x:v>
      </x:c>
      <x:c r="F402" t="str">
        <x:v>待行业映射</x:v>
      </x:c>
      <x:c r="G402" t="str">
        <x:v>当前全市场行情快照缺少 PB；只能作为待补全研究队列，不得按完整估值条件生成交易建议。</x:v>
      </x:c>
      <x:c r="H402" t="n">
        <x:v>3.92</x:v>
      </x:c>
      <x:c r="I402" t="n">
        <x:v>12.66</x:v>
      </x:c>
      <x:c r="J402"/>
      <x:c r="K402" t="str">
        <x:v>待归档官方财报</x:v>
      </x:c>
      <x:c r="L402" t="str">
        <x:v>AkShare / Tencent all-A market snapshot</x:v>
      </x:c>
      <x:c r="M402" t="str">
        <x:v>ProxyError: primary market source unavailable; see source_id for full audit.</x:v>
      </x:c>
      <x:c r="N402" t="str">
        <x:v>0</x:v>
      </x:c>
      <x:c r="O402" t="str">
        <x:v>0fd6ad2d-3389-4e70-8974-eb85ee223eeb</x:v>
      </x:c>
      <x:c r="P402" t="str">
        <x:v>2026-09-04</x:v>
      </x:c>
    </x:row>
    <x:row r="403">
      <x:c r="A403" t="str">
        <x:v>重点观察</x:v>
      </x:c>
      <x:c r="B403" t="str">
        <x:v>补全 PB、财报，等待Agent自动验证</x:v>
      </x:c>
      <x:c r="C403" t="str">
        <x:v>600549</x:v>
      </x:c>
      <x:c r="D403" t="str">
        <x:v>厦门钨业</x:v>
      </x:c>
      <x:c r="E403" t="str">
        <x:v>主板</x:v>
      </x:c>
      <x:c r="F403" t="str">
        <x:v>待行业映射</x:v>
      </x:c>
      <x:c r="G403" t="str">
        <x:v>当前全市场行情快照缺少 PB；只能作为待补全研究队列，不得按完整估值条件生成交易建议。</x:v>
      </x:c>
      <x:c r="H403" t="n">
        <x:v>48.79</x:v>
      </x:c>
      <x:c r="I403" t="n">
        <x:v>21.88</x:v>
      </x:c>
      <x:c r="J403"/>
      <x:c r="K403" t="str">
        <x:v>待归档官方财报</x:v>
      </x:c>
      <x:c r="L403" t="str">
        <x:v>AkShare / Tencent all-A market snapshot</x:v>
      </x:c>
      <x:c r="M403" t="str">
        <x:v>ProxyError: primary market source unavailable; see source_id for full audit.</x:v>
      </x:c>
      <x:c r="N403" t="str">
        <x:v>0</x:v>
      </x:c>
      <x:c r="O403" t="str">
        <x:v>0fd6ad2d-3389-4e70-8974-eb85ee223eeb</x:v>
      </x:c>
      <x:c r="P403" t="str">
        <x:v>2026-09-04</x:v>
      </x:c>
    </x:row>
    <x:row r="404">
      <x:c r="A404" t="str">
        <x:v>重点观察</x:v>
      </x:c>
      <x:c r="B404" t="str">
        <x:v>补全 PB、财报，等待Agent自动验证</x:v>
      </x:c>
      <x:c r="C404" t="str">
        <x:v>600057</x:v>
      </x:c>
      <x:c r="D404" t="str">
        <x:v>厦门象屿</x:v>
      </x:c>
      <x:c r="E404" t="str">
        <x:v>主板</x:v>
      </x:c>
      <x:c r="F404" t="str">
        <x:v>待行业映射</x:v>
      </x:c>
      <x:c r="G404" t="str">
        <x:v>当前全市场行情快照缺少 PB；只能作为待补全研究队列，不得按完整估值条件生成交易建议。</x:v>
      </x:c>
      <x:c r="H404" t="n">
        <x:v>6.52</x:v>
      </x:c>
      <x:c r="I404" t="n">
        <x:v>13.95</x:v>
      </x:c>
      <x:c r="J404"/>
      <x:c r="K404" t="str">
        <x:v>待归档官方财报</x:v>
      </x:c>
      <x:c r="L404" t="str">
        <x:v>AkShare / Tencent all-A market snapshot</x:v>
      </x:c>
      <x:c r="M404" t="str">
        <x:v>ProxyError: primary market source unavailable; see source_id for full audit.</x:v>
      </x:c>
      <x:c r="N404" t="str">
        <x:v>0</x:v>
      </x:c>
      <x:c r="O404" t="str">
        <x:v>0fd6ad2d-3389-4e70-8974-eb85ee223eeb</x:v>
      </x:c>
      <x:c r="P404" t="str">
        <x:v>2026-09-04</x:v>
      </x:c>
    </x:row>
    <x:row r="405">
      <x:c r="A405" t="str">
        <x:v>重点观察</x:v>
      </x:c>
      <x:c r="B405" t="str">
        <x:v>补全 PB、财报，等待Agent自动验证</x:v>
      </x:c>
      <x:c r="C405" t="str">
        <x:v>601512</x:v>
      </x:c>
      <x:c r="D405" t="str">
        <x:v>中新集团</x:v>
      </x:c>
      <x:c r="E405" t="str">
        <x:v>主板</x:v>
      </x:c>
      <x:c r="F405" t="str">
        <x:v>待行业映射</x:v>
      </x:c>
      <x:c r="G405" t="str">
        <x:v>当前全市场行情快照缺少 PB；只能作为待补全研究队列，不得按完整估值条件生成交易建议。</x:v>
      </x:c>
      <x:c r="H405" t="n">
        <x:v>8.59</x:v>
      </x:c>
      <x:c r="I405" t="n">
        <x:v>13.2</x:v>
      </x:c>
      <x:c r="J405"/>
      <x:c r="K405" t="str">
        <x:v>待归档官方财报</x:v>
      </x:c>
      <x:c r="L405" t="str">
        <x:v>AkShare / Tencent all-A market snapshot</x:v>
      </x:c>
      <x:c r="M405" t="str">
        <x:v>ProxyError: primary market source unavailable; see source_id for full audit.</x:v>
      </x:c>
      <x:c r="N405" t="str">
        <x:v>0</x:v>
      </x:c>
      <x:c r="O405" t="str">
        <x:v>0fd6ad2d-3389-4e70-8974-eb85ee223eeb</x:v>
      </x:c>
      <x:c r="P405" t="str">
        <x:v>2026-09-04</x:v>
      </x:c>
    </x:row>
    <x:row r="406">
      <x:c r="A406" t="str">
        <x:v>重点观察</x:v>
      </x:c>
      <x:c r="B406" t="str">
        <x:v>补全 PB、财报，等待Agent自动验证</x:v>
      </x:c>
      <x:c r="C406" t="str">
        <x:v>002508</x:v>
      </x:c>
      <x:c r="D406" t="str">
        <x:v>老板电器</x:v>
      </x:c>
      <x:c r="E406" t="str">
        <x:v>主板</x:v>
      </x:c>
      <x:c r="F406" t="str">
        <x:v>待行业映射</x:v>
      </x:c>
      <x:c r="G406" t="str">
        <x:v>当前全市场行情快照缺少 PB；只能作为待补全研究队列，不得按完整估值条件生成交易建议。</x:v>
      </x:c>
      <x:c r="H406" t="n">
        <x:v>16.05</x:v>
      </x:c>
      <x:c r="I406" t="n">
        <x:v>13.51</x:v>
      </x:c>
      <x:c r="J406"/>
      <x:c r="K406" t="str">
        <x:v>待归档官方财报</x:v>
      </x:c>
      <x:c r="L406" t="str">
        <x:v>AkShare / Tencent all-A market snapshot</x:v>
      </x:c>
      <x:c r="M406" t="str">
        <x:v>ProxyError: primary market source unavailable; see source_id for full audit.</x:v>
      </x:c>
      <x:c r="N406" t="str">
        <x:v>0</x:v>
      </x:c>
      <x:c r="O406" t="str">
        <x:v>0fd6ad2d-3389-4e70-8974-eb85ee223eeb</x:v>
      </x:c>
      <x:c r="P406" t="str">
        <x:v>2026-09-04</x:v>
      </x:c>
    </x:row>
    <x:row r="407">
      <x:c r="A407" t="str">
        <x:v>重点观察</x:v>
      </x:c>
      <x:c r="B407" t="str">
        <x:v>补全 PB、财报，等待Agent自动验证</x:v>
      </x:c>
      <x:c r="C407" t="str">
        <x:v>002032</x:v>
      </x:c>
      <x:c r="D407" t="str">
        <x:v>苏 泊 尔</x:v>
      </x:c>
      <x:c r="E407" t="str">
        <x:v>主板</x:v>
      </x:c>
      <x:c r="F407" t="str">
        <x:v>待行业映射</x:v>
      </x:c>
      <x:c r="G407" t="str">
        <x:v>当前全市场行情快照缺少 PB；只能作为待补全研究队列，不得按完整估值条件生成交易建议。</x:v>
      </x:c>
      <x:c r="H407" t="n">
        <x:v>40.02</x:v>
      </x:c>
      <x:c r="I407" t="n">
        <x:v>15.81</x:v>
      </x:c>
      <x:c r="J407"/>
      <x:c r="K407" t="str">
        <x:v>待归档官方财报</x:v>
      </x:c>
      <x:c r="L407" t="str">
        <x:v>AkShare / Tencent all-A market snapshot</x:v>
      </x:c>
      <x:c r="M407" t="str">
        <x:v>ProxyError: primary market source unavailable; see source_id for full audit.</x:v>
      </x:c>
      <x:c r="N407" t="str">
        <x:v>0</x:v>
      </x:c>
      <x:c r="O407" t="str">
        <x:v>0fd6ad2d-3389-4e70-8974-eb85ee223eeb</x:v>
      </x:c>
      <x:c r="P407" t="str">
        <x:v>2026-09-04</x:v>
      </x:c>
    </x:row>
    <x:row r="408">
      <x:c r="A408" t="str">
        <x:v>重点观察</x:v>
      </x:c>
      <x:c r="B408" t="str">
        <x:v>补全 PB、财报，等待Agent自动验证</x:v>
      </x:c>
      <x:c r="C408" t="str">
        <x:v>000977</x:v>
      </x:c>
      <x:c r="D408" t="str">
        <x:v>浪潮信息</x:v>
      </x:c>
      <x:c r="E408" t="str">
        <x:v>主板</x:v>
      </x:c>
      <x:c r="F408" t="str">
        <x:v>待行业映射</x:v>
      </x:c>
      <x:c r="G408" t="str">
        <x:v>当前全市场行情快照缺少 PB；只能作为待补全研究队列，不得按完整估值条件生成交易建议。</x:v>
      </x:c>
      <x:c r="H408" t="n">
        <x:v>77.72</x:v>
      </x:c>
      <x:c r="I408" t="n">
        <x:v>25</x:v>
      </x:c>
      <x:c r="J408"/>
      <x:c r="K408" t="str">
        <x:v>待归档官方财报</x:v>
      </x:c>
      <x:c r="L408" t="str">
        <x:v>AkShare / Tencent all-A market snapshot</x:v>
      </x:c>
      <x:c r="M408" t="str">
        <x:v>ProxyError: primary market source unavailable; see source_id for full audit.</x:v>
      </x:c>
      <x:c r="N408" t="str">
        <x:v>0</x:v>
      </x:c>
      <x:c r="O408" t="str">
        <x:v>0fd6ad2d-3389-4e70-8974-eb85ee223eeb</x:v>
      </x:c>
      <x:c r="P408" t="str">
        <x:v>2026-09-04</x:v>
      </x:c>
    </x:row>
    <x:row r="409">
      <x:c r="A409" t="str">
        <x:v>重点观察</x:v>
      </x:c>
      <x:c r="B409" t="str">
        <x:v>补全 PB、财报，等待Agent自动验证</x:v>
      </x:c>
      <x:c r="C409" t="str">
        <x:v>600761</x:v>
      </x:c>
      <x:c r="D409" t="str">
        <x:v>安徽合力</x:v>
      </x:c>
      <x:c r="E409" t="str">
        <x:v>主板</x:v>
      </x:c>
      <x:c r="F409" t="str">
        <x:v>待行业映射</x:v>
      </x:c>
      <x:c r="G409" t="str">
        <x:v>当前全市场行情快照缺少 PB；只能作为待补全研究队列，不得按完整估值条件生成交易建议。</x:v>
      </x:c>
      <x:c r="H409" t="n">
        <x:v>16.38</x:v>
      </x:c>
      <x:c r="I409" t="n">
        <x:v>13.52</x:v>
      </x:c>
      <x:c r="J409"/>
      <x:c r="K409" t="str">
        <x:v>待归档官方财报</x:v>
      </x:c>
      <x:c r="L409" t="str">
        <x:v>AkShare / Tencent all-A market snapshot</x:v>
      </x:c>
      <x:c r="M409" t="str">
        <x:v>ProxyError: primary market source unavailable; see source_id for full audit.</x:v>
      </x:c>
      <x:c r="N409" t="str">
        <x:v>0</x:v>
      </x:c>
      <x:c r="O409" t="str">
        <x:v>0fd6ad2d-3389-4e70-8974-eb85ee223eeb</x:v>
      </x:c>
      <x:c r="P409" t="str">
        <x:v>2026-09-04</x:v>
      </x:c>
    </x:row>
    <x:row r="410">
      <x:c r="A410" t="str">
        <x:v>重点观察</x:v>
      </x:c>
      <x:c r="B410" t="str">
        <x:v>补全 PB、财报，等待Agent自动验证</x:v>
      </x:c>
      <x:c r="C410" t="str">
        <x:v>605305</x:v>
      </x:c>
      <x:c r="D410" t="str">
        <x:v>中际联合</x:v>
      </x:c>
      <x:c r="E410" t="str">
        <x:v>主板</x:v>
      </x:c>
      <x:c r="F410" t="str">
        <x:v>待行业映射</x:v>
      </x:c>
      <x:c r="G410" t="str">
        <x:v>当前全市场行情快照缺少 PB；只能作为待补全研究队列，不得按完整估值条件生成交易建议。</x:v>
      </x:c>
      <x:c r="H410" t="n">
        <x:v>31.19</x:v>
      </x:c>
      <x:c r="I410" t="n">
        <x:v>12.47</x:v>
      </x:c>
      <x:c r="J410"/>
      <x:c r="K410" t="str">
        <x:v>待归档官方财报</x:v>
      </x:c>
      <x:c r="L410" t="str">
        <x:v>AkShare / Tencent all-A market snapshot</x:v>
      </x:c>
      <x:c r="M410" t="str">
        <x:v>ProxyError: primary market source unavailable; see source_id for full audit.</x:v>
      </x:c>
      <x:c r="N410" t="str">
        <x:v>0</x:v>
      </x:c>
      <x:c r="O410" t="str">
        <x:v>0fd6ad2d-3389-4e70-8974-eb85ee223eeb</x:v>
      </x:c>
      <x:c r="P410" t="str">
        <x:v>2026-09-04</x:v>
      </x:c>
    </x:row>
    <x:row r="411">
      <x:c r="A411" t="str">
        <x:v>重点观察</x:v>
      </x:c>
      <x:c r="B411" t="str">
        <x:v>补全 PB、财报，等待Agent自动验证</x:v>
      </x:c>
      <x:c r="C411" t="str">
        <x:v>600368</x:v>
      </x:c>
      <x:c r="D411" t="str">
        <x:v>五洲交通</x:v>
      </x:c>
      <x:c r="E411" t="str">
        <x:v>主板</x:v>
      </x:c>
      <x:c r="F411" t="str">
        <x:v>待行业映射</x:v>
      </x:c>
      <x:c r="G411" t="str">
        <x:v>当前全市场行情快照缺少 PB；只能作为待补全研究队列，不得按完整估值条件生成交易建议。</x:v>
      </x:c>
      <x:c r="H411" t="n">
        <x:v>4.34</x:v>
      </x:c>
      <x:c r="I411" t="n">
        <x:v>12.61</x:v>
      </x:c>
      <x:c r="J411"/>
      <x:c r="K411" t="str">
        <x:v>待归档官方财报</x:v>
      </x:c>
      <x:c r="L411" t="str">
        <x:v>AkShare / Tencent all-A market snapshot</x:v>
      </x:c>
      <x:c r="M411" t="str">
        <x:v>ProxyError: primary market source unavailable; see source_id for full audit.</x:v>
      </x:c>
      <x:c r="N411" t="str">
        <x:v>0</x:v>
      </x:c>
      <x:c r="O411" t="str">
        <x:v>0fd6ad2d-3389-4e70-8974-eb85ee223eeb</x:v>
      </x:c>
      <x:c r="P411" t="str">
        <x:v>2026-09-04</x:v>
      </x:c>
    </x:row>
    <x:row r="412">
      <x:c r="A412" t="str">
        <x:v>重点观察</x:v>
      </x:c>
      <x:c r="B412" t="str">
        <x:v>补全 PB、财报，等待Agent自动验证</x:v>
      </x:c>
      <x:c r="C412" t="str">
        <x:v>000848</x:v>
      </x:c>
      <x:c r="D412" t="str">
        <x:v>承德露露</x:v>
      </x:c>
      <x:c r="E412" t="str">
        <x:v>主板</x:v>
      </x:c>
      <x:c r="F412" t="str">
        <x:v>待行业映射</x:v>
      </x:c>
      <x:c r="G412" t="str">
        <x:v>当前全市场行情快照缺少 PB；只能作为待补全研究队列，不得按完整估值条件生成交易建议。</x:v>
      </x:c>
      <x:c r="H412" t="n">
        <x:v>8.42</x:v>
      </x:c>
      <x:c r="I412" t="n">
        <x:v>12.88</x:v>
      </x:c>
      <x:c r="J412"/>
      <x:c r="K412" t="str">
        <x:v>待归档官方财报</x:v>
      </x:c>
      <x:c r="L412" t="str">
        <x:v>AkShare / Tencent all-A market snapshot</x:v>
      </x:c>
      <x:c r="M412" t="str">
        <x:v>ProxyError: primary market source unavailable; see source_id for full audit.</x:v>
      </x:c>
      <x:c r="N412" t="str">
        <x:v>0</x:v>
      </x:c>
      <x:c r="O412" t="str">
        <x:v>0fd6ad2d-3389-4e70-8974-eb85ee223eeb</x:v>
      </x:c>
      <x:c r="P412" t="str">
        <x:v>2026-09-04</x:v>
      </x:c>
    </x:row>
    <x:row r="413">
      <x:c r="A413" t="str">
        <x:v>重点观察</x:v>
      </x:c>
      <x:c r="B413" t="str">
        <x:v>补全 PB、财报，等待Agent自动验证</x:v>
      </x:c>
      <x:c r="C413" t="str">
        <x:v>601333</x:v>
      </x:c>
      <x:c r="D413" t="str">
        <x:v>广深铁路</x:v>
      </x:c>
      <x:c r="E413" t="str">
        <x:v>主板</x:v>
      </x:c>
      <x:c r="F413" t="str">
        <x:v>待行业映射</x:v>
      </x:c>
      <x:c r="G413" t="str">
        <x:v>当前全市场行情快照缺少 PB；只能作为待补全研究队列，不得按完整估值条件生成交易建议。</x:v>
      </x:c>
      <x:c r="H413" t="n">
        <x:v>3.13</x:v>
      </x:c>
      <x:c r="I413" t="n">
        <x:v>14.71</x:v>
      </x:c>
      <x:c r="J413"/>
      <x:c r="K413" t="str">
        <x:v>待归档官方财报</x:v>
      </x:c>
      <x:c r="L413" t="str">
        <x:v>AkShare / Tencent all-A market snapshot</x:v>
      </x:c>
      <x:c r="M413" t="str">
        <x:v>ProxyError: primary market source unavailable; see source_id for full audit.</x:v>
      </x:c>
      <x:c r="N413" t="str">
        <x:v>0</x:v>
      </x:c>
      <x:c r="O413" t="str">
        <x:v>0fd6ad2d-3389-4e70-8974-eb85ee223eeb</x:v>
      </x:c>
      <x:c r="P413" t="str">
        <x:v>2026-09-04</x:v>
      </x:c>
    </x:row>
    <x:row r="414">
      <x:c r="A414" t="str">
        <x:v>重点观察</x:v>
      </x:c>
      <x:c r="B414" t="str">
        <x:v>补全 PB、财报，等待Agent自动验证</x:v>
      </x:c>
      <x:c r="C414" t="str">
        <x:v>600988</x:v>
      </x:c>
      <x:c r="D414" t="str">
        <x:v>赤峰黄金</x:v>
      </x:c>
      <x:c r="E414" t="str">
        <x:v>主板</x:v>
      </x:c>
      <x:c r="F414" t="str">
        <x:v>待行业映射</x:v>
      </x:c>
      <x:c r="G414" t="str">
        <x:v>当前全市场行情快照缺少 PB；只能作为待补全研究队列，不得按完整估值条件生成交易建议。</x:v>
      </x:c>
      <x:c r="H414" t="n">
        <x:v>45.69</x:v>
      </x:c>
      <x:c r="I414" t="n">
        <x:v>23.42</x:v>
      </x:c>
      <x:c r="J414"/>
      <x:c r="K414" t="str">
        <x:v>待归档官方财报</x:v>
      </x:c>
      <x:c r="L414" t="str">
        <x:v>AkShare / Tencent all-A market snapshot</x:v>
      </x:c>
      <x:c r="M414" t="str">
        <x:v>ProxyError: primary market source unavailable; see source_id for full audit.</x:v>
      </x:c>
      <x:c r="N414" t="str">
        <x:v>0</x:v>
      </x:c>
      <x:c r="O414" t="str">
        <x:v>0fd6ad2d-3389-4e70-8974-eb85ee223eeb</x:v>
      </x:c>
      <x:c r="P414" t="str">
        <x:v>2026-09-04</x:v>
      </x:c>
    </x:row>
    <x:row r="415">
      <x:c r="A415" t="str">
        <x:v>重点观察</x:v>
      </x:c>
      <x:c r="B415" t="str">
        <x:v>补全 PB、财报，等待Agent自动验证</x:v>
      </x:c>
      <x:c r="C415" t="str">
        <x:v>600380</x:v>
      </x:c>
      <x:c r="D415" t="str">
        <x:v>健康元</x:v>
      </x:c>
      <x:c r="E415" t="str">
        <x:v>主板</x:v>
      </x:c>
      <x:c r="F415" t="str">
        <x:v>待行业映射</x:v>
      </x:c>
      <x:c r="G415" t="str">
        <x:v>当前全市场行情快照缺少 PB；只能作为待补全研究队列，不得按完整估值条件生成交易建议。</x:v>
      </x:c>
      <x:c r="H415" t="n">
        <x:v>9.16</x:v>
      </x:c>
      <x:c r="I415" t="n">
        <x:v>13.99</x:v>
      </x:c>
      <x:c r="J415"/>
      <x:c r="K415" t="str">
        <x:v>待归档官方财报</x:v>
      </x:c>
      <x:c r="L415" t="str">
        <x:v>AkShare / Tencent all-A market snapshot</x:v>
      </x:c>
      <x:c r="M415" t="str">
        <x:v>ProxyError: primary market source unavailable; see source_id for full audit.</x:v>
      </x:c>
      <x:c r="N415" t="str">
        <x:v>0</x:v>
      </x:c>
      <x:c r="O415" t="str">
        <x:v>0fd6ad2d-3389-4e70-8974-eb85ee223eeb</x:v>
      </x:c>
      <x:c r="P415" t="str">
        <x:v>2026-09-04</x:v>
      </x:c>
    </x:row>
    <x:row r="416">
      <x:c r="A416" t="str">
        <x:v>重点观察</x:v>
      </x:c>
      <x:c r="B416" t="str">
        <x:v>补全 PB、财报，等待Agent自动验证</x:v>
      </x:c>
      <x:c r="C416" t="str">
        <x:v>600648</x:v>
      </x:c>
      <x:c r="D416" t="str">
        <x:v>外高桥</x:v>
      </x:c>
      <x:c r="E416" t="str">
        <x:v>主板</x:v>
      </x:c>
      <x:c r="F416" t="str">
        <x:v>待行业映射</x:v>
      </x:c>
      <x:c r="G416" t="str">
        <x:v>当前全市场行情快照缺少 PB；只能作为待补全研究队列，不得按完整估值条件生成交易建议。</x:v>
      </x:c>
      <x:c r="H416" t="n">
        <x:v>9.33</x:v>
      </x:c>
      <x:c r="I416" t="n">
        <x:v>13.46</x:v>
      </x:c>
      <x:c r="J416"/>
      <x:c r="K416" t="str">
        <x:v>待归档官方财报</x:v>
      </x:c>
      <x:c r="L416" t="str">
        <x:v>AkShare / Tencent all-A market snapshot</x:v>
      </x:c>
      <x:c r="M416" t="str">
        <x:v>ProxyError: primary market source unavailable; see source_id for full audit.</x:v>
      </x:c>
      <x:c r="N416" t="str">
        <x:v>0</x:v>
      </x:c>
      <x:c r="O416" t="str">
        <x:v>0fd6ad2d-3389-4e70-8974-eb85ee223eeb</x:v>
      </x:c>
      <x:c r="P416" t="str">
        <x:v>2026-09-04</x:v>
      </x:c>
    </x:row>
    <x:row r="417">
      <x:c r="A417" t="str">
        <x:v>重点观察</x:v>
      </x:c>
      <x:c r="B417" t="str">
        <x:v>补全 PB、财报，等待Agent自动验证</x:v>
      </x:c>
      <x:c r="C417" t="str">
        <x:v>600612</x:v>
      </x:c>
      <x:c r="D417" t="str">
        <x:v>老凤祥</x:v>
      </x:c>
      <x:c r="E417" t="str">
        <x:v>主板</x:v>
      </x:c>
      <x:c r="F417" t="str">
        <x:v>待行业映射</x:v>
      </x:c>
      <x:c r="G417" t="str">
        <x:v>当前全市场行情快照缺少 PB；只能作为待补全研究队列，不得按完整估值条件生成交易建议。</x:v>
      </x:c>
      <x:c r="H417" t="n">
        <x:v>33.8</x:v>
      </x:c>
      <x:c r="I417" t="n">
        <x:v>14.14</x:v>
      </x:c>
      <x:c r="J417"/>
      <x:c r="K417" t="str">
        <x:v>待归档官方财报</x:v>
      </x:c>
      <x:c r="L417" t="str">
        <x:v>AkShare / Tencent all-A market snapshot</x:v>
      </x:c>
      <x:c r="M417" t="str">
        <x:v>ProxyError: primary market source unavailable; see source_id for full audit.</x:v>
      </x:c>
      <x:c r="N417" t="str">
        <x:v>0</x:v>
      </x:c>
      <x:c r="O417" t="str">
        <x:v>0fd6ad2d-3389-4e70-8974-eb85ee223eeb</x:v>
      </x:c>
      <x:c r="P417" t="str">
        <x:v>2026-09-04</x:v>
      </x:c>
    </x:row>
    <x:row r="418">
      <x:c r="A418" t="str">
        <x:v>重点观察</x:v>
      </x:c>
      <x:c r="B418" t="str">
        <x:v>补全 PB、财报，等待Agent自动验证</x:v>
      </x:c>
      <x:c r="C418" t="str">
        <x:v>000729</x:v>
      </x:c>
      <x:c r="D418" t="str">
        <x:v>燕京啤酒</x:v>
      </x:c>
      <x:c r="E418" t="str">
        <x:v>主板</x:v>
      </x:c>
      <x:c r="F418" t="str">
        <x:v>待行业映射</x:v>
      </x:c>
      <x:c r="G418" t="str">
        <x:v>当前全市场行情快照缺少 PB；只能作为待补全研究队列，不得按完整估值条件生成交易建议。</x:v>
      </x:c>
      <x:c r="H418" t="n">
        <x:v>11.27</x:v>
      </x:c>
      <x:c r="I418" t="n">
        <x:v>16.08</x:v>
      </x:c>
      <x:c r="J418"/>
      <x:c r="K418" t="str">
        <x:v>待归档官方财报</x:v>
      </x:c>
      <x:c r="L418" t="str">
        <x:v>AkShare / Tencent all-A market snapshot</x:v>
      </x:c>
      <x:c r="M418" t="str">
        <x:v>ProxyError: primary market source unavailable; see source_id for full audit.</x:v>
      </x:c>
      <x:c r="N418" t="str">
        <x:v>0</x:v>
      </x:c>
      <x:c r="O418" t="str">
        <x:v>0fd6ad2d-3389-4e70-8974-eb85ee223eeb</x:v>
      </x:c>
      <x:c r="P418" t="str">
        <x:v>2026-09-04</x:v>
      </x:c>
    </x:row>
    <x:row r="419">
      <x:c r="A419" t="str">
        <x:v>重点观察</x:v>
      </x:c>
      <x:c r="B419" t="str">
        <x:v>补全 PB、财报，等待Agent自动验证</x:v>
      </x:c>
      <x:c r="C419" t="str">
        <x:v>603198</x:v>
      </x:c>
      <x:c r="D419" t="str">
        <x:v>迎驾贡酒</x:v>
      </x:c>
      <x:c r="E419" t="str">
        <x:v>主板</x:v>
      </x:c>
      <x:c r="F419" t="str">
        <x:v>待行业映射</x:v>
      </x:c>
      <x:c r="G419" t="str">
        <x:v>当前全市场行情快照缺少 PB；只能作为待补全研究队列，不得按完整估值条件生成交易建议。</x:v>
      </x:c>
      <x:c r="H419" t="n">
        <x:v>41.05</x:v>
      </x:c>
      <x:c r="I419" t="n">
        <x:v>16.28</x:v>
      </x:c>
      <x:c r="J419"/>
      <x:c r="K419" t="str">
        <x:v>待归档官方财报</x:v>
      </x:c>
      <x:c r="L419" t="str">
        <x:v>AkShare / Tencent all-A market snapshot</x:v>
      </x:c>
      <x:c r="M419" t="str">
        <x:v>ProxyError: primary market source unavailable; see source_id for full audit.</x:v>
      </x:c>
      <x:c r="N419" t="str">
        <x:v>0</x:v>
      </x:c>
      <x:c r="O419" t="str">
        <x:v>0fd6ad2d-3389-4e70-8974-eb85ee223eeb</x:v>
      </x:c>
      <x:c r="P419" t="str">
        <x:v>2026-09-04</x:v>
      </x:c>
    </x:row>
    <x:row r="420">
      <x:c r="A420" t="str">
        <x:v>重点观察</x:v>
      </x:c>
      <x:c r="B420" t="str">
        <x:v>补全 PB、财报，等待Agent自动验证</x:v>
      </x:c>
      <x:c r="C420" t="str">
        <x:v>600348</x:v>
      </x:c>
      <x:c r="D420" t="str">
        <x:v>华阳股份</x:v>
      </x:c>
      <x:c r="E420" t="str">
        <x:v>主板</x:v>
      </x:c>
      <x:c r="F420" t="str">
        <x:v>待行业映射</x:v>
      </x:c>
      <x:c r="G420" t="str">
        <x:v>当前全市场行情快照缺少 PB；只能作为待补全研究队列，不得按完整估值条件生成交易建议。</x:v>
      </x:c>
      <x:c r="H420" t="n">
        <x:v>8.89</x:v>
      </x:c>
      <x:c r="I420" t="n">
        <x:v>16.18</x:v>
      </x:c>
      <x:c r="J420"/>
      <x:c r="K420" t="str">
        <x:v>待归档官方财报</x:v>
      </x:c>
      <x:c r="L420" t="str">
        <x:v>AkShare / Tencent all-A market snapshot</x:v>
      </x:c>
      <x:c r="M420" t="str">
        <x:v>ProxyError: primary market source unavailable; see source_id for full audit.</x:v>
      </x:c>
      <x:c r="N420" t="str">
        <x:v>0</x:v>
      </x:c>
      <x:c r="O420" t="str">
        <x:v>0fd6ad2d-3389-4e70-8974-eb85ee223eeb</x:v>
      </x:c>
      <x:c r="P420" t="str">
        <x:v>2026-09-04</x:v>
      </x:c>
    </x:row>
    <x:row r="421">
      <x:c r="A421" t="str">
        <x:v>重点观察</x:v>
      </x:c>
      <x:c r="B421" t="str">
        <x:v>补全 PB、财报，等待Agent自动验证</x:v>
      </x:c>
      <x:c r="C421" t="str">
        <x:v>002701</x:v>
      </x:c>
      <x:c r="D421" t="str">
        <x:v>奥瑞金</x:v>
      </x:c>
      <x:c r="E421" t="str">
        <x:v>主板</x:v>
      </x:c>
      <x:c r="F421" t="str">
        <x:v>待行业映射</x:v>
      </x:c>
      <x:c r="G421" t="str">
        <x:v>当前全市场行情快照缺少 PB；只能作为待补全研究队列，不得按完整估值条件生成交易建议。</x:v>
      </x:c>
      <x:c r="H421" t="n">
        <x:v>4.55</x:v>
      </x:c>
      <x:c r="I421" t="n">
        <x:v>13.44</x:v>
      </x:c>
      <x:c r="J421"/>
      <x:c r="K421" t="str">
        <x:v>待归档官方财报</x:v>
      </x:c>
      <x:c r="L421" t="str">
        <x:v>AkShare / Tencent all-A market snapshot</x:v>
      </x:c>
      <x:c r="M421" t="str">
        <x:v>ProxyError: primary market source unavailable; see source_id for full audit.</x:v>
      </x:c>
      <x:c r="N421" t="str">
        <x:v>0</x:v>
      </x:c>
      <x:c r="O421" t="str">
        <x:v>0fd6ad2d-3389-4e70-8974-eb85ee223eeb</x:v>
      </x:c>
      <x:c r="P421" t="str">
        <x:v>2026-09-04</x:v>
      </x:c>
    </x:row>
    <x:row r="422">
      <x:c r="A422" t="str">
        <x:v>重点观察</x:v>
      </x:c>
      <x:c r="B422" t="str">
        <x:v>补全 PB、财报，等待Agent自动验证</x:v>
      </x:c>
      <x:c r="C422" t="str">
        <x:v>600686</x:v>
      </x:c>
      <x:c r="D422" t="str">
        <x:v>金龙汽车</x:v>
      </x:c>
      <x:c r="E422" t="str">
        <x:v>主板</x:v>
      </x:c>
      <x:c r="F422" t="str">
        <x:v>待行业映射</x:v>
      </x:c>
      <x:c r="G422" t="str">
        <x:v>当前全市场行情快照缺少 PB；只能作为待补全研究队列，不得按完整估值条件生成交易建议。</x:v>
      </x:c>
      <x:c r="H422" t="n">
        <x:v>11.36</x:v>
      </x:c>
      <x:c r="I422" t="n">
        <x:v>12.97</x:v>
      </x:c>
      <x:c r="J422"/>
      <x:c r="K422" t="str">
        <x:v>待归档官方财报</x:v>
      </x:c>
      <x:c r="L422" t="str">
        <x:v>AkShare / Tencent all-A market snapshot</x:v>
      </x:c>
      <x:c r="M422" t="str">
        <x:v>ProxyError: primary market source unavailable; see source_id for full audit.</x:v>
      </x:c>
      <x:c r="N422" t="str">
        <x:v>0</x:v>
      </x:c>
      <x:c r="O422" t="str">
        <x:v>0fd6ad2d-3389-4e70-8974-eb85ee223eeb</x:v>
      </x:c>
      <x:c r="P422" t="str">
        <x:v>2026-09-04</x:v>
      </x:c>
    </x:row>
    <x:row r="423">
      <x:c r="A423" t="str">
        <x:v>重点观察</x:v>
      </x:c>
      <x:c r="B423" t="str">
        <x:v>补全 PB、财报，等待Agent自动验证</x:v>
      </x:c>
      <x:c r="C423" t="str">
        <x:v>688578</x:v>
      </x:c>
      <x:c r="D423" t="str">
        <x:v>艾力斯</x:v>
      </x:c>
      <x:c r="E423" t="str">
        <x:v>科创板</x:v>
      </x:c>
      <x:c r="F423" t="str">
        <x:v>待行业映射</x:v>
      </x:c>
      <x:c r="G423" t="str">
        <x:v>当前全市场行情快照缺少 PB；只能作为待补全研究队列，不得按完整估值条件生成交易建议。</x:v>
      </x:c>
      <x:c r="H423" t="n">
        <x:v>110.55</x:v>
      </x:c>
      <x:c r="I423" t="n">
        <x:v>18.57</x:v>
      </x:c>
      <x:c r="J423"/>
      <x:c r="K423" t="str">
        <x:v>待归档官方财报</x:v>
      </x:c>
      <x:c r="L423" t="str">
        <x:v>AkShare / Tencent all-A market snapshot</x:v>
      </x:c>
      <x:c r="M423" t="str">
        <x:v>ProxyError: primary market source unavailable; see source_id for full audit.</x:v>
      </x:c>
      <x:c r="N423" t="str">
        <x:v>0</x:v>
      </x:c>
      <x:c r="O423" t="str">
        <x:v>0fd6ad2d-3389-4e70-8974-eb85ee223eeb</x:v>
      </x:c>
      <x:c r="P423" t="str">
        <x:v>2026-09-04</x:v>
      </x:c>
    </x:row>
    <x:row r="424">
      <x:c r="A424" t="str">
        <x:v>重点观察</x:v>
      </x:c>
      <x:c r="B424" t="str">
        <x:v>补全 PB、财报，等待Agent自动验证</x:v>
      </x:c>
      <x:c r="C424" t="str">
        <x:v>300850</x:v>
      </x:c>
      <x:c r="D424" t="str">
        <x:v>新强联</x:v>
      </x:c>
      <x:c r="E424" t="str">
        <x:v>创业板</x:v>
      </x:c>
      <x:c r="F424" t="str">
        <x:v>待行业映射</x:v>
      </x:c>
      <x:c r="G424" t="str">
        <x:v>当前全市场行情快照缺少 PB；只能作为待补全研究队列，不得按完整估值条件生成交易建议。</x:v>
      </x:c>
      <x:c r="H424" t="n">
        <x:v>26.84</x:v>
      </x:c>
      <x:c r="I424" t="n">
        <x:v>13.39</x:v>
      </x:c>
      <x:c r="J424"/>
      <x:c r="K424" t="str">
        <x:v>待归档官方财报</x:v>
      </x:c>
      <x:c r="L424" t="str">
        <x:v>AkShare / Tencent all-A market snapshot</x:v>
      </x:c>
      <x:c r="M424" t="str">
        <x:v>ProxyError: primary market source unavailable; see source_id for full audit.</x:v>
      </x:c>
      <x:c r="N424" t="str">
        <x:v>0</x:v>
      </x:c>
      <x:c r="O424" t="str">
        <x:v>0fd6ad2d-3389-4e70-8974-eb85ee223eeb</x:v>
      </x:c>
      <x:c r="P424" t="str">
        <x:v>2026-09-04</x:v>
      </x:c>
    </x:row>
    <x:row r="425">
      <x:c r="A425" t="str">
        <x:v>重点观察</x:v>
      </x:c>
      <x:c r="B425" t="str">
        <x:v>补全 PB、财报，等待Agent自动验证</x:v>
      </x:c>
      <x:c r="C425" t="str">
        <x:v>600507</x:v>
      </x:c>
      <x:c r="D425" t="str">
        <x:v>方大特钢</x:v>
      </x:c>
      <x:c r="E425" t="str">
        <x:v>主板</x:v>
      </x:c>
      <x:c r="F425" t="str">
        <x:v>待行业映射</x:v>
      </x:c>
      <x:c r="G425" t="str">
        <x:v>当前全市场行情快照缺少 PB；只能作为待补全研究队列，不得按完整估值条件生成交易建议。</x:v>
      </x:c>
      <x:c r="H425" t="n">
        <x:v>4.26</x:v>
      </x:c>
      <x:c r="I425" t="n">
        <x:v>13.22</x:v>
      </x:c>
      <x:c r="J425"/>
      <x:c r="K425" t="str">
        <x:v>待归档官方财报</x:v>
      </x:c>
      <x:c r="L425" t="str">
        <x:v>AkShare / Tencent all-A market snapshot</x:v>
      </x:c>
      <x:c r="M425" t="str">
        <x:v>ProxyError: primary market source unavailable; see source_id for full audit.</x:v>
      </x:c>
      <x:c r="N425" t="str">
        <x:v>0</x:v>
      </x:c>
      <x:c r="O425" t="str">
        <x:v>0fd6ad2d-3389-4e70-8974-eb85ee223eeb</x:v>
      </x:c>
      <x:c r="P425" t="str">
        <x:v>2026-09-04</x:v>
      </x:c>
    </x:row>
    <x:row r="426">
      <x:c r="A426" t="str">
        <x:v>重点观察</x:v>
      </x:c>
      <x:c r="B426" t="str">
        <x:v>补全 PB、财报，等待Agent自动验证</x:v>
      </x:c>
      <x:c r="C426" t="str">
        <x:v>605090</x:v>
      </x:c>
      <x:c r="D426" t="str">
        <x:v>九丰能源</x:v>
      </x:c>
      <x:c r="E426" t="str">
        <x:v>主板</x:v>
      </x:c>
      <x:c r="F426" t="str">
        <x:v>待行业映射</x:v>
      </x:c>
      <x:c r="G426" t="str">
        <x:v>当前全市场行情快照缺少 PB；只能作为待补全研究队列，不得按完整估值条件生成交易建议。</x:v>
      </x:c>
      <x:c r="H426" t="n">
        <x:v>33.5</x:v>
      </x:c>
      <x:c r="I426" t="n">
        <x:v>15.08</x:v>
      </x:c>
      <x:c r="J426"/>
      <x:c r="K426" t="str">
        <x:v>待归档官方财报</x:v>
      </x:c>
      <x:c r="L426" t="str">
        <x:v>AkShare / Tencent all-A market snapshot</x:v>
      </x:c>
      <x:c r="M426" t="str">
        <x:v>ProxyError: primary market source unavailable; see source_id for full audit.</x:v>
      </x:c>
      <x:c r="N426" t="str">
        <x:v>0</x:v>
      </x:c>
      <x:c r="O426" t="str">
        <x:v>0fd6ad2d-3389-4e70-8974-eb85ee223eeb</x:v>
      </x:c>
      <x:c r="P426" t="str">
        <x:v>2026-09-04</x:v>
      </x:c>
    </x:row>
    <x:row r="427">
      <x:c r="A427" t="str">
        <x:v>重点观察</x:v>
      </x:c>
      <x:c r="B427" t="str">
        <x:v>补全 PB、财报，等待Agent自动验证</x:v>
      </x:c>
      <x:c r="C427" t="str">
        <x:v>603379</x:v>
      </x:c>
      <x:c r="D427" t="str">
        <x:v>三美股份</x:v>
      </x:c>
      <x:c r="E427" t="str">
        <x:v>主板</x:v>
      </x:c>
      <x:c r="F427" t="str">
        <x:v>待行业映射</x:v>
      </x:c>
      <x:c r="G427" t="str">
        <x:v>当前全市场行情快照缺少 PB；只能作为待补全研究队列，不得按完整估值条件生成交易建议。</x:v>
      </x:c>
      <x:c r="H427" t="n">
        <x:v>58.56</x:v>
      </x:c>
      <x:c r="I427" t="n">
        <x:v>16.73</x:v>
      </x:c>
      <x:c r="J427"/>
      <x:c r="K427" t="str">
        <x:v>待归档官方财报</x:v>
      </x:c>
      <x:c r="L427" t="str">
        <x:v>AkShare / Tencent all-A market snapshot</x:v>
      </x:c>
      <x:c r="M427" t="str">
        <x:v>ProxyError: primary market source unavailable; see source_id for full audit.</x:v>
      </x:c>
      <x:c r="N427" t="str">
        <x:v>0</x:v>
      </x:c>
      <x:c r="O427" t="str">
        <x:v>0fd6ad2d-3389-4e70-8974-eb85ee223eeb</x:v>
      </x:c>
      <x:c r="P427" t="str">
        <x:v>2026-09-04</x:v>
      </x:c>
    </x:row>
    <x:row r="428">
      <x:c r="A428" t="str">
        <x:v>重点观察</x:v>
      </x:c>
      <x:c r="B428" t="str">
        <x:v>补全 PB、财报，等待Agent自动验证</x:v>
      </x:c>
      <x:c r="C428" t="str">
        <x:v>002192</x:v>
      </x:c>
      <x:c r="D428" t="str">
        <x:v>融捷股份</x:v>
      </x:c>
      <x:c r="E428" t="str">
        <x:v>主板</x:v>
      </x:c>
      <x:c r="F428" t="str">
        <x:v>待行业映射</x:v>
      </x:c>
      <x:c r="G428" t="str">
        <x:v>当前全市场行情快照缺少 PB；只能作为待补全研究队列，不得按完整估值条件生成交易建议。</x:v>
      </x:c>
      <x:c r="H428" t="n">
        <x:v>65.43</x:v>
      </x:c>
      <x:c r="I428" t="n">
        <x:v>14.21</x:v>
      </x:c>
      <x:c r="J428"/>
      <x:c r="K428" t="str">
        <x:v>待归档官方财报</x:v>
      </x:c>
      <x:c r="L428" t="str">
        <x:v>AkShare / Tencent all-A market snapshot</x:v>
      </x:c>
      <x:c r="M428" t="str">
        <x:v>ProxyError: primary market source unavailable; see source_id for full audit.</x:v>
      </x:c>
      <x:c r="N428" t="str">
        <x:v>0</x:v>
      </x:c>
      <x:c r="O428" t="str">
        <x:v>0fd6ad2d-3389-4e70-8974-eb85ee223eeb</x:v>
      </x:c>
      <x:c r="P428" t="str">
        <x:v>2026-09-04</x:v>
      </x:c>
    </x:row>
    <x:row r="429">
      <x:c r="A429" t="str">
        <x:v>重点观察</x:v>
      </x:c>
      <x:c r="B429" t="str">
        <x:v>补全 PB、财报，等待Agent自动验证</x:v>
      </x:c>
      <x:c r="C429" t="str">
        <x:v>300415</x:v>
      </x:c>
      <x:c r="D429" t="str">
        <x:v>伊之密</x:v>
      </x:c>
      <x:c r="E429" t="str">
        <x:v>创业板</x:v>
      </x:c>
      <x:c r="F429" t="str">
        <x:v>待行业映射</x:v>
      </x:c>
      <x:c r="G429" t="str">
        <x:v>当前全市场行情快照缺少 PB；只能作为待补全研究队列，不得按完整估值条件生成交易建议。</x:v>
      </x:c>
      <x:c r="H429" t="n">
        <x:v>19.25</x:v>
      </x:c>
      <x:c r="I429" t="n">
        <x:v>13.18</x:v>
      </x:c>
      <x:c r="J429"/>
      <x:c r="K429" t="str">
        <x:v>待归档官方财报</x:v>
      </x:c>
      <x:c r="L429" t="str">
        <x:v>AkShare / Tencent all-A market snapshot</x:v>
      </x:c>
      <x:c r="M429" t="str">
        <x:v>ProxyError: primary market source unavailable; see source_id for full audit.</x:v>
      </x:c>
      <x:c r="N429" t="str">
        <x:v>0</x:v>
      </x:c>
      <x:c r="O429" t="str">
        <x:v>0fd6ad2d-3389-4e70-8974-eb85ee223eeb</x:v>
      </x:c>
      <x:c r="P429" t="str">
        <x:v>2026-09-04</x:v>
      </x:c>
    </x:row>
    <x:row r="430">
      <x:c r="A430" t="str">
        <x:v>重点观察</x:v>
      </x:c>
      <x:c r="B430" t="str">
        <x:v>补全 PB、财报，等待Agent自动验证</x:v>
      </x:c>
      <x:c r="C430" t="str">
        <x:v>002064</x:v>
      </x:c>
      <x:c r="D430" t="str">
        <x:v>华峰化学</x:v>
      </x:c>
      <x:c r="E430" t="str">
        <x:v>主板</x:v>
      </x:c>
      <x:c r="F430" t="str">
        <x:v>待行业映射</x:v>
      </x:c>
      <x:c r="G430" t="str">
        <x:v>当前全市场行情快照缺少 PB；只能作为待补全研究队列，不得按完整估值条件生成交易建议。</x:v>
      </x:c>
      <x:c r="H430" t="n">
        <x:v>11.22</x:v>
      </x:c>
      <x:c r="I430" t="n">
        <x:v>19.49</x:v>
      </x:c>
      <x:c r="J430"/>
      <x:c r="K430" t="str">
        <x:v>待归档官方财报</x:v>
      </x:c>
      <x:c r="L430" t="str">
        <x:v>AkShare / Tencent all-A market snapshot</x:v>
      </x:c>
      <x:c r="M430" t="str">
        <x:v>ProxyError: primary market source unavailable; see source_id for full audit.</x:v>
      </x:c>
      <x:c r="N430" t="str">
        <x:v>0</x:v>
      </x:c>
      <x:c r="O430" t="str">
        <x:v>0fd6ad2d-3389-4e70-8974-eb85ee223eeb</x:v>
      </x:c>
      <x:c r="P430" t="str">
        <x:v>2026-09-04</x:v>
      </x:c>
    </x:row>
    <x:row r="431">
      <x:c r="A431" t="str">
        <x:v>重点观察</x:v>
      </x:c>
      <x:c r="B431" t="str">
        <x:v>补全 PB、财报，等待Agent自动验证</x:v>
      </x:c>
      <x:c r="C431" t="str">
        <x:v>002961</x:v>
      </x:c>
      <x:c r="D431" t="str">
        <x:v>瑞达期货</x:v>
      </x:c>
      <x:c r="E431" t="str">
        <x:v>主板</x:v>
      </x:c>
      <x:c r="F431" t="str">
        <x:v>待行业映射</x:v>
      </x:c>
      <x:c r="G431" t="str">
        <x:v>当前全市场行情快照缺少 PB；只能作为待补全研究队列，不得按完整估值条件生成交易建议。</x:v>
      </x:c>
      <x:c r="H431" t="n">
        <x:v>20.35</x:v>
      </x:c>
      <x:c r="I431" t="n">
        <x:v>13.31</x:v>
      </x:c>
      <x:c r="J431"/>
      <x:c r="K431" t="str">
        <x:v>待归档官方财报</x:v>
      </x:c>
      <x:c r="L431" t="str">
        <x:v>AkShare / Tencent all-A market snapshot</x:v>
      </x:c>
      <x:c r="M431" t="str">
        <x:v>ProxyError: primary market source unavailable; see source_id for full audit.</x:v>
      </x:c>
      <x:c r="N431" t="str">
        <x:v>0</x:v>
      </x:c>
      <x:c r="O431" t="str">
        <x:v>0fd6ad2d-3389-4e70-8974-eb85ee223eeb</x:v>
      </x:c>
      <x:c r="P431" t="str">
        <x:v>2026-09-04</x:v>
      </x:c>
    </x:row>
    <x:row r="432">
      <x:c r="A432" t="str">
        <x:v>重点观察</x:v>
      </x:c>
      <x:c r="B432" t="str">
        <x:v>补全 PB、财报，等待Agent自动验证</x:v>
      </x:c>
      <x:c r="C432" t="str">
        <x:v>688036</x:v>
      </x:c>
      <x:c r="D432" t="str">
        <x:v>传音控股</x:v>
      </x:c>
      <x:c r="E432" t="str">
        <x:v>科创板</x:v>
      </x:c>
      <x:c r="F432" t="str">
        <x:v>待行业映射</x:v>
      </x:c>
      <x:c r="G432" t="str">
        <x:v>当前全市场行情快照缺少 PB；只能作为待补全研究队列，不得按完整估值条件生成交易建议。</x:v>
      </x:c>
      <x:c r="H432" t="n">
        <x:v>56.78</x:v>
      </x:c>
      <x:c r="I432" t="n">
        <x:v>20.81</x:v>
      </x:c>
      <x:c r="J432"/>
      <x:c r="K432" t="str">
        <x:v>待归档官方财报</x:v>
      </x:c>
      <x:c r="L432" t="str">
        <x:v>AkShare / Tencent all-A market snapshot</x:v>
      </x:c>
      <x:c r="M432" t="str">
        <x:v>ProxyError: primary market source unavailable; see source_id for full audit.</x:v>
      </x:c>
      <x:c r="N432" t="str">
        <x:v>0</x:v>
      </x:c>
      <x:c r="O432" t="str">
        <x:v>0fd6ad2d-3389-4e70-8974-eb85ee223eeb</x:v>
      </x:c>
      <x:c r="P432" t="str">
        <x:v>2026-09-04</x:v>
      </x:c>
    </x:row>
    <x:row r="433">
      <x:c r="A433" t="str">
        <x:v>重点观察</x:v>
      </x:c>
      <x:c r="B433" t="str">
        <x:v>补全 PB、财报，等待Agent自动验证</x:v>
      </x:c>
      <x:c r="C433" t="str">
        <x:v>603871</x:v>
      </x:c>
      <x:c r="D433" t="str">
        <x:v>嘉友国际</x:v>
      </x:c>
      <x:c r="E433" t="str">
        <x:v>主板</x:v>
      </x:c>
      <x:c r="F433" t="str">
        <x:v>待行业映射</x:v>
      </x:c>
      <x:c r="G433" t="str">
        <x:v>当前全市场行情快照缺少 PB；只能作为待补全研究队列，不得按完整估值条件生成交易建议。</x:v>
      </x:c>
      <x:c r="H433" t="n">
        <x:v>13.99</x:v>
      </x:c>
      <x:c r="I433" t="n">
        <x:v>14.59</x:v>
      </x:c>
      <x:c r="J433"/>
      <x:c r="K433" t="str">
        <x:v>待归档官方财报</x:v>
      </x:c>
      <x:c r="L433" t="str">
        <x:v>AkShare / Tencent all-A market snapshot</x:v>
      </x:c>
      <x:c r="M433" t="str">
        <x:v>ProxyError: primary market source unavailable; see source_id for full audit.</x:v>
      </x:c>
      <x:c r="N433" t="str">
        <x:v>0</x:v>
      </x:c>
      <x:c r="O433" t="str">
        <x:v>0fd6ad2d-3389-4e70-8974-eb85ee223eeb</x:v>
      </x:c>
      <x:c r="P433" t="str">
        <x:v>2026-09-04</x:v>
      </x:c>
    </x:row>
    <x:row r="434">
      <x:c r="A434" t="str">
        <x:v>重点观察</x:v>
      </x:c>
      <x:c r="B434" t="str">
        <x:v>补全 PB、财报，等待Agent自动验证</x:v>
      </x:c>
      <x:c r="C434" t="str">
        <x:v>603338</x:v>
      </x:c>
      <x:c r="D434" t="str">
        <x:v>浙江鼎力</x:v>
      </x:c>
      <x:c r="E434" t="str">
        <x:v>主板</x:v>
      </x:c>
      <x:c r="F434" t="str">
        <x:v>待行业映射</x:v>
      </x:c>
      <x:c r="G434" t="str">
        <x:v>当前全市场行情快照缺少 PB；只能作为待补全研究队列，不得按完整估值条件生成交易建议。</x:v>
      </x:c>
      <x:c r="H434" t="n">
        <x:v>57.91</x:v>
      </x:c>
      <x:c r="I434" t="n">
        <x:v>15.97</x:v>
      </x:c>
      <x:c r="J434"/>
      <x:c r="K434" t="str">
        <x:v>待归档官方财报</x:v>
      </x:c>
      <x:c r="L434" t="str">
        <x:v>AkShare / Tencent all-A market snapshot</x:v>
      </x:c>
      <x:c r="M434" t="str">
        <x:v>ProxyError: primary market source unavailable; see source_id for full audit.</x:v>
      </x:c>
      <x:c r="N434" t="str">
        <x:v>0</x:v>
      </x:c>
      <x:c r="O434" t="str">
        <x:v>0fd6ad2d-3389-4e70-8974-eb85ee223eeb</x:v>
      </x:c>
      <x:c r="P434" t="str">
        <x:v>2026-09-04</x:v>
      </x:c>
    </x:row>
    <x:row r="435">
      <x:c r="A435" t="str">
        <x:v>重点观察</x:v>
      </x:c>
      <x:c r="B435" t="str">
        <x:v>补全 PB、财报，等待Agent自动验证</x:v>
      </x:c>
      <x:c r="C435" t="str">
        <x:v>603939</x:v>
      </x:c>
      <x:c r="D435" t="str">
        <x:v>益丰药房</x:v>
      </x:c>
      <x:c r="E435" t="str">
        <x:v>主板</x:v>
      </x:c>
      <x:c r="F435" t="str">
        <x:v>待行业映射</x:v>
      </x:c>
      <x:c r="G435" t="str">
        <x:v>当前全市场行情快照缺少 PB；只能作为待补全研究队列，不得按完整估值条件生成交易建议。</x:v>
      </x:c>
      <x:c r="H435" t="n">
        <x:v>22.9</x:v>
      </x:c>
      <x:c r="I435" t="n">
        <x:v>15.76</x:v>
      </x:c>
      <x:c r="J435"/>
      <x:c r="K435" t="str">
        <x:v>待归档官方财报</x:v>
      </x:c>
      <x:c r="L435" t="str">
        <x:v>AkShare / Tencent all-A market snapshot</x:v>
      </x:c>
      <x:c r="M435" t="str">
        <x:v>ProxyError: primary market source unavailable; see source_id for full audit.</x:v>
      </x:c>
      <x:c r="N435" t="str">
        <x:v>0</x:v>
      </x:c>
      <x:c r="O435" t="str">
        <x:v>0fd6ad2d-3389-4e70-8974-eb85ee223eeb</x:v>
      </x:c>
      <x:c r="P435" t="str">
        <x:v>2026-09-04</x:v>
      </x:c>
    </x:row>
    <x:row r="436">
      <x:c r="A436" t="str">
        <x:v>重点观察</x:v>
      </x:c>
      <x:c r="B436" t="str">
        <x:v>补全 PB、财报，等待Agent自动验证</x:v>
      </x:c>
      <x:c r="C436" t="str">
        <x:v>300770</x:v>
      </x:c>
      <x:c r="D436" t="str">
        <x:v>新媒股份</x:v>
      </x:c>
      <x:c r="E436" t="str">
        <x:v>创业板</x:v>
      </x:c>
      <x:c r="F436" t="str">
        <x:v>待行业映射</x:v>
      </x:c>
      <x:c r="G436" t="str">
        <x:v>当前全市场行情快照缺少 PB；只能作为待补全研究队列，不得按完整估值条件生成交易建议。</x:v>
      </x:c>
      <x:c r="H436" t="n">
        <x:v>35.38</x:v>
      </x:c>
      <x:c r="I436" t="n">
        <x:v>13.13</x:v>
      </x:c>
      <x:c r="J436"/>
      <x:c r="K436" t="str">
        <x:v>待归档官方财报</x:v>
      </x:c>
      <x:c r="L436" t="str">
        <x:v>AkShare / Tencent all-A market snapshot</x:v>
      </x:c>
      <x:c r="M436" t="str">
        <x:v>ProxyError: primary market source unavailable; see source_id for full audit.</x:v>
      </x:c>
      <x:c r="N436" t="str">
        <x:v>0</x:v>
      </x:c>
      <x:c r="O436" t="str">
        <x:v>0fd6ad2d-3389-4e70-8974-eb85ee223eeb</x:v>
      </x:c>
      <x:c r="P436" t="str">
        <x:v>2026-09-04</x:v>
      </x:c>
    </x:row>
    <x:row r="437">
      <x:c r="A437" t="str">
        <x:v>重点观察</x:v>
      </x:c>
      <x:c r="B437" t="str">
        <x:v>证券公司专用模型待核验</x:v>
      </x:c>
      <x:c r="C437" t="str">
        <x:v>600918</x:v>
      </x:c>
      <x:c r="D437" t="str">
        <x:v>中泰证券</x:v>
      </x:c>
      <x:c r="E437" t="str">
        <x:v>主板</x:v>
      </x:c>
      <x:c r="F437" t="str">
        <x:v>待行业映射</x:v>
      </x:c>
      <x:c r="G437" t="str">
        <x:v>名称/板块初步识别为证券公司；须以同一报告期官方披露复核专用指标和行业分类，禁止套用通用企业现金流、负债率或 EV/EBITDA 规则。 当前公共行情快照缺少 PB，须在专用模型复核中补齐。</x:v>
      </x:c>
      <x:c r="H437" t="n">
        <x:v>5.67</x:v>
      </x:c>
      <x:c r="I437" t="n">
        <x:v>18.13</x:v>
      </x:c>
      <x:c r="J437"/>
      <x:c r="K437" t="str">
        <x:v>待归档官方财报</x:v>
      </x:c>
      <x:c r="L437" t="str">
        <x:v>AkShare / Tencent all-A market snapshot</x:v>
      </x:c>
      <x:c r="M437" t="str">
        <x:v>ProxyError: primary market source unavailable; see source_id for full audit.</x:v>
      </x:c>
      <x:c r="N437" t="str">
        <x:v>0</x:v>
      </x:c>
      <x:c r="O437" t="str">
        <x:v>0fd6ad2d-3389-4e70-8974-eb85ee223eeb</x:v>
      </x:c>
      <x:c r="P437" t="str">
        <x:v>2026-09-04</x:v>
      </x:c>
    </x:row>
    <x:row r="438">
      <x:c r="A438" t="str">
        <x:v>重点观察</x:v>
      </x:c>
      <x:c r="B438" t="str">
        <x:v>补全 PB、财报，等待Agent自动验证</x:v>
      </x:c>
      <x:c r="C438" t="str">
        <x:v>000411</x:v>
      </x:c>
      <x:c r="D438" t="str">
        <x:v>英特集团</x:v>
      </x:c>
      <x:c r="E438" t="str">
        <x:v>主板</x:v>
      </x:c>
      <x:c r="F438" t="str">
        <x:v>待行业映射</x:v>
      </x:c>
      <x:c r="G438" t="str">
        <x:v>当前全市场行情快照缺少 PB；只能作为待补全研究队列，不得按完整估值条件生成交易建议。</x:v>
      </x:c>
      <x:c r="H438" t="n">
        <x:v>10.22</x:v>
      </x:c>
      <x:c r="I438" t="n">
        <x:v>12.89</x:v>
      </x:c>
      <x:c r="J438"/>
      <x:c r="K438" t="str">
        <x:v>待归档官方财报</x:v>
      </x:c>
      <x:c r="L438" t="str">
        <x:v>AkShare / Tencent all-A market snapshot</x:v>
      </x:c>
      <x:c r="M438" t="str">
        <x:v>ProxyError: primary market source unavailable; see source_id for full audit.</x:v>
      </x:c>
      <x:c r="N438" t="str">
        <x:v>0</x:v>
      </x:c>
      <x:c r="O438" t="str">
        <x:v>0fd6ad2d-3389-4e70-8974-eb85ee223eeb</x:v>
      </x:c>
      <x:c r="P438" t="str">
        <x:v>2026-09-04</x:v>
      </x:c>
    </x:row>
    <x:row r="439">
      <x:c r="A439" t="str">
        <x:v>重点观察</x:v>
      </x:c>
      <x:c r="B439" t="str">
        <x:v>补全 PB、财报，等待Agent自动验证</x:v>
      </x:c>
      <x:c r="C439" t="str">
        <x:v>601339</x:v>
      </x:c>
      <x:c r="D439" t="str">
        <x:v>百隆东方</x:v>
      </x:c>
      <x:c r="E439" t="str">
        <x:v>主板</x:v>
      </x:c>
      <x:c r="F439" t="str">
        <x:v>待行业映射</x:v>
      </x:c>
      <x:c r="G439" t="str">
        <x:v>当前全市场行情快照缺少 PB；只能作为待补全研究队列，不得按完整估值条件生成交易建议。</x:v>
      </x:c>
      <x:c r="H439" t="n">
        <x:v>7.52</x:v>
      </x:c>
      <x:c r="I439" t="n">
        <x:v>13.66</x:v>
      </x:c>
      <x:c r="J439"/>
      <x:c r="K439" t="str">
        <x:v>待归档官方财报</x:v>
      </x:c>
      <x:c r="L439" t="str">
        <x:v>AkShare / Tencent all-A market snapshot</x:v>
      </x:c>
      <x:c r="M439" t="str">
        <x:v>ProxyError: primary market source unavailable; see source_id for full audit.</x:v>
      </x:c>
      <x:c r="N439" t="str">
        <x:v>0</x:v>
      </x:c>
      <x:c r="O439" t="str">
        <x:v>0fd6ad2d-3389-4e70-8974-eb85ee223eeb</x:v>
      </x:c>
      <x:c r="P439" t="str">
        <x:v>2026-09-04</x:v>
      </x:c>
    </x:row>
    <x:row r="440">
      <x:c r="A440" t="str">
        <x:v>重点观察</x:v>
      </x:c>
      <x:c r="B440" t="str">
        <x:v>补全 PB、财报，等待Agent自动验证</x:v>
      </x:c>
      <x:c r="C440" t="str">
        <x:v>000581</x:v>
      </x:c>
      <x:c r="D440" t="str">
        <x:v>威孚高科</x:v>
      </x:c>
      <x:c r="E440" t="str">
        <x:v>主板</x:v>
      </x:c>
      <x:c r="F440" t="str">
        <x:v>待行业映射</x:v>
      </x:c>
      <x:c r="G440" t="str">
        <x:v>当前全市场行情快照缺少 PB；只能作为待补全研究队列，不得按完整估值条件生成交易建议。</x:v>
      </x:c>
      <x:c r="H440" t="n">
        <x:v>18.09</x:v>
      </x:c>
      <x:c r="I440" t="n">
        <x:v>14.54</x:v>
      </x:c>
      <x:c r="J440"/>
      <x:c r="K440" t="str">
        <x:v>待归档官方财报</x:v>
      </x:c>
      <x:c r="L440" t="str">
        <x:v>AkShare / Tencent all-A market snapshot</x:v>
      </x:c>
      <x:c r="M440" t="str">
        <x:v>ProxyError: primary market source unavailable; see source_id for full audit.</x:v>
      </x:c>
      <x:c r="N440" t="str">
        <x:v>0</x:v>
      </x:c>
      <x:c r="O440" t="str">
        <x:v>0fd6ad2d-3389-4e70-8974-eb85ee223eeb</x:v>
      </x:c>
      <x:c r="P440" t="str">
        <x:v>2026-09-04</x:v>
      </x:c>
    </x:row>
    <x:row r="441">
      <x:c r="A441" t="str">
        <x:v>重点观察</x:v>
      </x:c>
      <x:c r="B441" t="str">
        <x:v>补全 PB、财报，等待Agent自动验证</x:v>
      </x:c>
      <x:c r="C441" t="str">
        <x:v>603733</x:v>
      </x:c>
      <x:c r="D441" t="str">
        <x:v>仙鹤股份</x:v>
      </x:c>
      <x:c r="E441" t="str">
        <x:v>主板</x:v>
      </x:c>
      <x:c r="F441" t="str">
        <x:v>待行业映射</x:v>
      </x:c>
      <x:c r="G441" t="str">
        <x:v>当前全市场行情快照缺少 PB；只能作为待补全研究队列，不得按完整估值条件生成交易建议。</x:v>
      </x:c>
      <x:c r="H441" t="n">
        <x:v>18.82</x:v>
      </x:c>
      <x:c r="I441" t="n">
        <x:v>14.26</x:v>
      </x:c>
      <x:c r="J441"/>
      <x:c r="K441" t="str">
        <x:v>待归档官方财报</x:v>
      </x:c>
      <x:c r="L441" t="str">
        <x:v>AkShare / Tencent all-A market snapshot</x:v>
      </x:c>
      <x:c r="M441" t="str">
        <x:v>ProxyError: primary market source unavailable; see source_id for full audit.</x:v>
      </x:c>
      <x:c r="N441" t="str">
        <x:v>0</x:v>
      </x:c>
      <x:c r="O441" t="str">
        <x:v>0fd6ad2d-3389-4e70-8974-eb85ee223eeb</x:v>
      </x:c>
      <x:c r="P441" t="str">
        <x:v>2026-09-04</x:v>
      </x:c>
    </x:row>
    <x:row r="442">
      <x:c r="A442" t="str">
        <x:v>重点观察</x:v>
      </x:c>
      <x:c r="B442" t="str">
        <x:v>补全 PB、财报，等待Agent自动验证</x:v>
      </x:c>
      <x:c r="C442" t="str">
        <x:v>002533</x:v>
      </x:c>
      <x:c r="D442" t="str">
        <x:v>金杯电工</x:v>
      </x:c>
      <x:c r="E442" t="str">
        <x:v>主板</x:v>
      </x:c>
      <x:c r="F442" t="str">
        <x:v>待行业映射</x:v>
      </x:c>
      <x:c r="G442" t="str">
        <x:v>当前全市场行情快照缺少 PB；只能作为待补全研究队列，不得按完整估值条件生成交易建议。</x:v>
      </x:c>
      <x:c r="H442" t="n">
        <x:v>11.26</x:v>
      </x:c>
      <x:c r="I442" t="n">
        <x:v>13.32</x:v>
      </x:c>
      <x:c r="J442"/>
      <x:c r="K442" t="str">
        <x:v>待归档官方财报</x:v>
      </x:c>
      <x:c r="L442" t="str">
        <x:v>AkShare / Tencent all-A market snapshot</x:v>
      </x:c>
      <x:c r="M442" t="str">
        <x:v>ProxyError: primary market source unavailable; see source_id for full audit.</x:v>
      </x:c>
      <x:c r="N442" t="str">
        <x:v>0</x:v>
      </x:c>
      <x:c r="O442" t="str">
        <x:v>0fd6ad2d-3389-4e70-8974-eb85ee223eeb</x:v>
      </x:c>
      <x:c r="P442" t="str">
        <x:v>2026-09-04</x:v>
      </x:c>
    </x:row>
    <x:row r="443">
      <x:c r="A443" t="str">
        <x:v>重点观察</x:v>
      </x:c>
      <x:c r="B443" t="str">
        <x:v>补全 PB、财报，等待Agent自动验证</x:v>
      </x:c>
      <x:c r="C443" t="str">
        <x:v>002911</x:v>
      </x:c>
      <x:c r="D443" t="str">
        <x:v>佛燃能源</x:v>
      </x:c>
      <x:c r="E443" t="str">
        <x:v>主板</x:v>
      </x:c>
      <x:c r="F443" t="str">
        <x:v>待行业映射</x:v>
      </x:c>
      <x:c r="G443" t="str">
        <x:v>当前全市场行情快照缺少 PB；只能作为待补全研究队列，不得按完整估值条件生成交易建议。</x:v>
      </x:c>
      <x:c r="H443" t="n">
        <x:v>11.51</x:v>
      </x:c>
      <x:c r="I443" t="n">
        <x:v>14.22</x:v>
      </x:c>
      <x:c r="J443"/>
      <x:c r="K443" t="str">
        <x:v>待归档官方财报</x:v>
      </x:c>
      <x:c r="L443" t="str">
        <x:v>AkShare / Tencent all-A market snapshot</x:v>
      </x:c>
      <x:c r="M443" t="str">
        <x:v>ProxyError: primary market source unavailable; see source_id for full audit.</x:v>
      </x:c>
      <x:c r="N443" t="str">
        <x:v>0</x:v>
      </x:c>
      <x:c r="O443" t="str">
        <x:v>0fd6ad2d-3389-4e70-8974-eb85ee223eeb</x:v>
      </x:c>
      <x:c r="P443" t="str">
        <x:v>2026-09-04</x:v>
      </x:c>
    </x:row>
    <x:row r="444">
      <x:c r="A444" t="str">
        <x:v>重点观察</x:v>
      </x:c>
      <x:c r="B444" t="str">
        <x:v>补全 PB、财报，等待Agent自动验证</x:v>
      </x:c>
      <x:c r="C444" t="str">
        <x:v>920079</x:v>
      </x:c>
      <x:c r="D444" t="str">
        <x:v>乔路铭</x:v>
      </x:c>
      <x:c r="E444" t="str">
        <x:v>北交所</x:v>
      </x:c>
      <x:c r="F444" t="str">
        <x:v>待行业映射</x:v>
      </x:c>
      <x:c r="G444" t="str">
        <x:v>当前全市场行情快照缺少 PB；只能作为待补全研究队列，不得按完整估值条件生成交易建议。</x:v>
      </x:c>
      <x:c r="H444" t="n">
        <x:v>13.75</x:v>
      </x:c>
      <x:c r="I444" t="n">
        <x:v>12.98</x:v>
      </x:c>
      <x:c r="J444"/>
      <x:c r="K444" t="str">
        <x:v>待归档官方财报</x:v>
      </x:c>
      <x:c r="L444" t="str">
        <x:v>AkShare / Tencent all-A market snapshot</x:v>
      </x:c>
      <x:c r="M444" t="str">
        <x:v>ProxyError: primary market source unavailable; see source_id for full audit.</x:v>
      </x:c>
      <x:c r="N444" t="str">
        <x:v>0</x:v>
      </x:c>
      <x:c r="O444" t="str">
        <x:v>0fd6ad2d-3389-4e70-8974-eb85ee223eeb</x:v>
      </x:c>
      <x:c r="P444" t="str">
        <x:v>2026-09-04</x:v>
      </x:c>
    </x:row>
    <x:row r="445">
      <x:c r="A445" t="str">
        <x:v>重点观察</x:v>
      </x:c>
      <x:c r="B445" t="str">
        <x:v>补全 PB、财报，等待Agent自动验证</x:v>
      </x:c>
      <x:c r="C445" t="str">
        <x:v>002448</x:v>
      </x:c>
      <x:c r="D445" t="str">
        <x:v>中原内配</x:v>
      </x:c>
      <x:c r="E445" t="str">
        <x:v>主板</x:v>
      </x:c>
      <x:c r="F445" t="str">
        <x:v>待行业映射</x:v>
      </x:c>
      <x:c r="G445" t="str">
        <x:v>当前全市场行情快照缺少 PB；只能作为待补全研究队列，不得按完整估值条件生成交易建议。</x:v>
      </x:c>
      <x:c r="H445" t="n">
        <x:v>11.66</x:v>
      </x:c>
      <x:c r="I445" t="n">
        <x:v>13.15</x:v>
      </x:c>
      <x:c r="J445"/>
      <x:c r="K445" t="str">
        <x:v>待归档官方财报</x:v>
      </x:c>
      <x:c r="L445" t="str">
        <x:v>AkShare / Tencent all-A market snapshot</x:v>
      </x:c>
      <x:c r="M445" t="str">
        <x:v>ProxyError: primary market source unavailable; see source_id for full audit.</x:v>
      </x:c>
      <x:c r="N445" t="str">
        <x:v>0</x:v>
      </x:c>
      <x:c r="O445" t="str">
        <x:v>0fd6ad2d-3389-4e70-8974-eb85ee223eeb</x:v>
      </x:c>
      <x:c r="P445" t="str">
        <x:v>2026-09-04</x:v>
      </x:c>
    </x:row>
    <x:row r="446">
      <x:c r="A446" t="str">
        <x:v>重点观察</x:v>
      </x:c>
      <x:c r="B446" t="str">
        <x:v>补全 PB、财报，等待Agent自动验证</x:v>
      </x:c>
      <x:c r="C446" t="str">
        <x:v>600736</x:v>
      </x:c>
      <x:c r="D446" t="str">
        <x:v>苏州高新</x:v>
      </x:c>
      <x:c r="E446" t="str">
        <x:v>主板</x:v>
      </x:c>
      <x:c r="F446" t="str">
        <x:v>待行业映射</x:v>
      </x:c>
      <x:c r="G446" t="str">
        <x:v>当前全市场行情快照缺少 PB；只能作为待补全研究队列，不得按完整估值条件生成交易建议。</x:v>
      </x:c>
      <x:c r="H446" t="n">
        <x:v>6.72</x:v>
      </x:c>
      <x:c r="I446" t="n">
        <x:v>13.29</x:v>
      </x:c>
      <x:c r="J446"/>
      <x:c r="K446" t="str">
        <x:v>待归档官方财报</x:v>
      </x:c>
      <x:c r="L446" t="str">
        <x:v>AkShare / Tencent all-A market snapshot</x:v>
      </x:c>
      <x:c r="M446" t="str">
        <x:v>ProxyError: primary market source unavailable; see source_id for full audit.</x:v>
      </x:c>
      <x:c r="N446" t="str">
        <x:v>0</x:v>
      </x:c>
      <x:c r="O446" t="str">
        <x:v>0fd6ad2d-3389-4e70-8974-eb85ee223eeb</x:v>
      </x:c>
      <x:c r="P446" t="str">
        <x:v>2026-09-04</x:v>
      </x:c>
    </x:row>
    <x:row r="447">
      <x:c r="A447" t="str">
        <x:v>重点观察</x:v>
      </x:c>
      <x:c r="B447" t="str">
        <x:v>补全 PB、财报，等待Agent自动验证</x:v>
      </x:c>
      <x:c r="C447" t="str">
        <x:v>600020</x:v>
      </x:c>
      <x:c r="D447" t="str">
        <x:v>中原高速</x:v>
      </x:c>
      <x:c r="E447" t="str">
        <x:v>主板</x:v>
      </x:c>
      <x:c r="F447" t="str">
        <x:v>待行业映射</x:v>
      </x:c>
      <x:c r="G447" t="str">
        <x:v>当前全市场行情快照缺少 PB；只能作为待补全研究队列，不得按完整估值条件生成交易建议。</x:v>
      </x:c>
      <x:c r="H447" t="n">
        <x:v>3.9</x:v>
      </x:c>
      <x:c r="I447" t="n">
        <x:v>13.44</x:v>
      </x:c>
      <x:c r="J447"/>
      <x:c r="K447" t="str">
        <x:v>待归档官方财报</x:v>
      </x:c>
      <x:c r="L447" t="str">
        <x:v>AkShare / Tencent all-A market snapshot</x:v>
      </x:c>
      <x:c r="M447" t="str">
        <x:v>ProxyError: primary market source unavailable; see source_id for full audit.</x:v>
      </x:c>
      <x:c r="N447" t="str">
        <x:v>0</x:v>
      </x:c>
      <x:c r="O447" t="str">
        <x:v>0fd6ad2d-3389-4e70-8974-eb85ee223eeb</x:v>
      </x:c>
      <x:c r="P447" t="str">
        <x:v>2026-09-04</x:v>
      </x:c>
    </x:row>
    <x:row r="448">
      <x:c r="A448" t="str">
        <x:v>重点观察</x:v>
      </x:c>
      <x:c r="B448" t="str">
        <x:v>补全 PB、财报，等待Agent自动验证</x:v>
      </x:c>
      <x:c r="C448" t="str">
        <x:v>603612</x:v>
      </x:c>
      <x:c r="D448" t="str">
        <x:v>索通发展</x:v>
      </x:c>
      <x:c r="E448" t="str">
        <x:v>主板</x:v>
      </x:c>
      <x:c r="F448" t="str">
        <x:v>待行业映射</x:v>
      </x:c>
      <x:c r="G448" t="str">
        <x:v>当前全市场行情快照缺少 PB；只能作为待补全研究队列，不得按完整估值条件生成交易建议。</x:v>
      </x:c>
      <x:c r="H448" t="n">
        <x:v>16.97</x:v>
      </x:c>
      <x:c r="I448" t="n">
        <x:v>13.42</x:v>
      </x:c>
      <x:c r="J448"/>
      <x:c r="K448" t="str">
        <x:v>待归档官方财报</x:v>
      </x:c>
      <x:c r="L448" t="str">
        <x:v>AkShare / Tencent all-A market snapshot</x:v>
      </x:c>
      <x:c r="M448" t="str">
        <x:v>ProxyError: primary market source unavailable; see source_id for full audit.</x:v>
      </x:c>
      <x:c r="N448" t="str">
        <x:v>0</x:v>
      </x:c>
      <x:c r="O448" t="str">
        <x:v>0fd6ad2d-3389-4e70-8974-eb85ee223eeb</x:v>
      </x:c>
      <x:c r="P448" t="str">
        <x:v>2026-09-04</x:v>
      </x:c>
    </x:row>
    <x:row r="449">
      <x:c r="A449" t="str">
        <x:v>重点观察</x:v>
      </x:c>
      <x:c r="B449" t="str">
        <x:v>补全 PB、财报，等待Agent自动验证</x:v>
      </x:c>
      <x:c r="C449" t="str">
        <x:v>600166</x:v>
      </x:c>
      <x:c r="D449" t="str">
        <x:v>福田汽车</x:v>
      </x:c>
      <x:c r="E449" t="str">
        <x:v>主板</x:v>
      </x:c>
      <x:c r="F449" t="str">
        <x:v>待行业映射</x:v>
      </x:c>
      <x:c r="G449" t="str">
        <x:v>当前全市场行情快照缺少 PB；只能作为待补全研究队列，不得按完整估值条件生成交易建议。</x:v>
      </x:c>
      <x:c r="H449" t="n">
        <x:v>2.9</x:v>
      </x:c>
      <x:c r="I449" t="n">
        <x:v>15.39</x:v>
      </x:c>
      <x:c r="J449"/>
      <x:c r="K449" t="str">
        <x:v>待归档官方财报</x:v>
      </x:c>
      <x:c r="L449" t="str">
        <x:v>AkShare / Tencent all-A market snapshot</x:v>
      </x:c>
      <x:c r="M449" t="str">
        <x:v>ProxyError: primary market source unavailable; see source_id for full audit.</x:v>
      </x:c>
      <x:c r="N449" t="str">
        <x:v>0</x:v>
      </x:c>
      <x:c r="O449" t="str">
        <x:v>0fd6ad2d-3389-4e70-8974-eb85ee223eeb</x:v>
      </x:c>
      <x:c r="P449" t="str">
        <x:v>2026-09-04</x:v>
      </x:c>
    </x:row>
    <x:row r="450">
      <x:c r="A450" t="str">
        <x:v>重点观察</x:v>
      </x:c>
      <x:c r="B450" t="str">
        <x:v>补全 PB、财报，等待Agent自动验证</x:v>
      </x:c>
      <x:c r="C450" t="str">
        <x:v>000426</x:v>
      </x:c>
      <x:c r="D450" t="str">
        <x:v>兴业银锡</x:v>
      </x:c>
      <x:c r="E450" t="str">
        <x:v>主板</x:v>
      </x:c>
      <x:c r="F450" t="str">
        <x:v>待行业映射</x:v>
      </x:c>
      <x:c r="G450" t="str">
        <x:v>当前全市场行情快照缺少 PB；只能作为待补全研究队列，不得按完整估值条件生成交易建议。</x:v>
      </x:c>
      <x:c r="H450" t="n">
        <x:v>38.44</x:v>
      </x:c>
      <x:c r="I450" t="n">
        <x:v>21.52</x:v>
      </x:c>
      <x:c r="J450"/>
      <x:c r="K450" t="str">
        <x:v>待归档官方财报</x:v>
      </x:c>
      <x:c r="L450" t="str">
        <x:v>AkShare / Tencent all-A market snapshot</x:v>
      </x:c>
      <x:c r="M450" t="str">
        <x:v>ProxyError: primary market source unavailable; see source_id for full audit.</x:v>
      </x:c>
      <x:c r="N450" t="str">
        <x:v>0</x:v>
      </x:c>
      <x:c r="O450" t="str">
        <x:v>0fd6ad2d-3389-4e70-8974-eb85ee223eeb</x:v>
      </x:c>
      <x:c r="P450" t="str">
        <x:v>2026-09-04</x:v>
      </x:c>
    </x:row>
    <x:row r="451">
      <x:c r="A451" t="str">
        <x:v>重点观察</x:v>
      </x:c>
      <x:c r="B451" t="str">
        <x:v>补全 PB、财报，等待Agent自动验证</x:v>
      </x:c>
      <x:c r="C451" t="str">
        <x:v>600897</x:v>
      </x:c>
      <x:c r="D451" t="str">
        <x:v>厦门空港</x:v>
      </x:c>
      <x:c r="E451" t="str">
        <x:v>主板</x:v>
      </x:c>
      <x:c r="F451" t="str">
        <x:v>待行业映射</x:v>
      </x:c>
      <x:c r="G451" t="str">
        <x:v>当前全市场行情快照缺少 PB；只能作为待补全研究队列，不得按完整估值条件生成交易建议。</x:v>
      </x:c>
      <x:c r="H451" t="n">
        <x:v>15.48</x:v>
      </x:c>
      <x:c r="I451" t="n">
        <x:v>13.22</x:v>
      </x:c>
      <x:c r="J451"/>
      <x:c r="K451" t="str">
        <x:v>待归档官方财报</x:v>
      </x:c>
      <x:c r="L451" t="str">
        <x:v>AkShare / Tencent all-A market snapshot</x:v>
      </x:c>
      <x:c r="M451" t="str">
        <x:v>ProxyError: primary market source unavailable; see source_id for full audit.</x:v>
      </x:c>
      <x:c r="N451" t="str">
        <x:v>0</x:v>
      </x:c>
      <x:c r="O451" t="str">
        <x:v>0fd6ad2d-3389-4e70-8974-eb85ee223eeb</x:v>
      </x:c>
      <x:c r="P451" t="str">
        <x:v>2026-09-04</x:v>
      </x:c>
    </x:row>
    <x:row r="452">
      <x:c r="A452" t="str">
        <x:v>重点观察</x:v>
      </x:c>
      <x:c r="B452" t="str">
        <x:v>补全 PB、财报，等待Agent自动验证</x:v>
      </x:c>
      <x:c r="C452" t="str">
        <x:v>002884</x:v>
      </x:c>
      <x:c r="D452" t="str">
        <x:v>凌霄泵业</x:v>
      </x:c>
      <x:c r="E452" t="str">
        <x:v>主板</x:v>
      </x:c>
      <x:c r="F452" t="str">
        <x:v>待行业映射</x:v>
      </x:c>
      <x:c r="G452" t="str">
        <x:v>当前全市场行情快照缺少 PB；只能作为待补全研究队列，不得按完整估值条件生成交易建议。</x:v>
      </x:c>
      <x:c r="H452" t="n">
        <x:v>15.91</x:v>
      </x:c>
      <x:c r="I452" t="n">
        <x:v>13.13</x:v>
      </x:c>
      <x:c r="J452"/>
      <x:c r="K452" t="str">
        <x:v>待归档官方财报</x:v>
      </x:c>
      <x:c r="L452" t="str">
        <x:v>AkShare / Tencent all-A market snapshot</x:v>
      </x:c>
      <x:c r="M452" t="str">
        <x:v>ProxyError: primary market source unavailable; see source_id for full audit.</x:v>
      </x:c>
      <x:c r="N452" t="str">
        <x:v>0</x:v>
      </x:c>
      <x:c r="O452" t="str">
        <x:v>0fd6ad2d-3389-4e70-8974-eb85ee223eeb</x:v>
      </x:c>
      <x:c r="P452" t="str">
        <x:v>2026-09-04</x:v>
      </x:c>
    </x:row>
    <x:row r="453">
      <x:c r="A453" t="str">
        <x:v>重点观察</x:v>
      </x:c>
      <x:c r="B453" t="str">
        <x:v>补全 PB、财报，等待Agent自动验证</x:v>
      </x:c>
      <x:c r="C453" t="str">
        <x:v>301109</x:v>
      </x:c>
      <x:c r="D453" t="str">
        <x:v>军信股份</x:v>
      </x:c>
      <x:c r="E453" t="str">
        <x:v>创业板</x:v>
      </x:c>
      <x:c r="F453" t="str">
        <x:v>待行业映射</x:v>
      </x:c>
      <x:c r="G453" t="str">
        <x:v>当前全市场行情快照缺少 PB；只能作为待补全研究队列，不得按完整估值条件生成交易建议。</x:v>
      </x:c>
      <x:c r="H453" t="n">
        <x:v>12.97</x:v>
      </x:c>
      <x:c r="I453" t="n">
        <x:v>13.75</x:v>
      </x:c>
      <x:c r="J453"/>
      <x:c r="K453" t="str">
        <x:v>待归档官方财报</x:v>
      </x:c>
      <x:c r="L453" t="str">
        <x:v>AkShare / Tencent all-A market snapshot</x:v>
      </x:c>
      <x:c r="M453" t="str">
        <x:v>ProxyError: primary market source unavailable; see source_id for full audit.</x:v>
      </x:c>
      <x:c r="N453" t="str">
        <x:v>0</x:v>
      </x:c>
      <x:c r="O453" t="str">
        <x:v>0fd6ad2d-3389-4e70-8974-eb85ee223eeb</x:v>
      </x:c>
      <x:c r="P453" t="str">
        <x:v>2026-09-04</x:v>
      </x:c>
    </x:row>
    <x:row r="454">
      <x:c r="A454" t="str">
        <x:v>重点观察</x:v>
      </x:c>
      <x:c r="B454" t="str">
        <x:v>补全 PB、财报，等待Agent自动验证</x:v>
      </x:c>
      <x:c r="C454" t="str">
        <x:v>600125</x:v>
      </x:c>
      <x:c r="D454" t="str">
        <x:v>铁龙物流</x:v>
      </x:c>
      <x:c r="E454" t="str">
        <x:v>主板</x:v>
      </x:c>
      <x:c r="F454" t="str">
        <x:v>待行业映射</x:v>
      </x:c>
      <x:c r="G454" t="str">
        <x:v>当前全市场行情快照缺少 PB；只能作为待补全研究队列，不得按完整估值条件生成交易建议。</x:v>
      </x:c>
      <x:c r="H454" t="n">
        <x:v>5.43</x:v>
      </x:c>
      <x:c r="I454" t="n">
        <x:v>13.33</x:v>
      </x:c>
      <x:c r="J454"/>
      <x:c r="K454" t="str">
        <x:v>待归档官方财报</x:v>
      </x:c>
      <x:c r="L454" t="str">
        <x:v>AkShare / Tencent all-A market snapshot</x:v>
      </x:c>
      <x:c r="M454" t="str">
        <x:v>ProxyError: primary market source unavailable; see source_id for full audit.</x:v>
      </x:c>
      <x:c r="N454" t="str">
        <x:v>0</x:v>
      </x:c>
      <x:c r="O454" t="str">
        <x:v>0fd6ad2d-3389-4e70-8974-eb85ee223eeb</x:v>
      </x:c>
      <x:c r="P454" t="str">
        <x:v>2026-09-04</x:v>
      </x:c>
    </x:row>
    <x:row r="455">
      <x:c r="A455" t="str">
        <x:v>重点观察</x:v>
      </x:c>
      <x:c r="B455" t="str">
        <x:v>补全 PB、财报，等待Agent自动验证</x:v>
      </x:c>
      <x:c r="C455" t="str">
        <x:v>000737</x:v>
      </x:c>
      <x:c r="D455" t="str">
        <x:v>北方铜业</x:v>
      </x:c>
      <x:c r="E455" t="str">
        <x:v>主板</x:v>
      </x:c>
      <x:c r="F455" t="str">
        <x:v>待行业映射</x:v>
      </x:c>
      <x:c r="G455" t="str">
        <x:v>当前全市场行情快照缺少 PB；只能作为待补全研究队列，不得按完整估值条件生成交易建议。</x:v>
      </x:c>
      <x:c r="H455" t="n">
        <x:v>14.35</x:v>
      </x:c>
      <x:c r="I455" t="n">
        <x:v>16.08</x:v>
      </x:c>
      <x:c r="J455"/>
      <x:c r="K455" t="str">
        <x:v>待归档官方财报</x:v>
      </x:c>
      <x:c r="L455" t="str">
        <x:v>AkShare / Tencent all-A market snapshot</x:v>
      </x:c>
      <x:c r="M455" t="str">
        <x:v>ProxyError: primary market source unavailable; see source_id for full audit.</x:v>
      </x:c>
      <x:c r="N455" t="str">
        <x:v>0</x:v>
      </x:c>
      <x:c r="O455" t="str">
        <x:v>0fd6ad2d-3389-4e70-8974-eb85ee223eeb</x:v>
      </x:c>
      <x:c r="P455" t="str">
        <x:v>2026-09-04</x:v>
      </x:c>
    </x:row>
    <x:row r="456">
      <x:c r="A456" t="str">
        <x:v>重点观察</x:v>
      </x:c>
      <x:c r="B456" t="str">
        <x:v>补全 PB、财报，等待Agent自动验证</x:v>
      </x:c>
      <x:c r="C456" t="str">
        <x:v>603408</x:v>
      </x:c>
      <x:c r="D456" t="str">
        <x:v>建霖家居</x:v>
      </x:c>
      <x:c r="E456" t="str">
        <x:v>主板</x:v>
      </x:c>
      <x:c r="F456" t="str">
        <x:v>待行业映射</x:v>
      </x:c>
      <x:c r="G456" t="str">
        <x:v>当前全市场行情快照缺少 PB；只能作为待补全研究队列，不得按完整估值条件生成交易建议。</x:v>
      </x:c>
      <x:c r="H456" t="n">
        <x:v>11.98</x:v>
      </x:c>
      <x:c r="I456" t="n">
        <x:v>13.13</x:v>
      </x:c>
      <x:c r="J456"/>
      <x:c r="K456" t="str">
        <x:v>待归档官方财报</x:v>
      </x:c>
      <x:c r="L456" t="str">
        <x:v>AkShare / Tencent all-A market snapshot</x:v>
      </x:c>
      <x:c r="M456" t="str">
        <x:v>ProxyError: primary market source unavailable; see source_id for full audit.</x:v>
      </x:c>
      <x:c r="N456" t="str">
        <x:v>0</x:v>
      </x:c>
      <x:c r="O456" t="str">
        <x:v>0fd6ad2d-3389-4e70-8974-eb85ee223eeb</x:v>
      </x:c>
      <x:c r="P456" t="str">
        <x:v>2026-09-04</x:v>
      </x:c>
    </x:row>
    <x:row r="457">
      <x:c r="A457" t="str">
        <x:v>重点观察</x:v>
      </x:c>
      <x:c r="B457" t="str">
        <x:v>补全 PB、财报，等待Agent自动验证</x:v>
      </x:c>
      <x:c r="C457" t="str">
        <x:v>002215</x:v>
      </x:c>
      <x:c r="D457" t="str">
        <x:v>诺 普 信</x:v>
      </x:c>
      <x:c r="E457" t="str">
        <x:v>主板</x:v>
      </x:c>
      <x:c r="F457" t="str">
        <x:v>待行业映射</x:v>
      </x:c>
      <x:c r="G457" t="str">
        <x:v>当前全市场行情快照缺少 PB；只能作为待补全研究队列，不得按完整估值条件生成交易建议。</x:v>
      </x:c>
      <x:c r="H457" t="n">
        <x:v>10.62</x:v>
      </x:c>
      <x:c r="I457" t="n">
        <x:v>13.91</x:v>
      </x:c>
      <x:c r="J457"/>
      <x:c r="K457" t="str">
        <x:v>待归档官方财报</x:v>
      </x:c>
      <x:c r="L457" t="str">
        <x:v>AkShare / Tencent all-A market snapshot</x:v>
      </x:c>
      <x:c r="M457" t="str">
        <x:v>ProxyError: primary market source unavailable; see source_id for full audit.</x:v>
      </x:c>
      <x:c r="N457" t="str">
        <x:v>0</x:v>
      </x:c>
      <x:c r="O457" t="str">
        <x:v>0fd6ad2d-3389-4e70-8974-eb85ee223eeb</x:v>
      </x:c>
      <x:c r="P457" t="str">
        <x:v>2026-09-04</x:v>
      </x:c>
    </x:row>
    <x:row r="458">
      <x:c r="A458" t="str">
        <x:v>重点观察</x:v>
      </x:c>
      <x:c r="B458" t="str">
        <x:v>补全 PB、财报，等待Agent自动验证</x:v>
      </x:c>
      <x:c r="C458" t="str">
        <x:v>002004</x:v>
      </x:c>
      <x:c r="D458" t="str">
        <x:v>华邦健康</x:v>
      </x:c>
      <x:c r="E458" t="str">
        <x:v>主板</x:v>
      </x:c>
      <x:c r="F458" t="str">
        <x:v>待行业映射</x:v>
      </x:c>
      <x:c r="G458" t="str">
        <x:v>当前全市场行情快照缺少 PB；只能作为待补全研究队列，不得按完整估值条件生成交易建议。</x:v>
      </x:c>
      <x:c r="H458" t="n">
        <x:v>4.45</x:v>
      </x:c>
      <x:c r="I458" t="n">
        <x:v>13.68</x:v>
      </x:c>
      <x:c r="J458"/>
      <x:c r="K458" t="str">
        <x:v>待归档官方财报</x:v>
      </x:c>
      <x:c r="L458" t="str">
        <x:v>AkShare / Tencent all-A market snapshot</x:v>
      </x:c>
      <x:c r="M458" t="str">
        <x:v>ProxyError: primary market source unavailable; see source_id for full audit.</x:v>
      </x:c>
      <x:c r="N458" t="str">
        <x:v>0</x:v>
      </x:c>
      <x:c r="O458" t="str">
        <x:v>0fd6ad2d-3389-4e70-8974-eb85ee223eeb</x:v>
      </x:c>
      <x:c r="P458" t="str">
        <x:v>2026-09-04</x:v>
      </x:c>
    </x:row>
    <x:row r="459">
      <x:c r="A459" t="str">
        <x:v>重点观察</x:v>
      </x:c>
      <x:c r="B459" t="str">
        <x:v>补全 PB、财报，等待Agent自动验证</x:v>
      </x:c>
      <x:c r="C459" t="str">
        <x:v>000089</x:v>
      </x:c>
      <x:c r="D459" t="str">
        <x:v>深圳机场</x:v>
      </x:c>
      <x:c r="E459" t="str">
        <x:v>主板</x:v>
      </x:c>
      <x:c r="F459" t="str">
        <x:v>待行业映射</x:v>
      </x:c>
      <x:c r="G459" t="str">
        <x:v>当前全市场行情快照缺少 PB；只能作为待补全研究队列，不得按完整估值条件生成交易建议。</x:v>
      </x:c>
      <x:c r="H459" t="n">
        <x:v>6.64</x:v>
      </x:c>
      <x:c r="I459" t="n">
        <x:v>14.34</x:v>
      </x:c>
      <x:c r="J459"/>
      <x:c r="K459" t="str">
        <x:v>待归档官方财报</x:v>
      </x:c>
      <x:c r="L459" t="str">
        <x:v>AkShare / Tencent all-A market snapshot</x:v>
      </x:c>
      <x:c r="M459" t="str">
        <x:v>ProxyError: primary market source unavailable; see source_id for full audit.</x:v>
      </x:c>
      <x:c r="N459" t="str">
        <x:v>0</x:v>
      </x:c>
      <x:c r="O459" t="str">
        <x:v>0fd6ad2d-3389-4e70-8974-eb85ee223eeb</x:v>
      </x:c>
      <x:c r="P459" t="str">
        <x:v>2026-09-04</x:v>
      </x:c>
    </x:row>
    <x:row r="460">
      <x:c r="A460" t="str">
        <x:v>重点观察</x:v>
      </x:c>
      <x:c r="B460" t="str">
        <x:v>补全 PB、财报，等待Agent自动验证</x:v>
      </x:c>
      <x:c r="C460" t="str">
        <x:v>601033</x:v>
      </x:c>
      <x:c r="D460" t="str">
        <x:v>永兴股份</x:v>
      </x:c>
      <x:c r="E460" t="str">
        <x:v>主板</x:v>
      </x:c>
      <x:c r="F460" t="str">
        <x:v>待行业映射</x:v>
      </x:c>
      <x:c r="G460" t="str">
        <x:v>当前全市场行情快照缺少 PB；只能作为待补全研究队列，不得按完整估值条件生成交易建议。</x:v>
      </x:c>
      <x:c r="H460" t="n">
        <x:v>14.63</x:v>
      </x:c>
      <x:c r="I460" t="n">
        <x:v>14.29</x:v>
      </x:c>
      <x:c r="J460"/>
      <x:c r="K460" t="str">
        <x:v>待归档官方财报</x:v>
      </x:c>
      <x:c r="L460" t="str">
        <x:v>AkShare / Tencent all-A market snapshot</x:v>
      </x:c>
      <x:c r="M460" t="str">
        <x:v>ProxyError: primary market source unavailable; see source_id for full audit.</x:v>
      </x:c>
      <x:c r="N460" t="str">
        <x:v>0</x:v>
      </x:c>
      <x:c r="O460" t="str">
        <x:v>0fd6ad2d-3389-4e70-8974-eb85ee223eeb</x:v>
      </x:c>
      <x:c r="P460" t="str">
        <x:v>2026-09-04</x:v>
      </x:c>
    </x:row>
    <x:row r="461">
      <x:c r="A461" t="str">
        <x:v>重点观察</x:v>
      </x:c>
      <x:c r="B461" t="str">
        <x:v>补全 PB、财报，等待Agent自动验证</x:v>
      </x:c>
      <x:c r="C461" t="str">
        <x:v>002284</x:v>
      </x:c>
      <x:c r="D461" t="str">
        <x:v>亚太股份</x:v>
      </x:c>
      <x:c r="E461" t="str">
        <x:v>主板</x:v>
      </x:c>
      <x:c r="F461" t="str">
        <x:v>待行业映射</x:v>
      </x:c>
      <x:c r="G461" t="str">
        <x:v>当前全市场行情快照缺少 PB；只能作为待补全研究队列，不得按完整估值条件生成交易建议。</x:v>
      </x:c>
      <x:c r="H461" t="n">
        <x:v>10.25</x:v>
      </x:c>
      <x:c r="I461" t="n">
        <x:v>13.58</x:v>
      </x:c>
      <x:c r="J461"/>
      <x:c r="K461" t="str">
        <x:v>待归档官方财报</x:v>
      </x:c>
      <x:c r="L461" t="str">
        <x:v>AkShare / Tencent all-A market snapshot</x:v>
      </x:c>
      <x:c r="M461" t="str">
        <x:v>ProxyError: primary market source unavailable; see source_id for full audit.</x:v>
      </x:c>
      <x:c r="N461" t="str">
        <x:v>0</x:v>
      </x:c>
      <x:c r="O461" t="str">
        <x:v>0fd6ad2d-3389-4e70-8974-eb85ee223eeb</x:v>
      </x:c>
      <x:c r="P461" t="str">
        <x:v>2026-09-04</x:v>
      </x:c>
    </x:row>
    <x:row r="462">
      <x:c r="A462" t="str">
        <x:v>重点观察</x:v>
      </x:c>
      <x:c r="B462" t="str">
        <x:v>补全 PB、财报，等待Agent自动验证</x:v>
      </x:c>
      <x:c r="C462" t="str">
        <x:v>300972</x:v>
      </x:c>
      <x:c r="D462" t="str">
        <x:v>万辰集团</x:v>
      </x:c>
      <x:c r="E462" t="str">
        <x:v>创业板</x:v>
      </x:c>
      <x:c r="F462" t="str">
        <x:v>待行业映射</x:v>
      </x:c>
      <x:c r="G462" t="str">
        <x:v>当前全市场行情快照缺少 PB；只能作为待补全研究队列，不得按完整估值条件生成交易建议。</x:v>
      </x:c>
      <x:c r="H462" t="n">
        <x:v>184.35</x:v>
      </x:c>
      <x:c r="I462" t="n">
        <x:v>17.46</x:v>
      </x:c>
      <x:c r="J462"/>
      <x:c r="K462" t="str">
        <x:v>待归档官方财报</x:v>
      </x:c>
      <x:c r="L462" t="str">
        <x:v>AkShare / Tencent all-A market snapshot</x:v>
      </x:c>
      <x:c r="M462" t="str">
        <x:v>ProxyError: primary market source unavailable; see source_id for full audit.</x:v>
      </x:c>
      <x:c r="N462" t="str">
        <x:v>0</x:v>
      </x:c>
      <x:c r="O462" t="str">
        <x:v>0fd6ad2d-3389-4e70-8974-eb85ee223eeb</x:v>
      </x:c>
      <x:c r="P462" t="str">
        <x:v>2026-09-04</x:v>
      </x:c>
    </x:row>
    <x:row r="463">
      <x:c r="A463" t="str">
        <x:v>重点观察</x:v>
      </x:c>
      <x:c r="B463" t="str">
        <x:v>补全 PB、财报，等待Agent自动验证</x:v>
      </x:c>
      <x:c r="C463" t="str">
        <x:v>002346</x:v>
      </x:c>
      <x:c r="D463" t="str">
        <x:v>柘中股份</x:v>
      </x:c>
      <x:c r="E463" t="str">
        <x:v>主板</x:v>
      </x:c>
      <x:c r="F463" t="str">
        <x:v>待行业映射</x:v>
      </x:c>
      <x:c r="G463" t="str">
        <x:v>当前全市场行情快照缺少 PB；只能作为待补全研究队列，不得按完整估值条件生成交易建议。</x:v>
      </x:c>
      <x:c r="H463" t="n">
        <x:v>18.63</x:v>
      </x:c>
      <x:c r="I463" t="n">
        <x:v>13.73</x:v>
      </x:c>
      <x:c r="J463"/>
      <x:c r="K463" t="str">
        <x:v>待归档官方财报</x:v>
      </x:c>
      <x:c r="L463" t="str">
        <x:v>AkShare / Tencent all-A market snapshot</x:v>
      </x:c>
      <x:c r="M463" t="str">
        <x:v>ProxyError: primary market source unavailable; see source_id for full audit.</x:v>
      </x:c>
      <x:c r="N463" t="str">
        <x:v>0</x:v>
      </x:c>
      <x:c r="O463" t="str">
        <x:v>0fd6ad2d-3389-4e70-8974-eb85ee223eeb</x:v>
      </x:c>
      <x:c r="P463" t="str">
        <x:v>2026-09-04</x:v>
      </x:c>
    </x:row>
    <x:row r="464">
      <x:c r="A464" t="str">
        <x:v>重点观察</x:v>
      </x:c>
      <x:c r="B464" t="str">
        <x:v>补全 PB、财报，等待Agent自动验证</x:v>
      </x:c>
      <x:c r="C464" t="str">
        <x:v>000088</x:v>
      </x:c>
      <x:c r="D464" t="str">
        <x:v>盐 田 港</x:v>
      </x:c>
      <x:c r="E464" t="str">
        <x:v>主板</x:v>
      </x:c>
      <x:c r="F464" t="str">
        <x:v>待行业映射</x:v>
      </x:c>
      <x:c r="G464" t="str">
        <x:v>当前全市场行情快照缺少 PB；只能作为待补全研究队列，不得按完整估值条件生成交易建议。</x:v>
      </x:c>
      <x:c r="H464" t="n">
        <x:v>4.53</x:v>
      </x:c>
      <x:c r="I464" t="n">
        <x:v>15.8</x:v>
      </x:c>
      <x:c r="J464"/>
      <x:c r="K464" t="str">
        <x:v>待归档官方财报</x:v>
      </x:c>
      <x:c r="L464" t="str">
        <x:v>AkShare / Tencent all-A market snapshot</x:v>
      </x:c>
      <x:c r="M464" t="str">
        <x:v>ProxyError: primary market source unavailable; see source_id for full audit.</x:v>
      </x:c>
      <x:c r="N464" t="str">
        <x:v>0</x:v>
      </x:c>
      <x:c r="O464" t="str">
        <x:v>0fd6ad2d-3389-4e70-8974-eb85ee223eeb</x:v>
      </x:c>
      <x:c r="P464" t="str">
        <x:v>2026-09-04</x:v>
      </x:c>
    </x:row>
    <x:row r="465">
      <x:c r="A465" t="str">
        <x:v>重点观察</x:v>
      </x:c>
      <x:c r="B465" t="str">
        <x:v>补全 PB、财报，等待Agent自动验证</x:v>
      </x:c>
      <x:c r="C465" t="str">
        <x:v>920238</x:v>
      </x:c>
      <x:c r="D465" t="str">
        <x:v>长鹰硬科</x:v>
      </x:c>
      <x:c r="E465" t="str">
        <x:v>北交所</x:v>
      </x:c>
      <x:c r="F465" t="str">
        <x:v>待行业映射</x:v>
      </x:c>
      <x:c r="G465" t="str">
        <x:v>当前全市场行情快照缺少 PB；只能作为待补全研究队列，不得按完整估值条件生成交易建议。</x:v>
      </x:c>
      <x:c r="H465" t="n">
        <x:v>67.18</x:v>
      </x:c>
      <x:c r="I465" t="n">
        <x:v>13.52</x:v>
      </x:c>
      <x:c r="J465"/>
      <x:c r="K465" t="str">
        <x:v>待归档官方财报</x:v>
      </x:c>
      <x:c r="L465" t="str">
        <x:v>AkShare / Tencent all-A market snapshot</x:v>
      </x:c>
      <x:c r="M465" t="str">
        <x:v>ProxyError: primary market source unavailable; see source_id for full audit.</x:v>
      </x:c>
      <x:c r="N465" t="str">
        <x:v>0</x:v>
      </x:c>
      <x:c r="O465" t="str">
        <x:v>0fd6ad2d-3389-4e70-8974-eb85ee223eeb</x:v>
      </x:c>
      <x:c r="P465" t="str">
        <x:v>2026-09-04</x:v>
      </x:c>
    </x:row>
    <x:row r="466">
      <x:c r="A466" t="str">
        <x:v>重点观察</x:v>
      </x:c>
      <x:c r="B466" t="str">
        <x:v>补全 PB、财报，等待Agent自动验证</x:v>
      </x:c>
      <x:c r="C466" t="str">
        <x:v>603515</x:v>
      </x:c>
      <x:c r="D466" t="str">
        <x:v>欧普照明</x:v>
      </x:c>
      <x:c r="E466" t="str">
        <x:v>主板</x:v>
      </x:c>
      <x:c r="F466" t="str">
        <x:v>待行业映射</x:v>
      </x:c>
      <x:c r="G466" t="str">
        <x:v>当前全市场行情快照缺少 PB；只能作为待补全研究队列，不得按完整估值条件生成交易建议。</x:v>
      </x:c>
      <x:c r="H466" t="n">
        <x:v>15.47</x:v>
      </x:c>
      <x:c r="I466" t="n">
        <x:v>14.25</x:v>
      </x:c>
      <x:c r="J466"/>
      <x:c r="K466" t="str">
        <x:v>待归档官方财报</x:v>
      </x:c>
      <x:c r="L466" t="str">
        <x:v>AkShare / Tencent all-A market snapshot</x:v>
      </x:c>
      <x:c r="M466" t="str">
        <x:v>ProxyError: primary market source unavailable; see source_id for full audit.</x:v>
      </x:c>
      <x:c r="N466" t="str">
        <x:v>0</x:v>
      </x:c>
      <x:c r="O466" t="str">
        <x:v>0fd6ad2d-3389-4e70-8974-eb85ee223eeb</x:v>
      </x:c>
      <x:c r="P466" t="str">
        <x:v>2026-09-04</x:v>
      </x:c>
    </x:row>
    <x:row r="467">
      <x:c r="A467" t="str">
        <x:v>重点观察</x:v>
      </x:c>
      <x:c r="B467" t="str">
        <x:v>补全 PB、财报，等待Agent自动验证</x:v>
      </x:c>
      <x:c r="C467" t="str">
        <x:v>600285</x:v>
      </x:c>
      <x:c r="D467" t="str">
        <x:v>羚锐制药</x:v>
      </x:c>
      <x:c r="E467" t="str">
        <x:v>主板</x:v>
      </x:c>
      <x:c r="F467" t="str">
        <x:v>待行业映射</x:v>
      </x:c>
      <x:c r="G467" t="str">
        <x:v>当前全市场行情快照缺少 PB；只能作为待补全研究队列，不得按完整估值条件生成交易建议。</x:v>
      </x:c>
      <x:c r="H467" t="n">
        <x:v>19.61</x:v>
      </x:c>
      <x:c r="I467" t="n">
        <x:v>14.25</x:v>
      </x:c>
      <x:c r="J467"/>
      <x:c r="K467" t="str">
        <x:v>待归档官方财报</x:v>
      </x:c>
      <x:c r="L467" t="str">
        <x:v>AkShare / Tencent all-A market snapshot</x:v>
      </x:c>
      <x:c r="M467" t="str">
        <x:v>ProxyError: primary market source unavailable; see source_id for full audit.</x:v>
      </x:c>
      <x:c r="N467" t="str">
        <x:v>0</x:v>
      </x:c>
      <x:c r="O467" t="str">
        <x:v>0fd6ad2d-3389-4e70-8974-eb85ee223eeb</x:v>
      </x:c>
      <x:c r="P467" t="str">
        <x:v>2026-09-04</x:v>
      </x:c>
    </x:row>
    <x:row r="468">
      <x:c r="A468" t="str">
        <x:v>重点观察</x:v>
      </x:c>
      <x:c r="B468" t="str">
        <x:v>补全 PB、财报，等待Agent自动验证</x:v>
      </x:c>
      <x:c r="C468" t="str">
        <x:v>002311</x:v>
      </x:c>
      <x:c r="D468" t="str">
        <x:v>海大集团</x:v>
      </x:c>
      <x:c r="E468" t="str">
        <x:v>主板</x:v>
      </x:c>
      <x:c r="F468" t="str">
        <x:v>待行业映射</x:v>
      </x:c>
      <x:c r="G468" t="str">
        <x:v>当前全市场行情快照缺少 PB；只能作为待补全研究队列，不得按完整估值条件生成交易建议。</x:v>
      </x:c>
      <x:c r="H468" t="n">
        <x:v>44.62</x:v>
      </x:c>
      <x:c r="I468" t="n">
        <x:v>22.72</x:v>
      </x:c>
      <x:c r="J468"/>
      <x:c r="K468" t="str">
        <x:v>待归档官方财报</x:v>
      </x:c>
      <x:c r="L468" t="str">
        <x:v>AkShare / Tencent all-A market snapshot</x:v>
      </x:c>
      <x:c r="M468" t="str">
        <x:v>ProxyError: primary market source unavailable; see source_id for full audit.</x:v>
      </x:c>
      <x:c r="N468" t="str">
        <x:v>0</x:v>
      </x:c>
      <x:c r="O468" t="str">
        <x:v>0fd6ad2d-3389-4e70-8974-eb85ee223eeb</x:v>
      </x:c>
      <x:c r="P468" t="str">
        <x:v>2026-09-04</x:v>
      </x:c>
    </x:row>
    <x:row r="469">
      <x:c r="A469" t="str">
        <x:v>重点观察</x:v>
      </x:c>
      <x:c r="B469" t="str">
        <x:v>补全 PB、财报，等待Agent自动验证</x:v>
      </x:c>
      <x:c r="C469" t="str">
        <x:v>000682</x:v>
      </x:c>
      <x:c r="D469" t="str">
        <x:v>东方电子</x:v>
      </x:c>
      <x:c r="E469" t="str">
        <x:v>主板</x:v>
      </x:c>
      <x:c r="F469" t="str">
        <x:v>待行业映射</x:v>
      </x:c>
      <x:c r="G469" t="str">
        <x:v>当前全市场行情快照缺少 PB；只能作为待补全研究队列，不得按完整估值条件生成交易建议。</x:v>
      </x:c>
      <x:c r="H469" t="n">
        <x:v>11.17</x:v>
      </x:c>
      <x:c r="I469" t="n">
        <x:v>14.79</x:v>
      </x:c>
      <x:c r="J469"/>
      <x:c r="K469" t="str">
        <x:v>待归档官方财报</x:v>
      </x:c>
      <x:c r="L469" t="str">
        <x:v>AkShare / Tencent all-A market snapshot</x:v>
      </x:c>
      <x:c r="M469" t="str">
        <x:v>ProxyError: primary market source unavailable; see source_id for full audit.</x:v>
      </x:c>
      <x:c r="N469" t="str">
        <x:v>0</x:v>
      </x:c>
      <x:c r="O469" t="str">
        <x:v>0fd6ad2d-3389-4e70-8974-eb85ee223eeb</x:v>
      </x:c>
      <x:c r="P469" t="str">
        <x:v>2026-09-04</x:v>
      </x:c>
    </x:row>
    <x:row r="470">
      <x:c r="A470" t="str">
        <x:v>重点观察</x:v>
      </x:c>
      <x:c r="B470" t="str">
        <x:v>补全 PB、财报，等待Agent自动验证</x:v>
      </x:c>
      <x:c r="C470" t="str">
        <x:v>000957</x:v>
      </x:c>
      <x:c r="D470" t="str">
        <x:v>中通客车</x:v>
      </x:c>
      <x:c r="E470" t="str">
        <x:v>主板</x:v>
      </x:c>
      <x:c r="F470" t="str">
        <x:v>待行业映射</x:v>
      </x:c>
      <x:c r="G470" t="str">
        <x:v>当前全市场行情快照缺少 PB；只能作为待补全研究队列，不得按完整估值条件生成交易建议。</x:v>
      </x:c>
      <x:c r="H470" t="n">
        <x:v>10.39</x:v>
      </x:c>
      <x:c r="I470" t="n">
        <x:v>13.63</x:v>
      </x:c>
      <x:c r="J470"/>
      <x:c r="K470" t="str">
        <x:v>待归档官方财报</x:v>
      </x:c>
      <x:c r="L470" t="str">
        <x:v>AkShare / Tencent all-A market snapshot</x:v>
      </x:c>
      <x:c r="M470" t="str">
        <x:v>ProxyError: primary market source unavailable; see source_id for full audit.</x:v>
      </x:c>
      <x:c r="N470" t="str">
        <x:v>0</x:v>
      </x:c>
      <x:c r="O470" t="str">
        <x:v>0fd6ad2d-3389-4e70-8974-eb85ee223eeb</x:v>
      </x:c>
      <x:c r="P470" t="str">
        <x:v>2026-09-04</x:v>
      </x:c>
    </x:row>
    <x:row r="471">
      <x:c r="A471" t="str">
        <x:v>重点观察</x:v>
      </x:c>
      <x:c r="B471" t="str">
        <x:v>补全 PB、财报，等待Agent自动验证</x:v>
      </x:c>
      <x:c r="C471" t="str">
        <x:v>603233</x:v>
      </x:c>
      <x:c r="D471" t="str">
        <x:v>大参林</x:v>
      </x:c>
      <x:c r="E471" t="str">
        <x:v>主板</x:v>
      </x:c>
      <x:c r="F471" t="str">
        <x:v>待行业映射</x:v>
      </x:c>
      <x:c r="G471" t="str">
        <x:v>当前全市场行情快照缺少 PB；只能作为待补全研究队列，不得按完整估值条件生成交易建议。</x:v>
      </x:c>
      <x:c r="H471" t="n">
        <x:v>18.79</x:v>
      </x:c>
      <x:c r="I471" t="n">
        <x:v>15.69</x:v>
      </x:c>
      <x:c r="J471"/>
      <x:c r="K471" t="str">
        <x:v>待归档官方财报</x:v>
      </x:c>
      <x:c r="L471" t="str">
        <x:v>AkShare / Tencent all-A market snapshot</x:v>
      </x:c>
      <x:c r="M471" t="str">
        <x:v>ProxyError: primary market source unavailable; see source_id for full audit.</x:v>
      </x:c>
      <x:c r="N471" t="str">
        <x:v>0</x:v>
      </x:c>
      <x:c r="O471" t="str">
        <x:v>0fd6ad2d-3389-4e70-8974-eb85ee223eeb</x:v>
      </x:c>
      <x:c r="P471" t="str">
        <x:v>2026-09-04</x:v>
      </x:c>
    </x:row>
    <x:row r="472">
      <x:c r="A472" t="str">
        <x:v>重点观察</x:v>
      </x:c>
      <x:c r="B472" t="str">
        <x:v>补全 PB、财报，等待Agent自动验证</x:v>
      </x:c>
      <x:c r="C472" t="str">
        <x:v>600551</x:v>
      </x:c>
      <x:c r="D472" t="str">
        <x:v>时代出版</x:v>
      </x:c>
      <x:c r="E472" t="str">
        <x:v>主板</x:v>
      </x:c>
      <x:c r="F472" t="str">
        <x:v>待行业映射</x:v>
      </x:c>
      <x:c r="G472" t="str">
        <x:v>当前全市场行情快照缺少 PB；只能作为待补全研究队列，不得按完整估值条件生成交易建议。</x:v>
      </x:c>
      <x:c r="H472" t="n">
        <x:v>8.05</x:v>
      </x:c>
      <x:c r="I472" t="n">
        <x:v>13.55</x:v>
      </x:c>
      <x:c r="J472"/>
      <x:c r="K472" t="str">
        <x:v>待归档官方财报</x:v>
      </x:c>
      <x:c r="L472" t="str">
        <x:v>AkShare / Tencent all-A market snapshot</x:v>
      </x:c>
      <x:c r="M472" t="str">
        <x:v>ProxyError: primary market source unavailable; see source_id for full audit.</x:v>
      </x:c>
      <x:c r="N472" t="str">
        <x:v>0</x:v>
      </x:c>
      <x:c r="O472" t="str">
        <x:v>0fd6ad2d-3389-4e70-8974-eb85ee223eeb</x:v>
      </x:c>
      <x:c r="P472" t="str">
        <x:v>2026-09-04</x:v>
      </x:c>
    </x:row>
    <x:row r="473">
      <x:c r="A473" t="str">
        <x:v>重点观察</x:v>
      </x:c>
      <x:c r="B473" t="str">
        <x:v>补全 PB、财报，等待Agent自动验证</x:v>
      </x:c>
      <x:c r="C473" t="str">
        <x:v>605050</x:v>
      </x:c>
      <x:c r="D473" t="str">
        <x:v>福然德</x:v>
      </x:c>
      <x:c r="E473" t="str">
        <x:v>主板</x:v>
      </x:c>
      <x:c r="F473" t="str">
        <x:v>待行业映射</x:v>
      </x:c>
      <x:c r="G473" t="str">
        <x:v>当前全市场行情快照缺少 PB；只能作为待补全研究队列，不得按完整估值条件生成交易建议。</x:v>
      </x:c>
      <x:c r="H473" t="n">
        <x:v>10.48</x:v>
      </x:c>
      <x:c r="I473" t="n">
        <x:v>13.51</x:v>
      </x:c>
      <x:c r="J473"/>
      <x:c r="K473" t="str">
        <x:v>待归档官方财报</x:v>
      </x:c>
      <x:c r="L473" t="str">
        <x:v>AkShare / Tencent all-A market snapshot</x:v>
      </x:c>
      <x:c r="M473" t="str">
        <x:v>ProxyError: primary market source unavailable; see source_id for full audit.</x:v>
      </x:c>
      <x:c r="N473" t="str">
        <x:v>0</x:v>
      </x:c>
      <x:c r="O473" t="str">
        <x:v>0fd6ad2d-3389-4e70-8974-eb85ee223eeb</x:v>
      </x:c>
      <x:c r="P473" t="str">
        <x:v>2026-09-04</x:v>
      </x:c>
    </x:row>
    <x:row r="474">
      <x:c r="A474" t="str">
        <x:v>重点观察</x:v>
      </x:c>
      <x:c r="B474" t="str">
        <x:v>补全 PB、财报，等待Agent自动验证</x:v>
      </x:c>
      <x:c r="C474" t="str">
        <x:v>600480</x:v>
      </x:c>
      <x:c r="D474" t="str">
        <x:v>凌云股份</x:v>
      </x:c>
      <x:c r="E474" t="str">
        <x:v>主板</x:v>
      </x:c>
      <x:c r="F474" t="str">
        <x:v>待行业映射</x:v>
      </x:c>
      <x:c r="G474" t="str">
        <x:v>当前全市场行情快照缺少 PB；只能作为待补全研究队列，不得按完整估值条件生成交易建议。</x:v>
      </x:c>
      <x:c r="H474" t="n">
        <x:v>8.23</x:v>
      </x:c>
      <x:c r="I474" t="n">
        <x:v>14.24</x:v>
      </x:c>
      <x:c r="J474"/>
      <x:c r="K474" t="str">
        <x:v>待归档官方财报</x:v>
      </x:c>
      <x:c r="L474" t="str">
        <x:v>AkShare / Tencent all-A market snapshot</x:v>
      </x:c>
      <x:c r="M474" t="str">
        <x:v>ProxyError: primary market source unavailable; see source_id for full audit.</x:v>
      </x:c>
      <x:c r="N474" t="str">
        <x:v>0</x:v>
      </x:c>
      <x:c r="O474" t="str">
        <x:v>0fd6ad2d-3389-4e70-8974-eb85ee223eeb</x:v>
      </x:c>
      <x:c r="P474" t="str">
        <x:v>2026-09-04</x:v>
      </x:c>
    </x:row>
    <x:row r="475">
      <x:c r="A475" t="str">
        <x:v>重点观察</x:v>
      </x:c>
      <x:c r="B475" t="str">
        <x:v>补全 PB、财报，等待Agent自动验证</x:v>
      </x:c>
      <x:c r="C475" t="str">
        <x:v>600273</x:v>
      </x:c>
      <x:c r="D475" t="str">
        <x:v>嘉化能源</x:v>
      </x:c>
      <x:c r="E475" t="str">
        <x:v>主板</x:v>
      </x:c>
      <x:c r="F475" t="str">
        <x:v>待行业映射</x:v>
      </x:c>
      <x:c r="G475" t="str">
        <x:v>当前全市场行情快照缺少 PB；只能作为待补全研究队列，不得按完整估值条件生成交易建议。</x:v>
      </x:c>
      <x:c r="H475" t="n">
        <x:v>6.72</x:v>
      </x:c>
      <x:c r="I475" t="n">
        <x:v>14.08</x:v>
      </x:c>
      <x:c r="J475"/>
      <x:c r="K475" t="str">
        <x:v>待归档官方财报</x:v>
      </x:c>
      <x:c r="L475" t="str">
        <x:v>AkShare / Tencent all-A market snapshot</x:v>
      </x:c>
      <x:c r="M475" t="str">
        <x:v>ProxyError: primary market source unavailable; see source_id for full audit.</x:v>
      </x:c>
      <x:c r="N475" t="str">
        <x:v>0</x:v>
      </x:c>
      <x:c r="O475" t="str">
        <x:v>0fd6ad2d-3389-4e70-8974-eb85ee223eeb</x:v>
      </x:c>
      <x:c r="P475" t="str">
        <x:v>2026-09-04</x:v>
      </x:c>
    </x:row>
    <x:row r="476">
      <x:c r="A476" t="str">
        <x:v>重点观察</x:v>
      </x:c>
      <x:c r="B476" t="str">
        <x:v>补全 PB、财报，等待Agent自动验证</x:v>
      </x:c>
      <x:c r="C476" t="str">
        <x:v>002563</x:v>
      </x:c>
      <x:c r="D476" t="str">
        <x:v>森马服饰</x:v>
      </x:c>
      <x:c r="E476" t="str">
        <x:v>主板</x:v>
      </x:c>
      <x:c r="F476" t="str">
        <x:v>待行业映射</x:v>
      </x:c>
      <x:c r="G476" t="str">
        <x:v>当前全市场行情快照缺少 PB；只能作为待补全研究队列，不得按完整估值条件生成交易建议。</x:v>
      </x:c>
      <x:c r="H476" t="n">
        <x:v>5.84</x:v>
      </x:c>
      <x:c r="I476" t="n">
        <x:v>15.03</x:v>
      </x:c>
      <x:c r="J476"/>
      <x:c r="K476" t="str">
        <x:v>待归档官方财报</x:v>
      </x:c>
      <x:c r="L476" t="str">
        <x:v>AkShare / Tencent all-A market snapshot</x:v>
      </x:c>
      <x:c r="M476" t="str">
        <x:v>ProxyError: primary market source unavailable; see source_id for full audit.</x:v>
      </x:c>
      <x:c r="N476" t="str">
        <x:v>0</x:v>
      </x:c>
      <x:c r="O476" t="str">
        <x:v>0fd6ad2d-3389-4e70-8974-eb85ee223eeb</x:v>
      </x:c>
      <x:c r="P476" t="str">
        <x:v>2026-09-04</x:v>
      </x:c>
    </x:row>
    <x:row r="477">
      <x:c r="A477" t="str">
        <x:v>重点观察</x:v>
      </x:c>
      <x:c r="B477" t="str">
        <x:v>补全 PB、财报，等待Agent自动验证</x:v>
      </x:c>
      <x:c r="C477" t="str">
        <x:v>002154</x:v>
      </x:c>
      <x:c r="D477" t="str">
        <x:v>报 喜 鸟</x:v>
      </x:c>
      <x:c r="E477" t="str">
        <x:v>主板</x:v>
      </x:c>
      <x:c r="F477" t="str">
        <x:v>待行业映射</x:v>
      </x:c>
      <x:c r="G477" t="str">
        <x:v>当前全市场行情快照缺少 PB；只能作为待补全研究队列，不得按完整估值条件生成交易建议。</x:v>
      </x:c>
      <x:c r="H477" t="n">
        <x:v>4.1</x:v>
      </x:c>
      <x:c r="I477" t="n">
        <x:v>13.73</x:v>
      </x:c>
      <x:c r="J477"/>
      <x:c r="K477" t="str">
        <x:v>待归档官方财报</x:v>
      </x:c>
      <x:c r="L477" t="str">
        <x:v>AkShare / Tencent all-A market snapshot</x:v>
      </x:c>
      <x:c r="M477" t="str">
        <x:v>ProxyError: primary market source unavailable; see source_id for full audit.</x:v>
      </x:c>
      <x:c r="N477" t="str">
        <x:v>0</x:v>
      </x:c>
      <x:c r="O477" t="str">
        <x:v>0fd6ad2d-3389-4e70-8974-eb85ee223eeb</x:v>
      </x:c>
      <x:c r="P477" t="str">
        <x:v>2026-09-04</x:v>
      </x:c>
    </x:row>
    <x:row r="478">
      <x:c r="A478" t="str">
        <x:v>重点观察</x:v>
      </x:c>
      <x:c r="B478" t="str">
        <x:v>补全 PB、财报，等待Agent自动验证</x:v>
      </x:c>
      <x:c r="C478" t="str">
        <x:v>600863</x:v>
      </x:c>
      <x:c r="D478" t="str">
        <x:v>华能蒙电</x:v>
      </x:c>
      <x:c r="E478" t="str">
        <x:v>主板</x:v>
      </x:c>
      <x:c r="F478" t="str">
        <x:v>待行业映射</x:v>
      </x:c>
      <x:c r="G478" t="str">
        <x:v>当前全市场行情快照缺少 PB；只能作为待补全研究队列，不得按完整估值条件生成交易建议。</x:v>
      </x:c>
      <x:c r="H478" t="n">
        <x:v>4.72</x:v>
      </x:c>
      <x:c r="I478" t="n">
        <x:v>17.91</x:v>
      </x:c>
      <x:c r="J478"/>
      <x:c r="K478" t="str">
        <x:v>待归档官方财报</x:v>
      </x:c>
      <x:c r="L478" t="str">
        <x:v>AkShare / Tencent all-A market snapshot</x:v>
      </x:c>
      <x:c r="M478" t="str">
        <x:v>ProxyError: primary market source unavailable; see source_id for full audit.</x:v>
      </x:c>
      <x:c r="N478" t="str">
        <x:v>0</x:v>
      </x:c>
      <x:c r="O478" t="str">
        <x:v>0fd6ad2d-3389-4e70-8974-eb85ee223eeb</x:v>
      </x:c>
      <x:c r="P478" t="str">
        <x:v>2026-09-04</x:v>
      </x:c>
    </x:row>
    <x:row r="479">
      <x:c r="A479" t="str">
        <x:v>重点观察</x:v>
      </x:c>
      <x:c r="B479" t="str">
        <x:v>补全 PB、财报，等待Agent自动验证</x:v>
      </x:c>
      <x:c r="C479" t="str">
        <x:v>002697</x:v>
      </x:c>
      <x:c r="D479" t="str">
        <x:v>红旗连锁</x:v>
      </x:c>
      <x:c r="E479" t="str">
        <x:v>主板</x:v>
      </x:c>
      <x:c r="F479" t="str">
        <x:v>待行业映射</x:v>
      </x:c>
      <x:c r="G479" t="str">
        <x:v>当前全市场行情快照缺少 PB；只能作为待补全研究队列，不得按完整估值条件生成交易建议。</x:v>
      </x:c>
      <x:c r="H479" t="n">
        <x:v>4.75</x:v>
      </x:c>
      <x:c r="I479" t="n">
        <x:v>13.81</x:v>
      </x:c>
      <x:c r="J479"/>
      <x:c r="K479" t="str">
        <x:v>待归档官方财报</x:v>
      </x:c>
      <x:c r="L479" t="str">
        <x:v>AkShare / Tencent all-A market snapshot</x:v>
      </x:c>
      <x:c r="M479" t="str">
        <x:v>ProxyError: primary market source unavailable; see source_id for full audit.</x:v>
      </x:c>
      <x:c r="N479" t="str">
        <x:v>0</x:v>
      </x:c>
      <x:c r="O479" t="str">
        <x:v>0fd6ad2d-3389-4e70-8974-eb85ee223eeb</x:v>
      </x:c>
      <x:c r="P479" t="str">
        <x:v>2026-09-04</x:v>
      </x:c>
    </x:row>
    <x:row r="480">
      <x:c r="A480" t="str">
        <x:v>重点观察</x:v>
      </x:c>
      <x:c r="B480" t="str">
        <x:v>补全 PB、财报，等待Agent自动验证</x:v>
      </x:c>
      <x:c r="C480" t="str">
        <x:v>300910</x:v>
      </x:c>
      <x:c r="D480" t="str">
        <x:v>瑞丰新材</x:v>
      </x:c>
      <x:c r="E480" t="str">
        <x:v>创业板</x:v>
      </x:c>
      <x:c r="F480" t="str">
        <x:v>待行业映射</x:v>
      </x:c>
      <x:c r="G480" t="str">
        <x:v>当前全市场行情快照缺少 PB；只能作为待补全研究队列，不得按完整估值条件生成交易建议。</x:v>
      </x:c>
      <x:c r="H480" t="n">
        <x:v>29.49</x:v>
      </x:c>
      <x:c r="I480" t="n">
        <x:v>14.46</x:v>
      </x:c>
      <x:c r="J480"/>
      <x:c r="K480" t="str">
        <x:v>待归档官方财报</x:v>
      </x:c>
      <x:c r="L480" t="str">
        <x:v>AkShare / Tencent all-A market snapshot</x:v>
      </x:c>
      <x:c r="M480" t="str">
        <x:v>ProxyError: primary market source unavailable; see source_id for full audit.</x:v>
      </x:c>
      <x:c r="N480" t="str">
        <x:v>0</x:v>
      </x:c>
      <x:c r="O480" t="str">
        <x:v>0fd6ad2d-3389-4e70-8974-eb85ee223eeb</x:v>
      </x:c>
      <x:c r="P480" t="str">
        <x:v>2026-09-04</x:v>
      </x:c>
    </x:row>
    <x:row r="481">
      <x:c r="A481" t="str">
        <x:v>重点观察</x:v>
      </x:c>
      <x:c r="B481" t="str">
        <x:v>补全 PB、财报，等待Agent自动验证</x:v>
      </x:c>
      <x:c r="C481" t="str">
        <x:v>601001</x:v>
      </x:c>
      <x:c r="D481" t="str">
        <x:v>晋控煤业</x:v>
      </x:c>
      <x:c r="E481" t="str">
        <x:v>主板</x:v>
      </x:c>
      <x:c r="F481" t="str">
        <x:v>待行业映射</x:v>
      </x:c>
      <x:c r="G481" t="str">
        <x:v>当前全市场行情快照缺少 PB；只能作为待补全研究队列，不得按完整估值条件生成交易建议。</x:v>
      </x:c>
      <x:c r="H481" t="n">
        <x:v>16.82</x:v>
      </x:c>
      <x:c r="I481" t="n">
        <x:v>16.77</x:v>
      </x:c>
      <x:c r="J481"/>
      <x:c r="K481" t="str">
        <x:v>待归档官方财报</x:v>
      </x:c>
      <x:c r="L481" t="str">
        <x:v>AkShare / Tencent all-A market snapshot</x:v>
      </x:c>
      <x:c r="M481" t="str">
        <x:v>ProxyError: primary market source unavailable; see source_id for full audit.</x:v>
      </x:c>
      <x:c r="N481" t="str">
        <x:v>0</x:v>
      </x:c>
      <x:c r="O481" t="str">
        <x:v>0fd6ad2d-3389-4e70-8974-eb85ee223eeb</x:v>
      </x:c>
      <x:c r="P481" t="str">
        <x:v>2026-09-04</x:v>
      </x:c>
    </x:row>
    <x:row r="482">
      <x:c r="A482" t="str">
        <x:v>重点观察</x:v>
      </x:c>
      <x:c r="B482" t="str">
        <x:v>补全 PB、财报，等待Agent自动验证</x:v>
      </x:c>
      <x:c r="C482" t="str">
        <x:v>603899</x:v>
      </x:c>
      <x:c r="D482" t="str">
        <x:v>晨光股份</x:v>
      </x:c>
      <x:c r="E482" t="str">
        <x:v>主板</x:v>
      </x:c>
      <x:c r="F482" t="str">
        <x:v>待行业映射</x:v>
      </x:c>
      <x:c r="G482" t="str">
        <x:v>当前全市场行情快照缺少 PB；只能作为待补全研究队列，不得按完整估值条件生成交易建议。</x:v>
      </x:c>
      <x:c r="H482" t="n">
        <x:v>23.16</x:v>
      </x:c>
      <x:c r="I482" t="n">
        <x:v>15.84</x:v>
      </x:c>
      <x:c r="J482"/>
      <x:c r="K482" t="str">
        <x:v>待归档官方财报</x:v>
      </x:c>
      <x:c r="L482" t="str">
        <x:v>AkShare / Tencent all-A market snapshot</x:v>
      </x:c>
      <x:c r="M482" t="str">
        <x:v>ProxyError: primary market source unavailable; see source_id for full audit.</x:v>
      </x:c>
      <x:c r="N482" t="str">
        <x:v>0</x:v>
      </x:c>
      <x:c r="O482" t="str">
        <x:v>0fd6ad2d-3389-4e70-8974-eb85ee223eeb</x:v>
      </x:c>
      <x:c r="P482" t="str">
        <x:v>2026-09-04</x:v>
      </x:c>
    </x:row>
    <x:row r="483">
      <x:c r="A483" t="str">
        <x:v>重点观察</x:v>
      </x:c>
      <x:c r="B483" t="str">
        <x:v>补全 PB、财报，等待Agent自动验证</x:v>
      </x:c>
      <x:c r="C483" t="str">
        <x:v>603055</x:v>
      </x:c>
      <x:c r="D483" t="str">
        <x:v>台华新材</x:v>
      </x:c>
      <x:c r="E483" t="str">
        <x:v>主板</x:v>
      </x:c>
      <x:c r="F483" t="str">
        <x:v>待行业映射</x:v>
      </x:c>
      <x:c r="G483" t="str">
        <x:v>当前全市场行情快照缺少 PB；只能作为待补全研究队列，不得按完整估值条件生成交易建议。</x:v>
      </x:c>
      <x:c r="H483" t="n">
        <x:v>9.38</x:v>
      </x:c>
      <x:c r="I483" t="n">
        <x:v>14.16</x:v>
      </x:c>
      <x:c r="J483"/>
      <x:c r="K483" t="str">
        <x:v>待归档官方财报</x:v>
      </x:c>
      <x:c r="L483" t="str">
        <x:v>AkShare / Tencent all-A market snapshot</x:v>
      </x:c>
      <x:c r="M483" t="str">
        <x:v>ProxyError: primary market source unavailable; see source_id for full audit.</x:v>
      </x:c>
      <x:c r="N483" t="str">
        <x:v>0</x:v>
      </x:c>
      <x:c r="O483" t="str">
        <x:v>0fd6ad2d-3389-4e70-8974-eb85ee223eeb</x:v>
      </x:c>
      <x:c r="P483" t="str">
        <x:v>2026-09-04</x:v>
      </x:c>
    </x:row>
    <x:row r="484">
      <x:c r="A484" t="str">
        <x:v>重点观察</x:v>
      </x:c>
      <x:c r="B484" t="str">
        <x:v>补全 PB、财报，等待Agent自动验证</x:v>
      </x:c>
      <x:c r="C484" t="str">
        <x:v>603013</x:v>
      </x:c>
      <x:c r="D484" t="str">
        <x:v>亚普股份</x:v>
      </x:c>
      <x:c r="E484" t="str">
        <x:v>主板</x:v>
      </x:c>
      <x:c r="F484" t="str">
        <x:v>待行业映射</x:v>
      </x:c>
      <x:c r="G484" t="str">
        <x:v>当前全市场行情快照缺少 PB；只能作为待补全研究队列，不得按完整估值条件生成交易建议。</x:v>
      </x:c>
      <x:c r="H484" t="n">
        <x:v>14.81</x:v>
      </x:c>
      <x:c r="I484" t="n">
        <x:v>14.1</x:v>
      </x:c>
      <x:c r="J484"/>
      <x:c r="K484" t="str">
        <x:v>待归档官方财报</x:v>
      </x:c>
      <x:c r="L484" t="str">
        <x:v>AkShare / Tencent all-A market snapshot</x:v>
      </x:c>
      <x:c r="M484" t="str">
        <x:v>ProxyError: primary market source unavailable; see source_id for full audit.</x:v>
      </x:c>
      <x:c r="N484" t="str">
        <x:v>0</x:v>
      </x:c>
      <x:c r="O484" t="str">
        <x:v>0fd6ad2d-3389-4e70-8974-eb85ee223eeb</x:v>
      </x:c>
      <x:c r="P484" t="str">
        <x:v>2026-09-04</x:v>
      </x:c>
    </x:row>
    <x:row r="485">
      <x:c r="A485" t="str">
        <x:v>重点观察</x:v>
      </x:c>
      <x:c r="B485" t="str">
        <x:v>补全 PB、财报，等待Agent自动验证</x:v>
      </x:c>
      <x:c r="C485" t="str">
        <x:v>920029</x:v>
      </x:c>
      <x:c r="D485" t="str">
        <x:v>开发科技</x:v>
      </x:c>
      <x:c r="E485" t="str">
        <x:v>北交所</x:v>
      </x:c>
      <x:c r="F485" t="str">
        <x:v>待行业映射</x:v>
      </x:c>
      <x:c r="G485" t="str">
        <x:v>当前全市场行情快照缺少 PB；只能作为待补全研究队列，不得按完整估值条件生成交易建议。</x:v>
      </x:c>
      <x:c r="H485" t="n">
        <x:v>33.48</x:v>
      </x:c>
      <x:c r="I485" t="n">
        <x:v>14.03</x:v>
      </x:c>
      <x:c r="J485"/>
      <x:c r="K485" t="str">
        <x:v>待归档官方财报</x:v>
      </x:c>
      <x:c r="L485" t="str">
        <x:v>AkShare / Tencent all-A market snapshot</x:v>
      </x:c>
      <x:c r="M485" t="str">
        <x:v>ProxyError: primary market source unavailable; see source_id for full audit.</x:v>
      </x:c>
      <x:c r="N485" t="str">
        <x:v>0</x:v>
      </x:c>
      <x:c r="O485" t="str">
        <x:v>0fd6ad2d-3389-4e70-8974-eb85ee223eeb</x:v>
      </x:c>
      <x:c r="P485" t="str">
        <x:v>2026-09-04</x:v>
      </x:c>
    </x:row>
    <x:row r="486">
      <x:c r="A486" t="str">
        <x:v>重点观察</x:v>
      </x:c>
      <x:c r="B486" t="str">
        <x:v>补全 PB、财报，等待Agent自动验证</x:v>
      </x:c>
      <x:c r="C486" t="str">
        <x:v>002895</x:v>
      </x:c>
      <x:c r="D486" t="str">
        <x:v>川恒股份</x:v>
      </x:c>
      <x:c r="E486" t="str">
        <x:v>主板</x:v>
      </x:c>
      <x:c r="F486" t="str">
        <x:v>待行业映射</x:v>
      </x:c>
      <x:c r="G486" t="str">
        <x:v>当前全市场行情快照缺少 PB；只能作为待补全研究队列，不得按完整估值条件生成交易建议。</x:v>
      </x:c>
      <x:c r="H486" t="n">
        <x:v>33.6</x:v>
      </x:c>
      <x:c r="I486" t="n">
        <x:v>15.85</x:v>
      </x:c>
      <x:c r="J486"/>
      <x:c r="K486" t="str">
        <x:v>待归档官方财报</x:v>
      </x:c>
      <x:c r="L486" t="str">
        <x:v>AkShare / Tencent all-A market snapshot</x:v>
      </x:c>
      <x:c r="M486" t="str">
        <x:v>ProxyError: primary market source unavailable; see source_id for full audit.</x:v>
      </x:c>
      <x:c r="N486" t="str">
        <x:v>0</x:v>
      </x:c>
      <x:c r="O486" t="str">
        <x:v>0fd6ad2d-3389-4e70-8974-eb85ee223eeb</x:v>
      </x:c>
      <x:c r="P486" t="str">
        <x:v>2026-09-04</x:v>
      </x:c>
    </x:row>
    <x:row r="487">
      <x:c r="A487" t="str">
        <x:v>重点观察</x:v>
      </x:c>
      <x:c r="B487" t="str">
        <x:v>补全 PB、财报，等待Agent自动验证</x:v>
      </x:c>
      <x:c r="C487" t="str">
        <x:v>603508</x:v>
      </x:c>
      <x:c r="D487" t="str">
        <x:v>思维列控</x:v>
      </x:c>
      <x:c r="E487" t="str">
        <x:v>主板</x:v>
      </x:c>
      <x:c r="F487" t="str">
        <x:v>待行业映射</x:v>
      </x:c>
      <x:c r="G487" t="str">
        <x:v>当前全市场行情快照缺少 PB；只能作为待补全研究队列，不得按完整估值条件生成交易建议。</x:v>
      </x:c>
      <x:c r="H487" t="n">
        <x:v>21.35</x:v>
      </x:c>
      <x:c r="I487" t="n">
        <x:v>14.27</x:v>
      </x:c>
      <x:c r="J487"/>
      <x:c r="K487" t="str">
        <x:v>待归档官方财报</x:v>
      </x:c>
      <x:c r="L487" t="str">
        <x:v>AkShare / Tencent all-A market snapshot</x:v>
      </x:c>
      <x:c r="M487" t="str">
        <x:v>ProxyError: primary market source unavailable; see source_id for full audit.</x:v>
      </x:c>
      <x:c r="N487" t="str">
        <x:v>0</x:v>
      </x:c>
      <x:c r="O487" t="str">
        <x:v>0fd6ad2d-3389-4e70-8974-eb85ee223eeb</x:v>
      </x:c>
      <x:c r="P487" t="str">
        <x:v>2026-09-04</x:v>
      </x:c>
    </x:row>
    <x:row r="488">
      <x:c r="A488" t="str">
        <x:v>重点观察</x:v>
      </x:c>
      <x:c r="B488" t="str">
        <x:v>补全 PB、财报，等待Agent自动验证</x:v>
      </x:c>
      <x:c r="C488" t="str">
        <x:v>000423</x:v>
      </x:c>
      <x:c r="D488" t="str">
        <x:v>东阿阿胶</x:v>
      </x:c>
      <x:c r="E488" t="str">
        <x:v>主板</x:v>
      </x:c>
      <x:c r="F488" t="str">
        <x:v>待行业映射</x:v>
      </x:c>
      <x:c r="G488" t="str">
        <x:v>当前全市场行情快照缺少 PB；只能作为待补全研究队列，不得按完整估值条件生成交易建议。</x:v>
      </x:c>
      <x:c r="H488" t="n">
        <x:v>48.55</x:v>
      </x:c>
      <x:c r="I488" t="n">
        <x:v>17.4</x:v>
      </x:c>
      <x:c r="J488"/>
      <x:c r="K488" t="str">
        <x:v>待归档官方财报</x:v>
      </x:c>
      <x:c r="L488" t="str">
        <x:v>AkShare / Tencent all-A market snapshot</x:v>
      </x:c>
      <x:c r="M488" t="str">
        <x:v>ProxyError: primary market source unavailable; see source_id for full audit.</x:v>
      </x:c>
      <x:c r="N488" t="str">
        <x:v>0</x:v>
      </x:c>
      <x:c r="O488" t="str">
        <x:v>0fd6ad2d-3389-4e70-8974-eb85ee223eeb</x:v>
      </x:c>
      <x:c r="P488" t="str">
        <x:v>2026-09-04</x:v>
      </x:c>
    </x:row>
    <x:row r="489">
      <x:c r="A489" t="str">
        <x:v>重点观察</x:v>
      </x:c>
      <x:c r="B489" t="str">
        <x:v>补全 PB、财报，等待Agent自动验证</x:v>
      </x:c>
      <x:c r="C489" t="str">
        <x:v>603568</x:v>
      </x:c>
      <x:c r="D489" t="str">
        <x:v>伟明环保</x:v>
      </x:c>
      <x:c r="E489" t="str">
        <x:v>主板</x:v>
      </x:c>
      <x:c r="F489" t="str">
        <x:v>待行业映射</x:v>
      </x:c>
      <x:c r="G489" t="str">
        <x:v>当前全市场行情快照缺少 PB；只能作为待补全研究队列，不得按完整估值条件生成交易建议。</x:v>
      </x:c>
      <x:c r="H489" t="n">
        <x:v>14.43</x:v>
      </x:c>
      <x:c r="I489" t="n">
        <x:v>17.2</x:v>
      </x:c>
      <x:c r="J489"/>
      <x:c r="K489" t="str">
        <x:v>待归档官方财报</x:v>
      </x:c>
      <x:c r="L489" t="str">
        <x:v>AkShare / Tencent all-A market snapshot</x:v>
      </x:c>
      <x:c r="M489" t="str">
        <x:v>ProxyError: primary market source unavailable; see source_id for full audit.</x:v>
      </x:c>
      <x:c r="N489" t="str">
        <x:v>0</x:v>
      </x:c>
      <x:c r="O489" t="str">
        <x:v>0fd6ad2d-3389-4e70-8974-eb85ee223eeb</x:v>
      </x:c>
      <x:c r="P489" t="str">
        <x:v>2026-09-04</x:v>
      </x:c>
    </x:row>
    <x:row r="490">
      <x:c r="A490" t="str">
        <x:v>重点观察</x:v>
      </x:c>
      <x:c r="B490" t="str">
        <x:v>补全 PB、财报，等待Agent自动验证</x:v>
      </x:c>
      <x:c r="C490" t="str">
        <x:v>600251</x:v>
      </x:c>
      <x:c r="D490" t="str">
        <x:v>冠农股份</x:v>
      </x:c>
      <x:c r="E490" t="str">
        <x:v>主板</x:v>
      </x:c>
      <x:c r="F490" t="str">
        <x:v>待行业映射</x:v>
      </x:c>
      <x:c r="G490" t="str">
        <x:v>当前全市场行情快照缺少 PB；只能作为待补全研究队列，不得按完整估值条件生成交易建议。</x:v>
      </x:c>
      <x:c r="H490" t="n">
        <x:v>10.83</x:v>
      </x:c>
      <x:c r="I490" t="n">
        <x:v>14.37</x:v>
      </x:c>
      <x:c r="J490"/>
      <x:c r="K490" t="str">
        <x:v>待归档官方财报</x:v>
      </x:c>
      <x:c r="L490" t="str">
        <x:v>AkShare / Tencent all-A market snapshot</x:v>
      </x:c>
      <x:c r="M490" t="str">
        <x:v>ProxyError: primary market source unavailable; see source_id for full audit.</x:v>
      </x:c>
      <x:c r="N490" t="str">
        <x:v>0</x:v>
      </x:c>
      <x:c r="O490" t="str">
        <x:v>0fd6ad2d-3389-4e70-8974-eb85ee223eeb</x:v>
      </x:c>
      <x:c r="P490" t="str">
        <x:v>2026-09-04</x:v>
      </x:c>
    </x:row>
    <x:row r="491">
      <x:c r="A491" t="str">
        <x:v>重点观察</x:v>
      </x:c>
      <x:c r="B491" t="str">
        <x:v>补全 PB、财报，等待Agent自动验证</x:v>
      </x:c>
      <x:c r="C491" t="str">
        <x:v>600179</x:v>
      </x:c>
      <x:c r="D491" t="str">
        <x:v>安通控股</x:v>
      </x:c>
      <x:c r="E491" t="str">
        <x:v>主板</x:v>
      </x:c>
      <x:c r="F491" t="str">
        <x:v>待行业映射</x:v>
      </x:c>
      <x:c r="G491" t="str">
        <x:v>当前全市场行情快照缺少 PB；只能作为待补全研究队列，不得按完整估值条件生成交易建议。</x:v>
      </x:c>
      <x:c r="H491" t="n">
        <x:v>4.62</x:v>
      </x:c>
      <x:c r="I491" t="n">
        <x:v>15.89</x:v>
      </x:c>
      <x:c r="J491"/>
      <x:c r="K491" t="str">
        <x:v>待归档官方财报</x:v>
      </x:c>
      <x:c r="L491" t="str">
        <x:v>AkShare / Tencent all-A market snapshot</x:v>
      </x:c>
      <x:c r="M491" t="str">
        <x:v>ProxyError: primary market source unavailable; see source_id for full audit.</x:v>
      </x:c>
      <x:c r="N491" t="str">
        <x:v>0</x:v>
      </x:c>
      <x:c r="O491" t="str">
        <x:v>0fd6ad2d-3389-4e70-8974-eb85ee223eeb</x:v>
      </x:c>
      <x:c r="P491" t="str">
        <x:v>2026-09-04</x:v>
      </x:c>
    </x:row>
    <x:row r="492">
      <x:c r="A492" t="str">
        <x:v>重点观察</x:v>
      </x:c>
      <x:c r="B492" t="str">
        <x:v>补全 PB、财报，等待Agent自动验证</x:v>
      </x:c>
      <x:c r="C492" t="str">
        <x:v>300505</x:v>
      </x:c>
      <x:c r="D492" t="str">
        <x:v>川金诺</x:v>
      </x:c>
      <x:c r="E492" t="str">
        <x:v>创业板</x:v>
      </x:c>
      <x:c r="F492" t="str">
        <x:v>待行业映射</x:v>
      </x:c>
      <x:c r="G492" t="str">
        <x:v>当前全市场行情快照缺少 PB；只能作为待补全研究队列，不得按完整估值条件生成交易建议。</x:v>
      </x:c>
      <x:c r="H492" t="n">
        <x:v>20.43</x:v>
      </x:c>
      <x:c r="I492" t="n">
        <x:v>14.03</x:v>
      </x:c>
      <x:c r="J492"/>
      <x:c r="K492" t="str">
        <x:v>待归档官方财报</x:v>
      </x:c>
      <x:c r="L492" t="str">
        <x:v>AkShare / Tencent all-A market snapshot</x:v>
      </x:c>
      <x:c r="M492" t="str">
        <x:v>ProxyError: primary market source unavailable; see source_id for full audit.</x:v>
      </x:c>
      <x:c r="N492" t="str">
        <x:v>0</x:v>
      </x:c>
      <x:c r="O492" t="str">
        <x:v>0fd6ad2d-3389-4e70-8974-eb85ee223eeb</x:v>
      </x:c>
      <x:c r="P492" t="str">
        <x:v>2026-09-04</x:v>
      </x:c>
    </x:row>
    <x:row r="493">
      <x:c r="A493" t="str">
        <x:v>重点观察</x:v>
      </x:c>
      <x:c r="B493" t="str">
        <x:v>补全 PB、财报，等待Agent自动验证</x:v>
      </x:c>
      <x:c r="C493" t="str">
        <x:v>301061</x:v>
      </x:c>
      <x:c r="D493" t="str">
        <x:v>匠心家居</x:v>
      </x:c>
      <x:c r="E493" t="str">
        <x:v>创业板</x:v>
      </x:c>
      <x:c r="F493" t="str">
        <x:v>待行业映射</x:v>
      </x:c>
      <x:c r="G493" t="str">
        <x:v>当前全市场行情快照缺少 PB；只能作为待补全研究队列，不得按完整估值条件生成交易建议。</x:v>
      </x:c>
      <x:c r="H493" t="n">
        <x:v>38</x:v>
      </x:c>
      <x:c r="I493" t="n">
        <x:v>14.74</x:v>
      </x:c>
      <x:c r="J493"/>
      <x:c r="K493" t="str">
        <x:v>待归档官方财报</x:v>
      </x:c>
      <x:c r="L493" t="str">
        <x:v>AkShare / Tencent all-A market snapshot</x:v>
      </x:c>
      <x:c r="M493" t="str">
        <x:v>ProxyError: primary market source unavailable; see source_id for full audit.</x:v>
      </x:c>
      <x:c r="N493" t="str">
        <x:v>0</x:v>
      </x:c>
      <x:c r="O493" t="str">
        <x:v>0fd6ad2d-3389-4e70-8974-eb85ee223eeb</x:v>
      </x:c>
      <x:c r="P493" t="str">
        <x:v>2026-09-04</x:v>
      </x:c>
    </x:row>
    <x:row r="494">
      <x:c r="A494" t="str">
        <x:v>重点观察</x:v>
      </x:c>
      <x:c r="B494" t="str">
        <x:v>补全 PB、财报，等待Agent自动验证</x:v>
      </x:c>
      <x:c r="C494" t="str">
        <x:v>600007</x:v>
      </x:c>
      <x:c r="D494" t="str">
        <x:v>中国国贸</x:v>
      </x:c>
      <x:c r="E494" t="str">
        <x:v>主板</x:v>
      </x:c>
      <x:c r="F494" t="str">
        <x:v>待行业映射</x:v>
      </x:c>
      <x:c r="G494" t="str">
        <x:v>当前全市场行情快照缺少 PB；只能作为待补全研究队列，不得按完整估值条件生成交易建议。</x:v>
      </x:c>
      <x:c r="H494" t="n">
        <x:v>18.95</x:v>
      </x:c>
      <x:c r="I494" t="n">
        <x:v>15.86</x:v>
      </x:c>
      <x:c r="J494"/>
      <x:c r="K494" t="str">
        <x:v>待归档官方财报</x:v>
      </x:c>
      <x:c r="L494" t="str">
        <x:v>AkShare / Tencent all-A market snapshot</x:v>
      </x:c>
      <x:c r="M494" t="str">
        <x:v>ProxyError: primary market source unavailable; see source_id for full audit.</x:v>
      </x:c>
      <x:c r="N494" t="str">
        <x:v>0</x:v>
      </x:c>
      <x:c r="O494" t="str">
        <x:v>0fd6ad2d-3389-4e70-8974-eb85ee223eeb</x:v>
      </x:c>
      <x:c r="P494" t="str">
        <x:v>2026-09-04</x:v>
      </x:c>
    </x:row>
    <x:row r="495">
      <x:c r="A495" t="str">
        <x:v>重点观察</x:v>
      </x:c>
      <x:c r="B495" t="str">
        <x:v>补全 PB、财报，等待Agent自动验证</x:v>
      </x:c>
      <x:c r="C495" t="str">
        <x:v>300724</x:v>
      </x:c>
      <x:c r="D495" t="str">
        <x:v>捷佳伟创</x:v>
      </x:c>
      <x:c r="E495" t="str">
        <x:v>创业板</x:v>
      </x:c>
      <x:c r="F495" t="str">
        <x:v>待行业映射</x:v>
      </x:c>
      <x:c r="G495" t="str">
        <x:v>当前全市场行情快照缺少 PB；只能作为待补全研究队列，不得按完整估值条件生成交易建议。</x:v>
      </x:c>
      <x:c r="H495" t="n">
        <x:v>52.56</x:v>
      </x:c>
      <x:c r="I495" t="n">
        <x:v>15.76</x:v>
      </x:c>
      <x:c r="J495"/>
      <x:c r="K495" t="str">
        <x:v>待归档官方财报</x:v>
      </x:c>
      <x:c r="L495" t="str">
        <x:v>AkShare / Tencent all-A market snapshot</x:v>
      </x:c>
      <x:c r="M495" t="str">
        <x:v>ProxyError: primary market source unavailable; see source_id for full audit.</x:v>
      </x:c>
      <x:c r="N495" t="str">
        <x:v>0</x:v>
      </x:c>
      <x:c r="O495" t="str">
        <x:v>0fd6ad2d-3389-4e70-8974-eb85ee223eeb</x:v>
      </x:c>
      <x:c r="P495" t="str">
        <x:v>2026-09-04</x:v>
      </x:c>
    </x:row>
    <x:row r="496">
      <x:c r="A496" t="str">
        <x:v>重点观察</x:v>
      </x:c>
      <x:c r="B496" t="str">
        <x:v>补全 PB、财报，等待Agent自动验证</x:v>
      </x:c>
      <x:c r="C496" t="str">
        <x:v>002340</x:v>
      </x:c>
      <x:c r="D496" t="str">
        <x:v>格林美</x:v>
      </x:c>
      <x:c r="E496" t="str">
        <x:v>主板</x:v>
      </x:c>
      <x:c r="F496" t="str">
        <x:v>待行业映射</x:v>
      </x:c>
      <x:c r="G496" t="str">
        <x:v>当前全市场行情快照缺少 PB；只能作为待补全研究队列，不得按完整估值条件生成交易建议。</x:v>
      </x:c>
      <x:c r="H496" t="n">
        <x:v>6.46</x:v>
      </x:c>
      <x:c r="I496" t="n">
        <x:v>17.75</x:v>
      </x:c>
      <x:c r="J496"/>
      <x:c r="K496" t="str">
        <x:v>待归档官方财报</x:v>
      </x:c>
      <x:c r="L496" t="str">
        <x:v>AkShare / Tencent all-A market snapshot</x:v>
      </x:c>
      <x:c r="M496" t="str">
        <x:v>ProxyError: primary market source unavailable; see source_id for full audit.</x:v>
      </x:c>
      <x:c r="N496" t="str">
        <x:v>0</x:v>
      </x:c>
      <x:c r="O496" t="str">
        <x:v>0fd6ad2d-3389-4e70-8974-eb85ee223eeb</x:v>
      </x:c>
      <x:c r="P496" t="str">
        <x:v>2026-09-04</x:v>
      </x:c>
    </x:row>
    <x:row r="497">
      <x:c r="A497" t="str">
        <x:v>重点观察</x:v>
      </x:c>
      <x:c r="B497" t="str">
        <x:v>补全 PB、财报，等待Agent自动验证</x:v>
      </x:c>
      <x:c r="C497" t="str">
        <x:v>000915</x:v>
      </x:c>
      <x:c r="D497" t="str">
        <x:v>华特达因</x:v>
      </x:c>
      <x:c r="E497" t="str">
        <x:v>主板</x:v>
      </x:c>
      <x:c r="F497" t="str">
        <x:v>待行业映射</x:v>
      </x:c>
      <x:c r="G497" t="str">
        <x:v>当前全市场行情快照缺少 PB；只能作为待补全研究队列，不得按完整估值条件生成交易建议。</x:v>
      </x:c>
      <x:c r="H497" t="n">
        <x:v>25.39</x:v>
      </x:c>
      <x:c r="I497" t="n">
        <x:v>14.13</x:v>
      </x:c>
      <x:c r="J497"/>
      <x:c r="K497" t="str">
        <x:v>待归档官方财报</x:v>
      </x:c>
      <x:c r="L497" t="str">
        <x:v>AkShare / Tencent all-A market snapshot</x:v>
      </x:c>
      <x:c r="M497" t="str">
        <x:v>ProxyError: primary market source unavailable; see source_id for full audit.</x:v>
      </x:c>
      <x:c r="N497" t="str">
        <x:v>0</x:v>
      </x:c>
      <x:c r="O497" t="str">
        <x:v>0fd6ad2d-3389-4e70-8974-eb85ee223eeb</x:v>
      </x:c>
      <x:c r="P497" t="str">
        <x:v>2026-09-04</x:v>
      </x:c>
    </x:row>
    <x:row r="498">
      <x:c r="A498" t="str">
        <x:v>重点观察</x:v>
      </x:c>
      <x:c r="B498" t="str">
        <x:v>补全 PB、财报，等待Agent自动验证</x:v>
      </x:c>
      <x:c r="C498" t="str">
        <x:v>600662</x:v>
      </x:c>
      <x:c r="D498" t="str">
        <x:v>外服控股</x:v>
      </x:c>
      <x:c r="E498" t="str">
        <x:v>主板</x:v>
      </x:c>
      <x:c r="F498" t="str">
        <x:v>待行业映射</x:v>
      </x:c>
      <x:c r="G498" t="str">
        <x:v>当前全市场行情快照缺少 PB；只能作为待补全研究队列，不得按完整估值条件生成交易建议。</x:v>
      </x:c>
      <x:c r="H498" t="n">
        <x:v>4.28</x:v>
      </x:c>
      <x:c r="I498" t="n">
        <x:v>14.66</x:v>
      </x:c>
      <x:c r="J498"/>
      <x:c r="K498" t="str">
        <x:v>待归档官方财报</x:v>
      </x:c>
      <x:c r="L498" t="str">
        <x:v>AkShare / Tencent all-A market snapshot</x:v>
      </x:c>
      <x:c r="M498" t="str">
        <x:v>ProxyError: primary market source unavailable; see source_id for full audit.</x:v>
      </x:c>
      <x:c r="N498" t="str">
        <x:v>0</x:v>
      </x:c>
      <x:c r="O498" t="str">
        <x:v>0fd6ad2d-3389-4e70-8974-eb85ee223eeb</x:v>
      </x:c>
      <x:c r="P498" t="str">
        <x:v>2026-09-04</x:v>
      </x:c>
    </x:row>
    <x:row r="499">
      <x:c r="A499" t="str">
        <x:v>重点观察</x:v>
      </x:c>
      <x:c r="B499" t="str">
        <x:v>补全 PB、财报，等待Agent自动验证</x:v>
      </x:c>
      <x:c r="C499" t="str">
        <x:v>000429</x:v>
      </x:c>
      <x:c r="D499" t="str">
        <x:v>粤高速Ａ</x:v>
      </x:c>
      <x:c r="E499" t="str">
        <x:v>主板</x:v>
      </x:c>
      <x:c r="F499" t="str">
        <x:v>待行业映射</x:v>
      </x:c>
      <x:c r="G499" t="str">
        <x:v>当前全市场行情快照缺少 PB；只能作为待补全研究队列，不得按完整估值条件生成交易建议。</x:v>
      </x:c>
      <x:c r="H499" t="n">
        <x:v>13.04</x:v>
      </x:c>
      <x:c r="I499" t="n">
        <x:v>17.1</x:v>
      </x:c>
      <x:c r="J499"/>
      <x:c r="K499" t="str">
        <x:v>待归档官方财报</x:v>
      </x:c>
      <x:c r="L499" t="str">
        <x:v>AkShare / Tencent all-A market snapshot</x:v>
      </x:c>
      <x:c r="M499" t="str">
        <x:v>ProxyError: primary market source unavailable; see source_id for full audit.</x:v>
      </x:c>
      <x:c r="N499" t="str">
        <x:v>0</x:v>
      </x:c>
      <x:c r="O499" t="str">
        <x:v>0fd6ad2d-3389-4e70-8974-eb85ee223eeb</x:v>
      </x:c>
      <x:c r="P499" t="str">
        <x:v>2026-09-04</x:v>
      </x:c>
    </x:row>
    <x:row r="500">
      <x:c r="A500" t="str">
        <x:v>重点观察</x:v>
      </x:c>
      <x:c r="B500" t="str">
        <x:v>补全 PB、财报，等待Agent自动验证</x:v>
      </x:c>
      <x:c r="C500" t="str">
        <x:v>001914</x:v>
      </x:c>
      <x:c r="D500" t="str">
        <x:v>招商积余</x:v>
      </x:c>
      <x:c r="E500" t="str">
        <x:v>主板</x:v>
      </x:c>
      <x:c r="F500" t="str">
        <x:v>待行业映射</x:v>
      </x:c>
      <x:c r="G500" t="str">
        <x:v>当前全市场行情快照缺少 PB；只能作为待补全研究队列，不得按完整估值条件生成交易建议。</x:v>
      </x:c>
      <x:c r="H500" t="n">
        <x:v>9.18</x:v>
      </x:c>
      <x:c r="I500" t="n">
        <x:v>14.76</x:v>
      </x:c>
      <x:c r="J500"/>
      <x:c r="K500" t="str">
        <x:v>待归档官方财报</x:v>
      </x:c>
      <x:c r="L500" t="str">
        <x:v>AkShare / Tencent all-A market snapshot</x:v>
      </x:c>
      <x:c r="M500" t="str">
        <x:v>ProxyError: primary market source unavailable; see source_id for full audit.</x:v>
      </x:c>
      <x:c r="N500" t="str">
        <x:v>0</x:v>
      </x:c>
      <x:c r="O500" t="str">
        <x:v>0fd6ad2d-3389-4e70-8974-eb85ee223eeb</x:v>
      </x:c>
      <x:c r="P500" t="str">
        <x:v>2026-09-04</x:v>
      </x:c>
    </x:row>
    <x:row r="501">
      <x:c r="A501" t="str">
        <x:v>重点观察</x:v>
      </x:c>
      <x:c r="B501" t="str">
        <x:v>补全 PB、财报，等待Agent自动验证</x:v>
      </x:c>
      <x:c r="C501" t="str">
        <x:v>002345</x:v>
      </x:c>
      <x:c r="D501" t="str">
        <x:v>潮宏基</x:v>
      </x:c>
      <x:c r="E501" t="str">
        <x:v>主板</x:v>
      </x:c>
      <x:c r="F501" t="str">
        <x:v>待行业映射</x:v>
      </x:c>
      <x:c r="G501" t="str">
        <x:v>当前全市场行情快照缺少 PB；只能作为待补全研究队列，不得按完整估值条件生成交易建议。</x:v>
      </x:c>
      <x:c r="H501" t="n">
        <x:v>9.67</x:v>
      </x:c>
      <x:c r="I501" t="n">
        <x:v>14.62</x:v>
      </x:c>
      <x:c r="J501"/>
      <x:c r="K501" t="str">
        <x:v>待归档官方财报</x:v>
      </x:c>
      <x:c r="L501" t="str">
        <x:v>AkShare / Tencent all-A market snapshot</x:v>
      </x:c>
      <x:c r="M501" t="str">
        <x:v>ProxyError: primary market source unavailable; see source_id for full audit.</x:v>
      </x:c>
      <x:c r="N501" t="str">
        <x:v>0</x:v>
      </x:c>
      <x:c r="O501" t="str">
        <x:v>0fd6ad2d-3389-4e70-8974-eb85ee223eeb</x:v>
      </x:c>
      <x:c r="P501" t="str">
        <x:v>2026-09-04</x:v>
      </x:c>
    </x:row>
    <x:row r="502">
      <x:c r="A502" t="str">
        <x:v>重点观察</x:v>
      </x:c>
      <x:c r="B502" t="str">
        <x:v>补全 PB、财报，等待Agent自动验证</x:v>
      </x:c>
      <x:c r="C502" t="str">
        <x:v>603599</x:v>
      </x:c>
      <x:c r="D502" t="str">
        <x:v>广信股份</x:v>
      </x:c>
      <x:c r="E502" t="str">
        <x:v>主板</x:v>
      </x:c>
      <x:c r="F502" t="str">
        <x:v>待行业映射</x:v>
      </x:c>
      <x:c r="G502" t="str">
        <x:v>当前全市场行情快照缺少 PB；只能作为待补全研究队列，不得按完整估值条件生成交易建议。</x:v>
      </x:c>
      <x:c r="H502" t="n">
        <x:v>10.77</x:v>
      </x:c>
      <x:c r="I502" t="n">
        <x:v>14.78</x:v>
      </x:c>
      <x:c r="J502"/>
      <x:c r="K502" t="str">
        <x:v>待归档官方财报</x:v>
      </x:c>
      <x:c r="L502" t="str">
        <x:v>AkShare / Tencent all-A market snapshot</x:v>
      </x:c>
      <x:c r="M502" t="str">
        <x:v>ProxyError: primary market source unavailable; see source_id for full audit.</x:v>
      </x:c>
      <x:c r="N502" t="str">
        <x:v>0</x:v>
      </x:c>
      <x:c r="O502" t="str">
        <x:v>0fd6ad2d-3389-4e70-8974-eb85ee223eeb</x:v>
      </x:c>
      <x:c r="P502" t="str">
        <x:v>2026-09-04</x:v>
      </x:c>
    </x:row>
    <x:row r="503">
      <x:c r="A503" t="str">
        <x:v>重点观察</x:v>
      </x:c>
      <x:c r="B503" t="str">
        <x:v>补全 PB、财报，等待Agent自动验证</x:v>
      </x:c>
      <x:c r="C503" t="str">
        <x:v>603367</x:v>
      </x:c>
      <x:c r="D503" t="str">
        <x:v>辰欣药业</x:v>
      </x:c>
      <x:c r="E503" t="str">
        <x:v>主板</x:v>
      </x:c>
      <x:c r="F503" t="str">
        <x:v>待行业映射</x:v>
      </x:c>
      <x:c r="G503" t="str">
        <x:v>当前全市场行情快照缺少 PB；只能作为待补全研究队列，不得按完整估值条件生成交易建议。</x:v>
      </x:c>
      <x:c r="H503" t="n">
        <x:v>14.48</x:v>
      </x:c>
      <x:c r="I503" t="n">
        <x:v>14.36</x:v>
      </x:c>
      <x:c r="J503"/>
      <x:c r="K503" t="str">
        <x:v>待归档官方财报</x:v>
      </x:c>
      <x:c r="L503" t="str">
        <x:v>AkShare / Tencent all-A market snapshot</x:v>
      </x:c>
      <x:c r="M503" t="str">
        <x:v>ProxyError: primary market source unavailable; see source_id for full audit.</x:v>
      </x:c>
      <x:c r="N503" t="str">
        <x:v>0</x:v>
      </x:c>
      <x:c r="O503" t="str">
        <x:v>0fd6ad2d-3389-4e70-8974-eb85ee223eeb</x:v>
      </x:c>
      <x:c r="P503" t="str">
        <x:v>2026-09-04</x:v>
      </x:c>
    </x:row>
    <x:row r="504">
      <x:c r="A504" t="str">
        <x:v>重点观察</x:v>
      </x:c>
      <x:c r="B504" t="str">
        <x:v>补全 PB、财报，等待Agent自动验证</x:v>
      </x:c>
      <x:c r="C504" t="str">
        <x:v>600216</x:v>
      </x:c>
      <x:c r="D504" t="str">
        <x:v>浙江医药</x:v>
      </x:c>
      <x:c r="E504" t="str">
        <x:v>主板</x:v>
      </x:c>
      <x:c r="F504" t="str">
        <x:v>待行业映射</x:v>
      </x:c>
      <x:c r="G504" t="str">
        <x:v>当前全市场行情快照缺少 PB；只能作为待补全研究队列，不得按完整估值条件生成交易建议。</x:v>
      </x:c>
      <x:c r="H504" t="n">
        <x:v>12.68</x:v>
      </x:c>
      <x:c r="I504" t="n">
        <x:v>15.13</x:v>
      </x:c>
      <x:c r="J504"/>
      <x:c r="K504" t="str">
        <x:v>待归档官方财报</x:v>
      </x:c>
      <x:c r="L504" t="str">
        <x:v>AkShare / Tencent all-A market snapshot</x:v>
      </x:c>
      <x:c r="M504" t="str">
        <x:v>ProxyError: primary market source unavailable; see source_id for full audit.</x:v>
      </x:c>
      <x:c r="N504" t="str">
        <x:v>0</x:v>
      </x:c>
      <x:c r="O504" t="str">
        <x:v>0fd6ad2d-3389-4e70-8974-eb85ee223eeb</x:v>
      </x:c>
      <x:c r="P504" t="str">
        <x:v>2026-09-04</x:v>
      </x:c>
    </x:row>
    <x:row r="505">
      <x:c r="A505" t="str">
        <x:v>重点观察</x:v>
      </x:c>
      <x:c r="B505" t="str">
        <x:v>补全 PB、财报，等待Agent自动验证</x:v>
      </x:c>
      <x:c r="C505" t="str">
        <x:v>603588</x:v>
      </x:c>
      <x:c r="D505" t="str">
        <x:v>高能环境</x:v>
      </x:c>
      <x:c r="E505" t="str">
        <x:v>主板</x:v>
      </x:c>
      <x:c r="F505" t="str">
        <x:v>待行业映射</x:v>
      </x:c>
      <x:c r="G505" t="str">
        <x:v>当前全市场行情快照缺少 PB；只能作为待补全研究队列，不得按完整估值条件生成交易建议。</x:v>
      </x:c>
      <x:c r="H505" t="n">
        <x:v>14.71</x:v>
      </x:c>
      <x:c r="I505" t="n">
        <x:v>16.51</x:v>
      </x:c>
      <x:c r="J505"/>
      <x:c r="K505" t="str">
        <x:v>待归档官方财报</x:v>
      </x:c>
      <x:c r="L505" t="str">
        <x:v>AkShare / Tencent all-A market snapshot</x:v>
      </x:c>
      <x:c r="M505" t="str">
        <x:v>ProxyError: primary market source unavailable; see source_id for full audit.</x:v>
      </x:c>
      <x:c r="N505" t="str">
        <x:v>0</x:v>
      </x:c>
      <x:c r="O505" t="str">
        <x:v>0fd6ad2d-3389-4e70-8974-eb85ee223eeb</x:v>
      </x:c>
      <x:c r="P505" t="str">
        <x:v>2026-09-04</x:v>
      </x:c>
    </x:row>
    <x:row r="506">
      <x:c r="A506" t="str">
        <x:v>重点观察</x:v>
      </x:c>
      <x:c r="B506" t="str">
        <x:v>补全 PB、财报，等待Agent自动验证</x:v>
      </x:c>
      <x:c r="C506" t="str">
        <x:v>603345</x:v>
      </x:c>
      <x:c r="D506" t="str">
        <x:v>安井食品</x:v>
      </x:c>
      <x:c r="E506" t="str">
        <x:v>主板</x:v>
      </x:c>
      <x:c r="F506" t="str">
        <x:v>待行业映射</x:v>
      </x:c>
      <x:c r="G506" t="str">
        <x:v>当前全市场行情快照缺少 PB；只能作为待补全研究队列，不得按完整估值条件生成交易建议。</x:v>
      </x:c>
      <x:c r="H506" t="n">
        <x:v>76.63</x:v>
      </x:c>
      <x:c r="I506" t="n">
        <x:v>16.97</x:v>
      </x:c>
      <x:c r="J506"/>
      <x:c r="K506" t="str">
        <x:v>待归档官方财报</x:v>
      </x:c>
      <x:c r="L506" t="str">
        <x:v>AkShare / Tencent all-A market snapshot</x:v>
      </x:c>
      <x:c r="M506" t="str">
        <x:v>ProxyError: primary market source unavailable; see source_id for full audit.</x:v>
      </x:c>
      <x:c r="N506" t="str">
        <x:v>0</x:v>
      </x:c>
      <x:c r="O506" t="str">
        <x:v>0fd6ad2d-3389-4e70-8974-eb85ee223eeb</x:v>
      </x:c>
      <x:c r="P506" t="str">
        <x:v>2026-09-04</x:v>
      </x:c>
    </x:row>
    <x:row r="507">
      <x:c r="A507" t="str">
        <x:v>重点观察</x:v>
      </x:c>
      <x:c r="B507" t="str">
        <x:v>补全 PB、财报，等待Agent自动验证</x:v>
      </x:c>
      <x:c r="C507" t="str">
        <x:v>002202</x:v>
      </x:c>
      <x:c r="D507" t="str">
        <x:v>金风科技</x:v>
      </x:c>
      <x:c r="E507" t="str">
        <x:v>主板</x:v>
      </x:c>
      <x:c r="F507" t="str">
        <x:v>待行业映射</x:v>
      </x:c>
      <x:c r="G507" t="str">
        <x:v>当前全市场行情快照缺少 PB；只能作为待补全研究队列，不得按完整估值条件生成交易建议。</x:v>
      </x:c>
      <x:c r="H507" t="n">
        <x:v>17.49</x:v>
      </x:c>
      <x:c r="I507" t="n">
        <x:v>23.52</x:v>
      </x:c>
      <x:c r="J507"/>
      <x:c r="K507" t="str">
        <x:v>待归档官方财报</x:v>
      </x:c>
      <x:c r="L507" t="str">
        <x:v>AkShare / Tencent all-A market snapshot</x:v>
      </x:c>
      <x:c r="M507" t="str">
        <x:v>ProxyError: primary market source unavailable; see source_id for full audit.</x:v>
      </x:c>
      <x:c r="N507" t="str">
        <x:v>0</x:v>
      </x:c>
      <x:c r="O507" t="str">
        <x:v>0fd6ad2d-3389-4e70-8974-eb85ee223eeb</x:v>
      </x:c>
      <x:c r="P507" t="str">
        <x:v>2026-09-04</x:v>
      </x:c>
    </x:row>
    <x:row r="508">
      <x:c r="A508" t="str">
        <x:v>重点观察</x:v>
      </x:c>
      <x:c r="B508" t="str">
        <x:v>补全 PB、财报，等待Agent自动验证</x:v>
      </x:c>
      <x:c r="C508" t="str">
        <x:v>300181</x:v>
      </x:c>
      <x:c r="D508" t="str">
        <x:v>佐力药业</x:v>
      </x:c>
      <x:c r="E508" t="str">
        <x:v>创业板</x:v>
      </x:c>
      <x:c r="F508" t="str">
        <x:v>待行业映射</x:v>
      </x:c>
      <x:c r="G508" t="str">
        <x:v>当前全市场行情快照缺少 PB；只能作为待补全研究队列，不得按完整估值条件生成交易建议。</x:v>
      </x:c>
      <x:c r="H508" t="n">
        <x:v>13.45</x:v>
      </x:c>
      <x:c r="I508" t="n">
        <x:v>14.89</x:v>
      </x:c>
      <x:c r="J508"/>
      <x:c r="K508" t="str">
        <x:v>待归档官方财报</x:v>
      </x:c>
      <x:c r="L508" t="str">
        <x:v>AkShare / Tencent all-A market snapshot</x:v>
      </x:c>
      <x:c r="M508" t="str">
        <x:v>ProxyError: primary market source unavailable; see source_id for full audit.</x:v>
      </x:c>
      <x:c r="N508" t="str">
        <x:v>0</x:v>
      </x:c>
      <x:c r="O508" t="str">
        <x:v>0fd6ad2d-3389-4e70-8974-eb85ee223eeb</x:v>
      </x:c>
      <x:c r="P508" t="str">
        <x:v>2026-09-04</x:v>
      </x:c>
    </x:row>
    <x:row r="509">
      <x:c r="A509" t="str">
        <x:v>重点观察</x:v>
      </x:c>
      <x:c r="B509" t="str">
        <x:v>补全 PB、财报，等待Agent自动验证</x:v>
      </x:c>
      <x:c r="C509" t="str">
        <x:v>002539</x:v>
      </x:c>
      <x:c r="D509" t="str">
        <x:v>云图控股</x:v>
      </x:c>
      <x:c r="E509" t="str">
        <x:v>主板</x:v>
      </x:c>
      <x:c r="F509" t="str">
        <x:v>待行业映射</x:v>
      </x:c>
      <x:c r="G509" t="str">
        <x:v>当前全市场行情快照缺少 PB；只能作为待补全研究队列，不得按完整估值条件生成交易建议。</x:v>
      </x:c>
      <x:c r="H509" t="n">
        <x:v>13.4</x:v>
      </x:c>
      <x:c r="I509" t="n">
        <x:v>15.8</x:v>
      </x:c>
      <x:c r="J509"/>
      <x:c r="K509" t="str">
        <x:v>待归档官方财报</x:v>
      </x:c>
      <x:c r="L509" t="str">
        <x:v>AkShare / Tencent all-A market snapshot</x:v>
      </x:c>
      <x:c r="M509" t="str">
        <x:v>ProxyError: primary market source unavailable; see source_id for full audit.</x:v>
      </x:c>
      <x:c r="N509" t="str">
        <x:v>0</x:v>
      </x:c>
      <x:c r="O509" t="str">
        <x:v>0fd6ad2d-3389-4e70-8974-eb85ee223eeb</x:v>
      </x:c>
      <x:c r="P509" t="str">
        <x:v>2026-09-04</x:v>
      </x:c>
    </x:row>
    <x:row r="510">
      <x:c r="A510" t="str">
        <x:v>重点观察</x:v>
      </x:c>
      <x:c r="B510" t="str">
        <x:v>补全 PB、财报，等待Agent自动验证</x:v>
      </x:c>
      <x:c r="C510" t="str">
        <x:v>300446</x:v>
      </x:c>
      <x:c r="D510" t="str">
        <x:v>航天智造</x:v>
      </x:c>
      <x:c r="E510" t="str">
        <x:v>创业板</x:v>
      </x:c>
      <x:c r="F510" t="str">
        <x:v>待行业映射</x:v>
      </x:c>
      <x:c r="G510" t="str">
        <x:v>当前全市场行情快照缺少 PB；只能作为待补全研究队列，不得按完整估值条件生成交易建议。</x:v>
      </x:c>
      <x:c r="H510" t="n">
        <x:v>13.1</x:v>
      </x:c>
      <x:c r="I510" t="n">
        <x:v>15.12</x:v>
      </x:c>
      <x:c r="J510"/>
      <x:c r="K510" t="str">
        <x:v>待归档官方财报</x:v>
      </x:c>
      <x:c r="L510" t="str">
        <x:v>AkShare / Tencent all-A market snapshot</x:v>
      </x:c>
      <x:c r="M510" t="str">
        <x:v>ProxyError: primary market source unavailable; see source_id for full audit.</x:v>
      </x:c>
      <x:c r="N510" t="str">
        <x:v>0</x:v>
      </x:c>
      <x:c r="O510" t="str">
        <x:v>0fd6ad2d-3389-4e70-8974-eb85ee223eeb</x:v>
      </x:c>
      <x:c r="P510" t="str">
        <x:v>2026-09-04</x:v>
      </x:c>
    </x:row>
    <x:row r="511">
      <x:c r="A511" t="str">
        <x:v>重点观察</x:v>
      </x:c>
      <x:c r="B511" t="str">
        <x:v>补全 PB、财报，等待Agent自动验证</x:v>
      </x:c>
      <x:c r="C511" t="str">
        <x:v>600618</x:v>
      </x:c>
      <x:c r="D511" t="str">
        <x:v>氯碱化工</x:v>
      </x:c>
      <x:c r="E511" t="str">
        <x:v>主板</x:v>
      </x:c>
      <x:c r="F511" t="str">
        <x:v>待行业映射</x:v>
      </x:c>
      <x:c r="G511" t="str">
        <x:v>当前全市场行情快照缺少 PB；只能作为待补全研究队列，不得按完整估值条件生成交易建议。</x:v>
      </x:c>
      <x:c r="H511" t="n">
        <x:v>10.46</x:v>
      </x:c>
      <x:c r="I511" t="n">
        <x:v>15.26</x:v>
      </x:c>
      <x:c r="J511"/>
      <x:c r="K511" t="str">
        <x:v>待归档官方财报</x:v>
      </x:c>
      <x:c r="L511" t="str">
        <x:v>AkShare / Tencent all-A market snapshot</x:v>
      </x:c>
      <x:c r="M511" t="str">
        <x:v>ProxyError: primary market source unavailable; see source_id for full audit.</x:v>
      </x:c>
      <x:c r="N511" t="str">
        <x:v>0</x:v>
      </x:c>
      <x:c r="O511" t="str">
        <x:v>0fd6ad2d-3389-4e70-8974-eb85ee223eeb</x:v>
      </x:c>
      <x:c r="P511" t="str">
        <x:v>2026-09-04</x:v>
      </x:c>
    </x:row>
    <x:row r="512">
      <x:c r="A512" t="str">
        <x:v>重点观察</x:v>
      </x:c>
      <x:c r="B512" t="str">
        <x:v>补全 PB、财报，等待Agent自动验证</x:v>
      </x:c>
      <x:c r="C512" t="str">
        <x:v>600546</x:v>
      </x:c>
      <x:c r="D512" t="str">
        <x:v>山煤国际</x:v>
      </x:c>
      <x:c r="E512" t="str">
        <x:v>主板</x:v>
      </x:c>
      <x:c r="F512" t="str">
        <x:v>待行业映射</x:v>
      </x:c>
      <x:c r="G512" t="str">
        <x:v>当前全市场行情快照缺少 PB；只能作为待补全研究队列，不得按完整估值条件生成交易建议。</x:v>
      </x:c>
      <x:c r="H512" t="n">
        <x:v>13.17</x:v>
      </x:c>
      <x:c r="I512" t="n">
        <x:v>17.17</x:v>
      </x:c>
      <x:c r="J512"/>
      <x:c r="K512" t="str">
        <x:v>待归档官方财报</x:v>
      </x:c>
      <x:c r="L512" t="str">
        <x:v>AkShare / Tencent all-A market snapshot</x:v>
      </x:c>
      <x:c r="M512" t="str">
        <x:v>ProxyError: primary market source unavailable; see source_id for full audit.</x:v>
      </x:c>
      <x:c r="N512" t="str">
        <x:v>0</x:v>
      </x:c>
      <x:c r="O512" t="str">
        <x:v>0fd6ad2d-3389-4e70-8974-eb85ee223eeb</x:v>
      </x:c>
      <x:c r="P512" t="str">
        <x:v>2026-09-04</x:v>
      </x:c>
    </x:row>
    <x:row r="513">
      <x:c r="A513" t="str">
        <x:v>重点观察</x:v>
      </x:c>
      <x:c r="B513" t="str">
        <x:v>补全 PB、财报，等待Agent自动验证</x:v>
      </x:c>
      <x:c r="C513" t="str">
        <x:v>002020</x:v>
      </x:c>
      <x:c r="D513" t="str">
        <x:v>京新药业</x:v>
      </x:c>
      <x:c r="E513" t="str">
        <x:v>主板</x:v>
      </x:c>
      <x:c r="F513" t="str">
        <x:v>待行业映射</x:v>
      </x:c>
      <x:c r="G513" t="str">
        <x:v>当前全市场行情快照缺少 PB；只能作为待补全研究队列，不得按完整估值条件生成交易建议。</x:v>
      </x:c>
      <x:c r="H513" t="n">
        <x:v>12.68</x:v>
      </x:c>
      <x:c r="I513" t="n">
        <x:v>15.13</x:v>
      </x:c>
      <x:c r="J513"/>
      <x:c r="K513" t="str">
        <x:v>待归档官方财报</x:v>
      </x:c>
      <x:c r="L513" t="str">
        <x:v>AkShare / Tencent all-A market snapshot</x:v>
      </x:c>
      <x:c r="M513" t="str">
        <x:v>ProxyError: primary market source unavailable; see source_id for full audit.</x:v>
      </x:c>
      <x:c r="N513" t="str">
        <x:v>0</x:v>
      </x:c>
      <x:c r="O513" t="str">
        <x:v>0fd6ad2d-3389-4e70-8974-eb85ee223eeb</x:v>
      </x:c>
      <x:c r="P513" t="str">
        <x:v>2026-09-04</x:v>
      </x:c>
    </x:row>
    <x:row r="514">
      <x:c r="A514" t="str">
        <x:v>重点观察</x:v>
      </x:c>
      <x:c r="B514" t="str">
        <x:v>补全 PB、财报，等待Agent自动验证</x:v>
      </x:c>
      <x:c r="C514" t="str">
        <x:v>002847</x:v>
      </x:c>
      <x:c r="D514" t="str">
        <x:v>盐津铺子</x:v>
      </x:c>
      <x:c r="E514" t="str">
        <x:v>主板</x:v>
      </x:c>
      <x:c r="F514" t="str">
        <x:v>待行业映射</x:v>
      </x:c>
      <x:c r="G514" t="str">
        <x:v>当前全市场行情快照缺少 PB；只能作为待补全研究队列，不得按完整估值条件生成交易建议。</x:v>
      </x:c>
      <x:c r="H514" t="n">
        <x:v>45.45</x:v>
      </x:c>
      <x:c r="I514" t="n">
        <x:v>15.33</x:v>
      </x:c>
      <x:c r="J514"/>
      <x:c r="K514" t="str">
        <x:v>待归档官方财报</x:v>
      </x:c>
      <x:c r="L514" t="str">
        <x:v>AkShare / Tencent all-A market snapshot</x:v>
      </x:c>
      <x:c r="M514" t="str">
        <x:v>ProxyError: primary market source unavailable; see source_id for full audit.</x:v>
      </x:c>
      <x:c r="N514" t="str">
        <x:v>0</x:v>
      </x:c>
      <x:c r="O514" t="str">
        <x:v>0fd6ad2d-3389-4e70-8974-eb85ee223eeb</x:v>
      </x:c>
      <x:c r="P514" t="str">
        <x:v>2026-09-04</x:v>
      </x:c>
    </x:row>
    <x:row r="515">
      <x:c r="A515" t="str">
        <x:v>重点观察</x:v>
      </x:c>
      <x:c r="B515" t="str">
        <x:v>证券公司专用模型待核验</x:v>
      </x:c>
      <x:c r="C515" t="str">
        <x:v>601198</x:v>
      </x:c>
      <x:c r="D515" t="str">
        <x:v>东兴证券</x:v>
      </x:c>
      <x:c r="E515" t="str">
        <x:v>主板</x:v>
      </x:c>
      <x:c r="F515" t="str">
        <x:v>待行业映射</x:v>
      </x:c>
      <x:c r="G515" t="str">
        <x:v>名称/板块初步识别为证券公司；须以同一报告期官方披露复核专用指标和行业分类，禁止套用通用企业现金流、负债率或 EV/EBITDA 规则。 当前公共行情快照缺少 PB，须在专用模型复核中补齐。</x:v>
      </x:c>
      <x:c r="H515" t="n">
        <x:v>14.17</x:v>
      </x:c>
      <x:c r="I515" t="n">
        <x:v>19.85</x:v>
      </x:c>
      <x:c r="J515"/>
      <x:c r="K515" t="str">
        <x:v>待归档官方财报</x:v>
      </x:c>
      <x:c r="L515" t="str">
        <x:v>AkShare / Tencent all-A market snapshot</x:v>
      </x:c>
      <x:c r="M515" t="str">
        <x:v>ProxyError: primary market source unavailable; see source_id for full audit.</x:v>
      </x:c>
      <x:c r="N515" t="str">
        <x:v>0</x:v>
      </x:c>
      <x:c r="O515" t="str">
        <x:v>0fd6ad2d-3389-4e70-8974-eb85ee223eeb</x:v>
      </x:c>
      <x:c r="P515" t="str">
        <x:v>2026-09-04</x:v>
      </x:c>
    </x:row>
    <x:row r="516">
      <x:c r="A516" t="str">
        <x:v>重点观察</x:v>
      </x:c>
      <x:c r="B516" t="str">
        <x:v>补全 PB、财报，等待Agent自动验证</x:v>
      </x:c>
      <x:c r="C516" t="str">
        <x:v>603995</x:v>
      </x:c>
      <x:c r="D516" t="str">
        <x:v>甬金股份</x:v>
      </x:c>
      <x:c r="E516" t="str">
        <x:v>主板</x:v>
      </x:c>
      <x:c r="F516" t="str">
        <x:v>待行业映射</x:v>
      </x:c>
      <x:c r="G516" t="str">
        <x:v>当前全市场行情快照缺少 PB；只能作为待补全研究队列，不得按完整估值条件生成交易建议。</x:v>
      </x:c>
      <x:c r="H516" t="n">
        <x:v>24.73</x:v>
      </x:c>
      <x:c r="I516" t="n">
        <x:v>14.9</x:v>
      </x:c>
      <x:c r="J516"/>
      <x:c r="K516" t="str">
        <x:v>待归档官方财报</x:v>
      </x:c>
      <x:c r="L516" t="str">
        <x:v>AkShare / Tencent all-A market snapshot</x:v>
      </x:c>
      <x:c r="M516" t="str">
        <x:v>ProxyError: primary market source unavailable; see source_id for full audit.</x:v>
      </x:c>
      <x:c r="N516" t="str">
        <x:v>0</x:v>
      </x:c>
      <x:c r="O516" t="str">
        <x:v>0fd6ad2d-3389-4e70-8974-eb85ee223eeb</x:v>
      </x:c>
      <x:c r="P516" t="str">
        <x:v>2026-09-04</x:v>
      </x:c>
    </x:row>
    <x:row r="517">
      <x:c r="A517" t="str">
        <x:v>重点观察</x:v>
      </x:c>
      <x:c r="B517" t="str">
        <x:v>补全 PB、财报，等待Agent自动验证</x:v>
      </x:c>
      <x:c r="C517" t="str">
        <x:v>002056</x:v>
      </x:c>
      <x:c r="D517" t="str">
        <x:v>横店东磁</x:v>
      </x:c>
      <x:c r="E517" t="str">
        <x:v>主板</x:v>
      </x:c>
      <x:c r="F517" t="str">
        <x:v>待行业映射</x:v>
      </x:c>
      <x:c r="G517" t="str">
        <x:v>当前全市场行情快照缺少 PB；只能作为待补全研究队列，不得按完整估值条件生成交易建议。</x:v>
      </x:c>
      <x:c r="H517" t="n">
        <x:v>19.72</x:v>
      </x:c>
      <x:c r="I517" t="n">
        <x:v>18.03</x:v>
      </x:c>
      <x:c r="J517"/>
      <x:c r="K517" t="str">
        <x:v>待归档官方财报</x:v>
      </x:c>
      <x:c r="L517" t="str">
        <x:v>AkShare / Tencent all-A market snapshot</x:v>
      </x:c>
      <x:c r="M517" t="str">
        <x:v>ProxyError: primary market source unavailable; see source_id for full audit.</x:v>
      </x:c>
      <x:c r="N517" t="str">
        <x:v>0</x:v>
      </x:c>
      <x:c r="O517" t="str">
        <x:v>0fd6ad2d-3389-4e70-8974-eb85ee223eeb</x:v>
      </x:c>
      <x:c r="P517" t="str">
        <x:v>2026-09-04</x:v>
      </x:c>
    </x:row>
    <x:row r="518">
      <x:c r="A518" t="str">
        <x:v>重点观察</x:v>
      </x:c>
      <x:c r="B518" t="str">
        <x:v>补全 PB、财报，等待Agent自动验证</x:v>
      </x:c>
      <x:c r="C518" t="str">
        <x:v>300919</x:v>
      </x:c>
      <x:c r="D518" t="str">
        <x:v>中伟新材</x:v>
      </x:c>
      <x:c r="E518" t="str">
        <x:v>创业板</x:v>
      </x:c>
      <x:c r="F518" t="str">
        <x:v>待行业映射</x:v>
      </x:c>
      <x:c r="G518" t="str">
        <x:v>当前全市场行情快照缺少 PB；只能作为待补全研究队列，不得按完整估值条件生成交易建议。</x:v>
      </x:c>
      <x:c r="H518" t="n">
        <x:v>39.4</x:v>
      </x:c>
      <x:c r="I518" t="n">
        <x:v>19.25</x:v>
      </x:c>
      <x:c r="J518"/>
      <x:c r="K518" t="str">
        <x:v>待归档官方财报</x:v>
      </x:c>
      <x:c r="L518" t="str">
        <x:v>AkShare / Tencent all-A market snapshot</x:v>
      </x:c>
      <x:c r="M518" t="str">
        <x:v>ProxyError: primary market source unavailable; see source_id for full audit.</x:v>
      </x:c>
      <x:c r="N518" t="str">
        <x:v>0</x:v>
      </x:c>
      <x:c r="O518" t="str">
        <x:v>0fd6ad2d-3389-4e70-8974-eb85ee223eeb</x:v>
      </x:c>
      <x:c r="P518" t="str">
        <x:v>2026-09-04</x:v>
      </x:c>
    </x:row>
    <x:row r="519">
      <x:c r="A519" t="str">
        <x:v>重点观察</x:v>
      </x:c>
      <x:c r="B519" t="str">
        <x:v>补全 PB、财报，等待Agent自动验证</x:v>
      </x:c>
      <x:c r="C519" t="str">
        <x:v>300435</x:v>
      </x:c>
      <x:c r="D519" t="str">
        <x:v>中泰股份</x:v>
      </x:c>
      <x:c r="E519" t="str">
        <x:v>创业板</x:v>
      </x:c>
      <x:c r="F519" t="str">
        <x:v>待行业映射</x:v>
      </x:c>
      <x:c r="G519" t="str">
        <x:v>当前全市场行情快照缺少 PB；只能作为待补全研究队列，不得按完整估值条件生成交易建议。</x:v>
      </x:c>
      <x:c r="H519" t="n">
        <x:v>16.91</x:v>
      </x:c>
      <x:c r="I519" t="n">
        <x:v>14.62</x:v>
      </x:c>
      <x:c r="J519"/>
      <x:c r="K519" t="str">
        <x:v>待归档官方财报</x:v>
      </x:c>
      <x:c r="L519" t="str">
        <x:v>AkShare / Tencent all-A market snapshot</x:v>
      </x:c>
      <x:c r="M519" t="str">
        <x:v>ProxyError: primary market source unavailable; see source_id for full audit.</x:v>
      </x:c>
      <x:c r="N519" t="str">
        <x:v>0</x:v>
      </x:c>
      <x:c r="O519" t="str">
        <x:v>0fd6ad2d-3389-4e70-8974-eb85ee223eeb</x:v>
      </x:c>
      <x:c r="P519" t="str">
        <x:v>2026-09-04</x:v>
      </x:c>
    </x:row>
    <x:row r="520">
      <x:c r="A520" t="str">
        <x:v>重点观察</x:v>
      </x:c>
      <x:c r="B520" t="str">
        <x:v>补全 PB、财报，等待Agent自动验证</x:v>
      </x:c>
      <x:c r="C520" t="str">
        <x:v>600389</x:v>
      </x:c>
      <x:c r="D520" t="str">
        <x:v>江山股份</x:v>
      </x:c>
      <x:c r="E520" t="str">
        <x:v>主板</x:v>
      </x:c>
      <x:c r="F520" t="str">
        <x:v>待行业映射</x:v>
      </x:c>
      <x:c r="G520" t="str">
        <x:v>当前全市场行情快照缺少 PB；只能作为待补全研究队列，不得按完整估值条件生成交易建议。</x:v>
      </x:c>
      <x:c r="H520" t="n">
        <x:v>18.71</x:v>
      </x:c>
      <x:c r="I520" t="n">
        <x:v>14.83</x:v>
      </x:c>
      <x:c r="J520"/>
      <x:c r="K520" t="str">
        <x:v>待归档官方财报</x:v>
      </x:c>
      <x:c r="L520" t="str">
        <x:v>AkShare / Tencent all-A market snapshot</x:v>
      </x:c>
      <x:c r="M520" t="str">
        <x:v>ProxyError: primary market source unavailable; see source_id for full audit.</x:v>
      </x:c>
      <x:c r="N520" t="str">
        <x:v>0</x:v>
      </x:c>
      <x:c r="O520" t="str">
        <x:v>0fd6ad2d-3389-4e70-8974-eb85ee223eeb</x:v>
      </x:c>
      <x:c r="P520" t="str">
        <x:v>2026-09-04</x:v>
      </x:c>
    </x:row>
    <x:row r="521">
      <x:c r="A521" t="str">
        <x:v>重点观察</x:v>
      </x:c>
      <x:c r="B521" t="str">
        <x:v>补全 PB、财报，等待Agent自动验证</x:v>
      </x:c>
      <x:c r="C521" t="str">
        <x:v>600575</x:v>
      </x:c>
      <x:c r="D521" t="str">
        <x:v>淮河能源</x:v>
      </x:c>
      <x:c r="E521" t="str">
        <x:v>主板</x:v>
      </x:c>
      <x:c r="F521" t="str">
        <x:v>待行业映射</x:v>
      </x:c>
      <x:c r="G521" t="str">
        <x:v>当前全市场行情快照缺少 PB；只能作为待补全研究队列，不得按完整估值条件生成交易建议。</x:v>
      </x:c>
      <x:c r="H521" t="n">
        <x:v>3.29</x:v>
      </x:c>
      <x:c r="I521" t="n">
        <x:v>16.94</x:v>
      </x:c>
      <x:c r="J521"/>
      <x:c r="K521" t="str">
        <x:v>待归档官方财报</x:v>
      </x:c>
      <x:c r="L521" t="str">
        <x:v>AkShare / Tencent all-A market snapshot</x:v>
      </x:c>
      <x:c r="M521" t="str">
        <x:v>ProxyError: primary market source unavailable; see source_id for full audit.</x:v>
      </x:c>
      <x:c r="N521" t="str">
        <x:v>0</x:v>
      </x:c>
      <x:c r="O521" t="str">
        <x:v>0fd6ad2d-3389-4e70-8974-eb85ee223eeb</x:v>
      </x:c>
      <x:c r="P521" t="str">
        <x:v>2026-09-04</x:v>
      </x:c>
    </x:row>
    <x:row r="522">
      <x:c r="A522" t="str">
        <x:v>重点观察</x:v>
      </x:c>
      <x:c r="B522" t="str">
        <x:v>补全 PB、财报，等待Agent自动验证</x:v>
      </x:c>
      <x:c r="C522" t="str">
        <x:v>600267</x:v>
      </x:c>
      <x:c r="D522" t="str">
        <x:v>海正药业</x:v>
      </x:c>
      <x:c r="E522" t="str">
        <x:v>主板</x:v>
      </x:c>
      <x:c r="F522" t="str">
        <x:v>待行业映射</x:v>
      </x:c>
      <x:c r="G522" t="str">
        <x:v>当前全市场行情快照缺少 PB；只能作为待补全研究队列，不得按完整估值条件生成交易建议。</x:v>
      </x:c>
      <x:c r="H522" t="n">
        <x:v>11.64</x:v>
      </x:c>
      <x:c r="I522" t="n">
        <x:v>15.65</x:v>
      </x:c>
      <x:c r="J522"/>
      <x:c r="K522" t="str">
        <x:v>待归档官方财报</x:v>
      </x:c>
      <x:c r="L522" t="str">
        <x:v>AkShare / Tencent all-A market snapshot</x:v>
      </x:c>
      <x:c r="M522" t="str">
        <x:v>ProxyError: primary market source unavailable; see source_id for full audit.</x:v>
      </x:c>
      <x:c r="N522" t="str">
        <x:v>0</x:v>
      </x:c>
      <x:c r="O522" t="str">
        <x:v>0fd6ad2d-3389-4e70-8974-eb85ee223eeb</x:v>
      </x:c>
      <x:c r="P522" t="str">
        <x:v>2026-09-04</x:v>
      </x:c>
    </x:row>
    <x:row r="523">
      <x:c r="A523" t="str">
        <x:v>重点观察</x:v>
      </x:c>
      <x:c r="B523" t="str">
        <x:v>补全 PB、财报，等待Agent自动验证</x:v>
      </x:c>
      <x:c r="C523" t="str">
        <x:v>600258</x:v>
      </x:c>
      <x:c r="D523" t="str">
        <x:v>首旅酒店</x:v>
      </x:c>
      <x:c r="E523" t="str">
        <x:v>主板</x:v>
      </x:c>
      <x:c r="F523" t="str">
        <x:v>待行业映射</x:v>
      </x:c>
      <x:c r="G523" t="str">
        <x:v>当前全市场行情快照缺少 PB；只能作为待补全研究队列，不得按完整估值条件生成交易建议。</x:v>
      </x:c>
      <x:c r="H523" t="n">
        <x:v>11.95</x:v>
      </x:c>
      <x:c r="I523" t="n">
        <x:v>15.61</x:v>
      </x:c>
      <x:c r="J523"/>
      <x:c r="K523" t="str">
        <x:v>待归档官方财报</x:v>
      </x:c>
      <x:c r="L523" t="str">
        <x:v>AkShare / Tencent all-A market snapshot</x:v>
      </x:c>
      <x:c r="M523" t="str">
        <x:v>ProxyError: primary market source unavailable; see source_id for full audit.</x:v>
      </x:c>
      <x:c r="N523" t="str">
        <x:v>0</x:v>
      </x:c>
      <x:c r="O523" t="str">
        <x:v>0fd6ad2d-3389-4e70-8974-eb85ee223eeb</x:v>
      </x:c>
      <x:c r="P523" t="str">
        <x:v>2026-09-04</x:v>
      </x:c>
    </x:row>
    <x:row r="524">
      <x:c r="A524" t="str">
        <x:v>重点观察</x:v>
      </x:c>
      <x:c r="B524" t="str">
        <x:v>补全 PB、财报，等待Agent自动验证</x:v>
      </x:c>
      <x:c r="C524" t="str">
        <x:v>601021</x:v>
      </x:c>
      <x:c r="D524" t="str">
        <x:v>春秋航空</x:v>
      </x:c>
      <x:c r="E524" t="str">
        <x:v>主板</x:v>
      </x:c>
      <x:c r="F524" t="str">
        <x:v>待行业映射</x:v>
      </x:c>
      <x:c r="G524" t="str">
        <x:v>当前全市场行情快照缺少 PB；只能作为待补全研究队列，不得按完整估值条件生成交易建议。</x:v>
      </x:c>
      <x:c r="H524" t="n">
        <x:v>43.89</x:v>
      </x:c>
      <x:c r="I524" t="n">
        <x:v>19.6</x:v>
      </x:c>
      <x:c r="J524"/>
      <x:c r="K524" t="str">
        <x:v>待归档官方财报</x:v>
      </x:c>
      <x:c r="L524" t="str">
        <x:v>AkShare / Tencent all-A market snapshot</x:v>
      </x:c>
      <x:c r="M524" t="str">
        <x:v>ProxyError: primary market source unavailable; see source_id for full audit.</x:v>
      </x:c>
      <x:c r="N524" t="str">
        <x:v>0</x:v>
      </x:c>
      <x:c r="O524" t="str">
        <x:v>0fd6ad2d-3389-4e70-8974-eb85ee223eeb</x:v>
      </x:c>
      <x:c r="P524" t="str">
        <x:v>2026-09-04</x:v>
      </x:c>
    </x:row>
    <x:row r="525">
      <x:c r="A525" t="str">
        <x:v>重点观察</x:v>
      </x:c>
      <x:c r="B525" t="str">
        <x:v>补全 PB、财报，等待Agent自动验证</x:v>
      </x:c>
      <x:c r="C525" t="str">
        <x:v>603153</x:v>
      </x:c>
      <x:c r="D525" t="str">
        <x:v>上海建科</x:v>
      </x:c>
      <x:c r="E525" t="str">
        <x:v>主板</x:v>
      </x:c>
      <x:c r="F525" t="str">
        <x:v>待行业映射</x:v>
      </x:c>
      <x:c r="G525" t="str">
        <x:v>当前全市场行情快照缺少 PB；只能作为待补全研究队列，不得按完整估值条件生成交易建议。</x:v>
      </x:c>
      <x:c r="H525" t="n">
        <x:v>13.27</x:v>
      </x:c>
      <x:c r="I525" t="n">
        <x:v>14.55</x:v>
      </x:c>
      <x:c r="J525"/>
      <x:c r="K525" t="str">
        <x:v>待归档官方财报</x:v>
      </x:c>
      <x:c r="L525" t="str">
        <x:v>AkShare / Tencent all-A market snapshot</x:v>
      </x:c>
      <x:c r="M525" t="str">
        <x:v>ProxyError: primary market source unavailable; see source_id for full audit.</x:v>
      </x:c>
      <x:c r="N525" t="str">
        <x:v>0</x:v>
      </x:c>
      <x:c r="O525" t="str">
        <x:v>0fd6ad2d-3389-4e70-8974-eb85ee223eeb</x:v>
      </x:c>
      <x:c r="P525" t="str">
        <x:v>2026-09-04</x:v>
      </x:c>
    </x:row>
    <x:row r="526">
      <x:c r="A526" t="str">
        <x:v>重点观察</x:v>
      </x:c>
      <x:c r="B526" t="str">
        <x:v>补全 PB、财报，等待Agent自动验证</x:v>
      </x:c>
      <x:c r="C526" t="str">
        <x:v>000065</x:v>
      </x:c>
      <x:c r="D526" t="str">
        <x:v>北方国际</x:v>
      </x:c>
      <x:c r="E526" t="str">
        <x:v>主板</x:v>
      </x:c>
      <x:c r="F526" t="str">
        <x:v>待行业映射</x:v>
      </x:c>
      <x:c r="G526" t="str">
        <x:v>当前全市场行情快照缺少 PB；只能作为待补全研究队列，不得按完整估值条件生成交易建议。</x:v>
      </x:c>
      <x:c r="H526" t="n">
        <x:v>9.79</x:v>
      </x:c>
      <x:c r="I526" t="n">
        <x:v>15.36</x:v>
      </x:c>
      <x:c r="J526"/>
      <x:c r="K526" t="str">
        <x:v>待归档官方财报</x:v>
      </x:c>
      <x:c r="L526" t="str">
        <x:v>AkShare / Tencent all-A market snapshot</x:v>
      </x:c>
      <x:c r="M526" t="str">
        <x:v>ProxyError: primary market source unavailable; see source_id for full audit.</x:v>
      </x:c>
      <x:c r="N526" t="str">
        <x:v>0</x:v>
      </x:c>
      <x:c r="O526" t="str">
        <x:v>0fd6ad2d-3389-4e70-8974-eb85ee223eeb</x:v>
      </x:c>
      <x:c r="P526" t="str">
        <x:v>2026-09-04</x:v>
      </x:c>
    </x:row>
    <x:row r="527">
      <x:c r="A527" t="str">
        <x:v>重点观察</x:v>
      </x:c>
      <x:c r="B527" t="str">
        <x:v>补全 PB、财报，等待Agent自动验证</x:v>
      </x:c>
      <x:c r="C527" t="str">
        <x:v>300358</x:v>
      </x:c>
      <x:c r="D527" t="str">
        <x:v>楚天科技</x:v>
      </x:c>
      <x:c r="E527" t="str">
        <x:v>创业板</x:v>
      </x:c>
      <x:c r="F527" t="str">
        <x:v>待行业映射</x:v>
      </x:c>
      <x:c r="G527" t="str">
        <x:v>当前全市场行情快照缺少 PB；只能作为待补全研究队列，不得按完整估值条件生成交易建议。</x:v>
      </x:c>
      <x:c r="H527" t="n">
        <x:v>8.45</x:v>
      </x:c>
      <x:c r="I527" t="n">
        <x:v>14.66</x:v>
      </x:c>
      <x:c r="J527"/>
      <x:c r="K527" t="str">
        <x:v>待归档官方财报</x:v>
      </x:c>
      <x:c r="L527" t="str">
        <x:v>AkShare / Tencent all-A market snapshot</x:v>
      </x:c>
      <x:c r="M527" t="str">
        <x:v>ProxyError: primary market source unavailable; see source_id for full audit.</x:v>
      </x:c>
      <x:c r="N527" t="str">
        <x:v>0</x:v>
      </x:c>
      <x:c r="O527" t="str">
        <x:v>0fd6ad2d-3389-4e70-8974-eb85ee223eeb</x:v>
      </x:c>
      <x:c r="P527" t="str">
        <x:v>2026-09-04</x:v>
      </x:c>
    </x:row>
    <x:row r="528">
      <x:c r="A528" t="str">
        <x:v>重点观察</x:v>
      </x:c>
      <x:c r="B528" t="str">
        <x:v>补全 PB、财报，等待Agent自动验证</x:v>
      </x:c>
      <x:c r="C528" t="str">
        <x:v>002997</x:v>
      </x:c>
      <x:c r="D528" t="str">
        <x:v>瑞鹄模具</x:v>
      </x:c>
      <x:c r="E528" t="str">
        <x:v>主板</x:v>
      </x:c>
      <x:c r="F528" t="str">
        <x:v>待行业映射</x:v>
      </x:c>
      <x:c r="G528" t="str">
        <x:v>当前全市场行情快照缺少 PB；只能作为待补全研究队列，不得按完整估值条件生成交易建议。</x:v>
      </x:c>
      <x:c r="H528" t="n">
        <x:v>28.51</x:v>
      </x:c>
      <x:c r="I528" t="n">
        <x:v>14.71</x:v>
      </x:c>
      <x:c r="J528"/>
      <x:c r="K528" t="str">
        <x:v>待归档官方财报</x:v>
      </x:c>
      <x:c r="L528" t="str">
        <x:v>AkShare / Tencent all-A market snapshot</x:v>
      </x:c>
      <x:c r="M528" t="str">
        <x:v>ProxyError: primary market source unavailable; see source_id for full audit.</x:v>
      </x:c>
      <x:c r="N528" t="str">
        <x:v>0</x:v>
      </x:c>
      <x:c r="O528" t="str">
        <x:v>0fd6ad2d-3389-4e70-8974-eb85ee223eeb</x:v>
      </x:c>
      <x:c r="P528" t="str">
        <x:v>2026-09-04</x:v>
      </x:c>
    </x:row>
    <x:row r="529">
      <x:c r="A529" t="str">
        <x:v>重点观察</x:v>
      </x:c>
      <x:c r="B529" t="str">
        <x:v>补全 PB、财报，等待Agent自动验证</x:v>
      </x:c>
      <x:c r="C529" t="str">
        <x:v>601928</x:v>
      </x:c>
      <x:c r="D529" t="str">
        <x:v>凤凰传媒</x:v>
      </x:c>
      <x:c r="E529" t="str">
        <x:v>主板</x:v>
      </x:c>
      <x:c r="F529" t="str">
        <x:v>待行业映射</x:v>
      </x:c>
      <x:c r="G529" t="str">
        <x:v>当前全市场行情快照缺少 PB；只能作为待补全研究队列，不得按完整估值条件生成交易建议。</x:v>
      </x:c>
      <x:c r="H529" t="n">
        <x:v>8.65</x:v>
      </x:c>
      <x:c r="I529" t="n">
        <x:v>16.91</x:v>
      </x:c>
      <x:c r="J529"/>
      <x:c r="K529" t="str">
        <x:v>待归档官方财报</x:v>
      </x:c>
      <x:c r="L529" t="str">
        <x:v>AkShare / Tencent all-A market snapshot</x:v>
      </x:c>
      <x:c r="M529" t="str">
        <x:v>ProxyError: primary market source unavailable; see source_id for full audit.</x:v>
      </x:c>
      <x:c r="N529" t="str">
        <x:v>0</x:v>
      </x:c>
      <x:c r="O529" t="str">
        <x:v>0fd6ad2d-3389-4e70-8974-eb85ee223eeb</x:v>
      </x:c>
      <x:c r="P529" t="str">
        <x:v>2026-09-04</x:v>
      </x:c>
    </x:row>
    <x:row r="530">
      <x:c r="A530" t="str">
        <x:v>重点观察</x:v>
      </x:c>
      <x:c r="B530" t="str">
        <x:v>补全 PB、财报，等待Agent自动验证</x:v>
      </x:c>
      <x:c r="C530" t="str">
        <x:v>000755</x:v>
      </x:c>
      <x:c r="D530" t="str">
        <x:v>山西高速</x:v>
      </x:c>
      <x:c r="E530" t="str">
        <x:v>主板</x:v>
      </x:c>
      <x:c r="F530" t="str">
        <x:v>待行业映射</x:v>
      </x:c>
      <x:c r="G530" t="str">
        <x:v>当前全市场行情快照缺少 PB；只能作为待补全研究队列，不得按完整估值条件生成交易建议。</x:v>
      </x:c>
      <x:c r="H530" t="n">
        <x:v>4.77</x:v>
      </x:c>
      <x:c r="I530" t="n">
        <x:v>14.9</x:v>
      </x:c>
      <x:c r="J530"/>
      <x:c r="K530" t="str">
        <x:v>待归档官方财报</x:v>
      </x:c>
      <x:c r="L530" t="str">
        <x:v>AkShare / Tencent all-A market snapshot</x:v>
      </x:c>
      <x:c r="M530" t="str">
        <x:v>ProxyError: primary market source unavailable; see source_id for full audit.</x:v>
      </x:c>
      <x:c r="N530" t="str">
        <x:v>0</x:v>
      </x:c>
      <x:c r="O530" t="str">
        <x:v>0fd6ad2d-3389-4e70-8974-eb85ee223eeb</x:v>
      </x:c>
      <x:c r="P530" t="str">
        <x:v>2026-09-04</x:v>
      </x:c>
    </x:row>
    <x:row r="531">
      <x:c r="A531" t="str">
        <x:v>重点观察</x:v>
      </x:c>
      <x:c r="B531" t="str">
        <x:v>补全 PB、财报，等待Agent自动验证</x:v>
      </x:c>
      <x:c r="C531" t="str">
        <x:v>300360</x:v>
      </x:c>
      <x:c r="D531" t="str">
        <x:v>炬华科技</x:v>
      </x:c>
      <x:c r="E531" t="str">
        <x:v>创业板</x:v>
      </x:c>
      <x:c r="F531" t="str">
        <x:v>待行业映射</x:v>
      </x:c>
      <x:c r="G531" t="str">
        <x:v>当前全市场行情快照缺少 PB；只能作为待补全研究队列，不得按完整估值条件生成交易建议。</x:v>
      </x:c>
      <x:c r="H531" t="n">
        <x:v>11.46</x:v>
      </x:c>
      <x:c r="I531" t="n">
        <x:v>14.77</x:v>
      </x:c>
      <x:c r="J531"/>
      <x:c r="K531" t="str">
        <x:v>待归档官方财报</x:v>
      </x:c>
      <x:c r="L531" t="str">
        <x:v>AkShare / Tencent all-A market snapshot</x:v>
      </x:c>
      <x:c r="M531" t="str">
        <x:v>ProxyError: primary market source unavailable; see source_id for full audit.</x:v>
      </x:c>
      <x:c r="N531" t="str">
        <x:v>0</x:v>
      </x:c>
      <x:c r="O531" t="str">
        <x:v>0fd6ad2d-3389-4e70-8974-eb85ee223eeb</x:v>
      </x:c>
      <x:c r="P531" t="str">
        <x:v>2026-09-04</x:v>
      </x:c>
    </x:row>
    <x:row r="532">
      <x:c r="A532" t="str">
        <x:v>重点观察</x:v>
      </x:c>
      <x:c r="B532" t="str">
        <x:v>补全 PB、财报，等待Agent自动验证</x:v>
      </x:c>
      <x:c r="C532" t="str">
        <x:v>600742</x:v>
      </x:c>
      <x:c r="D532" t="str">
        <x:v>富维股份</x:v>
      </x:c>
      <x:c r="E532" t="str">
        <x:v>主板</x:v>
      </x:c>
      <x:c r="F532" t="str">
        <x:v>待行业映射</x:v>
      </x:c>
      <x:c r="G532" t="str">
        <x:v>当前全市场行情快照缺少 PB；只能作为待补全研究队列，不得按完整估值条件生成交易建议。</x:v>
      </x:c>
      <x:c r="H532" t="n">
        <x:v>7.76</x:v>
      </x:c>
      <x:c r="I532" t="n">
        <x:v>14.78</x:v>
      </x:c>
      <x:c r="J532"/>
      <x:c r="K532" t="str">
        <x:v>待归档官方财报</x:v>
      </x:c>
      <x:c r="L532" t="str">
        <x:v>AkShare / Tencent all-A market snapshot</x:v>
      </x:c>
      <x:c r="M532" t="str">
        <x:v>ProxyError: primary market source unavailable; see source_id for full audit.</x:v>
      </x:c>
      <x:c r="N532" t="str">
        <x:v>0</x:v>
      </x:c>
      <x:c r="O532" t="str">
        <x:v>0fd6ad2d-3389-4e70-8974-eb85ee223eeb</x:v>
      </x:c>
      <x:c r="P532" t="str">
        <x:v>2026-09-04</x:v>
      </x:c>
    </x:row>
    <x:row r="533">
      <x:c r="A533" t="str">
        <x:v>重点观察</x:v>
      </x:c>
      <x:c r="B533" t="str">
        <x:v>补全 PB、财报，等待Agent自动验证</x:v>
      </x:c>
      <x:c r="C533" t="str">
        <x:v>600848</x:v>
      </x:c>
      <x:c r="D533" t="str">
        <x:v>上海临港</x:v>
      </x:c>
      <x:c r="E533" t="str">
        <x:v>主板</x:v>
      </x:c>
      <x:c r="F533" t="str">
        <x:v>待行业映射</x:v>
      </x:c>
      <x:c r="G533" t="str">
        <x:v>当前全市场行情快照缺少 PB；只能作为待补全研究队列，不得按完整估值条件生成交易建议。</x:v>
      </x:c>
      <x:c r="H533" t="n">
        <x:v>8.65</x:v>
      </x:c>
      <x:c r="I533" t="n">
        <x:v>16.96</x:v>
      </x:c>
      <x:c r="J533"/>
      <x:c r="K533" t="str">
        <x:v>待归档官方财报</x:v>
      </x:c>
      <x:c r="L533" t="str">
        <x:v>AkShare / Tencent all-A market snapshot</x:v>
      </x:c>
      <x:c r="M533" t="str">
        <x:v>ProxyError: primary market source unavailable; see source_id for full audit.</x:v>
      </x:c>
      <x:c r="N533" t="str">
        <x:v>0</x:v>
      </x:c>
      <x:c r="O533" t="str">
        <x:v>0fd6ad2d-3389-4e70-8974-eb85ee223eeb</x:v>
      </x:c>
      <x:c r="P533" t="str">
        <x:v>2026-09-04</x:v>
      </x:c>
    </x:row>
    <x:row r="534">
      <x:c r="A534" t="str">
        <x:v>重点观察</x:v>
      </x:c>
      <x:c r="B534" t="str">
        <x:v>补全 PB、财报，等待Agent自动验证</x:v>
      </x:c>
      <x:c r="C534" t="str">
        <x:v>603111</x:v>
      </x:c>
      <x:c r="D534" t="str">
        <x:v>康尼机电</x:v>
      </x:c>
      <x:c r="E534" t="str">
        <x:v>主板</x:v>
      </x:c>
      <x:c r="F534" t="str">
        <x:v>待行业映射</x:v>
      </x:c>
      <x:c r="G534" t="str">
        <x:v>当前全市场行情快照缺少 PB；只能作为待补全研究队列，不得按完整估值条件生成交易建议。</x:v>
      </x:c>
      <x:c r="H534" t="n">
        <x:v>6.27</x:v>
      </x:c>
      <x:c r="I534" t="n">
        <x:v>14.75</x:v>
      </x:c>
      <x:c r="J534"/>
      <x:c r="K534" t="str">
        <x:v>待归档官方财报</x:v>
      </x:c>
      <x:c r="L534" t="str">
        <x:v>AkShare / Tencent all-A market snapshot</x:v>
      </x:c>
      <x:c r="M534" t="str">
        <x:v>ProxyError: primary market source unavailable; see source_id for full audit.</x:v>
      </x:c>
      <x:c r="N534" t="str">
        <x:v>0</x:v>
      </x:c>
      <x:c r="O534" t="str">
        <x:v>0fd6ad2d-3389-4e70-8974-eb85ee223eeb</x:v>
      </x:c>
      <x:c r="P534" t="str">
        <x:v>2026-09-04</x:v>
      </x:c>
    </x:row>
    <x:row r="535">
      <x:c r="A535" t="str">
        <x:v>重点观察</x:v>
      </x:c>
      <x:c r="B535" t="str">
        <x:v>补全 PB、财报，等待Agent自动验证</x:v>
      </x:c>
      <x:c r="C535" t="str">
        <x:v>002705</x:v>
      </x:c>
      <x:c r="D535" t="str">
        <x:v>新宝股份</x:v>
      </x:c>
      <x:c r="E535" t="str">
        <x:v>主板</x:v>
      </x:c>
      <x:c r="F535" t="str">
        <x:v>待行业映射</x:v>
      </x:c>
      <x:c r="G535" t="str">
        <x:v>当前全市场行情快照缺少 PB；只能作为待补全研究队列，不得按完整估值条件生成交易建议。</x:v>
      </x:c>
      <x:c r="H535" t="n">
        <x:v>11.15</x:v>
      </x:c>
      <x:c r="I535" t="n">
        <x:v>15.26</x:v>
      </x:c>
      <x:c r="J535"/>
      <x:c r="K535" t="str">
        <x:v>待归档官方财报</x:v>
      </x:c>
      <x:c r="L535" t="str">
        <x:v>AkShare / Tencent all-A market snapshot</x:v>
      </x:c>
      <x:c r="M535" t="str">
        <x:v>ProxyError: primary market source unavailable; see source_id for full audit.</x:v>
      </x:c>
      <x:c r="N535" t="str">
        <x:v>0</x:v>
      </x:c>
      <x:c r="O535" t="str">
        <x:v>0fd6ad2d-3389-4e70-8974-eb85ee223eeb</x:v>
      </x:c>
      <x:c r="P535" t="str">
        <x:v>2026-09-04</x:v>
      </x:c>
    </x:row>
    <x:row r="536">
      <x:c r="A536" t="str">
        <x:v>重点观察</x:v>
      </x:c>
      <x:c r="B536" t="str">
        <x:v>补全 PB、财报，等待Agent自动验证</x:v>
      </x:c>
      <x:c r="C536" t="str">
        <x:v>600132</x:v>
      </x:c>
      <x:c r="D536" t="str">
        <x:v>重庆啤酒</x:v>
      </x:c>
      <x:c r="E536" t="str">
        <x:v>主板</x:v>
      </x:c>
      <x:c r="F536" t="str">
        <x:v>待行业映射</x:v>
      </x:c>
      <x:c r="G536" t="str">
        <x:v>当前全市场行情快照缺少 PB；只能作为待补全研究队列，不得按完整估值条件生成交易建议。</x:v>
      </x:c>
      <x:c r="H536" t="n">
        <x:v>39.98</x:v>
      </x:c>
      <x:c r="I536" t="n">
        <x:v>16.65</x:v>
      </x:c>
      <x:c r="J536"/>
      <x:c r="K536" t="str">
        <x:v>待归档官方财报</x:v>
      </x:c>
      <x:c r="L536" t="str">
        <x:v>AkShare / Tencent all-A market snapshot</x:v>
      </x:c>
      <x:c r="M536" t="str">
        <x:v>ProxyError: primary market source unavailable; see source_id for full audit.</x:v>
      </x:c>
      <x:c r="N536" t="str">
        <x:v>0</x:v>
      </x:c>
      <x:c r="O536" t="str">
        <x:v>0fd6ad2d-3389-4e70-8974-eb85ee223eeb</x:v>
      </x:c>
      <x:c r="P536" t="str">
        <x:v>2026-09-04</x:v>
      </x:c>
    </x:row>
    <x:row r="537">
      <x:c r="A537" t="str">
        <x:v>重点观察</x:v>
      </x:c>
      <x:c r="B537" t="str">
        <x:v>补全 PB、财报，等待Agent自动验证</x:v>
      </x:c>
      <x:c r="C537" t="str">
        <x:v>600116</x:v>
      </x:c>
      <x:c r="D537" t="str">
        <x:v>三峡水利</x:v>
      </x:c>
      <x:c r="E537" t="str">
        <x:v>主板</x:v>
      </x:c>
      <x:c r="F537" t="str">
        <x:v>待行业映射</x:v>
      </x:c>
      <x:c r="G537" t="str">
        <x:v>当前全市场行情快照缺少 PB；只能作为待补全研究队列，不得按完整估值条件生成交易建议。</x:v>
      </x:c>
      <x:c r="H537" t="n">
        <x:v>6.28</x:v>
      </x:c>
      <x:c r="I537" t="n">
        <x:v>15.68</x:v>
      </x:c>
      <x:c r="J537"/>
      <x:c r="K537" t="str">
        <x:v>待归档官方财报</x:v>
      </x:c>
      <x:c r="L537" t="str">
        <x:v>AkShare / Tencent all-A market snapshot</x:v>
      </x:c>
      <x:c r="M537" t="str">
        <x:v>ProxyError: primary market source unavailable; see source_id for full audit.</x:v>
      </x:c>
      <x:c r="N537" t="str">
        <x:v>0</x:v>
      </x:c>
      <x:c r="O537" t="str">
        <x:v>0fd6ad2d-3389-4e70-8974-eb85ee223eeb</x:v>
      </x:c>
      <x:c r="P537" t="str">
        <x:v>2026-09-04</x:v>
      </x:c>
    </x:row>
    <x:row r="538">
      <x:c r="A538" t="str">
        <x:v>重点观察</x:v>
      </x:c>
      <x:c r="B538" t="str">
        <x:v>补全 PB、财报，等待Agent自动验证</x:v>
      </x:c>
      <x:c r="C538" t="str">
        <x:v>002043</x:v>
      </x:c>
      <x:c r="D538" t="str">
        <x:v>兔 宝 宝</x:v>
      </x:c>
      <x:c r="E538" t="str">
        <x:v>主板</x:v>
      </x:c>
      <x:c r="F538" t="str">
        <x:v>待行业映射</x:v>
      </x:c>
      <x:c r="G538" t="str">
        <x:v>当前全市场行情快照缺少 PB；只能作为待补全研究队列，不得按完整估值条件生成交易建议。</x:v>
      </x:c>
      <x:c r="H538" t="n">
        <x:v>12.73</x:v>
      </x:c>
      <x:c r="I538" t="n">
        <x:v>15.49</x:v>
      </x:c>
      <x:c r="J538"/>
      <x:c r="K538" t="str">
        <x:v>待归档官方财报</x:v>
      </x:c>
      <x:c r="L538" t="str">
        <x:v>AkShare / Tencent all-A market snapshot</x:v>
      </x:c>
      <x:c r="M538" t="str">
        <x:v>ProxyError: primary market source unavailable; see source_id for full audit.</x:v>
      </x:c>
      <x:c r="N538" t="str">
        <x:v>0</x:v>
      </x:c>
      <x:c r="O538" t="str">
        <x:v>0fd6ad2d-3389-4e70-8974-eb85ee223eeb</x:v>
      </x:c>
      <x:c r="P538" t="str">
        <x:v>2026-09-04</x:v>
      </x:c>
    </x:row>
    <x:row r="539">
      <x:c r="A539" t="str">
        <x:v>重点观察</x:v>
      </x:c>
      <x:c r="B539" t="str">
        <x:v>补全 PB、财报，等待Agent自动验证</x:v>
      </x:c>
      <x:c r="C539" t="str">
        <x:v>000778</x:v>
      </x:c>
      <x:c r="D539" t="str">
        <x:v>新兴铸管</x:v>
      </x:c>
      <x:c r="E539" t="str">
        <x:v>主板</x:v>
      </x:c>
      <x:c r="F539" t="str">
        <x:v>待行业映射</x:v>
      </x:c>
      <x:c r="G539" t="str">
        <x:v>当前全市场行情快照缺少 PB；只能作为待补全研究队列，不得按完整估值条件生成交易建议。</x:v>
      </x:c>
      <x:c r="H539" t="n">
        <x:v>3.71</x:v>
      </x:c>
      <x:c r="I539" t="n">
        <x:v>16.07</x:v>
      </x:c>
      <x:c r="J539"/>
      <x:c r="K539" t="str">
        <x:v>待归档官方财报</x:v>
      </x:c>
      <x:c r="L539" t="str">
        <x:v>AkShare / Tencent all-A market snapshot</x:v>
      </x:c>
      <x:c r="M539" t="str">
        <x:v>ProxyError: primary market source unavailable; see source_id for full audit.</x:v>
      </x:c>
      <x:c r="N539" t="str">
        <x:v>0</x:v>
      </x:c>
      <x:c r="O539" t="str">
        <x:v>0fd6ad2d-3389-4e70-8974-eb85ee223eeb</x:v>
      </x:c>
      <x:c r="P539" t="str">
        <x:v>2026-09-04</x:v>
      </x:c>
    </x:row>
    <x:row r="540">
      <x:c r="A540" t="str">
        <x:v>重点观察</x:v>
      </x:c>
      <x:c r="B540" t="str">
        <x:v>补全 PB、财报，等待Agent自动验证</x:v>
      </x:c>
      <x:c r="C540" t="str">
        <x:v>601311</x:v>
      </x:c>
      <x:c r="D540" t="str">
        <x:v>骆驼股份</x:v>
      </x:c>
      <x:c r="E540" t="str">
        <x:v>主板</x:v>
      </x:c>
      <x:c r="F540" t="str">
        <x:v>待行业映射</x:v>
      </x:c>
      <x:c r="G540" t="str">
        <x:v>当前全市场行情快照缺少 PB；只能作为待补全研究队列，不得按完整估值条件生成交易建议。</x:v>
      </x:c>
      <x:c r="H540" t="n">
        <x:v>7.66</x:v>
      </x:c>
      <x:c r="I540" t="n">
        <x:v>15.34</x:v>
      </x:c>
      <x:c r="J540"/>
      <x:c r="K540" t="str">
        <x:v>待归档官方财报</x:v>
      </x:c>
      <x:c r="L540" t="str">
        <x:v>AkShare / Tencent all-A market snapshot</x:v>
      </x:c>
      <x:c r="M540" t="str">
        <x:v>ProxyError: primary market source unavailable; see source_id for full audit.</x:v>
      </x:c>
      <x:c r="N540" t="str">
        <x:v>0</x:v>
      </x:c>
      <x:c r="O540" t="str">
        <x:v>0fd6ad2d-3389-4e70-8974-eb85ee223eeb</x:v>
      </x:c>
      <x:c r="P540" t="str">
        <x:v>2026-09-04</x:v>
      </x:c>
    </x:row>
    <x:row r="541">
      <x:c r="A541" t="str">
        <x:v>重点观察</x:v>
      </x:c>
      <x:c r="B541" t="str">
        <x:v>补全 PB、财报，等待Agent自动验证</x:v>
      </x:c>
      <x:c r="C541" t="str">
        <x:v>002920</x:v>
      </x:c>
      <x:c r="D541" t="str">
        <x:v>德赛西威</x:v>
      </x:c>
      <x:c r="E541" t="str">
        <x:v>主板</x:v>
      </x:c>
      <x:c r="F541" t="str">
        <x:v>待行业映射</x:v>
      </x:c>
      <x:c r="G541" t="str">
        <x:v>当前全市场行情快照缺少 PB；只能作为待补全研究队列，不得按完整估值条件生成交易建议。</x:v>
      </x:c>
      <x:c r="H541" t="n">
        <x:v>88</x:v>
      </x:c>
      <x:c r="I541" t="n">
        <x:v>21.21</x:v>
      </x:c>
      <x:c r="J541"/>
      <x:c r="K541" t="str">
        <x:v>待归档官方财报</x:v>
      </x:c>
      <x:c r="L541" t="str">
        <x:v>AkShare / Tencent all-A market snapshot</x:v>
      </x:c>
      <x:c r="M541" t="str">
        <x:v>ProxyError: primary market source unavailable; see source_id for full audit.</x:v>
      </x:c>
      <x:c r="N541" t="str">
        <x:v>0</x:v>
      </x:c>
      <x:c r="O541" t="str">
        <x:v>0fd6ad2d-3389-4e70-8974-eb85ee223eeb</x:v>
      </x:c>
      <x:c r="P541" t="str">
        <x:v>2026-09-04</x:v>
      </x:c>
    </x:row>
    <x:row r="542">
      <x:c r="A542" t="str">
        <x:v>重点观察</x:v>
      </x:c>
      <x:c r="B542" t="str">
        <x:v>补全 PB、财报，等待Agent自动验证</x:v>
      </x:c>
      <x:c r="C542" t="str">
        <x:v>600982</x:v>
      </x:c>
      <x:c r="D542" t="str">
        <x:v>宁波能源</x:v>
      </x:c>
      <x:c r="E542" t="str">
        <x:v>主板</x:v>
      </x:c>
      <x:c r="F542" t="str">
        <x:v>待行业映射</x:v>
      </x:c>
      <x:c r="G542" t="str">
        <x:v>当前全市场行情快照缺少 PB；只能作为待补全研究队列，不得按完整估值条件生成交易建议。</x:v>
      </x:c>
      <x:c r="H542" t="n">
        <x:v>4.88</x:v>
      </x:c>
      <x:c r="I542" t="n">
        <x:v>14.9</x:v>
      </x:c>
      <x:c r="J542"/>
      <x:c r="K542" t="str">
        <x:v>待归档官方财报</x:v>
      </x:c>
      <x:c r="L542" t="str">
        <x:v>AkShare / Tencent all-A market snapshot</x:v>
      </x:c>
      <x:c r="M542" t="str">
        <x:v>ProxyError: primary market source unavailable; see source_id for full audit.</x:v>
      </x:c>
      <x:c r="N542" t="str">
        <x:v>0</x:v>
      </x:c>
      <x:c r="O542" t="str">
        <x:v>0fd6ad2d-3389-4e70-8974-eb85ee223eeb</x:v>
      </x:c>
      <x:c r="P542" t="str">
        <x:v>2026-09-04</x:v>
      </x:c>
    </x:row>
    <x:row r="543">
      <x:c r="A543" t="str">
        <x:v>重点观察</x:v>
      </x:c>
      <x:c r="B543" t="str">
        <x:v>补全 PB、财报，等待Agent自动验证</x:v>
      </x:c>
      <x:c r="C543" t="str">
        <x:v>002372</x:v>
      </x:c>
      <x:c r="D543" t="str">
        <x:v>伟星新材</x:v>
      </x:c>
      <x:c r="E543" t="str">
        <x:v>主板</x:v>
      </x:c>
      <x:c r="F543" t="str">
        <x:v>待行业映射</x:v>
      </x:c>
      <x:c r="G543" t="str">
        <x:v>当前全市场行情快照缺少 PB；只能作为待补全研究队列，不得按完整估值条件生成交易建议。</x:v>
      </x:c>
      <x:c r="H543" t="n">
        <x:v>8.67</x:v>
      </x:c>
      <x:c r="I543" t="n">
        <x:v>16.05</x:v>
      </x:c>
      <x:c r="J543"/>
      <x:c r="K543" t="str">
        <x:v>待归档官方财报</x:v>
      </x:c>
      <x:c r="L543" t="str">
        <x:v>AkShare / Tencent all-A market snapshot</x:v>
      </x:c>
      <x:c r="M543" t="str">
        <x:v>ProxyError: primary market source unavailable; see source_id for full audit.</x:v>
      </x:c>
      <x:c r="N543" t="str">
        <x:v>0</x:v>
      </x:c>
      <x:c r="O543" t="str">
        <x:v>0fd6ad2d-3389-4e70-8974-eb85ee223eeb</x:v>
      </x:c>
      <x:c r="P543" t="str">
        <x:v>2026-09-04</x:v>
      </x:c>
    </x:row>
    <x:row r="544">
      <x:c r="A544" t="str">
        <x:v>重点观察</x:v>
      </x:c>
      <x:c r="B544" t="str">
        <x:v>补全 PB、财报，等待Agent自动验证</x:v>
      </x:c>
      <x:c r="C544" t="str">
        <x:v>002752</x:v>
      </x:c>
      <x:c r="D544" t="str">
        <x:v>昇兴股份</x:v>
      </x:c>
      <x:c r="E544" t="str">
        <x:v>主板</x:v>
      </x:c>
      <x:c r="F544" t="str">
        <x:v>待行业映射</x:v>
      </x:c>
      <x:c r="G544" t="str">
        <x:v>当前全市场行情快照缺少 PB；只能作为待补全研究队列，不得按完整估值条件生成交易建议。</x:v>
      </x:c>
      <x:c r="H544" t="n">
        <x:v>6.2</x:v>
      </x:c>
      <x:c r="I544" t="n">
        <x:v>15.02</x:v>
      </x:c>
      <x:c r="J544"/>
      <x:c r="K544" t="str">
        <x:v>待归档官方财报</x:v>
      </x:c>
      <x:c r="L544" t="str">
        <x:v>AkShare / Tencent all-A market snapshot</x:v>
      </x:c>
      <x:c r="M544" t="str">
        <x:v>ProxyError: primary market source unavailable; see source_id for full audit.</x:v>
      </x:c>
      <x:c r="N544" t="str">
        <x:v>0</x:v>
      </x:c>
      <x:c r="O544" t="str">
        <x:v>0fd6ad2d-3389-4e70-8974-eb85ee223eeb</x:v>
      </x:c>
      <x:c r="P544" t="str">
        <x:v>2026-09-04</x:v>
      </x:c>
    </x:row>
    <x:row r="545">
      <x:c r="A545" t="str">
        <x:v>重点观察</x:v>
      </x:c>
      <x:c r="B545" t="str">
        <x:v>补全 PB、财报，等待Agent自动验证</x:v>
      </x:c>
      <x:c r="C545" t="str">
        <x:v>002204</x:v>
      </x:c>
      <x:c r="D545" t="str">
        <x:v>大连重工</x:v>
      </x:c>
      <x:c r="E545" t="str">
        <x:v>主板</x:v>
      </x:c>
      <x:c r="F545" t="str">
        <x:v>待行业映射</x:v>
      </x:c>
      <x:c r="G545" t="str">
        <x:v>当前全市场行情快照缺少 PB；只能作为待补全研究队列，不得按完整估值条件生成交易建议。</x:v>
      </x:c>
      <x:c r="H545" t="n">
        <x:v>5.17</x:v>
      </x:c>
      <x:c r="I545" t="n">
        <x:v>15.56</x:v>
      </x:c>
      <x:c r="J545"/>
      <x:c r="K545" t="str">
        <x:v>待归档官方财报</x:v>
      </x:c>
      <x:c r="L545" t="str">
        <x:v>AkShare / Tencent all-A market snapshot</x:v>
      </x:c>
      <x:c r="M545" t="str">
        <x:v>ProxyError: primary market source unavailable; see source_id for full audit.</x:v>
      </x:c>
      <x:c r="N545" t="str">
        <x:v>0</x:v>
      </x:c>
      <x:c r="O545" t="str">
        <x:v>0fd6ad2d-3389-4e70-8974-eb85ee223eeb</x:v>
      </x:c>
      <x:c r="P545" t="str">
        <x:v>2026-09-04</x:v>
      </x:c>
    </x:row>
    <x:row r="546">
      <x:c r="A546" t="str">
        <x:v>重点观察</x:v>
      </x:c>
      <x:c r="B546" t="str">
        <x:v>补全 PB、财报，等待Agent自动验证</x:v>
      </x:c>
      <x:c r="C546" t="str">
        <x:v>603128</x:v>
      </x:c>
      <x:c r="D546" t="str">
        <x:v>华贸物流</x:v>
      </x:c>
      <x:c r="E546" t="str">
        <x:v>主板</x:v>
      </x:c>
      <x:c r="F546" t="str">
        <x:v>待行业映射</x:v>
      </x:c>
      <x:c r="G546" t="str">
        <x:v>当前全市场行情快照缺少 PB；只能作为待补全研究队列，不得按完整估值条件生成交易建议。</x:v>
      </x:c>
      <x:c r="H546" t="n">
        <x:v>5.6</x:v>
      </x:c>
      <x:c r="I546" t="n">
        <x:v>15.22</x:v>
      </x:c>
      <x:c r="J546"/>
      <x:c r="K546" t="str">
        <x:v>待归档官方财报</x:v>
      </x:c>
      <x:c r="L546" t="str">
        <x:v>AkShare / Tencent all-A market snapshot</x:v>
      </x:c>
      <x:c r="M546" t="str">
        <x:v>ProxyError: primary market source unavailable; see source_id for full audit.</x:v>
      </x:c>
      <x:c r="N546" t="str">
        <x:v>0</x:v>
      </x:c>
      <x:c r="O546" t="str">
        <x:v>0fd6ad2d-3389-4e70-8974-eb85ee223eeb</x:v>
      </x:c>
      <x:c r="P546" t="str">
        <x:v>2026-09-04</x:v>
      </x:c>
    </x:row>
    <x:row r="547">
      <x:c r="A547" t="str">
        <x:v>重点观察</x:v>
      </x:c>
      <x:c r="B547" t="str">
        <x:v>补全 PB、财报，等待Agent自动验证</x:v>
      </x:c>
      <x:c r="C547" t="str">
        <x:v>688425</x:v>
      </x:c>
      <x:c r="D547" t="str">
        <x:v>铁建重工</x:v>
      </x:c>
      <x:c r="E547" t="str">
        <x:v>科创板</x:v>
      </x:c>
      <x:c r="F547" t="str">
        <x:v>待行业映射</x:v>
      </x:c>
      <x:c r="G547" t="str">
        <x:v>当前全市场行情快照缺少 PB；只能作为待补全研究队列，不得按完整估值条件生成交易建议。</x:v>
      </x:c>
      <x:c r="H547" t="n">
        <x:v>4.05</x:v>
      </x:c>
      <x:c r="I547" t="n">
        <x:v>17.25</x:v>
      </x:c>
      <x:c r="J547"/>
      <x:c r="K547" t="str">
        <x:v>待归档官方财报</x:v>
      </x:c>
      <x:c r="L547" t="str">
        <x:v>AkShare / Tencent all-A market snapshot</x:v>
      </x:c>
      <x:c r="M547" t="str">
        <x:v>ProxyError: primary market source unavailable; see source_id for full audit.</x:v>
      </x:c>
      <x:c r="N547" t="str">
        <x:v>0</x:v>
      </x:c>
      <x:c r="O547" t="str">
        <x:v>0fd6ad2d-3389-4e70-8974-eb85ee223eeb</x:v>
      </x:c>
      <x:c r="P547" t="str">
        <x:v>2026-09-04</x:v>
      </x:c>
    </x:row>
    <x:row r="548">
      <x:c r="A548" t="str">
        <x:v>重点观察</x:v>
      </x:c>
      <x:c r="B548" t="str">
        <x:v>补全 PB、财报，等待Agent自动验证</x:v>
      </x:c>
      <x:c r="C548" t="str">
        <x:v>002984</x:v>
      </x:c>
      <x:c r="D548" t="str">
        <x:v>森麒麟</x:v>
      </x:c>
      <x:c r="E548" t="str">
        <x:v>主板</x:v>
      </x:c>
      <x:c r="F548" t="str">
        <x:v>待行业映射</x:v>
      </x:c>
      <x:c r="G548" t="str">
        <x:v>当前全市场行情快照缺少 PB；只能作为待补全研究队列，不得按完整估值条件生成交易建议。</x:v>
      </x:c>
      <x:c r="H548" t="n">
        <x:v>13.76</x:v>
      </x:c>
      <x:c r="I548" t="n">
        <x:v>16.33</x:v>
      </x:c>
      <x:c r="J548"/>
      <x:c r="K548" t="str">
        <x:v>待归档官方财报</x:v>
      </x:c>
      <x:c r="L548" t="str">
        <x:v>AkShare / Tencent all-A market snapshot</x:v>
      </x:c>
      <x:c r="M548" t="str">
        <x:v>ProxyError: primary market source unavailable; see source_id for full audit.</x:v>
      </x:c>
      <x:c r="N548" t="str">
        <x:v>0</x:v>
      </x:c>
      <x:c r="O548" t="str">
        <x:v>0fd6ad2d-3389-4e70-8974-eb85ee223eeb</x:v>
      </x:c>
      <x:c r="P548" t="str">
        <x:v>2026-09-04</x:v>
      </x:c>
    </x:row>
    <x:row r="549">
      <x:c r="A549" t="str">
        <x:v>重点观察</x:v>
      </x:c>
      <x:c r="B549" t="str">
        <x:v>补全 PB、财报，等待Agent自动验证</x:v>
      </x:c>
      <x:c r="C549" t="str">
        <x:v>002073</x:v>
      </x:c>
      <x:c r="D549" t="str">
        <x:v>软控股份</x:v>
      </x:c>
      <x:c r="E549" t="str">
        <x:v>主板</x:v>
      </x:c>
      <x:c r="F549" t="str">
        <x:v>待行业映射</x:v>
      </x:c>
      <x:c r="G549" t="str">
        <x:v>当前全市场行情快照缺少 PB；只能作为待补全研究队列，不得按完整估值条件生成交易建议。</x:v>
      </x:c>
      <x:c r="H549" t="n">
        <x:v>5.85</x:v>
      </x:c>
      <x:c r="I549" t="n">
        <x:v>15.25</x:v>
      </x:c>
      <x:c r="J549"/>
      <x:c r="K549" t="str">
        <x:v>待归档官方财报</x:v>
      </x:c>
      <x:c r="L549" t="str">
        <x:v>AkShare / Tencent all-A market snapshot</x:v>
      </x:c>
      <x:c r="M549" t="str">
        <x:v>ProxyError: primary market source unavailable; see source_id for full audit.</x:v>
      </x:c>
      <x:c r="N549" t="str">
        <x:v>0</x:v>
      </x:c>
      <x:c r="O549" t="str">
        <x:v>0fd6ad2d-3389-4e70-8974-eb85ee223eeb</x:v>
      </x:c>
      <x:c r="P549" t="str">
        <x:v>2026-09-04</x:v>
      </x:c>
    </x:row>
    <x:row r="550">
      <x:c r="A550" t="str">
        <x:v>重点观察</x:v>
      </x:c>
      <x:c r="B550" t="str">
        <x:v>补全 PB、财报，等待Agent自动验证</x:v>
      </x:c>
      <x:c r="C550" t="str">
        <x:v>002327</x:v>
      </x:c>
      <x:c r="D550" t="str">
        <x:v>富安娜</x:v>
      </x:c>
      <x:c r="E550" t="str">
        <x:v>主板</x:v>
      </x:c>
      <x:c r="F550" t="str">
        <x:v>待行业映射</x:v>
      </x:c>
      <x:c r="G550" t="str">
        <x:v>当前全市场行情快照缺少 PB；只能作为待补全研究队列，不得按完整估值条件生成交易建议。</x:v>
      </x:c>
      <x:c r="H550" t="n">
        <x:v>6.3</x:v>
      </x:c>
      <x:c r="I550" t="n">
        <x:v>15.16</x:v>
      </x:c>
      <x:c r="J550"/>
      <x:c r="K550" t="str">
        <x:v>待归档官方财报</x:v>
      </x:c>
      <x:c r="L550" t="str">
        <x:v>AkShare / Tencent all-A market snapshot</x:v>
      </x:c>
      <x:c r="M550" t="str">
        <x:v>ProxyError: primary market source unavailable; see source_id for full audit.</x:v>
      </x:c>
      <x:c r="N550" t="str">
        <x:v>0</x:v>
      </x:c>
      <x:c r="O550" t="str">
        <x:v>0fd6ad2d-3389-4e70-8974-eb85ee223eeb</x:v>
      </x:c>
      <x:c r="P550" t="str">
        <x:v>2026-09-04</x:v>
      </x:c>
    </x:row>
    <x:row r="551">
      <x:c r="A551" t="str">
        <x:v>重点观察</x:v>
      </x:c>
      <x:c r="B551" t="str">
        <x:v>补全 PB、财报，等待Agent自动验证</x:v>
      </x:c>
      <x:c r="C551" t="str">
        <x:v>002595</x:v>
      </x:c>
      <x:c r="D551" t="str">
        <x:v>豪迈科技</x:v>
      </x:c>
      <x:c r="E551" t="str">
        <x:v>主板</x:v>
      </x:c>
      <x:c r="F551" t="str">
        <x:v>待行业映射</x:v>
      </x:c>
      <x:c r="G551" t="str">
        <x:v>当前全市场行情快照缺少 PB；只能作为待补全研究队列，不得按完整估值条件生成交易建议。</x:v>
      </x:c>
      <x:c r="H551" t="n">
        <x:v>42.4</x:v>
      </x:c>
      <x:c r="I551" t="n">
        <x:v>21.11</x:v>
      </x:c>
      <x:c r="J551"/>
      <x:c r="K551" t="str">
        <x:v>待归档官方财报</x:v>
      </x:c>
      <x:c r="L551" t="str">
        <x:v>AkShare / Tencent all-A market snapshot</x:v>
      </x:c>
      <x:c r="M551" t="str">
        <x:v>ProxyError: primary market source unavailable; see source_id for full audit.</x:v>
      </x:c>
      <x:c r="N551" t="str">
        <x:v>0</x:v>
      </x:c>
      <x:c r="O551" t="str">
        <x:v>0fd6ad2d-3389-4e70-8974-eb85ee223eeb</x:v>
      </x:c>
      <x:c r="P551" t="str">
        <x:v>2026-09-04</x:v>
      </x:c>
    </x:row>
    <x:row r="552">
      <x:c r="A552" t="str">
        <x:v>重点观察</x:v>
      </x:c>
      <x:c r="B552" t="str">
        <x:v>补全 PB、财报，等待Agent自动验证</x:v>
      </x:c>
      <x:c r="C552" t="str">
        <x:v>603194</x:v>
      </x:c>
      <x:c r="D552" t="str">
        <x:v>中力股份</x:v>
      </x:c>
      <x:c r="E552" t="str">
        <x:v>主板</x:v>
      </x:c>
      <x:c r="F552" t="str">
        <x:v>待行业映射</x:v>
      </x:c>
      <x:c r="G552" t="str">
        <x:v>当前全市场行情快照缺少 PB；只能作为待补全研究队列，不得按完整估值条件生成交易建议。</x:v>
      </x:c>
      <x:c r="H552" t="n">
        <x:v>34.29</x:v>
      </x:c>
      <x:c r="I552" t="n">
        <x:v>16.38</x:v>
      </x:c>
      <x:c r="J552"/>
      <x:c r="K552" t="str">
        <x:v>待归档官方财报</x:v>
      </x:c>
      <x:c r="L552" t="str">
        <x:v>AkShare / Tencent all-A market snapshot</x:v>
      </x:c>
      <x:c r="M552" t="str">
        <x:v>ProxyError: primary market source unavailable; see source_id for full audit.</x:v>
      </x:c>
      <x:c r="N552" t="str">
        <x:v>0</x:v>
      </x:c>
      <x:c r="O552" t="str">
        <x:v>0fd6ad2d-3389-4e70-8974-eb85ee223eeb</x:v>
      </x:c>
      <x:c r="P552" t="str">
        <x:v>2026-09-04</x:v>
      </x:c>
    </x:row>
    <x:row r="553">
      <x:c r="A553" t="str">
        <x:v>重点观察</x:v>
      </x:c>
      <x:c r="B553" t="str">
        <x:v>补全 PB、财报，等待Agent自动验证</x:v>
      </x:c>
      <x:c r="C553" t="str">
        <x:v>601330</x:v>
      </x:c>
      <x:c r="D553" t="str">
        <x:v>绿色动力</x:v>
      </x:c>
      <x:c r="E553" t="str">
        <x:v>主板</x:v>
      </x:c>
      <x:c r="F553" t="str">
        <x:v>待行业映射</x:v>
      </x:c>
      <x:c r="G553" t="str">
        <x:v>当前全市场行情快照缺少 PB；只能作为待补全研究队列，不得按完整估值条件生成交易建议。</x:v>
      </x:c>
      <x:c r="H553" t="n">
        <x:v>7.92</x:v>
      </x:c>
      <x:c r="I553" t="n">
        <x:v>16.07</x:v>
      </x:c>
      <x:c r="J553"/>
      <x:c r="K553" t="str">
        <x:v>待归档官方财报</x:v>
      </x:c>
      <x:c r="L553" t="str">
        <x:v>AkShare / Tencent all-A market snapshot</x:v>
      </x:c>
      <x:c r="M553" t="str">
        <x:v>ProxyError: primary market source unavailable; see source_id for full audit.</x:v>
      </x:c>
      <x:c r="N553" t="str">
        <x:v>0</x:v>
      </x:c>
      <x:c r="O553" t="str">
        <x:v>0fd6ad2d-3389-4e70-8974-eb85ee223eeb</x:v>
      </x:c>
      <x:c r="P553" t="str">
        <x:v>2026-09-04</x:v>
      </x:c>
    </x:row>
    <x:row r="554">
      <x:c r="A554" t="str">
        <x:v>重点观察</x:v>
      </x:c>
      <x:c r="B554" t="str">
        <x:v>补全 PB、财报，等待Agent自动验证</x:v>
      </x:c>
      <x:c r="C554" t="str">
        <x:v>600361</x:v>
      </x:c>
      <x:c r="D554" t="str">
        <x:v>创新新材</x:v>
      </x:c>
      <x:c r="E554" t="str">
        <x:v>主板</x:v>
      </x:c>
      <x:c r="F554" t="str">
        <x:v>待行业映射</x:v>
      </x:c>
      <x:c r="G554" t="str">
        <x:v>当前全市场行情快照缺少 PB；只能作为待补全研究队列，不得按完整估值条件生成交易建议。</x:v>
      </x:c>
      <x:c r="H554" t="n">
        <x:v>3.63</x:v>
      </x:c>
      <x:c r="I554" t="n">
        <x:v>16.39</x:v>
      </x:c>
      <x:c r="J554"/>
      <x:c r="K554" t="str">
        <x:v>待归档官方财报</x:v>
      </x:c>
      <x:c r="L554" t="str">
        <x:v>AkShare / Tencent all-A market snapshot</x:v>
      </x:c>
      <x:c r="M554" t="str">
        <x:v>ProxyError: primary market source unavailable; see source_id for full audit.</x:v>
      </x:c>
      <x:c r="N554" t="str">
        <x:v>0</x:v>
      </x:c>
      <x:c r="O554" t="str">
        <x:v>0fd6ad2d-3389-4e70-8974-eb85ee223eeb</x:v>
      </x:c>
      <x:c r="P554" t="str">
        <x:v>2026-09-04</x:v>
      </x:c>
    </x:row>
    <x:row r="555">
      <x:c r="A555" t="str">
        <x:v>重点观察</x:v>
      </x:c>
      <x:c r="B555" t="str">
        <x:v>补全 PB、财报，等待Agent自动验证</x:v>
      </x:c>
      <x:c r="C555" t="str">
        <x:v>603227</x:v>
      </x:c>
      <x:c r="D555" t="str">
        <x:v>雪峰科技</x:v>
      </x:c>
      <x:c r="E555" t="str">
        <x:v>主板</x:v>
      </x:c>
      <x:c r="F555" t="str">
        <x:v>待行业映射</x:v>
      </x:c>
      <x:c r="G555" t="str">
        <x:v>当前全市场行情快照缺少 PB；只能作为待补全研究队列，不得按完整估值条件生成交易建议。</x:v>
      </x:c>
      <x:c r="H555" t="n">
        <x:v>7.7</x:v>
      </x:c>
      <x:c r="I555" t="n">
        <x:v>15.68</x:v>
      </x:c>
      <x:c r="J555"/>
      <x:c r="K555" t="str">
        <x:v>待归档官方财报</x:v>
      </x:c>
      <x:c r="L555" t="str">
        <x:v>AkShare / Tencent all-A market snapshot</x:v>
      </x:c>
      <x:c r="M555" t="str">
        <x:v>ProxyError: primary market source unavailable; see source_id for full audit.</x:v>
      </x:c>
      <x:c r="N555" t="str">
        <x:v>0</x:v>
      </x:c>
      <x:c r="O555" t="str">
        <x:v>0fd6ad2d-3389-4e70-8974-eb85ee223eeb</x:v>
      </x:c>
      <x:c r="P555" t="str">
        <x:v>2026-09-04</x:v>
      </x:c>
    </x:row>
    <x:row r="556">
      <x:c r="A556" t="str">
        <x:v>重点观察</x:v>
      </x:c>
      <x:c r="B556" t="str">
        <x:v>补全 PB、财报，等待Agent自动验证</x:v>
      </x:c>
      <x:c r="C556" t="str">
        <x:v>600300</x:v>
      </x:c>
      <x:c r="D556" t="str">
        <x:v>维维股份</x:v>
      </x:c>
      <x:c r="E556" t="str">
        <x:v>主板</x:v>
      </x:c>
      <x:c r="F556" t="str">
        <x:v>待行业映射</x:v>
      </x:c>
      <x:c r="G556" t="str">
        <x:v>当前全市场行情快照缺少 PB；只能作为待补全研究队列，不得按完整估值条件生成交易建议。</x:v>
      </x:c>
      <x:c r="H556" t="n">
        <x:v>3.27</x:v>
      </x:c>
      <x:c r="I556" t="n">
        <x:v>15.32</x:v>
      </x:c>
      <x:c r="J556"/>
      <x:c r="K556" t="str">
        <x:v>待归档官方财报</x:v>
      </x:c>
      <x:c r="L556" t="str">
        <x:v>AkShare / Tencent all-A market snapshot</x:v>
      </x:c>
      <x:c r="M556" t="str">
        <x:v>ProxyError: primary market source unavailable; see source_id for full audit.</x:v>
      </x:c>
      <x:c r="N556" t="str">
        <x:v>0</x:v>
      </x:c>
      <x:c r="O556" t="str">
        <x:v>0fd6ad2d-3389-4e70-8974-eb85ee223eeb</x:v>
      </x:c>
      <x:c r="P556" t="str">
        <x:v>2026-09-04</x:v>
      </x:c>
    </x:row>
    <x:row r="557">
      <x:c r="A557" t="str">
        <x:v>重点观察</x:v>
      </x:c>
      <x:c r="B557" t="str">
        <x:v>补全 PB、财报，等待Agent自动验证</x:v>
      </x:c>
      <x:c r="C557" t="str">
        <x:v>603225</x:v>
      </x:c>
      <x:c r="D557" t="str">
        <x:v>新凤鸣</x:v>
      </x:c>
      <x:c r="E557" t="str">
        <x:v>主板</x:v>
      </x:c>
      <x:c r="F557" t="str">
        <x:v>待行业映射</x:v>
      </x:c>
      <x:c r="G557" t="str">
        <x:v>当前全市场行情快照缺少 PB；只能作为待补全研究队列，不得按完整估值条件生成交易建议。</x:v>
      </x:c>
      <x:c r="H557" t="n">
        <x:v>19.94</x:v>
      </x:c>
      <x:c r="I557" t="n">
        <x:v>19.12</x:v>
      </x:c>
      <x:c r="J557"/>
      <x:c r="K557" t="str">
        <x:v>待归档官方财报</x:v>
      </x:c>
      <x:c r="L557" t="str">
        <x:v>AkShare / Tencent all-A market snapshot</x:v>
      </x:c>
      <x:c r="M557" t="str">
        <x:v>ProxyError: primary market source unavailable; see source_id for full audit.</x:v>
      </x:c>
      <x:c r="N557" t="str">
        <x:v>0</x:v>
      </x:c>
      <x:c r="O557" t="str">
        <x:v>0fd6ad2d-3389-4e70-8974-eb85ee223eeb</x:v>
      </x:c>
      <x:c r="P557" t="str">
        <x:v>2026-09-04</x:v>
      </x:c>
    </x:row>
    <x:row r="558">
      <x:c r="A558" t="str">
        <x:v>重点观察</x:v>
      </x:c>
      <x:c r="B558" t="str">
        <x:v>补全 PB、财报，等待Agent自动验证</x:v>
      </x:c>
      <x:c r="C558" t="str">
        <x:v>000893</x:v>
      </x:c>
      <x:c r="D558" t="str">
        <x:v>亚钾国际</x:v>
      </x:c>
      <x:c r="E558" t="str">
        <x:v>主板</x:v>
      </x:c>
      <x:c r="F558" t="str">
        <x:v>待行业映射</x:v>
      </x:c>
      <x:c r="G558" t="str">
        <x:v>当前全市场行情快照缺少 PB；只能作为待补全研究队列，不得按完整估值条件生成交易建议。</x:v>
      </x:c>
      <x:c r="H558" t="n">
        <x:v>48.41</x:v>
      </x:c>
      <x:c r="I558" t="n">
        <x:v>20.64</x:v>
      </x:c>
      <x:c r="J558"/>
      <x:c r="K558" t="str">
        <x:v>待归档官方财报</x:v>
      </x:c>
      <x:c r="L558" t="str">
        <x:v>AkShare / Tencent all-A market snapshot</x:v>
      </x:c>
      <x:c r="M558" t="str">
        <x:v>ProxyError: primary market source unavailable; see source_id for full audit.</x:v>
      </x:c>
      <x:c r="N558" t="str">
        <x:v>0</x:v>
      </x:c>
      <x:c r="O558" t="str">
        <x:v>0fd6ad2d-3389-4e70-8974-eb85ee223eeb</x:v>
      </x:c>
      <x:c r="P558" t="str">
        <x:v>2026-09-04</x:v>
      </x:c>
    </x:row>
    <x:row r="559">
      <x:c r="A559" t="str">
        <x:v>重点观察</x:v>
      </x:c>
      <x:c r="B559" t="str">
        <x:v>补全 PB、财报，等待Agent自动验证</x:v>
      </x:c>
      <x:c r="C559" t="str">
        <x:v>600956</x:v>
      </x:c>
      <x:c r="D559" t="str">
        <x:v>新天绿能</x:v>
      </x:c>
      <x:c r="E559" t="str">
        <x:v>主板</x:v>
      </x:c>
      <x:c r="F559" t="str">
        <x:v>待行业映射</x:v>
      </x:c>
      <x:c r="G559" t="str">
        <x:v>当前全市场行情快照缺少 PB；只能作为待补全研究队列，不得按完整估值条件生成交易建议。</x:v>
      </x:c>
      <x:c r="H559" t="n">
        <x:v>7.15</x:v>
      </x:c>
      <x:c r="I559" t="n">
        <x:v>18.98</x:v>
      </x:c>
      <x:c r="J559"/>
      <x:c r="K559" t="str">
        <x:v>待归档官方财报</x:v>
      </x:c>
      <x:c r="L559" t="str">
        <x:v>AkShare / Tencent all-A market snapshot</x:v>
      </x:c>
      <x:c r="M559" t="str">
        <x:v>ProxyError: primary market source unavailable; see source_id for full audit.</x:v>
      </x:c>
      <x:c r="N559" t="str">
        <x:v>0</x:v>
      </x:c>
      <x:c r="O559" t="str">
        <x:v>0fd6ad2d-3389-4e70-8974-eb85ee223eeb</x:v>
      </x:c>
      <x:c r="P559" t="str">
        <x:v>2026-09-04</x:v>
      </x:c>
    </x:row>
    <x:row r="560">
      <x:c r="A560" t="str">
        <x:v>重点观察</x:v>
      </x:c>
      <x:c r="B560" t="str">
        <x:v>补全 PB、财报，等待Agent自动验证</x:v>
      </x:c>
      <x:c r="C560" t="str">
        <x:v>002083</x:v>
      </x:c>
      <x:c r="D560" t="str">
        <x:v>孚日股份</x:v>
      </x:c>
      <x:c r="E560" t="str">
        <x:v>主板</x:v>
      </x:c>
      <x:c r="F560" t="str">
        <x:v>待行业映射</x:v>
      </x:c>
      <x:c r="G560" t="str">
        <x:v>当前全市场行情快照缺少 PB；只能作为待补全研究队列，不得按完整估值条件生成交易建议。</x:v>
      </x:c>
      <x:c r="H560" t="n">
        <x:v>9.9</x:v>
      </x:c>
      <x:c r="I560" t="n">
        <x:v>16</x:v>
      </x:c>
      <x:c r="J560"/>
      <x:c r="K560" t="str">
        <x:v>待归档官方财报</x:v>
      </x:c>
      <x:c r="L560" t="str">
        <x:v>AkShare / Tencent all-A market snapshot</x:v>
      </x:c>
      <x:c r="M560" t="str">
        <x:v>ProxyError: primary market source unavailable; see source_id for full audit.</x:v>
      </x:c>
      <x:c r="N560" t="str">
        <x:v>0</x:v>
      </x:c>
      <x:c r="O560" t="str">
        <x:v>0fd6ad2d-3389-4e70-8974-eb85ee223eeb</x:v>
      </x:c>
      <x:c r="P560" t="str">
        <x:v>2026-09-04</x:v>
      </x:c>
    </x:row>
    <x:row r="561">
      <x:c r="A561" t="str">
        <x:v>重点观察</x:v>
      </x:c>
      <x:c r="B561" t="str">
        <x:v>补全 PB、财报，等待Agent自动验证</x:v>
      </x:c>
      <x:c r="C561" t="str">
        <x:v>600486</x:v>
      </x:c>
      <x:c r="D561" t="str">
        <x:v>扬农化工</x:v>
      </x:c>
      <x:c r="E561" t="str">
        <x:v>主板</x:v>
      </x:c>
      <x:c r="F561" t="str">
        <x:v>待行业映射</x:v>
      </x:c>
      <x:c r="G561" t="str">
        <x:v>当前全市场行情快照缺少 PB；只能作为待补全研究队列，不得按完整估值条件生成交易建议。</x:v>
      </x:c>
      <x:c r="H561" t="n">
        <x:v>55.86</x:v>
      </x:c>
      <x:c r="I561" t="n">
        <x:v>17.78</x:v>
      </x:c>
      <x:c r="J561"/>
      <x:c r="K561" t="str">
        <x:v>待归档官方财报</x:v>
      </x:c>
      <x:c r="L561" t="str">
        <x:v>AkShare / Tencent all-A market snapshot</x:v>
      </x:c>
      <x:c r="M561" t="str">
        <x:v>ProxyError: primary market source unavailable; see source_id for full audit.</x:v>
      </x:c>
      <x:c r="N561" t="str">
        <x:v>0</x:v>
      </x:c>
      <x:c r="O561" t="str">
        <x:v>0fd6ad2d-3389-4e70-8974-eb85ee223eeb</x:v>
      </x:c>
      <x:c r="P561" t="str">
        <x:v>2026-09-04</x:v>
      </x:c>
    </x:row>
    <x:row r="562">
      <x:c r="A562" t="str">
        <x:v>重点观察</x:v>
      </x:c>
      <x:c r="B562" t="str">
        <x:v>补全 PB、财报，等待Agent自动验证</x:v>
      </x:c>
      <x:c r="C562" t="str">
        <x:v>601199</x:v>
      </x:c>
      <x:c r="D562" t="str">
        <x:v>江南水务</x:v>
      </x:c>
      <x:c r="E562" t="str">
        <x:v>主板</x:v>
      </x:c>
      <x:c r="F562" t="str">
        <x:v>待行业映射</x:v>
      </x:c>
      <x:c r="G562" t="str">
        <x:v>当前全市场行情快照缺少 PB；只能作为待补全研究队列，不得按完整估值条件生成交易建议。</x:v>
      </x:c>
      <x:c r="H562" t="n">
        <x:v>5.85</x:v>
      </x:c>
      <x:c r="I562" t="n">
        <x:v>15.48</x:v>
      </x:c>
      <x:c r="J562"/>
      <x:c r="K562" t="str">
        <x:v>待归档官方财报</x:v>
      </x:c>
      <x:c r="L562" t="str">
        <x:v>AkShare / Tencent all-A market snapshot</x:v>
      </x:c>
      <x:c r="M562" t="str">
        <x:v>ProxyError: primary market source unavailable; see source_id for full audit.</x:v>
      </x:c>
      <x:c r="N562" t="str">
        <x:v>0</x:v>
      </x:c>
      <x:c r="O562" t="str">
        <x:v>0fd6ad2d-3389-4e70-8974-eb85ee223eeb</x:v>
      </x:c>
      <x:c r="P562" t="str">
        <x:v>2026-09-04</x:v>
      </x:c>
    </x:row>
    <x:row r="563">
      <x:c r="A563" t="str">
        <x:v>重点观察</x:v>
      </x:c>
      <x:c r="B563" t="str">
        <x:v>补全 PB、财报，等待Agent自动验证</x:v>
      </x:c>
      <x:c r="C563" t="str">
        <x:v>002479</x:v>
      </x:c>
      <x:c r="D563" t="str">
        <x:v>富春环保</x:v>
      </x:c>
      <x:c r="E563" t="str">
        <x:v>主板</x:v>
      </x:c>
      <x:c r="F563" t="str">
        <x:v>待行业映射</x:v>
      </x:c>
      <x:c r="G563" t="str">
        <x:v>当前全市场行情快照缺少 PB；只能作为待补全研究队列，不得按完整估值条件生成交易建议。</x:v>
      </x:c>
      <x:c r="H563" t="n">
        <x:v>6.05</x:v>
      </x:c>
      <x:c r="I563" t="n">
        <x:v>15.5</x:v>
      </x:c>
      <x:c r="J563"/>
      <x:c r="K563" t="str">
        <x:v>待归档官方财报</x:v>
      </x:c>
      <x:c r="L563" t="str">
        <x:v>AkShare / Tencent all-A market snapshot</x:v>
      </x:c>
      <x:c r="M563" t="str">
        <x:v>ProxyError: primary market source unavailable; see source_id for full audit.</x:v>
      </x:c>
      <x:c r="N563" t="str">
        <x:v>0</x:v>
      </x:c>
      <x:c r="O563" t="str">
        <x:v>0fd6ad2d-3389-4e70-8974-eb85ee223eeb</x:v>
      </x:c>
      <x:c r="P563" t="str">
        <x:v>2026-09-04</x:v>
      </x:c>
    </x:row>
    <x:row r="564">
      <x:c r="A564" t="str">
        <x:v>重点观察</x:v>
      </x:c>
      <x:c r="B564" t="str">
        <x:v>补全 PB、财报，等待Agent自动验证</x:v>
      </x:c>
      <x:c r="C564" t="str">
        <x:v>603100</x:v>
      </x:c>
      <x:c r="D564" t="str">
        <x:v>川仪股份</x:v>
      </x:c>
      <x:c r="E564" t="str">
        <x:v>主板</x:v>
      </x:c>
      <x:c r="F564" t="str">
        <x:v>待行业映射</x:v>
      </x:c>
      <x:c r="G564" t="str">
        <x:v>当前全市场行情快照缺少 PB；只能作为待补全研究队列，不得按完整估值条件生成交易建议。</x:v>
      </x:c>
      <x:c r="H564" t="n">
        <x:v>18.91</x:v>
      </x:c>
      <x:c r="I564" t="n">
        <x:v>16.13</x:v>
      </x:c>
      <x:c r="J564"/>
      <x:c r="K564" t="str">
        <x:v>待归档官方财报</x:v>
      </x:c>
      <x:c r="L564" t="str">
        <x:v>AkShare / Tencent all-A market snapshot</x:v>
      </x:c>
      <x:c r="M564" t="str">
        <x:v>ProxyError: primary market source unavailable; see source_id for full audit.</x:v>
      </x:c>
      <x:c r="N564" t="str">
        <x:v>0</x:v>
      </x:c>
      <x:c r="O564" t="str">
        <x:v>0fd6ad2d-3389-4e70-8974-eb85ee223eeb</x:v>
      </x:c>
      <x:c r="P564" t="str">
        <x:v>2026-09-04</x:v>
      </x:c>
    </x:row>
    <x:row r="565">
      <x:c r="A565" t="str">
        <x:v>重点观察</x:v>
      </x:c>
      <x:c r="B565" t="str">
        <x:v>补全 PB、财报，等待Agent自动验证</x:v>
      </x:c>
      <x:c r="C565" t="str">
        <x:v>002375</x:v>
      </x:c>
      <x:c r="D565" t="str">
        <x:v>亚厦股份</x:v>
      </x:c>
      <x:c r="E565" t="str">
        <x:v>主板</x:v>
      </x:c>
      <x:c r="F565" t="str">
        <x:v>待行业映射</x:v>
      </x:c>
      <x:c r="G565" t="str">
        <x:v>当前全市场行情快照缺少 PB；只能作为待补全研究队列，不得按完整估值条件生成交易建议。</x:v>
      </x:c>
      <x:c r="H565" t="n">
        <x:v>3.83</x:v>
      </x:c>
      <x:c r="I565" t="n">
        <x:v>15.53</x:v>
      </x:c>
      <x:c r="J565"/>
      <x:c r="K565" t="str">
        <x:v>待归档官方财报</x:v>
      </x:c>
      <x:c r="L565" t="str">
        <x:v>AkShare / Tencent all-A market snapshot</x:v>
      </x:c>
      <x:c r="M565" t="str">
        <x:v>ProxyError: primary market source unavailable; see source_id for full audit.</x:v>
      </x:c>
      <x:c r="N565" t="str">
        <x:v>0</x:v>
      </x:c>
      <x:c r="O565" t="str">
        <x:v>0fd6ad2d-3389-4e70-8974-eb85ee223eeb</x:v>
      </x:c>
      <x:c r="P565" t="str">
        <x:v>2026-09-04</x:v>
      </x:c>
    </x:row>
    <x:row r="566">
      <x:c r="A566" t="str">
        <x:v>重点观察</x:v>
      </x:c>
      <x:c r="B566" t="str">
        <x:v>补全 PB、财报，等待Agent自动验证</x:v>
      </x:c>
      <x:c r="C566" t="str">
        <x:v>600995</x:v>
      </x:c>
      <x:c r="D566" t="str">
        <x:v>南网储能</x:v>
      </x:c>
      <x:c r="E566" t="str">
        <x:v>主板</x:v>
      </x:c>
      <x:c r="F566" t="str">
        <x:v>待行业映射</x:v>
      </x:c>
      <x:c r="G566" t="str">
        <x:v>当前全市场行情快照缺少 PB；只能作为待补全研究队列，不得按完整估值条件生成交易建议。</x:v>
      </x:c>
      <x:c r="H566" t="n">
        <x:v>12.48</x:v>
      </x:c>
      <x:c r="I566" t="n">
        <x:v>20.26</x:v>
      </x:c>
      <x:c r="J566"/>
      <x:c r="K566" t="str">
        <x:v>待归档官方财报</x:v>
      </x:c>
      <x:c r="L566" t="str">
        <x:v>AkShare / Tencent all-A market snapshot</x:v>
      </x:c>
      <x:c r="M566" t="str">
        <x:v>ProxyError: primary market source unavailable; see source_id for full audit.</x:v>
      </x:c>
      <x:c r="N566" t="str">
        <x:v>0</x:v>
      </x:c>
      <x:c r="O566" t="str">
        <x:v>0fd6ad2d-3389-4e70-8974-eb85ee223eeb</x:v>
      </x:c>
      <x:c r="P566" t="str">
        <x:v>2026-09-04</x:v>
      </x:c>
    </x:row>
    <x:row r="567">
      <x:c r="A567" t="str">
        <x:v>重点观察</x:v>
      </x:c>
      <x:c r="B567" t="str">
        <x:v>补全 PB、财报，等待Agent自动验证</x:v>
      </x:c>
      <x:c r="C567" t="str">
        <x:v>688155</x:v>
      </x:c>
      <x:c r="D567" t="str">
        <x:v>先惠技术</x:v>
      </x:c>
      <x:c r="E567" t="str">
        <x:v>科创板</x:v>
      </x:c>
      <x:c r="F567" t="str">
        <x:v>待行业映射</x:v>
      </x:c>
      <x:c r="G567" t="str">
        <x:v>当前全市场行情快照缺少 PB；只能作为待补全研究队列，不得按完整估值条件生成交易建议。</x:v>
      </x:c>
      <x:c r="H567" t="n">
        <x:v>50.71</x:v>
      </x:c>
      <x:c r="I567" t="n">
        <x:v>15.76</x:v>
      </x:c>
      <x:c r="J567"/>
      <x:c r="K567" t="str">
        <x:v>待归档官方财报</x:v>
      </x:c>
      <x:c r="L567" t="str">
        <x:v>AkShare / Tencent all-A market snapshot</x:v>
      </x:c>
      <x:c r="M567" t="str">
        <x:v>ProxyError: primary market source unavailable; see source_id for full audit.</x:v>
      </x:c>
      <x:c r="N567" t="str">
        <x:v>0</x:v>
      </x:c>
      <x:c r="O567" t="str">
        <x:v>0fd6ad2d-3389-4e70-8974-eb85ee223eeb</x:v>
      </x:c>
      <x:c r="P567" t="str">
        <x:v>2026-09-04</x:v>
      </x:c>
    </x:row>
    <x:row r="568">
      <x:c r="A568" t="str">
        <x:v>重点观察</x:v>
      </x:c>
      <x:c r="B568" t="str">
        <x:v>补全 PB、财报，等待Agent自动验证</x:v>
      </x:c>
      <x:c r="C568" t="str">
        <x:v>603969</x:v>
      </x:c>
      <x:c r="D568" t="str">
        <x:v>银龙股份</x:v>
      </x:c>
      <x:c r="E568" t="str">
        <x:v>主板</x:v>
      </x:c>
      <x:c r="F568" t="str">
        <x:v>待行业映射</x:v>
      </x:c>
      <x:c r="G568" t="str">
        <x:v>当前全市场行情快照缺少 PB；只能作为待补全研究队列，不得按完整估值条件生成交易建议。</x:v>
      </x:c>
      <x:c r="H568" t="n">
        <x:v>7.9</x:v>
      </x:c>
      <x:c r="I568" t="n">
        <x:v>15.83</x:v>
      </x:c>
      <x:c r="J568"/>
      <x:c r="K568" t="str">
        <x:v>待归档官方财报</x:v>
      </x:c>
      <x:c r="L568" t="str">
        <x:v>AkShare / Tencent all-A market snapshot</x:v>
      </x:c>
      <x:c r="M568" t="str">
        <x:v>ProxyError: primary market source unavailable; see source_id for full audit.</x:v>
      </x:c>
      <x:c r="N568" t="str">
        <x:v>0</x:v>
      </x:c>
      <x:c r="O568" t="str">
        <x:v>0fd6ad2d-3389-4e70-8974-eb85ee223eeb</x:v>
      </x:c>
      <x:c r="P568" t="str">
        <x:v>2026-09-04</x:v>
      </x:c>
    </x:row>
    <x:row r="569">
      <x:c r="A569" t="str">
        <x:v>重点观察</x:v>
      </x:c>
      <x:c r="B569" t="str">
        <x:v>补全 PB、财报，等待Agent自动验证</x:v>
      </x:c>
      <x:c r="C569" t="str">
        <x:v>601002</x:v>
      </x:c>
      <x:c r="D569" t="str">
        <x:v>晋亿实业</x:v>
      </x:c>
      <x:c r="E569" t="str">
        <x:v>主板</x:v>
      </x:c>
      <x:c r="F569" t="str">
        <x:v>待行业映射</x:v>
      </x:c>
      <x:c r="G569" t="str">
        <x:v>当前全市场行情快照缺少 PB；只能作为待补全研究队列，不得按完整估值条件生成交易建议。</x:v>
      </x:c>
      <x:c r="H569" t="n">
        <x:v>5.4</x:v>
      </x:c>
      <x:c r="I569" t="n">
        <x:v>15.62</x:v>
      </x:c>
      <x:c r="J569"/>
      <x:c r="K569" t="str">
        <x:v>待归档官方财报</x:v>
      </x:c>
      <x:c r="L569" t="str">
        <x:v>AkShare / Tencent all-A market snapshot</x:v>
      </x:c>
      <x:c r="M569" t="str">
        <x:v>ProxyError: primary market source unavailable; see source_id for full audit.</x:v>
      </x:c>
      <x:c r="N569" t="str">
        <x:v>0</x:v>
      </x:c>
      <x:c r="O569" t="str">
        <x:v>0fd6ad2d-3389-4e70-8974-eb85ee223eeb</x:v>
      </x:c>
      <x:c r="P569" t="str">
        <x:v>2026-09-04</x:v>
      </x:c>
    </x:row>
    <x:row r="570">
      <x:c r="A570" t="str">
        <x:v>重点观察</x:v>
      </x:c>
      <x:c r="B570" t="str">
        <x:v>补全 PB、财报，等待Agent自动验证</x:v>
      </x:c>
      <x:c r="C570" t="str">
        <x:v>002946</x:v>
      </x:c>
      <x:c r="D570" t="str">
        <x:v>新乳业</x:v>
      </x:c>
      <x:c r="E570" t="str">
        <x:v>主板</x:v>
      </x:c>
      <x:c r="F570" t="str">
        <x:v>待行业映射</x:v>
      </x:c>
      <x:c r="G570" t="str">
        <x:v>当前全市场行情快照缺少 PB；只能作为待补全研究队列，不得按完整估值条件生成交易建议。</x:v>
      </x:c>
      <x:c r="H570" t="n">
        <x:v>15.58</x:v>
      </x:c>
      <x:c r="I570" t="n">
        <x:v>16.77</x:v>
      </x:c>
      <x:c r="J570"/>
      <x:c r="K570" t="str">
        <x:v>待归档官方财报</x:v>
      </x:c>
      <x:c r="L570" t="str">
        <x:v>AkShare / Tencent all-A market snapshot</x:v>
      </x:c>
      <x:c r="M570" t="str">
        <x:v>ProxyError: primary market source unavailable; see source_id for full audit.</x:v>
      </x:c>
      <x:c r="N570" t="str">
        <x:v>0</x:v>
      </x:c>
      <x:c r="O570" t="str">
        <x:v>0fd6ad2d-3389-4e70-8974-eb85ee223eeb</x:v>
      </x:c>
      <x:c r="P570" t="str">
        <x:v>2026-09-04</x:v>
      </x:c>
    </x:row>
    <x:row r="571">
      <x:c r="A571" t="str">
        <x:v>重点观察</x:v>
      </x:c>
      <x:c r="B571" t="str">
        <x:v>补全 PB、财报，等待Agent自动验证</x:v>
      </x:c>
      <x:c r="C571" t="str">
        <x:v>000887</x:v>
      </x:c>
      <x:c r="D571" t="str">
        <x:v>中鼎股份</x:v>
      </x:c>
      <x:c r="E571" t="str">
        <x:v>主板</x:v>
      </x:c>
      <x:c r="F571" t="str">
        <x:v>待行业映射</x:v>
      </x:c>
      <x:c r="G571" t="str">
        <x:v>当前全市场行情快照缺少 PB；只能作为待补全研究队列，不得按完整估值条件生成交易建议。</x:v>
      </x:c>
      <x:c r="H571" t="n">
        <x:v>20.56</x:v>
      </x:c>
      <x:c r="I571" t="n">
        <x:v>18.63</x:v>
      </x:c>
      <x:c r="J571"/>
      <x:c r="K571" t="str">
        <x:v>待归档官方财报</x:v>
      </x:c>
      <x:c r="L571" t="str">
        <x:v>AkShare / Tencent all-A market snapshot</x:v>
      </x:c>
      <x:c r="M571" t="str">
        <x:v>ProxyError: primary market source unavailable; see source_id for full audit.</x:v>
      </x:c>
      <x:c r="N571" t="str">
        <x:v>0</x:v>
      </x:c>
      <x:c r="O571" t="str">
        <x:v>0fd6ad2d-3389-4e70-8974-eb85ee223eeb</x:v>
      </x:c>
      <x:c r="P571" t="str">
        <x:v>2026-09-04</x:v>
      </x:c>
    </x:row>
    <x:row r="572">
      <x:c r="A572" t="str">
        <x:v>重点观察</x:v>
      </x:c>
      <x:c r="B572" t="str">
        <x:v>补全 PB、财报，等待Agent自动验证</x:v>
      </x:c>
      <x:c r="C572" t="str">
        <x:v>002293</x:v>
      </x:c>
      <x:c r="D572" t="str">
        <x:v>罗莱生活</x:v>
      </x:c>
      <x:c r="E572" t="str">
        <x:v>主板</x:v>
      </x:c>
      <x:c r="F572" t="str">
        <x:v>待行业映射</x:v>
      </x:c>
      <x:c r="G572" t="str">
        <x:v>当前全市场行情快照缺少 PB；只能作为待补全研究队列，不得按完整估值条件生成交易建议。</x:v>
      </x:c>
      <x:c r="H572" t="n">
        <x:v>11.34</x:v>
      </x:c>
      <x:c r="I572" t="n">
        <x:v>16.27</x:v>
      </x:c>
      <x:c r="J572"/>
      <x:c r="K572" t="str">
        <x:v>待归档官方财报</x:v>
      </x:c>
      <x:c r="L572" t="str">
        <x:v>AkShare / Tencent all-A market snapshot</x:v>
      </x:c>
      <x:c r="M572" t="str">
        <x:v>ProxyError: primary market source unavailable; see source_id for full audit.</x:v>
      </x:c>
      <x:c r="N572" t="str">
        <x:v>0</x:v>
      </x:c>
      <x:c r="O572" t="str">
        <x:v>0fd6ad2d-3389-4e70-8974-eb85ee223eeb</x:v>
      </x:c>
      <x:c r="P572" t="str">
        <x:v>2026-09-04</x:v>
      </x:c>
    </x:row>
    <x:row r="573">
      <x:c r="A573" t="str">
        <x:v>重点观察</x:v>
      </x:c>
      <x:c r="B573" t="str">
        <x:v>补全 PB、财报，等待Agent自动验证</x:v>
      </x:c>
      <x:c r="C573" t="str">
        <x:v>600750</x:v>
      </x:c>
      <x:c r="D573" t="str">
        <x:v>华润江中</x:v>
      </x:c>
      <x:c r="E573" t="str">
        <x:v>主板</x:v>
      </x:c>
      <x:c r="F573" t="str">
        <x:v>待行业映射</x:v>
      </x:c>
      <x:c r="G573" t="str">
        <x:v>当前全市场行情快照缺少 PB；只能作为待补全研究队列，不得按完整估值条件生成交易建议。</x:v>
      </x:c>
      <x:c r="H573" t="n">
        <x:v>23.44</x:v>
      </x:c>
      <x:c r="I573" t="n">
        <x:v>17.01</x:v>
      </x:c>
      <x:c r="J573"/>
      <x:c r="K573" t="str">
        <x:v>待归档官方财报</x:v>
      </x:c>
      <x:c r="L573" t="str">
        <x:v>AkShare / Tencent all-A market snapshot</x:v>
      </x:c>
      <x:c r="M573" t="str">
        <x:v>ProxyError: primary market source unavailable; see source_id for full audit.</x:v>
      </x:c>
      <x:c r="N573" t="str">
        <x:v>0</x:v>
      </x:c>
      <x:c r="O573" t="str">
        <x:v>0fd6ad2d-3389-4e70-8974-eb85ee223eeb</x:v>
      </x:c>
      <x:c r="P573" t="str">
        <x:v>2026-09-04</x:v>
      </x:c>
    </x:row>
    <x:row r="574">
      <x:c r="A574" t="str">
        <x:v>重点观察</x:v>
      </x:c>
      <x:c r="B574" t="str">
        <x:v>补全 PB、财报，等待Agent自动验证</x:v>
      </x:c>
      <x:c r="C574" t="str">
        <x:v>600004</x:v>
      </x:c>
      <x:c r="D574" t="str">
        <x:v>白云机场</x:v>
      </x:c>
      <x:c r="E574" t="str">
        <x:v>主板</x:v>
      </x:c>
      <x:c r="F574" t="str">
        <x:v>待行业映射</x:v>
      </x:c>
      <x:c r="G574" t="str">
        <x:v>当前全市场行情快照缺少 PB；只能作为待补全研究队列，不得按完整估值条件生成交易建议。</x:v>
      </x:c>
      <x:c r="H574" t="n">
        <x:v>7.89</x:v>
      </x:c>
      <x:c r="I574" t="n">
        <x:v>17.76</x:v>
      </x:c>
      <x:c r="J574"/>
      <x:c r="K574" t="str">
        <x:v>待归档官方财报</x:v>
      </x:c>
      <x:c r="L574" t="str">
        <x:v>AkShare / Tencent all-A market snapshot</x:v>
      </x:c>
      <x:c r="M574" t="str">
        <x:v>ProxyError: primary market source unavailable; see source_id for full audit.</x:v>
      </x:c>
      <x:c r="N574" t="str">
        <x:v>0</x:v>
      </x:c>
      <x:c r="O574" t="str">
        <x:v>0fd6ad2d-3389-4e70-8974-eb85ee223eeb</x:v>
      </x:c>
      <x:c r="P574" t="str">
        <x:v>2026-09-04</x:v>
      </x:c>
    </x:row>
    <x:row r="575">
      <x:c r="A575" t="str">
        <x:v>重点观察</x:v>
      </x:c>
      <x:c r="B575" t="str">
        <x:v>补全 PB、财报，等待Agent自动验证</x:v>
      </x:c>
      <x:c r="C575" t="str">
        <x:v>600535</x:v>
      </x:c>
      <x:c r="D575" t="str">
        <x:v>天士力</x:v>
      </x:c>
      <x:c r="E575" t="str">
        <x:v>主板</x:v>
      </x:c>
      <x:c r="F575" t="str">
        <x:v>待行业映射</x:v>
      </x:c>
      <x:c r="G575" t="str">
        <x:v>当前全市场行情快照缺少 PB；只能作为待补全研究队列，不得按完整估值条件生成交易建议。</x:v>
      </x:c>
      <x:c r="H575" t="n">
        <x:v>14.73</x:v>
      </x:c>
      <x:c r="I575" t="n">
        <x:v>17.99</x:v>
      </x:c>
      <x:c r="J575"/>
      <x:c r="K575" t="str">
        <x:v>待归档官方财报</x:v>
      </x:c>
      <x:c r="L575" t="str">
        <x:v>AkShare / Tencent all-A market snapshot</x:v>
      </x:c>
      <x:c r="M575" t="str">
        <x:v>ProxyError: primary market source unavailable; see source_id for full audit.</x:v>
      </x:c>
      <x:c r="N575" t="str">
        <x:v>0</x:v>
      </x:c>
      <x:c r="O575" t="str">
        <x:v>0fd6ad2d-3389-4e70-8974-eb85ee223eeb</x:v>
      </x:c>
      <x:c r="P575" t="str">
        <x:v>2026-09-04</x:v>
      </x:c>
    </x:row>
    <x:row r="576">
      <x:c r="A576" t="str">
        <x:v>重点观察</x:v>
      </x:c>
      <x:c r="B576" t="str">
        <x:v>补全 PB、财报，等待Agent自动验证</x:v>
      </x:c>
      <x:c r="C576" t="str">
        <x:v>600531</x:v>
      </x:c>
      <x:c r="D576" t="str">
        <x:v>豫光金铅</x:v>
      </x:c>
      <x:c r="E576" t="str">
        <x:v>主板</x:v>
      </x:c>
      <x:c r="F576" t="str">
        <x:v>待行业映射</x:v>
      </x:c>
      <x:c r="G576" t="str">
        <x:v>当前全市场行情快照缺少 PB；只能作为待补全研究队列，不得按完整估值条件生成交易建议。</x:v>
      </x:c>
      <x:c r="H576" t="n">
        <x:v>13.08</x:v>
      </x:c>
      <x:c r="I576" t="n">
        <x:v>17.18</x:v>
      </x:c>
      <x:c r="J576"/>
      <x:c r="K576" t="str">
        <x:v>待归档官方财报</x:v>
      </x:c>
      <x:c r="L576" t="str">
        <x:v>AkShare / Tencent all-A market snapshot</x:v>
      </x:c>
      <x:c r="M576" t="str">
        <x:v>ProxyError: primary market source unavailable; see source_id for full audit.</x:v>
      </x:c>
      <x:c r="N576" t="str">
        <x:v>0</x:v>
      </x:c>
      <x:c r="O576" t="str">
        <x:v>0fd6ad2d-3389-4e70-8974-eb85ee223eeb</x:v>
      </x:c>
      <x:c r="P576" t="str">
        <x:v>2026-09-04</x:v>
      </x:c>
    </x:row>
    <x:row r="577">
      <x:c r="A577" t="str">
        <x:v>重点观察</x:v>
      </x:c>
      <x:c r="B577" t="str">
        <x:v>补全 PB、财报，等待Agent自动验证</x:v>
      </x:c>
      <x:c r="C577" t="str">
        <x:v>300573</x:v>
      </x:c>
      <x:c r="D577" t="str">
        <x:v>兴齐眼药</x:v>
      </x:c>
      <x:c r="E577" t="str">
        <x:v>创业板</x:v>
      </x:c>
      <x:c r="F577" t="str">
        <x:v>待行业映射</x:v>
      </x:c>
      <x:c r="G577" t="str">
        <x:v>当前全市场行情快照缺少 PB；只能作为待补全研究队列，不得按完整估值条件生成交易建议。</x:v>
      </x:c>
      <x:c r="H577" t="n">
        <x:v>37.59</x:v>
      </x:c>
      <x:c r="I577" t="n">
        <x:v>16.86</x:v>
      </x:c>
      <x:c r="J577"/>
      <x:c r="K577" t="str">
        <x:v>待归档官方财报</x:v>
      </x:c>
      <x:c r="L577" t="str">
        <x:v>AkShare / Tencent all-A market snapshot</x:v>
      </x:c>
      <x:c r="M577" t="str">
        <x:v>ProxyError: primary market source unavailable; see source_id for full audit.</x:v>
      </x:c>
      <x:c r="N577" t="str">
        <x:v>0</x:v>
      </x:c>
      <x:c r="O577" t="str">
        <x:v>0fd6ad2d-3389-4e70-8974-eb85ee223eeb</x:v>
      </x:c>
      <x:c r="P577" t="str">
        <x:v>2026-09-04</x:v>
      </x:c>
    </x:row>
    <x:row r="578">
      <x:c r="A578" t="str">
        <x:v>重点观察</x:v>
      </x:c>
      <x:c r="B578" t="str">
        <x:v>补全 PB、财报，等待Agent自动验证</x:v>
      </x:c>
      <x:c r="C578" t="str">
        <x:v>601200</x:v>
      </x:c>
      <x:c r="D578" t="str">
        <x:v>上海环境</x:v>
      </x:c>
      <x:c r="E578" t="str">
        <x:v>主板</x:v>
      </x:c>
      <x:c r="F578" t="str">
        <x:v>待行业映射</x:v>
      </x:c>
      <x:c r="G578" t="str">
        <x:v>当前全市场行情快照缺少 PB；只能作为待补全研究队列，不得按完整估值条件生成交易建议。</x:v>
      </x:c>
      <x:c r="H578" t="n">
        <x:v>6.96</x:v>
      </x:c>
      <x:c r="I578" t="n">
        <x:v>16.33</x:v>
      </x:c>
      <x:c r="J578"/>
      <x:c r="K578" t="str">
        <x:v>待归档官方财报</x:v>
      </x:c>
      <x:c r="L578" t="str">
        <x:v>AkShare / Tencent all-A market snapshot</x:v>
      </x:c>
      <x:c r="M578" t="str">
        <x:v>ProxyError: primary market source unavailable; see source_id for full audit.</x:v>
      </x:c>
      <x:c r="N578" t="str">
        <x:v>0</x:v>
      </x:c>
      <x:c r="O578" t="str">
        <x:v>0fd6ad2d-3389-4e70-8974-eb85ee223eeb</x:v>
      </x:c>
      <x:c r="P578" t="str">
        <x:v>2026-09-04</x:v>
      </x:c>
    </x:row>
    <x:row r="579">
      <x:c r="A579" t="str">
        <x:v>重点观察</x:v>
      </x:c>
      <x:c r="B579" t="str">
        <x:v>补全 PB、财报，等待Agent自动验证</x:v>
      </x:c>
      <x:c r="C579" t="str">
        <x:v>002014</x:v>
      </x:c>
      <x:c r="D579" t="str">
        <x:v>永新股份</x:v>
      </x:c>
      <x:c r="E579" t="str">
        <x:v>主板</x:v>
      </x:c>
      <x:c r="F579" t="str">
        <x:v>待行业映射</x:v>
      </x:c>
      <x:c r="G579" t="str">
        <x:v>当前全市场行情快照缺少 PB；只能作为待补全研究队列，不得按完整估值条件生成交易建议。</x:v>
      </x:c>
      <x:c r="H579" t="n">
        <x:v>11.54</x:v>
      </x:c>
      <x:c r="I579" t="n">
        <x:v>16.1</x:v>
      </x:c>
      <x:c r="J579"/>
      <x:c r="K579" t="str">
        <x:v>待归档官方财报</x:v>
      </x:c>
      <x:c r="L579" t="str">
        <x:v>AkShare / Tencent all-A market snapshot</x:v>
      </x:c>
      <x:c r="M579" t="str">
        <x:v>ProxyError: primary market source unavailable; see source_id for full audit.</x:v>
      </x:c>
      <x:c r="N579" t="str">
        <x:v>0</x:v>
      </x:c>
      <x:c r="O579" t="str">
        <x:v>0fd6ad2d-3389-4e70-8974-eb85ee223eeb</x:v>
      </x:c>
      <x:c r="P579" t="str">
        <x:v>2026-09-04</x:v>
      </x:c>
    </x:row>
    <x:row r="580">
      <x:c r="A580" t="str">
        <x:v>重点观察</x:v>
      </x:c>
      <x:c r="B580" t="str">
        <x:v>补全 PB、财报，等待Agent自动验证</x:v>
      </x:c>
      <x:c r="C580" t="str">
        <x:v>600582</x:v>
      </x:c>
      <x:c r="D580" t="str">
        <x:v>天地科技</x:v>
      </x:c>
      <x:c r="E580" t="str">
        <x:v>主板</x:v>
      </x:c>
      <x:c r="F580" t="str">
        <x:v>待行业映射</x:v>
      </x:c>
      <x:c r="G580" t="str">
        <x:v>当前全市场行情快照缺少 PB；只能作为待补全研究队列，不得按完整估值条件生成交易建议。</x:v>
      </x:c>
      <x:c r="H580" t="n">
        <x:v>4.74</x:v>
      </x:c>
      <x:c r="I580" t="n">
        <x:v>17.81</x:v>
      </x:c>
      <x:c r="J580"/>
      <x:c r="K580" t="str">
        <x:v>待归档官方财报</x:v>
      </x:c>
      <x:c r="L580" t="str">
        <x:v>AkShare / Tencent all-A market snapshot</x:v>
      </x:c>
      <x:c r="M580" t="str">
        <x:v>ProxyError: primary market source unavailable; see source_id for full audit.</x:v>
      </x:c>
      <x:c r="N580" t="str">
        <x:v>0</x:v>
      </x:c>
      <x:c r="O580" t="str">
        <x:v>0fd6ad2d-3389-4e70-8974-eb85ee223eeb</x:v>
      </x:c>
      <x:c r="P580" t="str">
        <x:v>2026-09-04</x:v>
      </x:c>
    </x:row>
    <x:row r="581">
      <x:c r="A581" t="str">
        <x:v>重点观察</x:v>
      </x:c>
      <x:c r="B581" t="str">
        <x:v>补全 PB、财报，等待Agent自动验证</x:v>
      </x:c>
      <x:c r="C581" t="str">
        <x:v>002096</x:v>
      </x:c>
      <x:c r="D581" t="str">
        <x:v>易普力</x:v>
      </x:c>
      <x:c r="E581" t="str">
        <x:v>主板</x:v>
      </x:c>
      <x:c r="F581" t="str">
        <x:v>待行业映射</x:v>
      </x:c>
      <x:c r="G581" t="str">
        <x:v>当前全市场行情快照缺少 PB；只能作为待补全研究队列，不得按完整估值条件生成交易建议。</x:v>
      </x:c>
      <x:c r="H581" t="n">
        <x:v>9.64</x:v>
      </x:c>
      <x:c r="I581" t="n">
        <x:v>16.81</x:v>
      </x:c>
      <x:c r="J581"/>
      <x:c r="K581" t="str">
        <x:v>待归档官方财报</x:v>
      </x:c>
      <x:c r="L581" t="str">
        <x:v>AkShare / Tencent all-A market snapshot</x:v>
      </x:c>
      <x:c r="M581" t="str">
        <x:v>ProxyError: primary market source unavailable; see source_id for full audit.</x:v>
      </x:c>
      <x:c r="N581" t="str">
        <x:v>0</x:v>
      </x:c>
      <x:c r="O581" t="str">
        <x:v>0fd6ad2d-3389-4e70-8974-eb85ee223eeb</x:v>
      </x:c>
      <x:c r="P581" t="str">
        <x:v>2026-09-04</x:v>
      </x:c>
    </x:row>
    <x:row r="582">
      <x:c r="A582" t="str">
        <x:v>重点观察</x:v>
      </x:c>
      <x:c r="B582" t="str">
        <x:v>补全 PB、财报，等待Agent自动验证</x:v>
      </x:c>
      <x:c r="C582" t="str">
        <x:v>600993</x:v>
      </x:c>
      <x:c r="D582" t="str">
        <x:v>马应龙</x:v>
      </x:c>
      <x:c r="E582" t="str">
        <x:v>主板</x:v>
      </x:c>
      <x:c r="F582" t="str">
        <x:v>待行业映射</x:v>
      </x:c>
      <x:c r="G582" t="str">
        <x:v>当前全市场行情快照缺少 PB；只能作为待补全研究队列，不得按完整估值条件生成交易建议。</x:v>
      </x:c>
      <x:c r="H582" t="n">
        <x:v>23.06</x:v>
      </x:c>
      <x:c r="I582" t="n">
        <x:v>16.54</x:v>
      </x:c>
      <x:c r="J582"/>
      <x:c r="K582" t="str">
        <x:v>待归档官方财报</x:v>
      </x:c>
      <x:c r="L582" t="str">
        <x:v>AkShare / Tencent all-A market snapshot</x:v>
      </x:c>
      <x:c r="M582" t="str">
        <x:v>ProxyError: primary market source unavailable; see source_id for full audit.</x:v>
      </x:c>
      <x:c r="N582" t="str">
        <x:v>0</x:v>
      </x:c>
      <x:c r="O582" t="str">
        <x:v>0fd6ad2d-3389-4e70-8974-eb85ee223eeb</x:v>
      </x:c>
      <x:c r="P582" t="str">
        <x:v>2026-09-04</x:v>
      </x:c>
    </x:row>
    <x:row r="583">
      <x:c r="A583" t="str">
        <x:v>重点观察</x:v>
      </x:c>
      <x:c r="B583" t="str">
        <x:v>补全 PB、财报，等待Agent自动验证</x:v>
      </x:c>
      <x:c r="C583" t="str">
        <x:v>603279</x:v>
      </x:c>
      <x:c r="D583" t="str">
        <x:v>景津装备</x:v>
      </x:c>
      <x:c r="E583" t="str">
        <x:v>主板</x:v>
      </x:c>
      <x:c r="F583" t="str">
        <x:v>待行业映射</x:v>
      </x:c>
      <x:c r="G583" t="str">
        <x:v>当前全市场行情快照缺少 PB；只能作为待补全研究队列，不得按完整估值条件生成交易建议。</x:v>
      </x:c>
      <x:c r="H583" t="n">
        <x:v>11.36</x:v>
      </x:c>
      <x:c r="I583" t="n">
        <x:v>16.09</x:v>
      </x:c>
      <x:c r="J583"/>
      <x:c r="K583" t="str">
        <x:v>待归档官方财报</x:v>
      </x:c>
      <x:c r="L583" t="str">
        <x:v>AkShare / Tencent all-A market snapshot</x:v>
      </x:c>
      <x:c r="M583" t="str">
        <x:v>ProxyError: primary market source unavailable; see source_id for full audit.</x:v>
      </x:c>
      <x:c r="N583" t="str">
        <x:v>0</x:v>
      </x:c>
      <x:c r="O583" t="str">
        <x:v>0fd6ad2d-3389-4e70-8974-eb85ee223eeb</x:v>
      </x:c>
      <x:c r="P583" t="str">
        <x:v>2026-09-04</x:v>
      </x:c>
    </x:row>
    <x:row r="584">
      <x:c r="A584" t="str">
        <x:v>重点观察</x:v>
      </x:c>
      <x:c r="B584" t="str">
        <x:v>补全 PB、财报，等待Agent自动验证</x:v>
      </x:c>
      <x:c r="C584" t="str">
        <x:v>603596</x:v>
      </x:c>
      <x:c r="D584" t="str">
        <x:v>伯特利</x:v>
      </x:c>
      <x:c r="E584" t="str">
        <x:v>主板</x:v>
      </x:c>
      <x:c r="F584" t="str">
        <x:v>待行业映射</x:v>
      </x:c>
      <x:c r="G584" t="str">
        <x:v>当前全市场行情快照缺少 PB；只能作为待补全研究队列，不得按完整估值条件生成交易建议。</x:v>
      </x:c>
      <x:c r="H584" t="n">
        <x:v>29.96</x:v>
      </x:c>
      <x:c r="I584" t="n">
        <x:v>18.83</x:v>
      </x:c>
      <x:c r="J584"/>
      <x:c r="K584" t="str">
        <x:v>待归档官方财报</x:v>
      </x:c>
      <x:c r="L584" t="str">
        <x:v>AkShare / Tencent all-A market snapshot</x:v>
      </x:c>
      <x:c r="M584" t="str">
        <x:v>ProxyError: primary market source unavailable; see source_id for full audit.</x:v>
      </x:c>
      <x:c r="N584" t="str">
        <x:v>0</x:v>
      </x:c>
      <x:c r="O584" t="str">
        <x:v>0fd6ad2d-3389-4e70-8974-eb85ee223eeb</x:v>
      </x:c>
      <x:c r="P584" t="str">
        <x:v>2026-09-04</x:v>
      </x:c>
    </x:row>
    <x:row r="585">
      <x:c r="A585" t="str">
        <x:v>重点观察</x:v>
      </x:c>
      <x:c r="B585" t="str">
        <x:v>补全 PB、财报，等待Agent自动验证</x:v>
      </x:c>
      <x:c r="C585" t="str">
        <x:v>601866</x:v>
      </x:c>
      <x:c r="D585" t="str">
        <x:v>中远海发</x:v>
      </x:c>
      <x:c r="E585" t="str">
        <x:v>主板</x:v>
      </x:c>
      <x:c r="F585" t="str">
        <x:v>待行业映射</x:v>
      </x:c>
      <x:c r="G585" t="str">
        <x:v>当前全市场行情快照缺少 PB；只能作为待补全研究队列，不得按完整估值条件生成交易建议。</x:v>
      </x:c>
      <x:c r="H585" t="n">
        <x:v>2.44</x:v>
      </x:c>
      <x:c r="I585" t="n">
        <x:v>19.55</x:v>
      </x:c>
      <x:c r="J585"/>
      <x:c r="K585" t="str">
        <x:v>待归档官方财报</x:v>
      </x:c>
      <x:c r="L585" t="str">
        <x:v>AkShare / Tencent all-A market snapshot</x:v>
      </x:c>
      <x:c r="M585" t="str">
        <x:v>ProxyError: primary market source unavailable; see source_id for full audit.</x:v>
      </x:c>
      <x:c r="N585" t="str">
        <x:v>0</x:v>
      </x:c>
      <x:c r="O585" t="str">
        <x:v>0fd6ad2d-3389-4e70-8974-eb85ee223eeb</x:v>
      </x:c>
      <x:c r="P585" t="str">
        <x:v>2026-09-04</x:v>
      </x:c>
    </x:row>
    <x:row r="586">
      <x:c r="A586" t="str">
        <x:v>重点观察</x:v>
      </x:c>
      <x:c r="B586" t="str">
        <x:v>补全 PB、财报，等待Agent自动验证</x:v>
      </x:c>
      <x:c r="C586" t="str">
        <x:v>002392</x:v>
      </x:c>
      <x:c r="D586" t="str">
        <x:v>北京利尔</x:v>
      </x:c>
      <x:c r="E586" t="str">
        <x:v>主板</x:v>
      </x:c>
      <x:c r="F586" t="str">
        <x:v>待行业映射</x:v>
      </x:c>
      <x:c r="G586" t="str">
        <x:v>当前全市场行情快照缺少 PB；只能作为待补全研究队列，不得按完整估值条件生成交易建议。</x:v>
      </x:c>
      <x:c r="H586" t="n">
        <x:v>7.87</x:v>
      </x:c>
      <x:c r="I586" t="n">
        <x:v>16.51</x:v>
      </x:c>
      <x:c r="J586"/>
      <x:c r="K586" t="str">
        <x:v>待归档官方财报</x:v>
      </x:c>
      <x:c r="L586" t="str">
        <x:v>AkShare / Tencent all-A market snapshot</x:v>
      </x:c>
      <x:c r="M586" t="str">
        <x:v>ProxyError: primary market source unavailable; see source_id for full audit.</x:v>
      </x:c>
      <x:c r="N586" t="str">
        <x:v>0</x:v>
      </x:c>
      <x:c r="O586" t="str">
        <x:v>0fd6ad2d-3389-4e70-8974-eb85ee223eeb</x:v>
      </x:c>
      <x:c r="P586" t="str">
        <x:v>2026-09-04</x:v>
      </x:c>
    </x:row>
    <x:row r="587">
      <x:c r="A587" t="str">
        <x:v>重点观察</x:v>
      </x:c>
      <x:c r="B587" t="str">
        <x:v>补全 PB、财报，等待Agent自动验证</x:v>
      </x:c>
      <x:c r="C587" t="str">
        <x:v>601456</x:v>
      </x:c>
      <x:c r="D587" t="str">
        <x:v>国联民生</x:v>
      </x:c>
      <x:c r="E587" t="str">
        <x:v>主板</x:v>
      </x:c>
      <x:c r="F587" t="str">
        <x:v>待行业映射</x:v>
      </x:c>
      <x:c r="G587" t="str">
        <x:v>当前全市场行情快照缺少 PB；只能作为待补全研究队列，不得按完整估值条件生成交易建议。</x:v>
      </x:c>
      <x:c r="H587" t="n">
        <x:v>8.93</x:v>
      </x:c>
      <x:c r="I587" t="n">
        <x:v>22.08</x:v>
      </x:c>
      <x:c r="J587"/>
      <x:c r="K587" t="str">
        <x:v>待归档官方财报</x:v>
      </x:c>
      <x:c r="L587" t="str">
        <x:v>AkShare / Tencent all-A market snapshot</x:v>
      </x:c>
      <x:c r="M587" t="str">
        <x:v>ProxyError: primary market source unavailable; see source_id for full audit.</x:v>
      </x:c>
      <x:c r="N587" t="str">
        <x:v>0</x:v>
      </x:c>
      <x:c r="O587" t="str">
        <x:v>0fd6ad2d-3389-4e70-8974-eb85ee223eeb</x:v>
      </x:c>
      <x:c r="P587" t="str">
        <x:v>2026-09-04</x:v>
      </x:c>
    </x:row>
    <x:row r="588">
      <x:c r="A588" t="str">
        <x:v>重点观察</x:v>
      </x:c>
      <x:c r="B588" t="str">
        <x:v>补全 PB、财报，等待Agent自动验证</x:v>
      </x:c>
      <x:c r="C588" t="str">
        <x:v>603418</x:v>
      </x:c>
      <x:c r="D588" t="str">
        <x:v>友升股份</x:v>
      </x:c>
      <x:c r="E588" t="str">
        <x:v>主板</x:v>
      </x:c>
      <x:c r="F588" t="str">
        <x:v>待行业映射</x:v>
      </x:c>
      <x:c r="G588" t="str">
        <x:v>当前全市场行情快照缺少 PB；只能作为待补全研究队列，不得按完整估值条件生成交易建议。</x:v>
      </x:c>
      <x:c r="H588" t="n">
        <x:v>44.02</x:v>
      </x:c>
      <x:c r="I588" t="n">
        <x:v>16.4</x:v>
      </x:c>
      <x:c r="J588"/>
      <x:c r="K588" t="str">
        <x:v>待归档官方财报</x:v>
      </x:c>
      <x:c r="L588" t="str">
        <x:v>AkShare / Tencent all-A market snapshot</x:v>
      </x:c>
      <x:c r="M588" t="str">
        <x:v>ProxyError: primary market source unavailable; see source_id for full audit.</x:v>
      </x:c>
      <x:c r="N588" t="str">
        <x:v>0</x:v>
      </x:c>
      <x:c r="O588" t="str">
        <x:v>0fd6ad2d-3389-4e70-8974-eb85ee223eeb</x:v>
      </x:c>
      <x:c r="P588" t="str">
        <x:v>2026-09-04</x:v>
      </x:c>
    </x:row>
    <x:row r="589">
      <x:c r="A589" t="str">
        <x:v>重点观察</x:v>
      </x:c>
      <x:c r="B589" t="str">
        <x:v>补全 PB、财报，等待Agent自动验证</x:v>
      </x:c>
      <x:c r="C589" t="str">
        <x:v>603855</x:v>
      </x:c>
      <x:c r="D589" t="str">
        <x:v>华荣股份</x:v>
      </x:c>
      <x:c r="E589" t="str">
        <x:v>主板</x:v>
      </x:c>
      <x:c r="F589" t="str">
        <x:v>待行业映射</x:v>
      </x:c>
      <x:c r="G589" t="str">
        <x:v>当前全市场行情快照缺少 PB；只能作为待补全研究队列，不得按完整估值条件生成交易建议。</x:v>
      </x:c>
      <x:c r="H589" t="n">
        <x:v>17.06</x:v>
      </x:c>
      <x:c r="I589" t="n">
        <x:v>16.04</x:v>
      </x:c>
      <x:c r="J589"/>
      <x:c r="K589" t="str">
        <x:v>待归档官方财报</x:v>
      </x:c>
      <x:c r="L589" t="str">
        <x:v>AkShare / Tencent all-A market snapshot</x:v>
      </x:c>
      <x:c r="M589" t="str">
        <x:v>ProxyError: primary market source unavailable; see source_id for full audit.</x:v>
      </x:c>
      <x:c r="N589" t="str">
        <x:v>0</x:v>
      </x:c>
      <x:c r="O589" t="str">
        <x:v>0fd6ad2d-3389-4e70-8974-eb85ee223eeb</x:v>
      </x:c>
      <x:c r="P589" t="str">
        <x:v>2026-09-04</x:v>
      </x:c>
    </x:row>
    <x:row r="590">
      <x:c r="A590" t="str">
        <x:v>重点观察</x:v>
      </x:c>
      <x:c r="B590" t="str">
        <x:v>补全 PB、财报，等待Agent自动验证</x:v>
      </x:c>
      <x:c r="C590" t="str">
        <x:v>002734</x:v>
      </x:c>
      <x:c r="D590" t="str">
        <x:v>利民股份</x:v>
      </x:c>
      <x:c r="E590" t="str">
        <x:v>主板</x:v>
      </x:c>
      <x:c r="F590" t="str">
        <x:v>待行业映射</x:v>
      </x:c>
      <x:c r="G590" t="str">
        <x:v>当前全市场行情快照缺少 PB；只能作为待补全研究队列，不得按完整估值条件生成交易建议。</x:v>
      </x:c>
      <x:c r="H590" t="n">
        <x:v>16.8</x:v>
      </x:c>
      <x:c r="I590" t="n">
        <x:v>16.34</x:v>
      </x:c>
      <x:c r="J590"/>
      <x:c r="K590" t="str">
        <x:v>待归档官方财报</x:v>
      </x:c>
      <x:c r="L590" t="str">
        <x:v>AkShare / Tencent all-A market snapshot</x:v>
      </x:c>
      <x:c r="M590" t="str">
        <x:v>ProxyError: primary market source unavailable; see source_id for full audit.</x:v>
      </x:c>
      <x:c r="N590" t="str">
        <x:v>0</x:v>
      </x:c>
      <x:c r="O590" t="str">
        <x:v>0fd6ad2d-3389-4e70-8974-eb85ee223eeb</x:v>
      </x:c>
      <x:c r="P590" t="str">
        <x:v>2026-09-04</x:v>
      </x:c>
    </x:row>
    <x:row r="591">
      <x:c r="A591" t="str">
        <x:v>重点观察</x:v>
      </x:c>
      <x:c r="B591" t="str">
        <x:v>补全 PB、财报，等待Agent自动验证</x:v>
      </x:c>
      <x:c r="C591" t="str">
        <x:v>603766</x:v>
      </x:c>
      <x:c r="D591" t="str">
        <x:v>隆鑫通用</x:v>
      </x:c>
      <x:c r="E591" t="str">
        <x:v>主板</x:v>
      </x:c>
      <x:c r="F591" t="str">
        <x:v>待行业映射</x:v>
      </x:c>
      <x:c r="G591" t="str">
        <x:v>当前全市场行情快照缺少 PB；只能作为待补全研究队列，不得按完整估值条件生成交易建议。</x:v>
      </x:c>
      <x:c r="H591" t="n">
        <x:v>14.77</x:v>
      </x:c>
      <x:c r="I591" t="n">
        <x:v>19.38</x:v>
      </x:c>
      <x:c r="J591"/>
      <x:c r="K591" t="str">
        <x:v>待归档官方财报</x:v>
      </x:c>
      <x:c r="L591" t="str">
        <x:v>AkShare / Tencent all-A market snapshot</x:v>
      </x:c>
      <x:c r="M591" t="str">
        <x:v>ProxyError: primary market source unavailable; see source_id for full audit.</x:v>
      </x:c>
      <x:c r="N591" t="str">
        <x:v>0</x:v>
      </x:c>
      <x:c r="O591" t="str">
        <x:v>0fd6ad2d-3389-4e70-8974-eb85ee223eeb</x:v>
      </x:c>
      <x:c r="P591" t="str">
        <x:v>2026-09-04</x:v>
      </x:c>
    </x:row>
    <x:row r="592">
      <x:c r="A592" t="str">
        <x:v>重点观察</x:v>
      </x:c>
      <x:c r="B592" t="str">
        <x:v>补全 PB、财报，等待Agent自动验证</x:v>
      </x:c>
      <x:c r="C592" t="str">
        <x:v>689009</x:v>
      </x:c>
      <x:c r="D592" t="str">
        <x:v>九号公司-WD</x:v>
      </x:c>
      <x:c r="E592" t="str">
        <x:v>科创板</x:v>
      </x:c>
      <x:c r="F592" t="str">
        <x:v>待行业映射</x:v>
      </x:c>
      <x:c r="G592" t="str">
        <x:v>当前全市场行情快照缺少 PB；只能作为待补全研究队列，不得按完整估值条件生成交易建议。</x:v>
      </x:c>
      <x:c r="H592" t="n">
        <x:v>39.9</x:v>
      </x:c>
      <x:c r="I592" t="n">
        <x:v>19.25</x:v>
      </x:c>
      <x:c r="J592"/>
      <x:c r="K592" t="str">
        <x:v>待归档官方财报</x:v>
      </x:c>
      <x:c r="L592" t="str">
        <x:v>AkShare / Tencent all-A market snapshot</x:v>
      </x:c>
      <x:c r="M592" t="str">
        <x:v>ProxyError: primary market source unavailable; see source_id for full audit.</x:v>
      </x:c>
      <x:c r="N592" t="str">
        <x:v>0</x:v>
      </x:c>
      <x:c r="O592" t="str">
        <x:v>0fd6ad2d-3389-4e70-8974-eb85ee223eeb</x:v>
      </x:c>
      <x:c r="P592" t="str">
        <x:v>2026-09-04</x:v>
      </x:c>
    </x:row>
    <x:row r="593">
      <x:c r="A593" t="str">
        <x:v>重点观察</x:v>
      </x:c>
      <x:c r="B593" t="str">
        <x:v>补全 PB、财报，等待Agent自动验证</x:v>
      </x:c>
      <x:c r="C593" t="str">
        <x:v>603713</x:v>
      </x:c>
      <x:c r="D593" t="str">
        <x:v>密尔克卫</x:v>
      </x:c>
      <x:c r="E593" t="str">
        <x:v>主板</x:v>
      </x:c>
      <x:c r="F593" t="str">
        <x:v>待行业映射</x:v>
      </x:c>
      <x:c r="G593" t="str">
        <x:v>当前全市场行情快照缺少 PB；只能作为待补全研究队列，不得按完整估值条件生成交易建议。</x:v>
      </x:c>
      <x:c r="H593" t="n">
        <x:v>63.29</x:v>
      </x:c>
      <x:c r="I593" t="n">
        <x:v>16.79</x:v>
      </x:c>
      <x:c r="J593"/>
      <x:c r="K593" t="str">
        <x:v>待归档官方财报</x:v>
      </x:c>
      <x:c r="L593" t="str">
        <x:v>AkShare / Tencent all-A market snapshot</x:v>
      </x:c>
      <x:c r="M593" t="str">
        <x:v>ProxyError: primary market source unavailable; see source_id for full audit.</x:v>
      </x:c>
      <x:c r="N593" t="str">
        <x:v>0</x:v>
      </x:c>
      <x:c r="O593" t="str">
        <x:v>0fd6ad2d-3389-4e70-8974-eb85ee223eeb</x:v>
      </x:c>
      <x:c r="P593" t="str">
        <x:v>2026-09-04</x:v>
      </x:c>
    </x:row>
    <x:row r="594">
      <x:c r="A594" t="str">
        <x:v>重点观察</x:v>
      </x:c>
      <x:c r="B594" t="str">
        <x:v>补全 PB、财报，等待Agent自动验证</x:v>
      </x:c>
      <x:c r="C594" t="str">
        <x:v>601801</x:v>
      </x:c>
      <x:c r="D594" t="str">
        <x:v>皖新传媒</x:v>
      </x:c>
      <x:c r="E594" t="str">
        <x:v>主板</x:v>
      </x:c>
      <x:c r="F594" t="str">
        <x:v>待行业映射</x:v>
      </x:c>
      <x:c r="G594" t="str">
        <x:v>当前全市场行情快照缺少 PB；只能作为待补全研究队列，不得按完整估值条件生成交易建议。</x:v>
      </x:c>
      <x:c r="H594" t="n">
        <x:v>5.24</x:v>
      </x:c>
      <x:c r="I594" t="n">
        <x:v>16.7</x:v>
      </x:c>
      <x:c r="J594"/>
      <x:c r="K594" t="str">
        <x:v>待归档官方财报</x:v>
      </x:c>
      <x:c r="L594" t="str">
        <x:v>AkShare / Tencent all-A market snapshot</x:v>
      </x:c>
      <x:c r="M594" t="str">
        <x:v>ProxyError: primary market source unavailable; see source_id for full audit.</x:v>
      </x:c>
      <x:c r="N594" t="str">
        <x:v>0</x:v>
      </x:c>
      <x:c r="O594" t="str">
        <x:v>0fd6ad2d-3389-4e70-8974-eb85ee223eeb</x:v>
      </x:c>
      <x:c r="P594" t="str">
        <x:v>2026-09-04</x:v>
      </x:c>
    </x:row>
    <x:row r="595">
      <x:c r="A595" t="str">
        <x:v>重点观察</x:v>
      </x:c>
      <x:c r="B595" t="str">
        <x:v>补全 PB、财报，等待Agent自动验证</x:v>
      </x:c>
      <x:c r="C595" t="str">
        <x:v>600021</x:v>
      </x:c>
      <x:c r="D595" t="str">
        <x:v>上海电力</x:v>
      </x:c>
      <x:c r="E595" t="str">
        <x:v>主板</x:v>
      </x:c>
      <x:c r="F595" t="str">
        <x:v>待行业映射</x:v>
      </x:c>
      <x:c r="G595" t="str">
        <x:v>当前全市场行情快照缺少 PB；只能作为待补全研究队列，不得按完整估值条件生成交易建议。</x:v>
      </x:c>
      <x:c r="H595" t="n">
        <x:v>13.47</x:v>
      </x:c>
      <x:c r="I595" t="n">
        <x:v>20.44</x:v>
      </x:c>
      <x:c r="J595"/>
      <x:c r="K595" t="str">
        <x:v>待归档官方财报</x:v>
      </x:c>
      <x:c r="L595" t="str">
        <x:v>AkShare / Tencent all-A market snapshot</x:v>
      </x:c>
      <x:c r="M595" t="str">
        <x:v>ProxyError: primary market source unavailable; see source_id for full audit.</x:v>
      </x:c>
      <x:c r="N595" t="str">
        <x:v>0</x:v>
      </x:c>
      <x:c r="O595" t="str">
        <x:v>0fd6ad2d-3389-4e70-8974-eb85ee223eeb</x:v>
      </x:c>
      <x:c r="P595" t="str">
        <x:v>2026-09-04</x:v>
      </x:c>
    </x:row>
    <x:row r="596">
      <x:c r="A596" t="str">
        <x:v>重点观察</x:v>
      </x:c>
      <x:c r="B596" t="str">
        <x:v>补全 PB、财报，等待Agent自动验证</x:v>
      </x:c>
      <x:c r="C596" t="str">
        <x:v>688128</x:v>
      </x:c>
      <x:c r="D596" t="str">
        <x:v>中国电研</x:v>
      </x:c>
      <x:c r="E596" t="str">
        <x:v>科创板</x:v>
      </x:c>
      <x:c r="F596" t="str">
        <x:v>待行业映射</x:v>
      </x:c>
      <x:c r="G596" t="str">
        <x:v>当前全市场行情快照缺少 PB；只能作为待补全研究队列，不得按完整估值条件生成交易建议。</x:v>
      </x:c>
      <x:c r="H596" t="n">
        <x:v>22.07</x:v>
      </x:c>
      <x:c r="I596" t="n">
        <x:v>16.53</x:v>
      </x:c>
      <x:c r="J596"/>
      <x:c r="K596" t="str">
        <x:v>待归档官方财报</x:v>
      </x:c>
      <x:c r="L596" t="str">
        <x:v>AkShare / Tencent all-A market snapshot</x:v>
      </x:c>
      <x:c r="M596" t="str">
        <x:v>ProxyError: primary market source unavailable; see source_id for full audit.</x:v>
      </x:c>
      <x:c r="N596" t="str">
        <x:v>0</x:v>
      </x:c>
      <x:c r="O596" t="str">
        <x:v>0fd6ad2d-3389-4e70-8974-eb85ee223eeb</x:v>
      </x:c>
      <x:c r="P596" t="str">
        <x:v>2026-09-04</x:v>
      </x:c>
    </x:row>
    <x:row r="597">
      <x:c r="A597" t="str">
        <x:v>重点观察</x:v>
      </x:c>
      <x:c r="B597" t="str">
        <x:v>补全 PB、财报，等待Agent自动验证</x:v>
      </x:c>
      <x:c r="C597" t="str">
        <x:v>603043</x:v>
      </x:c>
      <x:c r="D597" t="str">
        <x:v>广州酒家</x:v>
      </x:c>
      <x:c r="E597" t="str">
        <x:v>主板</x:v>
      </x:c>
      <x:c r="F597" t="str">
        <x:v>待行业映射</x:v>
      </x:c>
      <x:c r="G597" t="str">
        <x:v>当前全市场行情快照缺少 PB；只能作为待补全研究队列，不得按完整估值条件生成交易建议。</x:v>
      </x:c>
      <x:c r="H597" t="n">
        <x:v>13.92</x:v>
      </x:c>
      <x:c r="I597" t="n">
        <x:v>16.41</x:v>
      </x:c>
      <x:c r="J597"/>
      <x:c r="K597" t="str">
        <x:v>待归档官方财报</x:v>
      </x:c>
      <x:c r="L597" t="str">
        <x:v>AkShare / Tencent all-A market snapshot</x:v>
      </x:c>
      <x:c r="M597" t="str">
        <x:v>ProxyError: primary market source unavailable; see source_id for full audit.</x:v>
      </x:c>
      <x:c r="N597" t="str">
        <x:v>0</x:v>
      </x:c>
      <x:c r="O597" t="str">
        <x:v>0fd6ad2d-3389-4e70-8974-eb85ee223eeb</x:v>
      </x:c>
      <x:c r="P597" t="str">
        <x:v>2026-09-04</x:v>
      </x:c>
    </x:row>
    <x:row r="598">
      <x:c r="A598" t="str">
        <x:v>重点观察</x:v>
      </x:c>
      <x:c r="B598" t="str">
        <x:v>补全 PB、财报，等待Agent自动验证</x:v>
      </x:c>
      <x:c r="C598" t="str">
        <x:v>002318</x:v>
      </x:c>
      <x:c r="D598" t="str">
        <x:v>久立特材</x:v>
      </x:c>
      <x:c r="E598" t="str">
        <x:v>主板</x:v>
      </x:c>
      <x:c r="F598" t="str">
        <x:v>待行业映射</x:v>
      </x:c>
      <x:c r="G598" t="str">
        <x:v>当前全市场行情快照缺少 PB；只能作为待补全研究队列，不得按完整估值条件生成交易建议。</x:v>
      </x:c>
      <x:c r="H598" t="n">
        <x:v>19.78</x:v>
      </x:c>
      <x:c r="I598" t="n">
        <x:v>17.99</x:v>
      </x:c>
      <x:c r="J598"/>
      <x:c r="K598" t="str">
        <x:v>待归档官方财报</x:v>
      </x:c>
      <x:c r="L598" t="str">
        <x:v>AkShare / Tencent all-A market snapshot</x:v>
      </x:c>
      <x:c r="M598" t="str">
        <x:v>ProxyError: primary market source unavailable; see source_id for full audit.</x:v>
      </x:c>
      <x:c r="N598" t="str">
        <x:v>0</x:v>
      </x:c>
      <x:c r="O598" t="str">
        <x:v>0fd6ad2d-3389-4e70-8974-eb85ee223eeb</x:v>
      </x:c>
      <x:c r="P598" t="str">
        <x:v>2026-09-04</x:v>
      </x:c>
    </x:row>
    <x:row r="599">
      <x:c r="A599" t="str">
        <x:v>重点观察</x:v>
      </x:c>
      <x:c r="B599" t="str">
        <x:v>补全 PB、财报，等待Agent自动验证</x:v>
      </x:c>
      <x:c r="C599" t="str">
        <x:v>605183</x:v>
      </x:c>
      <x:c r="D599" t="str">
        <x:v>确成股份</x:v>
      </x:c>
      <x:c r="E599" t="str">
        <x:v>主板</x:v>
      </x:c>
      <x:c r="F599" t="str">
        <x:v>待行业映射</x:v>
      </x:c>
      <x:c r="G599" t="str">
        <x:v>当前全市场行情快照缺少 PB；只能作为待补全研究队列，不得按完整估值条件生成交易建议。</x:v>
      </x:c>
      <x:c r="H599" t="n">
        <x:v>15.58</x:v>
      </x:c>
      <x:c r="I599" t="n">
        <x:v>16.26</x:v>
      </x:c>
      <x:c r="J599"/>
      <x:c r="K599" t="str">
        <x:v>待归档官方财报</x:v>
      </x:c>
      <x:c r="L599" t="str">
        <x:v>AkShare / Tencent all-A market snapshot</x:v>
      </x:c>
      <x:c r="M599" t="str">
        <x:v>ProxyError: primary market source unavailable; see source_id for full audit.</x:v>
      </x:c>
      <x:c r="N599" t="str">
        <x:v>0</x:v>
      </x:c>
      <x:c r="O599" t="str">
        <x:v>0fd6ad2d-3389-4e70-8974-eb85ee223eeb</x:v>
      </x:c>
      <x:c r="P599" t="str">
        <x:v>2026-09-04</x:v>
      </x:c>
    </x:row>
    <x:row r="600">
      <x:c r="A600" t="str">
        <x:v>重点观察</x:v>
      </x:c>
      <x:c r="B600" t="str">
        <x:v>补全 PB、财报，等待Agent自动验证</x:v>
      </x:c>
      <x:c r="C600" t="str">
        <x:v>001391</x:v>
      </x:c>
      <x:c r="D600" t="str">
        <x:v>国货航</x:v>
      </x:c>
      <x:c r="E600" t="str">
        <x:v>主板</x:v>
      </x:c>
      <x:c r="F600" t="str">
        <x:v>待行业映射</x:v>
      </x:c>
      <x:c r="G600" t="str">
        <x:v>当前全市场行情快照缺少 PB；只能作为待补全研究队列，不得按完整估值条件生成交易建议。</x:v>
      </x:c>
      <x:c r="H600" t="n">
        <x:v>4.1</x:v>
      </x:c>
      <x:c r="I600" t="n">
        <x:v>22.13</x:v>
      </x:c>
      <x:c r="J600"/>
      <x:c r="K600" t="str">
        <x:v>待归档官方财报</x:v>
      </x:c>
      <x:c r="L600" t="str">
        <x:v>AkShare / Tencent all-A market snapshot</x:v>
      </x:c>
      <x:c r="M600" t="str">
        <x:v>ProxyError: primary market source unavailable; see source_id for full audit.</x:v>
      </x:c>
      <x:c r="N600" t="str">
        <x:v>0</x:v>
      </x:c>
      <x:c r="O600" t="str">
        <x:v>0fd6ad2d-3389-4e70-8974-eb85ee223eeb</x:v>
      </x:c>
      <x:c r="P600" t="str">
        <x:v>2026-09-04</x:v>
      </x:c>
    </x:row>
    <x:row r="601">
      <x:c r="A601" t="str">
        <x:v>重点观察</x:v>
      </x:c>
      <x:c r="B601" t="str">
        <x:v>补全 PB、财报，等待Agent自动验证</x:v>
      </x:c>
      <x:c r="C601" t="str">
        <x:v>000960</x:v>
      </x:c>
      <x:c r="D601" t="str">
        <x:v>锡业股份</x:v>
      </x:c>
      <x:c r="E601" t="str">
        <x:v>主板</x:v>
      </x:c>
      <x:c r="F601" t="str">
        <x:v>待行业映射</x:v>
      </x:c>
      <x:c r="G601" t="str">
        <x:v>当前全市场行情快照缺少 PB；只能作为待补全研究队列，不得按完整估值条件生成交易建议。</x:v>
      </x:c>
      <x:c r="H601" t="n">
        <x:v>33.42</x:v>
      </x:c>
      <x:c r="I601" t="n">
        <x:v>22.84</x:v>
      </x:c>
      <x:c r="J601"/>
      <x:c r="K601" t="str">
        <x:v>待归档官方财报</x:v>
      </x:c>
      <x:c r="L601" t="str">
        <x:v>AkShare / Tencent all-A market snapshot</x:v>
      </x:c>
      <x:c r="M601" t="str">
        <x:v>ProxyError: primary market source unavailable; see source_id for full audit.</x:v>
      </x:c>
      <x:c r="N601" t="str">
        <x:v>0</x:v>
      </x:c>
      <x:c r="O601" t="str">
        <x:v>0fd6ad2d-3389-4e70-8974-eb85ee223eeb</x:v>
      </x:c>
      <x:c r="P601" t="str">
        <x:v>2026-09-04</x:v>
      </x:c>
    </x:row>
    <x:row r="602">
      <x:c r="A602" t="str">
        <x:v>重点观察</x:v>
      </x:c>
      <x:c r="B602" t="str">
        <x:v>补全 PB、财报，等待Agent自动验证</x:v>
      </x:c>
      <x:c r="C602" t="str">
        <x:v>605099</x:v>
      </x:c>
      <x:c r="D602" t="str">
        <x:v>共创草坪</x:v>
      </x:c>
      <x:c r="E602" t="str">
        <x:v>主板</x:v>
      </x:c>
      <x:c r="F602" t="str">
        <x:v>待行业映射</x:v>
      </x:c>
      <x:c r="G602" t="str">
        <x:v>当前全市场行情快照缺少 PB；只能作为待补全研究队列，不得按完整估值条件生成交易建议。</x:v>
      </x:c>
      <x:c r="H602" t="n">
        <x:v>29.75</x:v>
      </x:c>
      <x:c r="I602" t="n">
        <x:v>17.07</x:v>
      </x:c>
      <x:c r="J602"/>
      <x:c r="K602" t="str">
        <x:v>待归档官方财报</x:v>
      </x:c>
      <x:c r="L602" t="str">
        <x:v>AkShare / Tencent all-A market snapshot</x:v>
      </x:c>
      <x:c r="M602" t="str">
        <x:v>ProxyError: primary market source unavailable; see source_id for full audit.</x:v>
      </x:c>
      <x:c r="N602" t="str">
        <x:v>0</x:v>
      </x:c>
      <x:c r="O602" t="str">
        <x:v>0fd6ad2d-3389-4e70-8974-eb85ee223eeb</x:v>
      </x:c>
      <x:c r="P602" t="str">
        <x:v>2026-09-04</x:v>
      </x:c>
    </x:row>
    <x:row r="603">
      <x:c r="A603" t="str">
        <x:v>重点观察</x:v>
      </x:c>
      <x:c r="B603" t="str">
        <x:v>补全 PB、财报，等待Agent自动验证</x:v>
      </x:c>
      <x:c r="C603" t="str">
        <x:v>300705</x:v>
      </x:c>
      <x:c r="D603" t="str">
        <x:v>九典制药</x:v>
      </x:c>
      <x:c r="E603" t="str">
        <x:v>创业板</x:v>
      </x:c>
      <x:c r="F603" t="str">
        <x:v>待行业映射</x:v>
      </x:c>
      <x:c r="G603" t="str">
        <x:v>当前全市场行情快照缺少 PB；只能作为待补全研究队列，不得按完整估值条件生成交易建议。</x:v>
      </x:c>
      <x:c r="H603" t="n">
        <x:v>11.06</x:v>
      </x:c>
      <x:c r="I603" t="n">
        <x:v>16.22</x:v>
      </x:c>
      <x:c r="J603"/>
      <x:c r="K603" t="str">
        <x:v>待归档官方财报</x:v>
      </x:c>
      <x:c r="L603" t="str">
        <x:v>AkShare / Tencent all-A market snapshot</x:v>
      </x:c>
      <x:c r="M603" t="str">
        <x:v>ProxyError: primary market source unavailable; see source_id for full audit.</x:v>
      </x:c>
      <x:c r="N603" t="str">
        <x:v>0</x:v>
      </x:c>
      <x:c r="O603" t="str">
        <x:v>0fd6ad2d-3389-4e70-8974-eb85ee223eeb</x:v>
      </x:c>
      <x:c r="P603" t="str">
        <x:v>2026-09-04</x:v>
      </x:c>
    </x:row>
    <x:row r="604">
      <x:c r="A604" t="str">
        <x:v>重点观察</x:v>
      </x:c>
      <x:c r="B604" t="str">
        <x:v>补全 PB、财报，等待Agent自动验证</x:v>
      </x:c>
      <x:c r="C604" t="str">
        <x:v>600335</x:v>
      </x:c>
      <x:c r="D604" t="str">
        <x:v>国机汽车</x:v>
      </x:c>
      <x:c r="E604" t="str">
        <x:v>主板</x:v>
      </x:c>
      <x:c r="F604" t="str">
        <x:v>待行业映射</x:v>
      </x:c>
      <x:c r="G604" t="str">
        <x:v>当前全市场行情快照缺少 PB；只能作为待补全研究队列，不得按完整估值条件生成交易建议。</x:v>
      </x:c>
      <x:c r="H604" t="n">
        <x:v>5.18</x:v>
      </x:c>
      <x:c r="I604" t="n">
        <x:v>16.52</x:v>
      </x:c>
      <x:c r="J604"/>
      <x:c r="K604" t="str">
        <x:v>待归档官方财报</x:v>
      </x:c>
      <x:c r="L604" t="str">
        <x:v>AkShare / Tencent all-A market snapshot</x:v>
      </x:c>
      <x:c r="M604" t="str">
        <x:v>ProxyError: primary market source unavailable; see source_id for full audit.</x:v>
      </x:c>
      <x:c r="N604" t="str">
        <x:v>0</x:v>
      </x:c>
      <x:c r="O604" t="str">
        <x:v>0fd6ad2d-3389-4e70-8974-eb85ee223eeb</x:v>
      </x:c>
      <x:c r="P604" t="str">
        <x:v>2026-09-04</x:v>
      </x:c>
    </x:row>
    <x:row r="605">
      <x:c r="A605" t="str">
        <x:v>重点观察</x:v>
      </x:c>
      <x:c r="B605" t="str">
        <x:v>补全 PB、财报，等待Agent自动验证</x:v>
      </x:c>
      <x:c r="C605" t="str">
        <x:v>603112</x:v>
      </x:c>
      <x:c r="D605" t="str">
        <x:v>华翔股份</x:v>
      </x:c>
      <x:c r="E605" t="str">
        <x:v>主板</x:v>
      </x:c>
      <x:c r="F605" t="str">
        <x:v>待行业映射</x:v>
      </x:c>
      <x:c r="G605" t="str">
        <x:v>当前全市场行情快照缺少 PB；只能作为待补全研究队列，不得按完整估值条件生成交易建议。</x:v>
      </x:c>
      <x:c r="H605" t="n">
        <x:v>16.41</x:v>
      </x:c>
      <x:c r="I605" t="n">
        <x:v>16.75</x:v>
      </x:c>
      <x:c r="J605"/>
      <x:c r="K605" t="str">
        <x:v>待归档官方财报</x:v>
      </x:c>
      <x:c r="L605" t="str">
        <x:v>AkShare / Tencent all-A market snapshot</x:v>
      </x:c>
      <x:c r="M605" t="str">
        <x:v>ProxyError: primary market source unavailable; see source_id for full audit.</x:v>
      </x:c>
      <x:c r="N605" t="str">
        <x:v>0</x:v>
      </x:c>
      <x:c r="O605" t="str">
        <x:v>0fd6ad2d-3389-4e70-8974-eb85ee223eeb</x:v>
      </x:c>
      <x:c r="P605" t="str">
        <x:v>2026-09-04</x:v>
      </x:c>
    </x:row>
    <x:row r="606">
      <x:c r="A606" t="str">
        <x:v>重点观察</x:v>
      </x:c>
      <x:c r="B606" t="str">
        <x:v>补全 PB、财报，等待Agent自动验证</x:v>
      </x:c>
      <x:c r="C606" t="str">
        <x:v>605507</x:v>
      </x:c>
      <x:c r="D606" t="str">
        <x:v>国邦医药</x:v>
      </x:c>
      <x:c r="E606" t="str">
        <x:v>主板</x:v>
      </x:c>
      <x:c r="F606" t="str">
        <x:v>待行业映射</x:v>
      </x:c>
      <x:c r="G606" t="str">
        <x:v>当前全市场行情快照缺少 PB；只能作为待补全研究队列，不得按完整估值条件生成交易建议。</x:v>
      </x:c>
      <x:c r="H606" t="n">
        <x:v>15.58</x:v>
      </x:c>
      <x:c r="I606" t="n">
        <x:v>17.25</x:v>
      </x:c>
      <x:c r="J606"/>
      <x:c r="K606" t="str">
        <x:v>待归档官方财报</x:v>
      </x:c>
      <x:c r="L606" t="str">
        <x:v>AkShare / Tencent all-A market snapshot</x:v>
      </x:c>
      <x:c r="M606" t="str">
        <x:v>ProxyError: primary market source unavailable; see source_id for full audit.</x:v>
      </x:c>
      <x:c r="N606" t="str">
        <x:v>0</x:v>
      </x:c>
      <x:c r="O606" t="str">
        <x:v>0fd6ad2d-3389-4e70-8974-eb85ee223eeb</x:v>
      </x:c>
      <x:c r="P606" t="str">
        <x:v>2026-09-04</x:v>
      </x:c>
    </x:row>
    <x:row r="607">
      <x:c r="A607" t="str">
        <x:v>重点观察</x:v>
      </x:c>
      <x:c r="B607" t="str">
        <x:v>补全 PB、财报，等待Agent自动验证</x:v>
      </x:c>
      <x:c r="C607" t="str">
        <x:v>002801</x:v>
      </x:c>
      <x:c r="D607" t="str">
        <x:v>微光股份</x:v>
      </x:c>
      <x:c r="E607" t="str">
        <x:v>主板</x:v>
      </x:c>
      <x:c r="F607" t="str">
        <x:v>待行业映射</x:v>
      </x:c>
      <x:c r="G607" t="str">
        <x:v>当前全市场行情快照缺少 PB；只能作为待补全研究队列，不得按完整估值条件生成交易建议。</x:v>
      </x:c>
      <x:c r="H607" t="n">
        <x:v>27.98</x:v>
      </x:c>
      <x:c r="I607" t="n">
        <x:v>16.5</x:v>
      </x:c>
      <x:c r="J607"/>
      <x:c r="K607" t="str">
        <x:v>待归档官方财报</x:v>
      </x:c>
      <x:c r="L607" t="str">
        <x:v>AkShare / Tencent all-A market snapshot</x:v>
      </x:c>
      <x:c r="M607" t="str">
        <x:v>ProxyError: primary market source unavailable; see source_id for full audit.</x:v>
      </x:c>
      <x:c r="N607" t="str">
        <x:v>0</x:v>
      </x:c>
      <x:c r="O607" t="str">
        <x:v>0fd6ad2d-3389-4e70-8974-eb85ee223eeb</x:v>
      </x:c>
      <x:c r="P607" t="str">
        <x:v>2026-09-04</x:v>
      </x:c>
    </x:row>
    <x:row r="608">
      <x:c r="A608" t="str">
        <x:v>重点观察</x:v>
      </x:c>
      <x:c r="B608" t="str">
        <x:v>补全 PB、财报，等待Agent自动验证</x:v>
      </x:c>
      <x:c r="C608" t="str">
        <x:v>301039</x:v>
      </x:c>
      <x:c r="D608" t="str">
        <x:v>中集车辆</x:v>
      </x:c>
      <x:c r="E608" t="str">
        <x:v>创业板</x:v>
      </x:c>
      <x:c r="F608" t="str">
        <x:v>待行业映射</x:v>
      </x:c>
      <x:c r="G608" t="str">
        <x:v>当前全市场行情快照缺少 PB；只能作为待补全研究队列，不得按完整估值条件生成交易建议。</x:v>
      </x:c>
      <x:c r="H608" t="n">
        <x:v>7.85</x:v>
      </x:c>
      <x:c r="I608" t="n">
        <x:v>17.62</x:v>
      </x:c>
      <x:c r="J608"/>
      <x:c r="K608" t="str">
        <x:v>待归档官方财报</x:v>
      </x:c>
      <x:c r="L608" t="str">
        <x:v>AkShare / Tencent all-A market snapshot</x:v>
      </x:c>
      <x:c r="M608" t="str">
        <x:v>ProxyError: primary market source unavailable; see source_id for full audit.</x:v>
      </x:c>
      <x:c r="N608" t="str">
        <x:v>0</x:v>
      </x:c>
      <x:c r="O608" t="str">
        <x:v>0fd6ad2d-3389-4e70-8974-eb85ee223eeb</x:v>
      </x:c>
      <x:c r="P608" t="str">
        <x:v>2026-09-04</x:v>
      </x:c>
    </x:row>
    <x:row r="609">
      <x:c r="A609" t="str">
        <x:v>重点观察</x:v>
      </x:c>
      <x:c r="B609" t="str">
        <x:v>补全 PB、财报，等待Agent自动验证</x:v>
      </x:c>
      <x:c r="C609" t="str">
        <x:v>603181</x:v>
      </x:c>
      <x:c r="D609" t="str">
        <x:v>皇马科技</x:v>
      </x:c>
      <x:c r="E609" t="str">
        <x:v>主板</x:v>
      </x:c>
      <x:c r="F609" t="str">
        <x:v>待行业映射</x:v>
      </x:c>
      <x:c r="G609" t="str">
        <x:v>当前全市场行情快照缺少 PB；只能作为待补全研究队列，不得按完整估值条件生成交易建议。</x:v>
      </x:c>
      <x:c r="H609" t="n">
        <x:v>12.75</x:v>
      </x:c>
      <x:c r="I609" t="n">
        <x:v>16.68</x:v>
      </x:c>
      <x:c r="J609"/>
      <x:c r="K609" t="str">
        <x:v>待归档官方财报</x:v>
      </x:c>
      <x:c r="L609" t="str">
        <x:v>AkShare / Tencent all-A market snapshot</x:v>
      </x:c>
      <x:c r="M609" t="str">
        <x:v>ProxyError: primary market source unavailable; see source_id for full audit.</x:v>
      </x:c>
      <x:c r="N609" t="str">
        <x:v>0</x:v>
      </x:c>
      <x:c r="O609" t="str">
        <x:v>0fd6ad2d-3389-4e70-8974-eb85ee223eeb</x:v>
      </x:c>
      <x:c r="P609" t="str">
        <x:v>2026-09-04</x:v>
      </x:c>
    </x:row>
    <x:row r="610">
      <x:c r="A610" t="str">
        <x:v>重点观察</x:v>
      </x:c>
      <x:c r="B610" t="str">
        <x:v>补全 PB、财报，等待Agent自动验证</x:v>
      </x:c>
      <x:c r="C610" t="str">
        <x:v>002287</x:v>
      </x:c>
      <x:c r="D610" t="str">
        <x:v>奇正藏药</x:v>
      </x:c>
      <x:c r="E610" t="str">
        <x:v>主板</x:v>
      </x:c>
      <x:c r="F610" t="str">
        <x:v>待行业映射</x:v>
      </x:c>
      <x:c r="G610" t="str">
        <x:v>当前全市场行情快照缺少 PB；只能作为待补全研究队列，不得按完整估值条件生成交易建议。</x:v>
      </x:c>
      <x:c r="H610" t="n">
        <x:v>19.9</x:v>
      </x:c>
      <x:c r="I610" t="n">
        <x:v>17.22</x:v>
      </x:c>
      <x:c r="J610"/>
      <x:c r="K610" t="str">
        <x:v>待归档官方财报</x:v>
      </x:c>
      <x:c r="L610" t="str">
        <x:v>AkShare / Tencent all-A market snapshot</x:v>
      </x:c>
      <x:c r="M610" t="str">
        <x:v>ProxyError: primary market source unavailable; see source_id for full audit.</x:v>
      </x:c>
      <x:c r="N610" t="str">
        <x:v>0</x:v>
      </x:c>
      <x:c r="O610" t="str">
        <x:v>0fd6ad2d-3389-4e70-8974-eb85ee223eeb</x:v>
      </x:c>
      <x:c r="P610" t="str">
        <x:v>2026-09-04</x:v>
      </x:c>
    </x:row>
    <x:row r="611">
      <x:c r="A611" t="str">
        <x:v>重点观察</x:v>
      </x:c>
      <x:c r="B611" t="str">
        <x:v>补全 PB、财报，等待Agent自动验证</x:v>
      </x:c>
      <x:c r="C611" t="str">
        <x:v>002603</x:v>
      </x:c>
      <x:c r="D611" t="str">
        <x:v>以岭药业</x:v>
      </x:c>
      <x:c r="E611" t="str">
        <x:v>主板</x:v>
      </x:c>
      <x:c r="F611" t="str">
        <x:v>待行业映射</x:v>
      </x:c>
      <x:c r="G611" t="str">
        <x:v>当前全市场行情快照缺少 PB；只能作为待补全研究队列，不得按完整估值条件生成交易建议。</x:v>
      </x:c>
      <x:c r="H611" t="n">
        <x:v>15.87</x:v>
      </x:c>
      <x:c r="I611" t="n">
        <x:v>19.28</x:v>
      </x:c>
      <x:c r="J611"/>
      <x:c r="K611" t="str">
        <x:v>待归档官方财报</x:v>
      </x:c>
      <x:c r="L611" t="str">
        <x:v>AkShare / Tencent all-A market snapshot</x:v>
      </x:c>
      <x:c r="M611" t="str">
        <x:v>ProxyError: primary market source unavailable; see source_id for full audit.</x:v>
      </x:c>
      <x:c r="N611" t="str">
        <x:v>0</x:v>
      </x:c>
      <x:c r="O611" t="str">
        <x:v>0fd6ad2d-3389-4e70-8974-eb85ee223eeb</x:v>
      </x:c>
      <x:c r="P611" t="str">
        <x:v>2026-09-04</x:v>
      </x:c>
    </x:row>
    <x:row r="612">
      <x:c r="A612" t="str">
        <x:v>重点观察</x:v>
      </x:c>
      <x:c r="B612" t="str">
        <x:v>补全 PB、财报，等待Agent自动验证</x:v>
      </x:c>
      <x:c r="C612" t="str">
        <x:v>002959</x:v>
      </x:c>
      <x:c r="D612" t="str">
        <x:v>小熊电器</x:v>
      </x:c>
      <x:c r="E612" t="str">
        <x:v>主板</x:v>
      </x:c>
      <x:c r="F612" t="str">
        <x:v>待行业映射</x:v>
      </x:c>
      <x:c r="G612" t="str">
        <x:v>当前全市场行情快照缺少 PB；只能作为待补全研究队列，不得按完整估值条件生成交易建议。</x:v>
      </x:c>
      <x:c r="H612" t="n">
        <x:v>32.42</x:v>
      </x:c>
      <x:c r="I612" t="n">
        <x:v>16.41</x:v>
      </x:c>
      <x:c r="J612"/>
      <x:c r="K612" t="str">
        <x:v>待归档官方财报</x:v>
      </x:c>
      <x:c r="L612" t="str">
        <x:v>AkShare / Tencent all-A market snapshot</x:v>
      </x:c>
      <x:c r="M612" t="str">
        <x:v>ProxyError: primary market source unavailable; see source_id for full audit.</x:v>
      </x:c>
      <x:c r="N612" t="str">
        <x:v>0</x:v>
      </x:c>
      <x:c r="O612" t="str">
        <x:v>0fd6ad2d-3389-4e70-8974-eb85ee223eeb</x:v>
      </x:c>
      <x:c r="P612" t="str">
        <x:v>2026-09-04</x:v>
      </x:c>
    </x:row>
    <x:row r="613">
      <x:c r="A613" t="str">
        <x:v>重点观察</x:v>
      </x:c>
      <x:c r="B613" t="str">
        <x:v>补全 PB、财报，等待Agent自动验证</x:v>
      </x:c>
      <x:c r="C613" t="str">
        <x:v>002906</x:v>
      </x:c>
      <x:c r="D613" t="str">
        <x:v>华阳集团</x:v>
      </x:c>
      <x:c r="E613" t="str">
        <x:v>主板</x:v>
      </x:c>
      <x:c r="F613" t="str">
        <x:v>待行业映射</x:v>
      </x:c>
      <x:c r="G613" t="str">
        <x:v>当前全市场行情快照缺少 PB；只能作为待补全研究队列，不得按完整估值条件生成交易建议。</x:v>
      </x:c>
      <x:c r="H613" t="n">
        <x:v>28.45</x:v>
      </x:c>
      <x:c r="I613" t="n">
        <x:v>17.75</x:v>
      </x:c>
      <x:c r="J613"/>
      <x:c r="K613" t="str">
        <x:v>待归档官方财报</x:v>
      </x:c>
      <x:c r="L613" t="str">
        <x:v>AkShare / Tencent all-A market snapshot</x:v>
      </x:c>
      <x:c r="M613" t="str">
        <x:v>ProxyError: primary market source unavailable; see source_id for full audit.</x:v>
      </x:c>
      <x:c r="N613" t="str">
        <x:v>0</x:v>
      </x:c>
      <x:c r="O613" t="str">
        <x:v>0fd6ad2d-3389-4e70-8974-eb85ee223eeb</x:v>
      </x:c>
      <x:c r="P613" t="str">
        <x:v>2026-09-04</x:v>
      </x:c>
    </x:row>
    <x:row r="614">
      <x:c r="A614" t="str">
        <x:v>重点观察</x:v>
      </x:c>
      <x:c r="B614" t="str">
        <x:v>补全 PB、财报，等待Agent自动验证</x:v>
      </x:c>
      <x:c r="C614" t="str">
        <x:v>603025</x:v>
      </x:c>
      <x:c r="D614" t="str">
        <x:v>大豪科技</x:v>
      </x:c>
      <x:c r="E614" t="str">
        <x:v>主板</x:v>
      </x:c>
      <x:c r="F614" t="str">
        <x:v>待行业映射</x:v>
      </x:c>
      <x:c r="G614" t="str">
        <x:v>当前全市场行情快照缺少 PB；只能作为待补全研究队列，不得按完整估值条件生成交易建议。</x:v>
      </x:c>
      <x:c r="H614" t="n">
        <x:v>13.43</x:v>
      </x:c>
      <x:c r="I614" t="n">
        <x:v>17.78</x:v>
      </x:c>
      <x:c r="J614"/>
      <x:c r="K614" t="str">
        <x:v>待归档官方财报</x:v>
      </x:c>
      <x:c r="L614" t="str">
        <x:v>AkShare / Tencent all-A market snapshot</x:v>
      </x:c>
      <x:c r="M614" t="str">
        <x:v>ProxyError: primary market source unavailable; see source_id for full audit.</x:v>
      </x:c>
      <x:c r="N614" t="str">
        <x:v>0</x:v>
      </x:c>
      <x:c r="O614" t="str">
        <x:v>0fd6ad2d-3389-4e70-8974-eb85ee223eeb</x:v>
      </x:c>
      <x:c r="P614" t="str">
        <x:v>2026-09-04</x:v>
      </x:c>
    </x:row>
    <x:row r="615">
      <x:c r="A615" t="str">
        <x:v>重点观察</x:v>
      </x:c>
      <x:c r="B615" t="str">
        <x:v>补全 PB、财报，等待Agent自动验证</x:v>
      </x:c>
      <x:c r="C615" t="str">
        <x:v>300596</x:v>
      </x:c>
      <x:c r="D615" t="str">
        <x:v>利安隆</x:v>
      </x:c>
      <x:c r="E615" t="str">
        <x:v>创业板</x:v>
      </x:c>
      <x:c r="F615" t="str">
        <x:v>待行业映射</x:v>
      </x:c>
      <x:c r="G615" t="str">
        <x:v>当前全市场行情快照缺少 PB；只能作为待补全研究队列，不得按完整估值条件生成交易建议。</x:v>
      </x:c>
      <x:c r="H615" t="n">
        <x:v>41</x:v>
      </x:c>
      <x:c r="I615" t="n">
        <x:v>17.04</x:v>
      </x:c>
      <x:c r="J615"/>
      <x:c r="K615" t="str">
        <x:v>待归档官方财报</x:v>
      </x:c>
      <x:c r="L615" t="str">
        <x:v>AkShare / Tencent all-A market snapshot</x:v>
      </x:c>
      <x:c r="M615" t="str">
        <x:v>ProxyError: primary market source unavailable; see source_id for full audit.</x:v>
      </x:c>
      <x:c r="N615" t="str">
        <x:v>0</x:v>
      </x:c>
      <x:c r="O615" t="str">
        <x:v>0fd6ad2d-3389-4e70-8974-eb85ee223eeb</x:v>
      </x:c>
      <x:c r="P615" t="str">
        <x:v>2026-09-04</x:v>
      </x:c>
    </x:row>
    <x:row r="616">
      <x:c r="A616" t="str">
        <x:v>重点观察</x:v>
      </x:c>
      <x:c r="B616" t="str">
        <x:v>补全 PB、财报，等待Agent自动验证</x:v>
      </x:c>
      <x:c r="C616" t="str">
        <x:v>002423</x:v>
      </x:c>
      <x:c r="D616" t="str">
        <x:v>中粮资本</x:v>
      </x:c>
      <x:c r="E616" t="str">
        <x:v>主板</x:v>
      </x:c>
      <x:c r="F616" t="str">
        <x:v>待行业映射</x:v>
      </x:c>
      <x:c r="G616" t="str">
        <x:v>当前全市场行情快照缺少 PB；只能作为待补全研究队列，不得按完整估值条件生成交易建议。</x:v>
      </x:c>
      <x:c r="H616" t="n">
        <x:v>9.83</x:v>
      </x:c>
      <x:c r="I616" t="n">
        <x:v>18.84</x:v>
      </x:c>
      <x:c r="J616"/>
      <x:c r="K616" t="str">
        <x:v>待归档官方财报</x:v>
      </x:c>
      <x:c r="L616" t="str">
        <x:v>AkShare / Tencent all-A market snapshot</x:v>
      </x:c>
      <x:c r="M616" t="str">
        <x:v>ProxyError: primary market source unavailable; see source_id for full audit.</x:v>
      </x:c>
      <x:c r="N616" t="str">
        <x:v>0</x:v>
      </x:c>
      <x:c r="O616" t="str">
        <x:v>0fd6ad2d-3389-4e70-8974-eb85ee223eeb</x:v>
      </x:c>
      <x:c r="P616" t="str">
        <x:v>2026-09-04</x:v>
      </x:c>
    </x:row>
    <x:row r="617">
      <x:c r="A617" t="str">
        <x:v>重点观察</x:v>
      </x:c>
      <x:c r="B617" t="str">
        <x:v>补全 PB、财报，等待Agent自动验证</x:v>
      </x:c>
      <x:c r="C617" t="str">
        <x:v>002756</x:v>
      </x:c>
      <x:c r="D617" t="str">
        <x:v>永兴材料</x:v>
      </x:c>
      <x:c r="E617" t="str">
        <x:v>主板</x:v>
      </x:c>
      <x:c r="F617" t="str">
        <x:v>待行业映射</x:v>
      </x:c>
      <x:c r="G617" t="str">
        <x:v>当前全市场行情快照缺少 PB；只能作为待补全研究队列，不得按完整估值条件生成交易建议。</x:v>
      </x:c>
      <x:c r="H617" t="n">
        <x:v>42.93</x:v>
      </x:c>
      <x:c r="I617" t="n">
        <x:v>18.98</x:v>
      </x:c>
      <x:c r="J617"/>
      <x:c r="K617" t="str">
        <x:v>待归档官方财报</x:v>
      </x:c>
      <x:c r="L617" t="str">
        <x:v>AkShare / Tencent all-A market snapshot</x:v>
      </x:c>
      <x:c r="M617" t="str">
        <x:v>ProxyError: primary market source unavailable; see source_id for full audit.</x:v>
      </x:c>
      <x:c r="N617" t="str">
        <x:v>0</x:v>
      </x:c>
      <x:c r="O617" t="str">
        <x:v>0fd6ad2d-3389-4e70-8974-eb85ee223eeb</x:v>
      </x:c>
      <x:c r="P617" t="str">
        <x:v>2026-09-04</x:v>
      </x:c>
    </x:row>
    <x:row r="618">
      <x:c r="A618" t="str">
        <x:v>重点观察</x:v>
      </x:c>
      <x:c r="B618" t="str">
        <x:v>补全 PB、财报，等待Agent自动验证</x:v>
      </x:c>
      <x:c r="C618" t="str">
        <x:v>688169</x:v>
      </x:c>
      <x:c r="D618" t="str">
        <x:v>石头科技</x:v>
      </x:c>
      <x:c r="E618" t="str">
        <x:v>科创板</x:v>
      </x:c>
      <x:c r="F618" t="str">
        <x:v>待行业映射</x:v>
      </x:c>
      <x:c r="G618" t="str">
        <x:v>当前全市场行情快照缺少 PB；只能作为待补全研究队列，不得按完整估值条件生成交易建议。</x:v>
      </x:c>
      <x:c r="H618" t="n">
        <x:v>132</x:v>
      </x:c>
      <x:c r="I618" t="n">
        <x:v>20.49</x:v>
      </x:c>
      <x:c r="J618"/>
      <x:c r="K618" t="str">
        <x:v>待归档官方财报</x:v>
      </x:c>
      <x:c r="L618" t="str">
        <x:v>AkShare / Tencent all-A market snapshot</x:v>
      </x:c>
      <x:c r="M618" t="str">
        <x:v>ProxyError: primary market source unavailable; see source_id for full audit.</x:v>
      </x:c>
      <x:c r="N618" t="str">
        <x:v>0</x:v>
      </x:c>
      <x:c r="O618" t="str">
        <x:v>0fd6ad2d-3389-4e70-8974-eb85ee223eeb</x:v>
      </x:c>
      <x:c r="P618" t="str">
        <x:v>2026-09-04</x:v>
      </x:c>
    </x:row>
    <x:row r="619">
      <x:c r="A619" t="str">
        <x:v>重点观察</x:v>
      </x:c>
      <x:c r="B619" t="str">
        <x:v>补全 PB、财报，等待Agent自动验证</x:v>
      </x:c>
      <x:c r="C619" t="str">
        <x:v>600352</x:v>
      </x:c>
      <x:c r="D619" t="str">
        <x:v>浙江龙盛</x:v>
      </x:c>
      <x:c r="E619" t="str">
        <x:v>主板</x:v>
      </x:c>
      <x:c r="F619" t="str">
        <x:v>待行业映射</x:v>
      </x:c>
      <x:c r="G619" t="str">
        <x:v>当前全市场行情快照缺少 PB；只能作为待补全研究队列，不得按完整估值条件生成交易建议。</x:v>
      </x:c>
      <x:c r="H619" t="n">
        <x:v>12.52</x:v>
      </x:c>
      <x:c r="I619" t="n">
        <x:v>21.38</x:v>
      </x:c>
      <x:c r="J619"/>
      <x:c r="K619" t="str">
        <x:v>待归档官方财报</x:v>
      </x:c>
      <x:c r="L619" t="str">
        <x:v>AkShare / Tencent all-A market snapshot</x:v>
      </x:c>
      <x:c r="M619" t="str">
        <x:v>ProxyError: primary market source unavailable; see source_id for full audit.</x:v>
      </x:c>
      <x:c r="N619" t="str">
        <x:v>0</x:v>
      </x:c>
      <x:c r="O619" t="str">
        <x:v>0fd6ad2d-3389-4e70-8974-eb85ee223eeb</x:v>
      </x:c>
      <x:c r="P619" t="str">
        <x:v>2026-09-04</x:v>
      </x:c>
    </x:row>
    <x:row r="620">
      <x:c r="A620" t="str">
        <x:v>重点观察</x:v>
      </x:c>
      <x:c r="B620" t="str">
        <x:v>补全 PB、财报，等待Agent自动验证</x:v>
      </x:c>
      <x:c r="C620" t="str">
        <x:v>000928</x:v>
      </x:c>
      <x:c r="D620" t="str">
        <x:v>中钢国际</x:v>
      </x:c>
      <x:c r="E620" t="str">
        <x:v>主板</x:v>
      </x:c>
      <x:c r="F620" t="str">
        <x:v>待行业映射</x:v>
      </x:c>
      <x:c r="G620" t="str">
        <x:v>当前全市场行情快照缺少 PB；只能作为待补全研究队列，不得按完整估值条件生成交易建议。</x:v>
      </x:c>
      <x:c r="H620" t="n">
        <x:v>5.43</x:v>
      </x:c>
      <x:c r="I620" t="n">
        <x:v>16.97</x:v>
      </x:c>
      <x:c r="J620"/>
      <x:c r="K620" t="str">
        <x:v>待归档官方财报</x:v>
      </x:c>
      <x:c r="L620" t="str">
        <x:v>AkShare / Tencent all-A market snapshot</x:v>
      </x:c>
      <x:c r="M620" t="str">
        <x:v>ProxyError: primary market source unavailable; see source_id for full audit.</x:v>
      </x:c>
      <x:c r="N620" t="str">
        <x:v>0</x:v>
      </x:c>
      <x:c r="O620" t="str">
        <x:v>0fd6ad2d-3389-4e70-8974-eb85ee223eeb</x:v>
      </x:c>
      <x:c r="P620" t="str">
        <x:v>2026-09-04</x:v>
      </x:c>
    </x:row>
    <x:row r="621">
      <x:c r="A621" t="str">
        <x:v>重点观察</x:v>
      </x:c>
      <x:c r="B621" t="str">
        <x:v>补全 PB、财报，等待Agent自动验证</x:v>
      </x:c>
      <x:c r="C621" t="str">
        <x:v>002267</x:v>
      </x:c>
      <x:c r="D621" t="str">
        <x:v>陕天然气</x:v>
      </x:c>
      <x:c r="E621" t="str">
        <x:v>主板</x:v>
      </x:c>
      <x:c r="F621" t="str">
        <x:v>待行业映射</x:v>
      </x:c>
      <x:c r="G621" t="str">
        <x:v>当前全市场行情快照缺少 PB；只能作为待补全研究队列，不得按完整估值条件生成交易建议。</x:v>
      </x:c>
      <x:c r="H621" t="n">
        <x:v>7.33</x:v>
      </x:c>
      <x:c r="I621" t="n">
        <x:v>17.03</x:v>
      </x:c>
      <x:c r="J621"/>
      <x:c r="K621" t="str">
        <x:v>待归档官方财报</x:v>
      </x:c>
      <x:c r="L621" t="str">
        <x:v>AkShare / Tencent all-A market snapshot</x:v>
      </x:c>
      <x:c r="M621" t="str">
        <x:v>ProxyError: primary market source unavailable; see source_id for full audit.</x:v>
      </x:c>
      <x:c r="N621" t="str">
        <x:v>0</x:v>
      </x:c>
      <x:c r="O621" t="str">
        <x:v>0fd6ad2d-3389-4e70-8974-eb85ee223eeb</x:v>
      </x:c>
      <x:c r="P621" t="str">
        <x:v>2026-09-04</x:v>
      </x:c>
    </x:row>
    <x:row r="622">
      <x:c r="A622" t="str">
        <x:v>重点观察</x:v>
      </x:c>
      <x:c r="B622" t="str">
        <x:v>补全 PB、财报，等待Agent自动验证</x:v>
      </x:c>
      <x:c r="C622" t="str">
        <x:v>600621</x:v>
      </x:c>
      <x:c r="D622" t="str">
        <x:v>华鑫股份</x:v>
      </x:c>
      <x:c r="E622" t="str">
        <x:v>主板</x:v>
      </x:c>
      <x:c r="F622" t="str">
        <x:v>待行业映射</x:v>
      </x:c>
      <x:c r="G622" t="str">
        <x:v>当前全市场行情快照缺少 PB；只能作为待补全研究队列，不得按完整估值条件生成交易建议。</x:v>
      </x:c>
      <x:c r="H622" t="n">
        <x:v>13.75</x:v>
      </x:c>
      <x:c r="I622" t="n">
        <x:v>17.92</x:v>
      </x:c>
      <x:c r="J622"/>
      <x:c r="K622" t="str">
        <x:v>待归档官方财报</x:v>
      </x:c>
      <x:c r="L622" t="str">
        <x:v>AkShare / Tencent all-A market snapshot</x:v>
      </x:c>
      <x:c r="M622" t="str">
        <x:v>ProxyError: primary market source unavailable; see source_id for full audit.</x:v>
      </x:c>
      <x:c r="N622" t="str">
        <x:v>0</x:v>
      </x:c>
      <x:c r="O622" t="str">
        <x:v>0fd6ad2d-3389-4e70-8974-eb85ee223eeb</x:v>
      </x:c>
      <x:c r="P622" t="str">
        <x:v>2026-09-04</x:v>
      </x:c>
    </x:row>
    <x:row r="623">
      <x:c r="A623" t="str">
        <x:v>重点观察</x:v>
      </x:c>
      <x:c r="B623" t="str">
        <x:v>补全 PB、财报，等待Agent自动验证</x:v>
      </x:c>
      <x:c r="C623" t="str">
        <x:v>000900</x:v>
      </x:c>
      <x:c r="D623" t="str">
        <x:v>现代投资</x:v>
      </x:c>
      <x:c r="E623" t="str">
        <x:v>主板</x:v>
      </x:c>
      <x:c r="F623" t="str">
        <x:v>待行业映射</x:v>
      </x:c>
      <x:c r="G623" t="str">
        <x:v>当前全市场行情快照缺少 PB；只能作为待补全研究队列，不得按完整估值条件生成交易建议。</x:v>
      </x:c>
      <x:c r="H623" t="n">
        <x:v>3.66</x:v>
      </x:c>
      <x:c r="I623" t="n">
        <x:v>16.71</x:v>
      </x:c>
      <x:c r="J623"/>
      <x:c r="K623" t="str">
        <x:v>待归档官方财报</x:v>
      </x:c>
      <x:c r="L623" t="str">
        <x:v>AkShare / Tencent all-A market snapshot</x:v>
      </x:c>
      <x:c r="M623" t="str">
        <x:v>ProxyError: primary market source unavailable; see source_id for full audit.</x:v>
      </x:c>
      <x:c r="N623" t="str">
        <x:v>0</x:v>
      </x:c>
      <x:c r="O623" t="str">
        <x:v>0fd6ad2d-3389-4e70-8974-eb85ee223eeb</x:v>
      </x:c>
      <x:c r="P623" t="str">
        <x:v>2026-09-04</x:v>
      </x:c>
    </x:row>
    <x:row r="624">
      <x:c r="A624" t="str">
        <x:v>重点观察</x:v>
      </x:c>
      <x:c r="B624" t="str">
        <x:v>补全 PB、财报，等待Agent自动验证</x:v>
      </x:c>
      <x:c r="C624" t="str">
        <x:v>002605</x:v>
      </x:c>
      <x:c r="D624" t="str">
        <x:v>姚记科技</x:v>
      </x:c>
      <x:c r="E624" t="str">
        <x:v>主板</x:v>
      </x:c>
      <x:c r="F624" t="str">
        <x:v>待行业映射</x:v>
      </x:c>
      <x:c r="G624" t="str">
        <x:v>当前全市场行情快照缺少 PB；只能作为待补全研究队列，不得按完整估值条件生成交易建议。</x:v>
      </x:c>
      <x:c r="H624" t="n">
        <x:v>17.36</x:v>
      </x:c>
      <x:c r="I624" t="n">
        <x:v>16.97</x:v>
      </x:c>
      <x:c r="J624"/>
      <x:c r="K624" t="str">
        <x:v>待归档官方财报</x:v>
      </x:c>
      <x:c r="L624" t="str">
        <x:v>AkShare / Tencent all-A market snapshot</x:v>
      </x:c>
      <x:c r="M624" t="str">
        <x:v>ProxyError: primary market source unavailable; see source_id for full audit.</x:v>
      </x:c>
      <x:c r="N624" t="str">
        <x:v>0</x:v>
      </x:c>
      <x:c r="O624" t="str">
        <x:v>0fd6ad2d-3389-4e70-8974-eb85ee223eeb</x:v>
      </x:c>
      <x:c r="P624" t="str">
        <x:v>2026-09-04</x:v>
      </x:c>
    </x:row>
    <x:row r="625">
      <x:c r="A625" t="str">
        <x:v>重点观察</x:v>
      </x:c>
      <x:c r="B625" t="str">
        <x:v>补全 PB、财报，等待Agent自动验证</x:v>
      </x:c>
      <x:c r="C625" t="str">
        <x:v>002507</x:v>
      </x:c>
      <x:c r="D625" t="str">
        <x:v>涪陵榨菜</x:v>
      </x:c>
      <x:c r="E625" t="str">
        <x:v>主板</x:v>
      </x:c>
      <x:c r="F625" t="str">
        <x:v>待行业映射</x:v>
      </x:c>
      <x:c r="G625" t="str">
        <x:v>当前全市场行情快照缺少 PB；只能作为待补全研究队列，不得按完整估值条件生成交易建议。</x:v>
      </x:c>
      <x:c r="H625" t="n">
        <x:v>11.35</x:v>
      </x:c>
      <x:c r="I625" t="n">
        <x:v>17.79</x:v>
      </x:c>
      <x:c r="J625"/>
      <x:c r="K625" t="str">
        <x:v>待归档官方财报</x:v>
      </x:c>
      <x:c r="L625" t="str">
        <x:v>AkShare / Tencent all-A market snapshot</x:v>
      </x:c>
      <x:c r="M625" t="str">
        <x:v>ProxyError: primary market source unavailable; see source_id for full audit.</x:v>
      </x:c>
      <x:c r="N625" t="str">
        <x:v>0</x:v>
      </x:c>
      <x:c r="O625" t="str">
        <x:v>0fd6ad2d-3389-4e70-8974-eb85ee223eeb</x:v>
      </x:c>
      <x:c r="P625" t="str">
        <x:v>2026-09-04</x:v>
      </x:c>
    </x:row>
    <x:row r="626">
      <x:c r="A626" t="str">
        <x:v>重点观察</x:v>
      </x:c>
      <x:c r="B626" t="str">
        <x:v>补全 PB、财报，等待Agent自动验证</x:v>
      </x:c>
      <x:c r="C626" t="str">
        <x:v>002249</x:v>
      </x:c>
      <x:c r="D626" t="str">
        <x:v>大洋电机</x:v>
      </x:c>
      <x:c r="E626" t="str">
        <x:v>主板</x:v>
      </x:c>
      <x:c r="F626" t="str">
        <x:v>待行业映射</x:v>
      </x:c>
      <x:c r="G626" t="str">
        <x:v>当前全市场行情快照缺少 PB；只能作为待补全研究队列，不得按完整估值条件生成交易建议。</x:v>
      </x:c>
      <x:c r="H626" t="n">
        <x:v>6.66</x:v>
      </x:c>
      <x:c r="I626" t="n">
        <x:v>18.27</x:v>
      </x:c>
      <x:c r="J626"/>
      <x:c r="K626" t="str">
        <x:v>待归档官方财报</x:v>
      </x:c>
      <x:c r="L626" t="str">
        <x:v>AkShare / Tencent all-A market snapshot</x:v>
      </x:c>
      <x:c r="M626" t="str">
        <x:v>ProxyError: primary market source unavailable; see source_id for full audit.</x:v>
      </x:c>
      <x:c r="N626" t="str">
        <x:v>0</x:v>
      </x:c>
      <x:c r="O626" t="str">
        <x:v>0fd6ad2d-3389-4e70-8974-eb85ee223eeb</x:v>
      </x:c>
      <x:c r="P626" t="str">
        <x:v>2026-09-04</x:v>
      </x:c>
    </x:row>
    <x:row r="627">
      <x:c r="A627" t="str">
        <x:v>重点观察</x:v>
      </x:c>
      <x:c r="B627" t="str">
        <x:v>证券公司专用模型待核验</x:v>
      </x:c>
      <x:c r="C627" t="str">
        <x:v>600906</x:v>
      </x:c>
      <x:c r="D627" t="str">
        <x:v>财达证券</x:v>
      </x:c>
      <x:c r="E627" t="str">
        <x:v>主板</x:v>
      </x:c>
      <x:c r="F627" t="str">
        <x:v>待行业映射</x:v>
      </x:c>
      <x:c r="G627" t="str">
        <x:v>名称/板块初步识别为证券公司；须以同一报告期官方披露复核专用指标和行业分类，禁止套用通用企业现金流、负债率或 EV/EBITDA 规则。 当前公共行情快照缺少 PB，须在专用模型复核中补齐。</x:v>
      </x:c>
      <x:c r="H627" t="n">
        <x:v>6.66</x:v>
      </x:c>
      <x:c r="I627" t="n">
        <x:v>18.98</x:v>
      </x:c>
      <x:c r="J627"/>
      <x:c r="K627" t="str">
        <x:v>待归档官方财报</x:v>
      </x:c>
      <x:c r="L627" t="str">
        <x:v>AkShare / Tencent all-A market snapshot</x:v>
      </x:c>
      <x:c r="M627" t="str">
        <x:v>ProxyError: primary market source unavailable; see source_id for full audit.</x:v>
      </x:c>
      <x:c r="N627" t="str">
        <x:v>0</x:v>
      </x:c>
      <x:c r="O627" t="str">
        <x:v>0fd6ad2d-3389-4e70-8974-eb85ee223eeb</x:v>
      </x:c>
      <x:c r="P627" t="str">
        <x:v>2026-09-04</x:v>
      </x:c>
    </x:row>
    <x:row r="628">
      <x:c r="A628" t="str">
        <x:v>重点观察</x:v>
      </x:c>
      <x:c r="B628" t="str">
        <x:v>补全 PB、财报，等待Agent自动验证</x:v>
      </x:c>
      <x:c r="C628" t="str">
        <x:v>603699</x:v>
      </x:c>
      <x:c r="D628" t="str">
        <x:v>纽威股份</x:v>
      </x:c>
      <x:c r="E628" t="str">
        <x:v>主板</x:v>
      </x:c>
      <x:c r="F628" t="str">
        <x:v>待行业映射</x:v>
      </x:c>
      <x:c r="G628" t="str">
        <x:v>当前全市场行情快照缺少 PB；只能作为待补全研究队列，不得按完整估值条件生成交易建议。</x:v>
      </x:c>
      <x:c r="H628" t="n">
        <x:v>45.62</x:v>
      </x:c>
      <x:c r="I628" t="n">
        <x:v>20.83</x:v>
      </x:c>
      <x:c r="J628"/>
      <x:c r="K628" t="str">
        <x:v>待归档官方财报</x:v>
      </x:c>
      <x:c r="L628" t="str">
        <x:v>AkShare / Tencent all-A market snapshot</x:v>
      </x:c>
      <x:c r="M628" t="str">
        <x:v>ProxyError: primary market source unavailable; see source_id for full audit.</x:v>
      </x:c>
      <x:c r="N628" t="str">
        <x:v>0</x:v>
      </x:c>
      <x:c r="O628" t="str">
        <x:v>0fd6ad2d-3389-4e70-8974-eb85ee223eeb</x:v>
      </x:c>
      <x:c r="P628" t="str">
        <x:v>2026-09-04</x:v>
      </x:c>
    </x:row>
    <x:row r="629">
      <x:c r="A629" t="str">
        <x:v>重点观察</x:v>
      </x:c>
      <x:c r="B629" t="str">
        <x:v>补全 PB、财报，等待Agent自动验证</x:v>
      </x:c>
      <x:c r="C629" t="str">
        <x:v>002255</x:v>
      </x:c>
      <x:c r="D629" t="str">
        <x:v>海陆重工</x:v>
      </x:c>
      <x:c r="E629" t="str">
        <x:v>主板</x:v>
      </x:c>
      <x:c r="F629" t="str">
        <x:v>待行业映射</x:v>
      </x:c>
      <x:c r="G629" t="str">
        <x:v>当前全市场行情快照缺少 PB；只能作为待补全研究队列，不得按完整估值条件生成交易建议。</x:v>
      </x:c>
      <x:c r="H629" t="n">
        <x:v>7.89</x:v>
      </x:c>
      <x:c r="I629" t="n">
        <x:v>16.96</x:v>
      </x:c>
      <x:c r="J629"/>
      <x:c r="K629" t="str">
        <x:v>待归档官方财报</x:v>
      </x:c>
      <x:c r="L629" t="str">
        <x:v>AkShare / Tencent all-A market snapshot</x:v>
      </x:c>
      <x:c r="M629" t="str">
        <x:v>ProxyError: primary market source unavailable; see source_id for full audit.</x:v>
      </x:c>
      <x:c r="N629" t="str">
        <x:v>0</x:v>
      </x:c>
      <x:c r="O629" t="str">
        <x:v>0fd6ad2d-3389-4e70-8974-eb85ee223eeb</x:v>
      </x:c>
      <x:c r="P629" t="str">
        <x:v>2026-09-04</x:v>
      </x:c>
    </x:row>
    <x:row r="630">
      <x:c r="A630" t="str">
        <x:v>重点观察</x:v>
      </x:c>
      <x:c r="B630" t="str">
        <x:v>补全 PB、财报，等待Agent自动验证</x:v>
      </x:c>
      <x:c r="C630" t="str">
        <x:v>300140</x:v>
      </x:c>
      <x:c r="D630" t="str">
        <x:v>节能环境</x:v>
      </x:c>
      <x:c r="E630" t="str">
        <x:v>创业板</x:v>
      </x:c>
      <x:c r="F630" t="str">
        <x:v>待行业映射</x:v>
      </x:c>
      <x:c r="G630" t="str">
        <x:v>当前全市场行情快照缺少 PB；只能作为待补全研究队列，不得按完整估值条件生成交易建议。</x:v>
      </x:c>
      <x:c r="H630" t="n">
        <x:v>5.41</x:v>
      </x:c>
      <x:c r="I630" t="n">
        <x:v>18.35</x:v>
      </x:c>
      <x:c r="J630"/>
      <x:c r="K630" t="str">
        <x:v>待归档官方财报</x:v>
      </x:c>
      <x:c r="L630" t="str">
        <x:v>AkShare / Tencent all-A market snapshot</x:v>
      </x:c>
      <x:c r="M630" t="str">
        <x:v>ProxyError: primary market source unavailable; see source_id for full audit.</x:v>
      </x:c>
      <x:c r="N630" t="str">
        <x:v>0</x:v>
      </x:c>
      <x:c r="O630" t="str">
        <x:v>0fd6ad2d-3389-4e70-8974-eb85ee223eeb</x:v>
      </x:c>
      <x:c r="P630" t="str">
        <x:v>2026-09-04</x:v>
      </x:c>
    </x:row>
    <x:row r="631">
      <x:c r="A631" t="str">
        <x:v>重点观察</x:v>
      </x:c>
      <x:c r="B631" t="str">
        <x:v>补全 PB、财报，等待Agent自动验证</x:v>
      </x:c>
      <x:c r="C631" t="str">
        <x:v>301216</x:v>
      </x:c>
      <x:c r="D631" t="str">
        <x:v>万凯新材</x:v>
      </x:c>
      <x:c r="E631" t="str">
        <x:v>创业板</x:v>
      </x:c>
      <x:c r="F631" t="str">
        <x:v>待行业映射</x:v>
      </x:c>
      <x:c r="G631" t="str">
        <x:v>当前全市场行情快照缺少 PB；只能作为待补全研究队列，不得按完整估值条件生成交易建议。</x:v>
      </x:c>
      <x:c r="H631" t="n">
        <x:v>20.6</x:v>
      </x:c>
      <x:c r="I631" t="n">
        <x:v>17.7</x:v>
      </x:c>
      <x:c r="J631"/>
      <x:c r="K631" t="str">
        <x:v>待归档官方财报</x:v>
      </x:c>
      <x:c r="L631" t="str">
        <x:v>AkShare / Tencent all-A market snapshot</x:v>
      </x:c>
      <x:c r="M631" t="str">
        <x:v>ProxyError: primary market source unavailable; see source_id for full audit.</x:v>
      </x:c>
      <x:c r="N631" t="str">
        <x:v>0</x:v>
      </x:c>
      <x:c r="O631" t="str">
        <x:v>0fd6ad2d-3389-4e70-8974-eb85ee223eeb</x:v>
      </x:c>
      <x:c r="P631" t="str">
        <x:v>2026-09-04</x:v>
      </x:c>
    </x:row>
    <x:row r="632">
      <x:c r="A632" t="str">
        <x:v>重点观察</x:v>
      </x:c>
      <x:c r="B632" t="str">
        <x:v>补全 PB、财报，等待Agent自动验证</x:v>
      </x:c>
      <x:c r="C632" t="str">
        <x:v>301500</x:v>
      </x:c>
      <x:c r="D632" t="str">
        <x:v>飞南资源</x:v>
      </x:c>
      <x:c r="E632" t="str">
        <x:v>创业板</x:v>
      </x:c>
      <x:c r="F632" t="str">
        <x:v>待行业映射</x:v>
      </x:c>
      <x:c r="G632" t="str">
        <x:v>当前全市场行情快照缺少 PB；只能作为待补全研究队列，不得按完整估值条件生成交易建议。</x:v>
      </x:c>
      <x:c r="H632" t="n">
        <x:v>24.92</x:v>
      </x:c>
      <x:c r="I632" t="n">
        <x:v>18</x:v>
      </x:c>
      <x:c r="J632"/>
      <x:c r="K632" t="str">
        <x:v>待归档官方财报</x:v>
      </x:c>
      <x:c r="L632" t="str">
        <x:v>AkShare / Tencent all-A market snapshot</x:v>
      </x:c>
      <x:c r="M632" t="str">
        <x:v>ProxyError: primary market source unavailable; see source_id for full audit.</x:v>
      </x:c>
      <x:c r="N632" t="str">
        <x:v>0</x:v>
      </x:c>
      <x:c r="O632" t="str">
        <x:v>0fd6ad2d-3389-4e70-8974-eb85ee223eeb</x:v>
      </x:c>
      <x:c r="P632" t="str">
        <x:v>2026-09-04</x:v>
      </x:c>
    </x:row>
    <x:row r="633">
      <x:c r="A633" t="str">
        <x:v>重点观察</x:v>
      </x:c>
      <x:c r="B633" t="str">
        <x:v>补全 PB、财报，等待Agent自动验证</x:v>
      </x:c>
      <x:c r="C633" t="str">
        <x:v>301004</x:v>
      </x:c>
      <x:c r="D633" t="str">
        <x:v>嘉益股份</x:v>
      </x:c>
      <x:c r="E633" t="str">
        <x:v>创业板</x:v>
      </x:c>
      <x:c r="F633" t="str">
        <x:v>待行业映射</x:v>
      </x:c>
      <x:c r="G633" t="str">
        <x:v>当前全市场行情快照缺少 PB；只能作为待补全研究队列，不得按完整估值条件生成交易建议。</x:v>
      </x:c>
      <x:c r="H633" t="n">
        <x:v>34.94</x:v>
      </x:c>
      <x:c r="I633" t="n">
        <x:v>16.82</x:v>
      </x:c>
      <x:c r="J633"/>
      <x:c r="K633" t="str">
        <x:v>待归档官方财报</x:v>
      </x:c>
      <x:c r="L633" t="str">
        <x:v>AkShare / Tencent all-A market snapshot</x:v>
      </x:c>
      <x:c r="M633" t="str">
        <x:v>ProxyError: primary market source unavailable; see source_id for full audit.</x:v>
      </x:c>
      <x:c r="N633" t="str">
        <x:v>0</x:v>
      </x:c>
      <x:c r="O633" t="str">
        <x:v>0fd6ad2d-3389-4e70-8974-eb85ee223eeb</x:v>
      </x:c>
      <x:c r="P633" t="str">
        <x:v>2026-09-04</x:v>
      </x:c>
    </x:row>
    <x:row r="634">
      <x:c r="A634" t="str">
        <x:v>重点观察</x:v>
      </x:c>
      <x:c r="B634" t="str">
        <x:v>补全 PB、财报，等待Agent自动验证</x:v>
      </x:c>
      <x:c r="C634" t="str">
        <x:v>600754</x:v>
      </x:c>
      <x:c r="D634" t="str">
        <x:v>锦江酒店</x:v>
      </x:c>
      <x:c r="E634" t="str">
        <x:v>主板</x:v>
      </x:c>
      <x:c r="F634" t="str">
        <x:v>待行业映射</x:v>
      </x:c>
      <x:c r="G634" t="str">
        <x:v>当前全市场行情快照缺少 PB；只能作为待补全研究队列，不得按完整估值条件生成交易建议。</x:v>
      </x:c>
      <x:c r="H634" t="n">
        <x:v>19.59</x:v>
      </x:c>
      <x:c r="I634" t="n">
        <x:v>18.95</x:v>
      </x:c>
      <x:c r="J634"/>
      <x:c r="K634" t="str">
        <x:v>待归档官方财报</x:v>
      </x:c>
      <x:c r="L634" t="str">
        <x:v>AkShare / Tencent all-A market snapshot</x:v>
      </x:c>
      <x:c r="M634" t="str">
        <x:v>ProxyError: primary market source unavailable; see source_id for full audit.</x:v>
      </x:c>
      <x:c r="N634" t="str">
        <x:v>0</x:v>
      </x:c>
      <x:c r="O634" t="str">
        <x:v>0fd6ad2d-3389-4e70-8974-eb85ee223eeb</x:v>
      </x:c>
      <x:c r="P634" t="str">
        <x:v>2026-09-04</x:v>
      </x:c>
    </x:row>
    <x:row r="635">
      <x:c r="A635" t="str">
        <x:v>重点观察</x:v>
      </x:c>
      <x:c r="B635" t="str">
        <x:v>补全 PB、财报，等待Agent自动验证</x:v>
      </x:c>
      <x:c r="C635" t="str">
        <x:v>002216</x:v>
      </x:c>
      <x:c r="D635" t="str">
        <x:v>三全食品</x:v>
      </x:c>
      <x:c r="E635" t="str">
        <x:v>主板</x:v>
      </x:c>
      <x:c r="F635" t="str">
        <x:v>待行业映射</x:v>
      </x:c>
      <x:c r="G635" t="str">
        <x:v>当前全市场行情快照缺少 PB；只能作为待补全研究队列，不得按完整估值条件生成交易建议。</x:v>
      </x:c>
      <x:c r="H635" t="n">
        <x:v>11.95</x:v>
      </x:c>
      <x:c r="I635" t="n">
        <x:v>17.61</x:v>
      </x:c>
      <x:c r="J635"/>
      <x:c r="K635" t="str">
        <x:v>待归档官方财报</x:v>
      </x:c>
      <x:c r="L635" t="str">
        <x:v>AkShare / Tencent all-A market snapshot</x:v>
      </x:c>
      <x:c r="M635" t="str">
        <x:v>ProxyError: primary market source unavailable; see source_id for full audit.</x:v>
      </x:c>
      <x:c r="N635" t="str">
        <x:v>0</x:v>
      </x:c>
      <x:c r="O635" t="str">
        <x:v>0fd6ad2d-3389-4e70-8974-eb85ee223eeb</x:v>
      </x:c>
      <x:c r="P635" t="str">
        <x:v>2026-09-04</x:v>
      </x:c>
    </x:row>
    <x:row r="636">
      <x:c r="A636" t="str">
        <x:v>重点观察</x:v>
      </x:c>
      <x:c r="B636" t="str">
        <x:v>补全 PB、财报，等待Agent自动验证</x:v>
      </x:c>
      <x:c r="C636" t="str">
        <x:v>002773</x:v>
      </x:c>
      <x:c r="D636" t="str">
        <x:v>康弘药业</x:v>
      </x:c>
      <x:c r="E636" t="str">
        <x:v>主板</x:v>
      </x:c>
      <x:c r="F636" t="str">
        <x:v>待行业映射</x:v>
      </x:c>
      <x:c r="G636" t="str">
        <x:v>当前全市场行情快照缺少 PB；只能作为待补全研究队列，不得按完整估值条件生成交易建议。</x:v>
      </x:c>
      <x:c r="H636" t="n">
        <x:v>20.3</x:v>
      </x:c>
      <x:c r="I636" t="n">
        <x:v>18.74</x:v>
      </x:c>
      <x:c r="J636"/>
      <x:c r="K636" t="str">
        <x:v>待归档官方财报</x:v>
      </x:c>
      <x:c r="L636" t="str">
        <x:v>AkShare / Tencent all-A market snapshot</x:v>
      </x:c>
      <x:c r="M636" t="str">
        <x:v>ProxyError: primary market source unavailable; see source_id for full audit.</x:v>
      </x:c>
      <x:c r="N636" t="str">
        <x:v>0</x:v>
      </x:c>
      <x:c r="O636" t="str">
        <x:v>0fd6ad2d-3389-4e70-8974-eb85ee223eeb</x:v>
      </x:c>
      <x:c r="P636" t="str">
        <x:v>2026-09-04</x:v>
      </x:c>
    </x:row>
    <x:row r="637">
      <x:c r="A637" t="str">
        <x:v>重点观察</x:v>
      </x:c>
      <x:c r="B637" t="str">
        <x:v>补全 PB、财报，等待Agent自动验证</x:v>
      </x:c>
      <x:c r="C637" t="str">
        <x:v>603053</x:v>
      </x:c>
      <x:c r="D637" t="str">
        <x:v>成都燃气</x:v>
      </x:c>
      <x:c r="E637" t="str">
        <x:v>主板</x:v>
      </x:c>
      <x:c r="F637" t="str">
        <x:v>待行业映射</x:v>
      </x:c>
      <x:c r="G637" t="str">
        <x:v>当前全市场行情快照缺少 PB；只能作为待补全研究队列，不得按完整估值条件生成交易建议。</x:v>
      </x:c>
      <x:c r="H637" t="n">
        <x:v>8.87</x:v>
      </x:c>
      <x:c r="I637" t="n">
        <x:v>17.3</x:v>
      </x:c>
      <x:c r="J637"/>
      <x:c r="K637" t="str">
        <x:v>待归档官方财报</x:v>
      </x:c>
      <x:c r="L637" t="str">
        <x:v>AkShare / Tencent all-A market snapshot</x:v>
      </x:c>
      <x:c r="M637" t="str">
        <x:v>ProxyError: primary market source unavailable; see source_id for full audit.</x:v>
      </x:c>
      <x:c r="N637" t="str">
        <x:v>0</x:v>
      </x:c>
      <x:c r="O637" t="str">
        <x:v>0fd6ad2d-3389-4e70-8974-eb85ee223eeb</x:v>
      </x:c>
      <x:c r="P637" t="str">
        <x:v>2026-09-04</x:v>
      </x:c>
    </x:row>
    <x:row r="638">
      <x:c r="A638" t="str">
        <x:v>重点观察</x:v>
      </x:c>
      <x:c r="B638" t="str">
        <x:v>补全 PB、财报，等待Agent自动验证</x:v>
      </x:c>
      <x:c r="C638" t="str">
        <x:v>603045</x:v>
      </x:c>
      <x:c r="D638" t="str">
        <x:v>福达合金</x:v>
      </x:c>
      <x:c r="E638" t="str">
        <x:v>主板</x:v>
      </x:c>
      <x:c r="F638" t="str">
        <x:v>待行业映射</x:v>
      </x:c>
      <x:c r="G638" t="str">
        <x:v>当前全市场行情快照缺少 PB；只能作为待补全研究队列，不得按完整估值条件生成交易建议。</x:v>
      </x:c>
      <x:c r="H638" t="n">
        <x:v>49.98</x:v>
      </x:c>
      <x:c r="I638" t="n">
        <x:v>17.22</x:v>
      </x:c>
      <x:c r="J638"/>
      <x:c r="K638" t="str">
        <x:v>待归档官方财报</x:v>
      </x:c>
      <x:c r="L638" t="str">
        <x:v>AkShare / Tencent all-A market snapshot</x:v>
      </x:c>
      <x:c r="M638" t="str">
        <x:v>ProxyError: primary market source unavailable; see source_id for full audit.</x:v>
      </x:c>
      <x:c r="N638" t="str">
        <x:v>0</x:v>
      </x:c>
      <x:c r="O638" t="str">
        <x:v>0fd6ad2d-3389-4e70-8974-eb85ee223eeb</x:v>
      </x:c>
      <x:c r="P638" t="str">
        <x:v>2026-09-04</x:v>
      </x:c>
    </x:row>
    <x:row r="639">
      <x:c r="A639" t="str">
        <x:v>重点观察</x:v>
      </x:c>
      <x:c r="B639" t="str">
        <x:v>补全 PB、财报，等待Agent自动验证</x:v>
      </x:c>
      <x:c r="C639" t="str">
        <x:v>000833</x:v>
      </x:c>
      <x:c r="D639" t="str">
        <x:v>粤桂股份</x:v>
      </x:c>
      <x:c r="E639" t="str">
        <x:v>主板</x:v>
      </x:c>
      <x:c r="F639" t="str">
        <x:v>待行业映射</x:v>
      </x:c>
      <x:c r="G639" t="str">
        <x:v>当前全市场行情快照缺少 PB；只能作为待补全研究队列，不得按完整估值条件生成交易建议。</x:v>
      </x:c>
      <x:c r="H639" t="n">
        <x:v>19.84</x:v>
      </x:c>
      <x:c r="I639" t="n">
        <x:v>18.68</x:v>
      </x:c>
      <x:c r="J639"/>
      <x:c r="K639" t="str">
        <x:v>待归档官方财报</x:v>
      </x:c>
      <x:c r="L639" t="str">
        <x:v>AkShare / Tencent all-A market snapshot</x:v>
      </x:c>
      <x:c r="M639" t="str">
        <x:v>ProxyError: primary market source unavailable; see source_id for full audit.</x:v>
      </x:c>
      <x:c r="N639" t="str">
        <x:v>0</x:v>
      </x:c>
      <x:c r="O639" t="str">
        <x:v>0fd6ad2d-3389-4e70-8974-eb85ee223eeb</x:v>
      </x:c>
      <x:c r="P639" t="str">
        <x:v>2026-09-04</x:v>
      </x:c>
    </x:row>
    <x:row r="640">
      <x:c r="A640" t="str">
        <x:v>重点观察</x:v>
      </x:c>
      <x:c r="B640" t="str">
        <x:v>补全 PB、财报，等待Agent自动验证</x:v>
      </x:c>
      <x:c r="C640" t="str">
        <x:v>603658</x:v>
      </x:c>
      <x:c r="D640" t="str">
        <x:v>安图生物</x:v>
      </x:c>
      <x:c r="E640" t="str">
        <x:v>主板</x:v>
      </x:c>
      <x:c r="F640" t="str">
        <x:v>待行业映射</x:v>
      </x:c>
      <x:c r="G640" t="str">
        <x:v>当前全市场行情快照缺少 PB；只能作为待补全研究队列，不得按完整估值条件生成交易建议。</x:v>
      </x:c>
      <x:c r="H640" t="n">
        <x:v>32.98</x:v>
      </x:c>
      <x:c r="I640" t="n">
        <x:v>18.96</x:v>
      </x:c>
      <x:c r="J640"/>
      <x:c r="K640" t="str">
        <x:v>待归档官方财报</x:v>
      </x:c>
      <x:c r="L640" t="str">
        <x:v>AkShare / Tencent all-A market snapshot</x:v>
      </x:c>
      <x:c r="M640" t="str">
        <x:v>ProxyError: primary market source unavailable; see source_id for full audit.</x:v>
      </x:c>
      <x:c r="N640" t="str">
        <x:v>0</x:v>
      </x:c>
      <x:c r="O640" t="str">
        <x:v>0fd6ad2d-3389-4e70-8974-eb85ee223eeb</x:v>
      </x:c>
      <x:c r="P640" t="str">
        <x:v>2026-09-04</x:v>
      </x:c>
    </x:row>
    <x:row r="641">
      <x:c r="A641" t="str">
        <x:v>重点观察</x:v>
      </x:c>
      <x:c r="B641" t="str">
        <x:v>补全 PB、财报，等待Agent自动验证</x:v>
      </x:c>
      <x:c r="C641" t="str">
        <x:v>600299</x:v>
      </x:c>
      <x:c r="D641" t="str">
        <x:v>安迪苏</x:v>
      </x:c>
      <x:c r="E641" t="str">
        <x:v>主板</x:v>
      </x:c>
      <x:c r="F641" t="str">
        <x:v>待行业映射</x:v>
      </x:c>
      <x:c r="G641" t="str">
        <x:v>当前全市场行情快照缺少 PB；只能作为待补全研究队列，不得按完整估值条件生成交易建议。</x:v>
      </x:c>
      <x:c r="H641" t="n">
        <x:v>8.57</x:v>
      </x:c>
      <x:c r="I641" t="n">
        <x:v>20.01</x:v>
      </x:c>
      <x:c r="J641"/>
      <x:c r="K641" t="str">
        <x:v>待归档官方财报</x:v>
      </x:c>
      <x:c r="L641" t="str">
        <x:v>AkShare / Tencent all-A market snapshot</x:v>
      </x:c>
      <x:c r="M641" t="str">
        <x:v>ProxyError: primary market source unavailable; see source_id for full audit.</x:v>
      </x:c>
      <x:c r="N641" t="str">
        <x:v>0</x:v>
      </x:c>
      <x:c r="O641" t="str">
        <x:v>0fd6ad2d-3389-4e70-8974-eb85ee223eeb</x:v>
      </x:c>
      <x:c r="P641" t="str">
        <x:v>2026-09-04</x:v>
      </x:c>
    </x:row>
    <x:row r="642">
      <x:c r="A642" t="str">
        <x:v>重点观察</x:v>
      </x:c>
      <x:c r="B642" t="str">
        <x:v>补全 PB、财报，等待Agent自动验证</x:v>
      </x:c>
      <x:c r="C642" t="str">
        <x:v>600548</x:v>
      </x:c>
      <x:c r="D642" t="str">
        <x:v>深高速</x:v>
      </x:c>
      <x:c r="E642" t="str">
        <x:v>主板</x:v>
      </x:c>
      <x:c r="F642" t="str">
        <x:v>待行业映射</x:v>
      </x:c>
      <x:c r="G642" t="str">
        <x:v>当前全市场行情快照缺少 PB；只能作为待补全研究队列，不得按完整估值条件生成交易建议。</x:v>
      </x:c>
      <x:c r="H642" t="n">
        <x:v>8.47</x:v>
      </x:c>
      <x:c r="I642" t="n">
        <x:v>19.4</x:v>
      </x:c>
      <x:c r="J642"/>
      <x:c r="K642" t="str">
        <x:v>待归档官方财报</x:v>
      </x:c>
      <x:c r="L642" t="str">
        <x:v>AkShare / Tencent all-A market snapshot</x:v>
      </x:c>
      <x:c r="M642" t="str">
        <x:v>ProxyError: primary market source unavailable; see source_id for full audit.</x:v>
      </x:c>
      <x:c r="N642" t="str">
        <x:v>0</x:v>
      </x:c>
      <x:c r="O642" t="str">
        <x:v>0fd6ad2d-3389-4e70-8974-eb85ee223eeb</x:v>
      </x:c>
      <x:c r="P642" t="str">
        <x:v>2026-09-04</x:v>
      </x:c>
    </x:row>
    <x:row r="643">
      <x:c r="A643" t="str">
        <x:v>重点观察</x:v>
      </x:c>
      <x:c r="B643" t="str">
        <x:v>补全 PB、财报，等待Agent自动验证</x:v>
      </x:c>
      <x:c r="C643" t="str">
        <x:v>002478</x:v>
      </x:c>
      <x:c r="D643" t="str">
        <x:v>常宝股份</x:v>
      </x:c>
      <x:c r="E643" t="str">
        <x:v>主板</x:v>
      </x:c>
      <x:c r="F643" t="str">
        <x:v>待行业映射</x:v>
      </x:c>
      <x:c r="G643" t="str">
        <x:v>当前全市场行情快照缺少 PB；只能作为待补全研究队列，不得按完整估值条件生成交易建议。</x:v>
      </x:c>
      <x:c r="H643" t="n">
        <x:v>7.01</x:v>
      </x:c>
      <x:c r="I643" t="n">
        <x:v>17.46</x:v>
      </x:c>
      <x:c r="J643"/>
      <x:c r="K643" t="str">
        <x:v>待归档官方财报</x:v>
      </x:c>
      <x:c r="L643" t="str">
        <x:v>AkShare / Tencent all-A market snapshot</x:v>
      </x:c>
      <x:c r="M643" t="str">
        <x:v>ProxyError: primary market source unavailable; see source_id for full audit.</x:v>
      </x:c>
      <x:c r="N643" t="str">
        <x:v>0</x:v>
      </x:c>
      <x:c r="O643" t="str">
        <x:v>0fd6ad2d-3389-4e70-8974-eb85ee223eeb</x:v>
      </x:c>
      <x:c r="P643" t="str">
        <x:v>2026-09-04</x:v>
      </x:c>
    </x:row>
    <x:row r="644">
      <x:c r="A644" t="str">
        <x:v>重点观察</x:v>
      </x:c>
      <x:c r="B644" t="str">
        <x:v>补全 PB、财报，等待Agent自动验证</x:v>
      </x:c>
      <x:c r="C644" t="str">
        <x:v>002541</x:v>
      </x:c>
      <x:c r="D644" t="str">
        <x:v>鸿路钢构</x:v>
      </x:c>
      <x:c r="E644" t="str">
        <x:v>主板</x:v>
      </x:c>
      <x:c r="F644" t="str">
        <x:v>待行业映射</x:v>
      </x:c>
      <x:c r="G644" t="str">
        <x:v>当前全市场行情快照缺少 PB；只能作为待补全研究队列，不得按完整估值条件生成交易建议。</x:v>
      </x:c>
      <x:c r="H644" t="n">
        <x:v>20.65</x:v>
      </x:c>
      <x:c r="I644" t="n">
        <x:v>18.62</x:v>
      </x:c>
      <x:c r="J644"/>
      <x:c r="K644" t="str">
        <x:v>待归档官方财报</x:v>
      </x:c>
      <x:c r="L644" t="str">
        <x:v>AkShare / Tencent all-A market snapshot</x:v>
      </x:c>
      <x:c r="M644" t="str">
        <x:v>ProxyError: primary market source unavailable; see source_id for full audit.</x:v>
      </x:c>
      <x:c r="N644" t="str">
        <x:v>0</x:v>
      </x:c>
      <x:c r="O644" t="str">
        <x:v>0fd6ad2d-3389-4e70-8974-eb85ee223eeb</x:v>
      </x:c>
      <x:c r="P644" t="str">
        <x:v>2026-09-04</x:v>
      </x:c>
    </x:row>
    <x:row r="645">
      <x:c r="A645" t="str">
        <x:v>重点观察</x:v>
      </x:c>
      <x:c r="B645" t="str">
        <x:v>补全 PB、财报，等待Agent自动验证</x:v>
      </x:c>
      <x:c r="C645" t="str">
        <x:v>300470</x:v>
      </x:c>
      <x:c r="D645" t="str">
        <x:v>中密控股</x:v>
      </x:c>
      <x:c r="E645" t="str">
        <x:v>创业板</x:v>
      </x:c>
      <x:c r="F645" t="str">
        <x:v>待行业映射</x:v>
      </x:c>
      <x:c r="G645" t="str">
        <x:v>当前全市场行情快照缺少 PB；只能作为待补全研究队列，不得按完整估值条件生成交易建议。</x:v>
      </x:c>
      <x:c r="H645" t="n">
        <x:v>27.95</x:v>
      </x:c>
      <x:c r="I645" t="n">
        <x:v>17.46</x:v>
      </x:c>
      <x:c r="J645"/>
      <x:c r="K645" t="str">
        <x:v>待归档官方财报</x:v>
      </x:c>
      <x:c r="L645" t="str">
        <x:v>AkShare / Tencent all-A market snapshot</x:v>
      </x:c>
      <x:c r="M645" t="str">
        <x:v>ProxyError: primary market source unavailable; see source_id for full audit.</x:v>
      </x:c>
      <x:c r="N645" t="str">
        <x:v>0</x:v>
      </x:c>
      <x:c r="O645" t="str">
        <x:v>0fd6ad2d-3389-4e70-8974-eb85ee223eeb</x:v>
      </x:c>
      <x:c r="P645" t="str">
        <x:v>2026-09-04</x:v>
      </x:c>
    </x:row>
    <x:row r="646">
      <x:c r="A646" t="str">
        <x:v>重点观察</x:v>
      </x:c>
      <x:c r="B646" t="str">
        <x:v>补全 PB、财报，等待Agent自动验证</x:v>
      </x:c>
      <x:c r="C646" t="str">
        <x:v>600529</x:v>
      </x:c>
      <x:c r="D646" t="str">
        <x:v>山东药玻</x:v>
      </x:c>
      <x:c r="E646" t="str">
        <x:v>主板</x:v>
      </x:c>
      <x:c r="F646" t="str">
        <x:v>待行业映射</x:v>
      </x:c>
      <x:c r="G646" t="str">
        <x:v>当前全市场行情快照缺少 PB；只能作为待补全研究队列，不得按完整估值条件生成交易建议。</x:v>
      </x:c>
      <x:c r="H646" t="n">
        <x:v>19.1</x:v>
      </x:c>
      <x:c r="I646" t="n">
        <x:v>18.39</x:v>
      </x:c>
      <x:c r="J646"/>
      <x:c r="K646" t="str">
        <x:v>待归档官方财报</x:v>
      </x:c>
      <x:c r="L646" t="str">
        <x:v>AkShare / Tencent all-A market snapshot</x:v>
      </x:c>
      <x:c r="M646" t="str">
        <x:v>ProxyError: primary market source unavailable; see source_id for full audit.</x:v>
      </x:c>
      <x:c r="N646" t="str">
        <x:v>0</x:v>
      </x:c>
      <x:c r="O646" t="str">
        <x:v>0fd6ad2d-3389-4e70-8974-eb85ee223eeb</x:v>
      </x:c>
      <x:c r="P646" t="str">
        <x:v>2026-09-04</x:v>
      </x:c>
    </x:row>
    <x:row r="647">
      <x:c r="A647" t="str">
        <x:v>重点观察</x:v>
      </x:c>
      <x:c r="B647" t="str">
        <x:v>补全 PB、财报，等待Agent自动验证</x:v>
      </x:c>
      <x:c r="C647" t="str">
        <x:v>300138</x:v>
      </x:c>
      <x:c r="D647" t="str">
        <x:v>晨光生物</x:v>
      </x:c>
      <x:c r="E647" t="str">
        <x:v>创业板</x:v>
      </x:c>
      <x:c r="F647" t="str">
        <x:v>待行业映射</x:v>
      </x:c>
      <x:c r="G647" t="str">
        <x:v>当前全市场行情快照缺少 PB；只能作为待补全研究队列，不得按完整估值条件生成交易建议。</x:v>
      </x:c>
      <x:c r="H647" t="n">
        <x:v>12.03</x:v>
      </x:c>
      <x:c r="I647" t="n">
        <x:v>17.48</x:v>
      </x:c>
      <x:c r="J647"/>
      <x:c r="K647" t="str">
        <x:v>待归档官方财报</x:v>
      </x:c>
      <x:c r="L647" t="str">
        <x:v>AkShare / Tencent all-A market snapshot</x:v>
      </x:c>
      <x:c r="M647" t="str">
        <x:v>ProxyError: primary market source unavailable; see source_id for full audit.</x:v>
      </x:c>
      <x:c r="N647" t="str">
        <x:v>0</x:v>
      </x:c>
      <x:c r="O647" t="str">
        <x:v>0fd6ad2d-3389-4e70-8974-eb85ee223eeb</x:v>
      </x:c>
      <x:c r="P647" t="str">
        <x:v>2026-09-04</x:v>
      </x:c>
    </x:row>
    <x:row r="648">
      <x:c r="A648" t="str">
        <x:v>重点观察</x:v>
      </x:c>
      <x:c r="B648" t="str">
        <x:v>补全 PB、财报，等待Agent自动验证</x:v>
      </x:c>
      <x:c r="C648" t="str">
        <x:v>000422</x:v>
      </x:c>
      <x:c r="D648" t="str">
        <x:v>湖北宜化</x:v>
      </x:c>
      <x:c r="E648" t="str">
        <x:v>主板</x:v>
      </x:c>
      <x:c r="F648" t="str">
        <x:v>待行业映射</x:v>
      </x:c>
      <x:c r="G648" t="str">
        <x:v>当前全市场行情快照缺少 PB；只能作为待补全研究队列，不得按完整估值条件生成交易建议。</x:v>
      </x:c>
      <x:c r="H648" t="n">
        <x:v>12.44</x:v>
      </x:c>
      <x:c r="I648" t="n">
        <x:v>18.56</x:v>
      </x:c>
      <x:c r="J648"/>
      <x:c r="K648" t="str">
        <x:v>待归档官方财报</x:v>
      </x:c>
      <x:c r="L648" t="str">
        <x:v>AkShare / Tencent all-A market snapshot</x:v>
      </x:c>
      <x:c r="M648" t="str">
        <x:v>ProxyError: primary market source unavailable; see source_id for full audit.</x:v>
      </x:c>
      <x:c r="N648" t="str">
        <x:v>0</x:v>
      </x:c>
      <x:c r="O648" t="str">
        <x:v>0fd6ad2d-3389-4e70-8974-eb85ee223eeb</x:v>
      </x:c>
      <x:c r="P648" t="str">
        <x:v>2026-09-04</x:v>
      </x:c>
    </x:row>
    <x:row r="649">
      <x:c r="A649" t="str">
        <x:v>重点观察</x:v>
      </x:c>
      <x:c r="B649" t="str">
        <x:v>证券公司专用模型待核验</x:v>
      </x:c>
      <x:c r="C649" t="str">
        <x:v>002500</x:v>
      </x:c>
      <x:c r="D649" t="str">
        <x:v>山西证券</x:v>
      </x:c>
      <x:c r="E649" t="str">
        <x:v>主板</x:v>
      </x:c>
      <x:c r="F649" t="str">
        <x:v>待行业映射</x:v>
      </x:c>
      <x:c r="G649" t="str">
        <x:v>名称/板块初步识别为证券公司；须以同一报告期官方披露复核专用指标和行业分类，禁止套用通用企业现金流、负债率或 EV/EBITDA 规则。 当前公共行情快照缺少 PB，须在专用模型复核中补齐。</x:v>
      </x:c>
      <x:c r="H649" t="n">
        <x:v>5.42</x:v>
      </x:c>
      <x:c r="I649" t="n">
        <x:v>19.4</x:v>
      </x:c>
      <x:c r="J649"/>
      <x:c r="K649" t="str">
        <x:v>待归档官方财报</x:v>
      </x:c>
      <x:c r="L649" t="str">
        <x:v>AkShare / Tencent all-A market snapshot</x:v>
      </x:c>
      <x:c r="M649" t="str">
        <x:v>ProxyError: primary market source unavailable; see source_id for full audit.</x:v>
      </x:c>
      <x:c r="N649" t="str">
        <x:v>0</x:v>
      </x:c>
      <x:c r="O649" t="str">
        <x:v>0fd6ad2d-3389-4e70-8974-eb85ee223eeb</x:v>
      </x:c>
      <x:c r="P649" t="str">
        <x:v>2026-09-04</x:v>
      </x:c>
    </x:row>
    <x:row r="650">
      <x:c r="A650" t="str">
        <x:v>重点观察</x:v>
      </x:c>
      <x:c r="B650" t="str">
        <x:v>补全 PB、财报，等待Agent自动验证</x:v>
      </x:c>
      <x:c r="C650" t="str">
        <x:v>603556</x:v>
      </x:c>
      <x:c r="D650" t="str">
        <x:v>海兴电力</x:v>
      </x:c>
      <x:c r="E650" t="str">
        <x:v>主板</x:v>
      </x:c>
      <x:c r="F650" t="str">
        <x:v>待行业映射</x:v>
      </x:c>
      <x:c r="G650" t="str">
        <x:v>当前全市场行情快照缺少 PB；只能作为待补全研究队列，不得按完整估值条件生成交易建议。</x:v>
      </x:c>
      <x:c r="H650" t="n">
        <x:v>25.2</x:v>
      </x:c>
      <x:c r="I650" t="n">
        <x:v>18.45</x:v>
      </x:c>
      <x:c r="J650"/>
      <x:c r="K650" t="str">
        <x:v>待归档官方财报</x:v>
      </x:c>
      <x:c r="L650" t="str">
        <x:v>AkShare / Tencent all-A market snapshot</x:v>
      </x:c>
      <x:c r="M650" t="str">
        <x:v>ProxyError: primary market source unavailable; see source_id for full audit.</x:v>
      </x:c>
      <x:c r="N650" t="str">
        <x:v>0</x:v>
      </x:c>
      <x:c r="O650" t="str">
        <x:v>0fd6ad2d-3389-4e70-8974-eb85ee223eeb</x:v>
      </x:c>
      <x:c r="P650" t="str">
        <x:v>2026-09-04</x:v>
      </x:c>
    </x:row>
    <x:row r="651">
      <x:c r="A651" t="str">
        <x:v>重点观察</x:v>
      </x:c>
      <x:c r="B651" t="str">
        <x:v>补全 PB、财报，等待Agent自动验证</x:v>
      </x:c>
      <x:c r="C651" t="str">
        <x:v>001386</x:v>
      </x:c>
      <x:c r="D651" t="str">
        <x:v>马可波罗</x:v>
      </x:c>
      <x:c r="E651" t="str">
        <x:v>主板</x:v>
      </x:c>
      <x:c r="F651" t="str">
        <x:v>待行业映射</x:v>
      </x:c>
      <x:c r="G651" t="str">
        <x:v>当前全市场行情快照缺少 PB；只能作为待补全研究队列，不得按完整估值条件生成交易建议。</x:v>
      </x:c>
      <x:c r="H651" t="n">
        <x:v>16.02</x:v>
      </x:c>
      <x:c r="I651" t="n">
        <x:v>19.4</x:v>
      </x:c>
      <x:c r="J651"/>
      <x:c r="K651" t="str">
        <x:v>待归档官方财报</x:v>
      </x:c>
      <x:c r="L651" t="str">
        <x:v>AkShare / Tencent all-A market snapshot</x:v>
      </x:c>
      <x:c r="M651" t="str">
        <x:v>ProxyError: primary market source unavailable; see source_id for full audit.</x:v>
      </x:c>
      <x:c r="N651" t="str">
        <x:v>0</x:v>
      </x:c>
      <x:c r="O651" t="str">
        <x:v>0fd6ad2d-3389-4e70-8974-eb85ee223eeb</x:v>
      </x:c>
      <x:c r="P651" t="str">
        <x:v>2026-09-04</x:v>
      </x:c>
    </x:row>
    <x:row r="652">
      <x:c r="A652" t="str">
        <x:v>重点观察</x:v>
      </x:c>
      <x:c r="B652" t="str">
        <x:v>补全 PB、财报，等待Agent自动验证</x:v>
      </x:c>
      <x:c r="C652" t="str">
        <x:v>603606</x:v>
      </x:c>
      <x:c r="D652" t="str">
        <x:v>东方电缆</x:v>
      </x:c>
      <x:c r="E652" t="str">
        <x:v>主板</x:v>
      </x:c>
      <x:c r="F652" t="str">
        <x:v>待行业映射</x:v>
      </x:c>
      <x:c r="G652" t="str">
        <x:v>当前全市场行情快照缺少 PB；只能作为待补全研究队列，不得按完整估值条件生成交易建议。</x:v>
      </x:c>
      <x:c r="H652" t="n">
        <x:v>34.07</x:v>
      </x:c>
      <x:c r="I652" t="n">
        <x:v>20.61</x:v>
      </x:c>
      <x:c r="J652"/>
      <x:c r="K652" t="str">
        <x:v>待归档官方财报</x:v>
      </x:c>
      <x:c r="L652" t="str">
        <x:v>AkShare / Tencent all-A market snapshot</x:v>
      </x:c>
      <x:c r="M652" t="str">
        <x:v>ProxyError: primary market source unavailable; see source_id for full audit.</x:v>
      </x:c>
      <x:c r="N652" t="str">
        <x:v>0</x:v>
      </x:c>
      <x:c r="O652" t="str">
        <x:v>0fd6ad2d-3389-4e70-8974-eb85ee223eeb</x:v>
      </x:c>
      <x:c r="P652" t="str">
        <x:v>2026-09-04</x:v>
      </x:c>
    </x:row>
    <x:row r="653">
      <x:c r="A653" t="str">
        <x:v>重点观察</x:v>
      </x:c>
      <x:c r="B653" t="str">
        <x:v>补全 PB、财报，等待Agent自动验证</x:v>
      </x:c>
      <x:c r="C653" t="str">
        <x:v>000997</x:v>
      </x:c>
      <x:c r="D653" t="str">
        <x:v>新 大 陆</x:v>
      </x:c>
      <x:c r="E653" t="str">
        <x:v>主板</x:v>
      </x:c>
      <x:c r="F653" t="str">
        <x:v>待行业映射</x:v>
      </x:c>
      <x:c r="G653" t="str">
        <x:v>当前全市场行情快照缺少 PB；只能作为待补全研究队列，不得按完整估值条件生成交易建议。</x:v>
      </x:c>
      <x:c r="H653" t="n">
        <x:v>21.6</x:v>
      </x:c>
      <x:c r="I653" t="n">
        <x:v>19.8</x:v>
      </x:c>
      <x:c r="J653"/>
      <x:c r="K653" t="str">
        <x:v>待归档官方财报</x:v>
      </x:c>
      <x:c r="L653" t="str">
        <x:v>AkShare / Tencent all-A market snapshot</x:v>
      </x:c>
      <x:c r="M653" t="str">
        <x:v>ProxyError: primary market source unavailable; see source_id for full audit.</x:v>
      </x:c>
      <x:c r="N653" t="str">
        <x:v>0</x:v>
      </x:c>
      <x:c r="O653" t="str">
        <x:v>0fd6ad2d-3389-4e70-8974-eb85ee223eeb</x:v>
      </x:c>
      <x:c r="P653" t="str">
        <x:v>2026-09-04</x:v>
      </x:c>
    </x:row>
    <x:row r="654">
      <x:c r="A654" t="str">
        <x:v>重点观察</x:v>
      </x:c>
      <x:c r="B654" t="str">
        <x:v>补全 PB、财报，等待Agent自动验证</x:v>
      </x:c>
      <x:c r="C654" t="str">
        <x:v>002275</x:v>
      </x:c>
      <x:c r="D654" t="str">
        <x:v>桂林三金</x:v>
      </x:c>
      <x:c r="E654" t="str">
        <x:v>主板</x:v>
      </x:c>
      <x:c r="F654" t="str">
        <x:v>待行业映射</x:v>
      </x:c>
      <x:c r="G654" t="str">
        <x:v>当前全市场行情快照缺少 PB；只能作为待补全研究队列，不得按完整估值条件生成交易建议。</x:v>
      </x:c>
      <x:c r="H654" t="n">
        <x:v>12.36</x:v>
      </x:c>
      <x:c r="I654" t="n">
        <x:v>17.84</x:v>
      </x:c>
      <x:c r="J654"/>
      <x:c r="K654" t="str">
        <x:v>待归档官方财报</x:v>
      </x:c>
      <x:c r="L654" t="str">
        <x:v>AkShare / Tencent all-A market snapshot</x:v>
      </x:c>
      <x:c r="M654" t="str">
        <x:v>ProxyError: primary market source unavailable; see source_id for full audit.</x:v>
      </x:c>
      <x:c r="N654" t="str">
        <x:v>0</x:v>
      </x:c>
      <x:c r="O654" t="str">
        <x:v>0fd6ad2d-3389-4e70-8974-eb85ee223eeb</x:v>
      </x:c>
      <x:c r="P654" t="str">
        <x:v>2026-09-04</x:v>
      </x:c>
    </x:row>
    <x:row r="655">
      <x:c r="A655" t="str">
        <x:v>重点观察</x:v>
      </x:c>
      <x:c r="B655" t="str">
        <x:v>补全 PB、财报，等待Agent自动验证</x:v>
      </x:c>
      <x:c r="C655" t="str">
        <x:v>002842</x:v>
      </x:c>
      <x:c r="D655" t="str">
        <x:v>翔鹭钨业</x:v>
      </x:c>
      <x:c r="E655" t="str">
        <x:v>主板</x:v>
      </x:c>
      <x:c r="F655" t="str">
        <x:v>待行业映射</x:v>
      </x:c>
      <x:c r="G655" t="str">
        <x:v>当前全市场行情快照缺少 PB；只能作为待补全研究队列，不得按完整估值条件生成交易建议。</x:v>
      </x:c>
      <x:c r="H655" t="n">
        <x:v>34.14</x:v>
      </x:c>
      <x:c r="I655" t="n">
        <x:v>18.39</x:v>
      </x:c>
      <x:c r="J655"/>
      <x:c r="K655" t="str">
        <x:v>待归档官方财报</x:v>
      </x:c>
      <x:c r="L655" t="str">
        <x:v>AkShare / Tencent all-A market snapshot</x:v>
      </x:c>
      <x:c r="M655" t="str">
        <x:v>ProxyError: primary market source unavailable; see source_id for full audit.</x:v>
      </x:c>
      <x:c r="N655" t="str">
        <x:v>0</x:v>
      </x:c>
      <x:c r="O655" t="str">
        <x:v>0fd6ad2d-3389-4e70-8974-eb85ee223eeb</x:v>
      </x:c>
      <x:c r="P655" t="str">
        <x:v>2026-09-04</x:v>
      </x:c>
    </x:row>
    <x:row r="656">
      <x:c r="A656" t="str">
        <x:v>重点观察</x:v>
      </x:c>
      <x:c r="B656" t="str">
        <x:v>补全 PB、财报，等待Agent自动验证</x:v>
      </x:c>
      <x:c r="C656" t="str">
        <x:v>603317</x:v>
      </x:c>
      <x:c r="D656" t="str">
        <x:v>天味食品</x:v>
      </x:c>
      <x:c r="E656" t="str">
        <x:v>主板</x:v>
      </x:c>
      <x:c r="F656" t="str">
        <x:v>待行业映射</x:v>
      </x:c>
      <x:c r="G656" t="str">
        <x:v>当前全市场行情快照缺少 PB；只能作为待补全研究队列，不得按完整估值条件生成交易建议。</x:v>
      </x:c>
      <x:c r="H656" t="n">
        <x:v>13.55</x:v>
      </x:c>
      <x:c r="I656" t="n">
        <x:v>18.92</x:v>
      </x:c>
      <x:c r="J656"/>
      <x:c r="K656" t="str">
        <x:v>待归档官方财报</x:v>
      </x:c>
      <x:c r="L656" t="str">
        <x:v>AkShare / Tencent all-A market snapshot</x:v>
      </x:c>
      <x:c r="M656" t="str">
        <x:v>ProxyError: primary market source unavailable; see source_id for full audit.</x:v>
      </x:c>
      <x:c r="N656" t="str">
        <x:v>0</x:v>
      </x:c>
      <x:c r="O656" t="str">
        <x:v>0fd6ad2d-3389-4e70-8974-eb85ee223eeb</x:v>
      </x:c>
      <x:c r="P656" t="str">
        <x:v>2026-09-04</x:v>
      </x:c>
    </x:row>
    <x:row r="657">
      <x:c r="A657" t="str">
        <x:v>重点观察</x:v>
      </x:c>
      <x:c r="B657" t="str">
        <x:v>补全 PB、财报，等待Agent自动验证</x:v>
      </x:c>
      <x:c r="C657" t="str">
        <x:v>000060</x:v>
      </x:c>
      <x:c r="D657" t="str">
        <x:v>中金岭南</x:v>
      </x:c>
      <x:c r="E657" t="str">
        <x:v>主板</x:v>
      </x:c>
      <x:c r="F657" t="str">
        <x:v>待行业映射</x:v>
      </x:c>
      <x:c r="G657" t="str">
        <x:v>当前全市场行情快照缺少 PB；只能作为待补全研究队列，不得按完整估值条件生成交易建议。</x:v>
      </x:c>
      <x:c r="H657" t="n">
        <x:v>6.51</x:v>
      </x:c>
      <x:c r="I657" t="n">
        <x:v>20.88</x:v>
      </x:c>
      <x:c r="J657"/>
      <x:c r="K657" t="str">
        <x:v>待归档官方财报</x:v>
      </x:c>
      <x:c r="L657" t="str">
        <x:v>AkShare / Tencent all-A market snapshot</x:v>
      </x:c>
      <x:c r="M657" t="str">
        <x:v>ProxyError: primary market source unavailable; see source_id for full audit.</x:v>
      </x:c>
      <x:c r="N657" t="str">
        <x:v>0</x:v>
      </x:c>
      <x:c r="O657" t="str">
        <x:v>0fd6ad2d-3389-4e70-8974-eb85ee223eeb</x:v>
      </x:c>
      <x:c r="P657" t="str">
        <x:v>2026-09-04</x:v>
      </x:c>
    </x:row>
    <x:row r="658">
      <x:c r="A658" t="str">
        <x:v>重点观察</x:v>
      </x:c>
      <x:c r="B658" t="str">
        <x:v>补全 PB、财报，等待Agent自动验证</x:v>
      </x:c>
      <x:c r="C658" t="str">
        <x:v>000531</x:v>
      </x:c>
      <x:c r="D658" t="str">
        <x:v>穗恒运Ａ</x:v>
      </x:c>
      <x:c r="E658" t="str">
        <x:v>主板</x:v>
      </x:c>
      <x:c r="F658" t="str">
        <x:v>待行业映射</x:v>
      </x:c>
      <x:c r="G658" t="str">
        <x:v>当前全市场行情快照缺少 PB；只能作为待补全研究队列，不得按完整估值条件生成交易建议。</x:v>
      </x:c>
      <x:c r="H658" t="n">
        <x:v>5.62</x:v>
      </x:c>
      <x:c r="I658" t="n">
        <x:v>17.8</x:v>
      </x:c>
      <x:c r="J658"/>
      <x:c r="K658" t="str">
        <x:v>待归档官方财报</x:v>
      </x:c>
      <x:c r="L658" t="str">
        <x:v>AkShare / Tencent all-A market snapshot</x:v>
      </x:c>
      <x:c r="M658" t="str">
        <x:v>ProxyError: primary market source unavailable; see source_id for full audit.</x:v>
      </x:c>
      <x:c r="N658" t="str">
        <x:v>0</x:v>
      </x:c>
      <x:c r="O658" t="str">
        <x:v>0fd6ad2d-3389-4e70-8974-eb85ee223eeb</x:v>
      </x:c>
      <x:c r="P658" t="str">
        <x:v>2026-09-04</x:v>
      </x:c>
    </x:row>
    <x:row r="659">
      <x:c r="A659" t="str">
        <x:v>重点观察</x:v>
      </x:c>
      <x:c r="B659" t="str">
        <x:v>补全 PB、财报，等待Agent自动验证</x:v>
      </x:c>
      <x:c r="C659" t="str">
        <x:v>600587</x:v>
      </x:c>
      <x:c r="D659" t="str">
        <x:v>新华医疗</x:v>
      </x:c>
      <x:c r="E659" t="str">
        <x:v>主板</x:v>
      </x:c>
      <x:c r="F659" t="str">
        <x:v>待行业映射</x:v>
      </x:c>
      <x:c r="G659" t="str">
        <x:v>当前全市场行情快照缺少 PB；只能作为待补全研究队列，不得按完整估值条件生成交易建议。</x:v>
      </x:c>
      <x:c r="H659" t="n">
        <x:v>12.67</x:v>
      </x:c>
      <x:c r="I659" t="n">
        <x:v>18.05</x:v>
      </x:c>
      <x:c r="J659"/>
      <x:c r="K659" t="str">
        <x:v>待归档官方财报</x:v>
      </x:c>
      <x:c r="L659" t="str">
        <x:v>AkShare / Tencent all-A market snapshot</x:v>
      </x:c>
      <x:c r="M659" t="str">
        <x:v>ProxyError: primary market source unavailable; see source_id for full audit.</x:v>
      </x:c>
      <x:c r="N659" t="str">
        <x:v>0</x:v>
      </x:c>
      <x:c r="O659" t="str">
        <x:v>0fd6ad2d-3389-4e70-8974-eb85ee223eeb</x:v>
      </x:c>
      <x:c r="P659" t="str">
        <x:v>2026-09-04</x:v>
      </x:c>
    </x:row>
    <x:row r="660">
      <x:c r="A660" t="str">
        <x:v>重点观察</x:v>
      </x:c>
      <x:c r="B660" t="str">
        <x:v>补全 PB、财报，等待Agent自动验证</x:v>
      </x:c>
      <x:c r="C660" t="str">
        <x:v>688208</x:v>
      </x:c>
      <x:c r="D660" t="str">
        <x:v>道通科技</x:v>
      </x:c>
      <x:c r="E660" t="str">
        <x:v>科创板</x:v>
      </x:c>
      <x:c r="F660" t="str">
        <x:v>待行业映射</x:v>
      </x:c>
      <x:c r="G660" t="str">
        <x:v>当前全市场行情快照缺少 PB；只能作为待补全研究队列，不得按完整估值条件生成交易建议。</x:v>
      </x:c>
      <x:c r="H660" t="n">
        <x:v>25.68</x:v>
      </x:c>
      <x:c r="I660" t="n">
        <x:v>19.36</x:v>
      </x:c>
      <x:c r="J660"/>
      <x:c r="K660" t="str">
        <x:v>待归档官方财报</x:v>
      </x:c>
      <x:c r="L660" t="str">
        <x:v>AkShare / Tencent all-A market snapshot</x:v>
      </x:c>
      <x:c r="M660" t="str">
        <x:v>ProxyError: primary market source unavailable; see source_id for full audit.</x:v>
      </x:c>
      <x:c r="N660" t="str">
        <x:v>0</x:v>
      </x:c>
      <x:c r="O660" t="str">
        <x:v>0fd6ad2d-3389-4e70-8974-eb85ee223eeb</x:v>
      </x:c>
      <x:c r="P660" t="str">
        <x:v>2026-09-04</x:v>
      </x:c>
    </x:row>
    <x:row r="661">
      <x:c r="A661" t="str">
        <x:v>重点观察</x:v>
      </x:c>
      <x:c r="B661" t="str">
        <x:v>补全 PB、财报，等待Agent自动验证</x:v>
      </x:c>
      <x:c r="C661" t="str">
        <x:v>002833</x:v>
      </x:c>
      <x:c r="D661" t="str">
        <x:v>弘亚数控</x:v>
      </x:c>
      <x:c r="E661" t="str">
        <x:v>主板</x:v>
      </x:c>
      <x:c r="F661" t="str">
        <x:v>待行业映射</x:v>
      </x:c>
      <x:c r="G661" t="str">
        <x:v>当前全市场行情快照缺少 PB；只能作为待补全研究队列，不得按完整估值条件生成交易建议。</x:v>
      </x:c>
      <x:c r="H661" t="n">
        <x:v>18.75</x:v>
      </x:c>
      <x:c r="I661" t="n">
        <x:v>18.16</x:v>
      </x:c>
      <x:c r="J661"/>
      <x:c r="K661" t="str">
        <x:v>待归档官方财报</x:v>
      </x:c>
      <x:c r="L661" t="str">
        <x:v>AkShare / Tencent all-A market snapshot</x:v>
      </x:c>
      <x:c r="M661" t="str">
        <x:v>ProxyError: primary market source unavailable; see source_id for full audit.</x:v>
      </x:c>
      <x:c r="N661" t="str">
        <x:v>0</x:v>
      </x:c>
      <x:c r="O661" t="str">
        <x:v>0fd6ad2d-3389-4e70-8974-eb85ee223eeb</x:v>
      </x:c>
      <x:c r="P661" t="str">
        <x:v>2026-09-04</x:v>
      </x:c>
    </x:row>
    <x:row r="662">
      <x:c r="A662" t="str">
        <x:v>重点观察</x:v>
      </x:c>
      <x:c r="B662" t="str">
        <x:v>补全 PB、财报，等待Agent自动验证</x:v>
      </x:c>
      <x:c r="C662" t="str">
        <x:v>301303</x:v>
      </x:c>
      <x:c r="D662" t="str">
        <x:v>真兰仪表</x:v>
      </x:c>
      <x:c r="E662" t="str">
        <x:v>创业板</x:v>
      </x:c>
      <x:c r="F662" t="str">
        <x:v>待行业映射</x:v>
      </x:c>
      <x:c r="G662" t="str">
        <x:v>当前全市场行情快照缺少 PB；只能作为待补全研究队列，不得按完整估值条件生成交易建议。</x:v>
      </x:c>
      <x:c r="H662" t="n">
        <x:v>13.78</x:v>
      </x:c>
      <x:c r="I662" t="n">
        <x:v>17.95</x:v>
      </x:c>
      <x:c r="J662"/>
      <x:c r="K662" t="str">
        <x:v>待归档官方财报</x:v>
      </x:c>
      <x:c r="L662" t="str">
        <x:v>AkShare / Tencent all-A market snapshot</x:v>
      </x:c>
      <x:c r="M662" t="str">
        <x:v>ProxyError: primary market source unavailable; see source_id for full audit.</x:v>
      </x:c>
      <x:c r="N662" t="str">
        <x:v>0</x:v>
      </x:c>
      <x:c r="O662" t="str">
        <x:v>0fd6ad2d-3389-4e70-8974-eb85ee223eeb</x:v>
      </x:c>
      <x:c r="P662" t="str">
        <x:v>2026-09-04</x:v>
      </x:c>
    </x:row>
    <x:row r="663">
      <x:c r="A663" t="str">
        <x:v>重点观察</x:v>
      </x:c>
      <x:c r="B663" t="str">
        <x:v>补全 PB、财报，等待Agent自动验证</x:v>
      </x:c>
      <x:c r="C663" t="str">
        <x:v>002606</x:v>
      </x:c>
      <x:c r="D663" t="str">
        <x:v>大连电瓷</x:v>
      </x:c>
      <x:c r="E663" t="str">
        <x:v>主板</x:v>
      </x:c>
      <x:c r="F663" t="str">
        <x:v>待行业映射</x:v>
      </x:c>
      <x:c r="G663" t="str">
        <x:v>当前全市场行情快照缺少 PB；只能作为待补全研究队列，不得按完整估值条件生成交易建议。</x:v>
      </x:c>
      <x:c r="H663" t="n">
        <x:v>13.14</x:v>
      </x:c>
      <x:c r="I663" t="n">
        <x:v>18.03</x:v>
      </x:c>
      <x:c r="J663"/>
      <x:c r="K663" t="str">
        <x:v>待归档官方财报</x:v>
      </x:c>
      <x:c r="L663" t="str">
        <x:v>AkShare / Tencent all-A market snapshot</x:v>
      </x:c>
      <x:c r="M663" t="str">
        <x:v>ProxyError: primary market source unavailable; see source_id for full audit.</x:v>
      </x:c>
      <x:c r="N663" t="str">
        <x:v>0</x:v>
      </x:c>
      <x:c r="O663" t="str">
        <x:v>0fd6ad2d-3389-4e70-8974-eb85ee223eeb</x:v>
      </x:c>
      <x:c r="P663" t="str">
        <x:v>2026-09-04</x:v>
      </x:c>
    </x:row>
    <x:row r="664">
      <x:c r="A664" t="str">
        <x:v>重点观察</x:v>
      </x:c>
      <x:c r="B664" t="str">
        <x:v>补全 PB、财报，等待Agent自动验证</x:v>
      </x:c>
      <x:c r="C664" t="str">
        <x:v>600888</x:v>
      </x:c>
      <x:c r="D664" t="str">
        <x:v>新疆众和</x:v>
      </x:c>
      <x:c r="E664" t="str">
        <x:v>主板</x:v>
      </x:c>
      <x:c r="F664" t="str">
        <x:v>待行业映射</x:v>
      </x:c>
      <x:c r="G664" t="str">
        <x:v>当前全市场行情快照缺少 PB；只能作为待补全研究队列，不得按完整估值条件生成交易建议。</x:v>
      </x:c>
      <x:c r="H664" t="n">
        <x:v>9.87</x:v>
      </x:c>
      <x:c r="I664" t="n">
        <x:v>19.32</x:v>
      </x:c>
      <x:c r="J664"/>
      <x:c r="K664" t="str">
        <x:v>待归档官方财报</x:v>
      </x:c>
      <x:c r="L664" t="str">
        <x:v>AkShare / Tencent all-A market snapshot</x:v>
      </x:c>
      <x:c r="M664" t="str">
        <x:v>ProxyError: primary market source unavailable; see source_id for full audit.</x:v>
      </x:c>
      <x:c r="N664" t="str">
        <x:v>0</x:v>
      </x:c>
      <x:c r="O664" t="str">
        <x:v>0fd6ad2d-3389-4e70-8974-eb85ee223eeb</x:v>
      </x:c>
      <x:c r="P664" t="str">
        <x:v>2026-09-04</x:v>
      </x:c>
    </x:row>
    <x:row r="665">
      <x:c r="A665" t="str">
        <x:v>重点观察</x:v>
      </x:c>
      <x:c r="B665" t="str">
        <x:v>补全 PB、财报，等待Agent自动验证</x:v>
      </x:c>
      <x:c r="C665" t="str">
        <x:v>600817</x:v>
      </x:c>
      <x:c r="D665" t="str">
        <x:v>宇通重工</x:v>
      </x:c>
      <x:c r="E665" t="str">
        <x:v>主板</x:v>
      </x:c>
      <x:c r="F665" t="str">
        <x:v>待行业映射</x:v>
      </x:c>
      <x:c r="G665" t="str">
        <x:v>当前全市场行情快照缺少 PB；只能作为待补全研究队列，不得按完整估值条件生成交易建议。</x:v>
      </x:c>
      <x:c r="H665" t="n">
        <x:v>9.93</x:v>
      </x:c>
      <x:c r="I665" t="n">
        <x:v>17.98</x:v>
      </x:c>
      <x:c r="J665"/>
      <x:c r="K665" t="str">
        <x:v>待归档官方财报</x:v>
      </x:c>
      <x:c r="L665" t="str">
        <x:v>AkShare / Tencent all-A market snapshot</x:v>
      </x:c>
      <x:c r="M665" t="str">
        <x:v>ProxyError: primary market source unavailable; see source_id for full audit.</x:v>
      </x:c>
      <x:c r="N665" t="str">
        <x:v>0</x:v>
      </x:c>
      <x:c r="O665" t="str">
        <x:v>0fd6ad2d-3389-4e70-8974-eb85ee223eeb</x:v>
      </x:c>
      <x:c r="P665" t="str">
        <x:v>2026-09-04</x:v>
      </x:c>
    </x:row>
    <x:row r="666">
      <x:c r="A666" t="str">
        <x:v>重点观察</x:v>
      </x:c>
      <x:c r="B666" t="str">
        <x:v>补全 PB、财报，等待Agent自动验证</x:v>
      </x:c>
      <x:c r="C666" t="str">
        <x:v>001207</x:v>
      </x:c>
      <x:c r="D666" t="str">
        <x:v>联科科技</x:v>
      </x:c>
      <x:c r="E666" t="str">
        <x:v>主板</x:v>
      </x:c>
      <x:c r="F666" t="str">
        <x:v>待行业映射</x:v>
      </x:c>
      <x:c r="G666" t="str">
        <x:v>当前全市场行情快照缺少 PB；只能作为待补全研究队列，不得按完整估值条件生成交易建议。</x:v>
      </x:c>
      <x:c r="H666" t="n">
        <x:v>17.54</x:v>
      </x:c>
      <x:c r="I666" t="n">
        <x:v>18.01</x:v>
      </x:c>
      <x:c r="J666"/>
      <x:c r="K666" t="str">
        <x:v>待归档官方财报</x:v>
      </x:c>
      <x:c r="L666" t="str">
        <x:v>AkShare / Tencent all-A market snapshot</x:v>
      </x:c>
      <x:c r="M666" t="str">
        <x:v>ProxyError: primary market source unavailable; see source_id for full audit.</x:v>
      </x:c>
      <x:c r="N666" t="str">
        <x:v>0</x:v>
      </x:c>
      <x:c r="O666" t="str">
        <x:v>0fd6ad2d-3389-4e70-8974-eb85ee223eeb</x:v>
      </x:c>
      <x:c r="P666" t="str">
        <x:v>2026-09-04</x:v>
      </x:c>
    </x:row>
    <x:row r="667">
      <x:c r="A667" t="str">
        <x:v>重点观察</x:v>
      </x:c>
      <x:c r="B667" t="str">
        <x:v>补全 PB、财报，等待Agent自动验证</x:v>
      </x:c>
      <x:c r="C667" t="str">
        <x:v>002461</x:v>
      </x:c>
      <x:c r="D667" t="str">
        <x:v>珠江啤酒</x:v>
      </x:c>
      <x:c r="E667" t="str">
        <x:v>主板</x:v>
      </x:c>
      <x:c r="F667" t="str">
        <x:v>待行业映射</x:v>
      </x:c>
      <x:c r="G667" t="str">
        <x:v>当前全市场行情快照缺少 PB；只能作为待补全研究队列，不得按完整估值条件生成交易建议。</x:v>
      </x:c>
      <x:c r="H667" t="n">
        <x:v>8.68</x:v>
      </x:c>
      <x:c r="I667" t="n">
        <x:v>19.91</x:v>
      </x:c>
      <x:c r="J667"/>
      <x:c r="K667" t="str">
        <x:v>待归档官方财报</x:v>
      </x:c>
      <x:c r="L667" t="str">
        <x:v>AkShare / Tencent all-A market snapshot</x:v>
      </x:c>
      <x:c r="M667" t="str">
        <x:v>ProxyError: primary market source unavailable; see source_id for full audit.</x:v>
      </x:c>
      <x:c r="N667" t="str">
        <x:v>0</x:v>
      </x:c>
      <x:c r="O667" t="str">
        <x:v>0fd6ad2d-3389-4e70-8974-eb85ee223eeb</x:v>
      </x:c>
      <x:c r="P667" t="str">
        <x:v>2026-09-04</x:v>
      </x:c>
    </x:row>
    <x:row r="668">
      <x:c r="A668" t="str">
        <x:v>重点观察</x:v>
      </x:c>
      <x:c r="B668" t="str">
        <x:v>补全 PB、财报，等待Agent自动验证</x:v>
      </x:c>
      <x:c r="C668" t="str">
        <x:v>688016</x:v>
      </x:c>
      <x:c r="D668" t="str">
        <x:v>心脉医疗</x:v>
      </x:c>
      <x:c r="E668" t="str">
        <x:v>科创板</x:v>
      </x:c>
      <x:c r="F668" t="str">
        <x:v>待行业映射</x:v>
      </x:c>
      <x:c r="G668" t="str">
        <x:v>当前全市场行情快照缺少 PB；只能作为待补全研究队列，不得按完整估值条件生成交易建议。</x:v>
      </x:c>
      <x:c r="H668" t="n">
        <x:v>87.08</x:v>
      </x:c>
      <x:c r="I668" t="n">
        <x:v>18.8</x:v>
      </x:c>
      <x:c r="J668"/>
      <x:c r="K668" t="str">
        <x:v>待归档官方财报</x:v>
      </x:c>
      <x:c r="L668" t="str">
        <x:v>AkShare / Tencent all-A market snapshot</x:v>
      </x:c>
      <x:c r="M668" t="str">
        <x:v>ProxyError: primary market source unavailable; see source_id for full audit.</x:v>
      </x:c>
      <x:c r="N668" t="str">
        <x:v>0</x:v>
      </x:c>
      <x:c r="O668" t="str">
        <x:v>0fd6ad2d-3389-4e70-8974-eb85ee223eeb</x:v>
      </x:c>
      <x:c r="P668" t="str">
        <x:v>2026-09-04</x:v>
      </x:c>
    </x:row>
    <x:row r="669">
      <x:c r="A669" t="str">
        <x:v>重点观察</x:v>
      </x:c>
      <x:c r="B669" t="str">
        <x:v>补全 PB、财报，等待Agent自动验证</x:v>
      </x:c>
      <x:c r="C669" t="str">
        <x:v>002831</x:v>
      </x:c>
      <x:c r="D669" t="str">
        <x:v>裕同科技</x:v>
      </x:c>
      <x:c r="E669" t="str">
        <x:v>主板</x:v>
      </x:c>
      <x:c r="F669" t="str">
        <x:v>待行业映射</x:v>
      </x:c>
      <x:c r="G669" t="str">
        <x:v>当前全市场行情快照缺少 PB；只能作为待补全研究队列，不得按完整估值条件生成交易建议。</x:v>
      </x:c>
      <x:c r="H669" t="n">
        <x:v>27.53</x:v>
      </x:c>
      <x:c r="I669" t="n">
        <x:v>22.19</x:v>
      </x:c>
      <x:c r="J669"/>
      <x:c r="K669" t="str">
        <x:v>待归档官方财报</x:v>
      </x:c>
      <x:c r="L669" t="str">
        <x:v>AkShare / Tencent all-A market snapshot</x:v>
      </x:c>
      <x:c r="M669" t="str">
        <x:v>ProxyError: primary market source unavailable; see source_id for full audit.</x:v>
      </x:c>
      <x:c r="N669" t="str">
        <x:v>0</x:v>
      </x:c>
      <x:c r="O669" t="str">
        <x:v>0fd6ad2d-3389-4e70-8974-eb85ee223eeb</x:v>
      </x:c>
      <x:c r="P669" t="str">
        <x:v>2026-09-04</x:v>
      </x:c>
    </x:row>
    <x:row r="670">
      <x:c r="A670" t="str">
        <x:v>重点观察</x:v>
      </x:c>
      <x:c r="B670" t="str">
        <x:v>补全 PB、财报，等待Agent自动验证</x:v>
      </x:c>
      <x:c r="C670" t="str">
        <x:v>002690</x:v>
      </x:c>
      <x:c r="D670" t="str">
        <x:v>美亚光电</x:v>
      </x:c>
      <x:c r="E670" t="str">
        <x:v>主板</x:v>
      </x:c>
      <x:c r="F670" t="str">
        <x:v>待行业映射</x:v>
      </x:c>
      <x:c r="G670" t="str">
        <x:v>当前全市场行情快照缺少 PB；只能作为待补全研究队列，不得按完整估值条件生成交易建议。</x:v>
      </x:c>
      <x:c r="H670" t="n">
        <x:v>16.04</x:v>
      </x:c>
      <x:c r="I670" t="n">
        <x:v>19.35</x:v>
      </x:c>
      <x:c r="J670"/>
      <x:c r="K670" t="str">
        <x:v>待归档官方财报</x:v>
      </x:c>
      <x:c r="L670" t="str">
        <x:v>AkShare / Tencent all-A market snapshot</x:v>
      </x:c>
      <x:c r="M670" t="str">
        <x:v>ProxyError: primary market source unavailable; see source_id for full audit.</x:v>
      </x:c>
      <x:c r="N670" t="str">
        <x:v>0</x:v>
      </x:c>
      <x:c r="O670" t="str">
        <x:v>0fd6ad2d-3389-4e70-8974-eb85ee223eeb</x:v>
      </x:c>
      <x:c r="P670" t="str">
        <x:v>2026-09-04</x:v>
      </x:c>
    </x:row>
    <x:row r="671">
      <x:c r="A671" t="str">
        <x:v>重点观察</x:v>
      </x:c>
      <x:c r="B671" t="str">
        <x:v>补全 PB、财报，等待Agent自动验证</x:v>
      </x:c>
      <x:c r="C671" t="str">
        <x:v>603092</x:v>
      </x:c>
      <x:c r="D671" t="str">
        <x:v>德力佳</x:v>
      </x:c>
      <x:c r="E671" t="str">
        <x:v>主板</x:v>
      </x:c>
      <x:c r="F671" t="str">
        <x:v>待行业映射</x:v>
      </x:c>
      <x:c r="G671" t="str">
        <x:v>当前全市场行情快照缺少 PB；只能作为待补全研究队列，不得按完整估值条件生成交易建议。</x:v>
      </x:c>
      <x:c r="H671" t="n">
        <x:v>41.68</x:v>
      </x:c>
      <x:c r="I671" t="n">
        <x:v>19.72</x:v>
      </x:c>
      <x:c r="J671"/>
      <x:c r="K671" t="str">
        <x:v>待归档官方财报</x:v>
      </x:c>
      <x:c r="L671" t="str">
        <x:v>AkShare / Tencent all-A market snapshot</x:v>
      </x:c>
      <x:c r="M671" t="str">
        <x:v>ProxyError: primary market source unavailable; see source_id for full audit.</x:v>
      </x:c>
      <x:c r="N671" t="str">
        <x:v>0</x:v>
      </x:c>
      <x:c r="O671" t="str">
        <x:v>0fd6ad2d-3389-4e70-8974-eb85ee223eeb</x:v>
      </x:c>
      <x:c r="P671" t="str">
        <x:v>2026-09-04</x:v>
      </x:c>
    </x:row>
    <x:row r="672">
      <x:c r="A672" t="str">
        <x:v>重点观察</x:v>
      </x:c>
      <x:c r="B672" t="str">
        <x:v>补全 PB、财报，等待Agent自动验证</x:v>
      </x:c>
      <x:c r="C672" t="str">
        <x:v>688093</x:v>
      </x:c>
      <x:c r="D672" t="str">
        <x:v>世华科技</x:v>
      </x:c>
      <x:c r="E672" t="str">
        <x:v>科创板</x:v>
      </x:c>
      <x:c r="F672" t="str">
        <x:v>待行业映射</x:v>
      </x:c>
      <x:c r="G672" t="str">
        <x:v>当前全市场行情快照缺少 PB；只能作为待补全研究队列，不得按完整估值条件生成交易建议。</x:v>
      </x:c>
      <x:c r="H672" t="n">
        <x:v>21.43</x:v>
      </x:c>
      <x:c r="I672" t="n">
        <x:v>18.31</x:v>
      </x:c>
      <x:c r="J672"/>
      <x:c r="K672" t="str">
        <x:v>待归档官方财报</x:v>
      </x:c>
      <x:c r="L672" t="str">
        <x:v>AkShare / Tencent all-A market snapshot</x:v>
      </x:c>
      <x:c r="M672" t="str">
        <x:v>ProxyError: primary market source unavailable; see source_id for full audit.</x:v>
      </x:c>
      <x:c r="N672" t="str">
        <x:v>0</x:v>
      </x:c>
      <x:c r="O672" t="str">
        <x:v>0fd6ad2d-3389-4e70-8974-eb85ee223eeb</x:v>
      </x:c>
      <x:c r="P672" t="str">
        <x:v>2026-09-04</x:v>
      </x:c>
    </x:row>
    <x:row r="673">
      <x:c r="A673" t="str">
        <x:v>重点观察</x:v>
      </x:c>
      <x:c r="B673" t="str">
        <x:v>补全 PB、财报，等待Agent自动验证</x:v>
      </x:c>
      <x:c r="C673" t="str">
        <x:v>600298</x:v>
      </x:c>
      <x:c r="D673" t="str">
        <x:v>安琪酵母</x:v>
      </x:c>
      <x:c r="E673" t="str">
        <x:v>主板</x:v>
      </x:c>
      <x:c r="F673" t="str">
        <x:v>待行业映射</x:v>
      </x:c>
      <x:c r="G673" t="str">
        <x:v>当前全市场行情快照缺少 PB；只能作为待补全研究队列，不得按完整估值条件生成交易建议。</x:v>
      </x:c>
      <x:c r="H673" t="n">
        <x:v>41.98</x:v>
      </x:c>
      <x:c r="I673" t="n">
        <x:v>22.41</x:v>
      </x:c>
      <x:c r="J673"/>
      <x:c r="K673" t="str">
        <x:v>待归档官方财报</x:v>
      </x:c>
      <x:c r="L673" t="str">
        <x:v>AkShare / Tencent all-A market snapshot</x:v>
      </x:c>
      <x:c r="M673" t="str">
        <x:v>ProxyError: primary market source unavailable; see source_id for full audit.</x:v>
      </x:c>
      <x:c r="N673" t="str">
        <x:v>0</x:v>
      </x:c>
      <x:c r="O673" t="str">
        <x:v>0fd6ad2d-3389-4e70-8974-eb85ee223eeb</x:v>
      </x:c>
      <x:c r="P673" t="str">
        <x:v>2026-09-04</x:v>
      </x:c>
    </x:row>
    <x:row r="674">
      <x:c r="A674" t="str">
        <x:v>重点观察</x:v>
      </x:c>
      <x:c r="B674" t="str">
        <x:v>补全 PB、财报，等待Agent自动验证</x:v>
      </x:c>
      <x:c r="C674" t="str">
        <x:v>600017</x:v>
      </x:c>
      <x:c r="D674" t="str">
        <x:v>日照港</x:v>
      </x:c>
      <x:c r="E674" t="str">
        <x:v>主板</x:v>
      </x:c>
      <x:c r="F674" t="str">
        <x:v>待行业映射</x:v>
      </x:c>
      <x:c r="G674" t="str">
        <x:v>当前全市场行情快照缺少 PB；只能作为待补全研究队列，不得按完整估值条件生成交易建议。</x:v>
      </x:c>
      <x:c r="H674" t="n">
        <x:v>2.85</x:v>
      </x:c>
      <x:c r="I674" t="n">
        <x:v>18.69</x:v>
      </x:c>
      <x:c r="J674"/>
      <x:c r="K674" t="str">
        <x:v>待归档官方财报</x:v>
      </x:c>
      <x:c r="L674" t="str">
        <x:v>AkShare / Tencent all-A market snapshot</x:v>
      </x:c>
      <x:c r="M674" t="str">
        <x:v>ProxyError: primary market source unavailable; see source_id for full audit.</x:v>
      </x:c>
      <x:c r="N674" t="str">
        <x:v>0</x:v>
      </x:c>
      <x:c r="O674" t="str">
        <x:v>0fd6ad2d-3389-4e70-8974-eb85ee223eeb</x:v>
      </x:c>
      <x:c r="P674" t="str">
        <x:v>2026-09-04</x:v>
      </x:c>
    </x:row>
    <x:row r="675">
      <x:c r="A675" t="str">
        <x:v>重点观察</x:v>
      </x:c>
      <x:c r="B675" t="str">
        <x:v>补全 PB、财报，等待Agent自动验证</x:v>
      </x:c>
      <x:c r="C675" t="str">
        <x:v>000758</x:v>
      </x:c>
      <x:c r="D675" t="str">
        <x:v>中色股份</x:v>
      </x:c>
      <x:c r="E675" t="str">
        <x:v>主板</x:v>
      </x:c>
      <x:c r="F675" t="str">
        <x:v>待行业映射</x:v>
      </x:c>
      <x:c r="G675" t="str">
        <x:v>当前全市场行情快照缺少 PB；只能作为待补全研究队列，不得按完整估值条件生成交易建议。</x:v>
      </x:c>
      <x:c r="H675" t="n">
        <x:v>6.18</x:v>
      </x:c>
      <x:c r="I675" t="n">
        <x:v>19.22</x:v>
      </x:c>
      <x:c r="J675"/>
      <x:c r="K675" t="str">
        <x:v>待归档官方财报</x:v>
      </x:c>
      <x:c r="L675" t="str">
        <x:v>AkShare / Tencent all-A market snapshot</x:v>
      </x:c>
      <x:c r="M675" t="str">
        <x:v>ProxyError: primary market source unavailable; see source_id for full audit.</x:v>
      </x:c>
      <x:c r="N675" t="str">
        <x:v>0</x:v>
      </x:c>
      <x:c r="O675" t="str">
        <x:v>0fd6ad2d-3389-4e70-8974-eb85ee223eeb</x:v>
      </x:c>
      <x:c r="P675" t="str">
        <x:v>2026-09-04</x:v>
      </x:c>
    </x:row>
    <x:row r="676">
      <x:c r="A676" t="str">
        <x:v>重点观察</x:v>
      </x:c>
      <x:c r="B676" t="str">
        <x:v>补全 PB、财报，等待Agent自动验证</x:v>
      </x:c>
      <x:c r="C676" t="str">
        <x:v>002130</x:v>
      </x:c>
      <x:c r="D676" t="str">
        <x:v>沃尔核材</x:v>
      </x:c>
      <x:c r="E676" t="str">
        <x:v>主板</x:v>
      </x:c>
      <x:c r="F676" t="str">
        <x:v>待行业映射</x:v>
      </x:c>
      <x:c r="G676" t="str">
        <x:v>当前全市场行情快照缺少 PB；只能作为待补全研究队列，不得按完整估值条件生成交易建议。</x:v>
      </x:c>
      <x:c r="H676" t="n">
        <x:v>17.17</x:v>
      </x:c>
      <x:c r="I676" t="n">
        <x:v>20.86</x:v>
      </x:c>
      <x:c r="J676"/>
      <x:c r="K676" t="str">
        <x:v>待归档官方财报</x:v>
      </x:c>
      <x:c r="L676" t="str">
        <x:v>AkShare / Tencent all-A market snapshot</x:v>
      </x:c>
      <x:c r="M676" t="str">
        <x:v>ProxyError: primary market source unavailable; see source_id for full audit.</x:v>
      </x:c>
      <x:c r="N676" t="str">
        <x:v>0</x:v>
      </x:c>
      <x:c r="O676" t="str">
        <x:v>0fd6ad2d-3389-4e70-8974-eb85ee223eeb</x:v>
      </x:c>
      <x:c r="P676" t="str">
        <x:v>2026-09-04</x:v>
      </x:c>
    </x:row>
    <x:row r="677">
      <x:c r="A677" t="str">
        <x:v>重点观察</x:v>
      </x:c>
      <x:c r="B677" t="str">
        <x:v>补全 PB、财报，等待Agent自动验证</x:v>
      </x:c>
      <x:c r="C677" t="str">
        <x:v>601038</x:v>
      </x:c>
      <x:c r="D677" t="str">
        <x:v>一拖股份</x:v>
      </x:c>
      <x:c r="E677" t="str">
        <x:v>主板</x:v>
      </x:c>
      <x:c r="F677" t="str">
        <x:v>待行业映射</x:v>
      </x:c>
      <x:c r="G677" t="str">
        <x:v>当前全市场行情快照缺少 PB；只能作为待补全研究队列，不得按完整估值条件生成交易建议。</x:v>
      </x:c>
      <x:c r="H677" t="n">
        <x:v>14.59</x:v>
      </x:c>
      <x:c r="I677" t="n">
        <x:v>19.87</x:v>
      </x:c>
      <x:c r="J677"/>
      <x:c r="K677" t="str">
        <x:v>待归档官方财报</x:v>
      </x:c>
      <x:c r="L677" t="str">
        <x:v>AkShare / Tencent all-A market snapshot</x:v>
      </x:c>
      <x:c r="M677" t="str">
        <x:v>ProxyError: primary market source unavailable; see source_id for full audit.</x:v>
      </x:c>
      <x:c r="N677" t="str">
        <x:v>0</x:v>
      </x:c>
      <x:c r="O677" t="str">
        <x:v>0fd6ad2d-3389-4e70-8974-eb85ee223eeb</x:v>
      </x:c>
      <x:c r="P677" t="str">
        <x:v>2026-09-04</x:v>
      </x:c>
    </x:row>
    <x:row r="678">
      <x:c r="A678" t="str">
        <x:v>重点观察</x:v>
      </x:c>
      <x:c r="B678" t="str">
        <x:v>补全 PB、财报，等待Agent自动验证</x:v>
      </x:c>
      <x:c r="C678" t="str">
        <x:v>600699</x:v>
      </x:c>
      <x:c r="D678" t="str">
        <x:v>均胜电子</x:v>
      </x:c>
      <x:c r="E678" t="str">
        <x:v>主板</x:v>
      </x:c>
      <x:c r="F678" t="str">
        <x:v>待行业映射</x:v>
      </x:c>
      <x:c r="G678" t="str">
        <x:v>当前全市场行情快照缺少 PB；只能作为待补全研究队列，不得按完整估值条件生成交易建议。</x:v>
      </x:c>
      <x:c r="H678" t="n">
        <x:v>19.12</x:v>
      </x:c>
      <x:c r="I678" t="n">
        <x:v>21.69</x:v>
      </x:c>
      <x:c r="J678"/>
      <x:c r="K678" t="str">
        <x:v>待归档官方财报</x:v>
      </x:c>
      <x:c r="L678" t="str">
        <x:v>AkShare / Tencent all-A market snapshot</x:v>
      </x:c>
      <x:c r="M678" t="str">
        <x:v>ProxyError: primary market source unavailable; see source_id for full audit.</x:v>
      </x:c>
      <x:c r="N678" t="str">
        <x:v>0</x:v>
      </x:c>
      <x:c r="O678" t="str">
        <x:v>0fd6ad2d-3389-4e70-8974-eb85ee223eeb</x:v>
      </x:c>
      <x:c r="P678" t="str">
        <x:v>2026-09-04</x:v>
      </x:c>
    </x:row>
    <x:row r="679">
      <x:c r="A679" t="str">
        <x:v>重点观察</x:v>
      </x:c>
      <x:c r="B679" t="str">
        <x:v>补全 PB、财报，等待Agent自动验证</x:v>
      </x:c>
      <x:c r="C679" t="str">
        <x:v>002262</x:v>
      </x:c>
      <x:c r="D679" t="str">
        <x:v>恩华药业</x:v>
      </x:c>
      <x:c r="E679" t="str">
        <x:v>主板</x:v>
      </x:c>
      <x:c r="F679" t="str">
        <x:v>待行业映射</x:v>
      </x:c>
      <x:c r="G679" t="str">
        <x:v>当前全市场行情快照缺少 PB；只能作为待补全研究队列，不得按完整估值条件生成交易建议。</x:v>
      </x:c>
      <x:c r="H679" t="n">
        <x:v>22.56</x:v>
      </x:c>
      <x:c r="I679" t="n">
        <x:v>20.82</x:v>
      </x:c>
      <x:c r="J679"/>
      <x:c r="K679" t="str">
        <x:v>待归档官方财报</x:v>
      </x:c>
      <x:c r="L679" t="str">
        <x:v>AkShare / Tencent all-A market snapshot</x:v>
      </x:c>
      <x:c r="M679" t="str">
        <x:v>ProxyError: primary market source unavailable; see source_id for full audit.</x:v>
      </x:c>
      <x:c r="N679" t="str">
        <x:v>0</x:v>
      </x:c>
      <x:c r="O679" t="str">
        <x:v>0fd6ad2d-3389-4e70-8974-eb85ee223eeb</x:v>
      </x:c>
      <x:c r="P679" t="str">
        <x:v>2026-09-04</x:v>
      </x:c>
    </x:row>
    <x:row r="680">
      <x:c r="A680" t="str">
        <x:v>重点观察</x:v>
      </x:c>
      <x:c r="B680" t="str">
        <x:v>补全 PB、财报，等待Agent自动验证</x:v>
      </x:c>
      <x:c r="C680" t="str">
        <x:v>002155</x:v>
      </x:c>
      <x:c r="D680" t="str">
        <x:v>湖南黄金</x:v>
      </x:c>
      <x:c r="E680" t="str">
        <x:v>主板</x:v>
      </x:c>
      <x:c r="F680" t="str">
        <x:v>待行业映射</x:v>
      </x:c>
      <x:c r="G680" t="str">
        <x:v>当前全市场行情快照缺少 PB；只能作为待补全研究队列，不得按完整估值条件生成交易建议。</x:v>
      </x:c>
      <x:c r="H680" t="n">
        <x:v>26.78</x:v>
      </x:c>
      <x:c r="I680" t="n">
        <x:v>23.38</x:v>
      </x:c>
      <x:c r="J680"/>
      <x:c r="K680" t="str">
        <x:v>待归档官方财报</x:v>
      </x:c>
      <x:c r="L680" t="str">
        <x:v>AkShare / Tencent all-A market snapshot</x:v>
      </x:c>
      <x:c r="M680" t="str">
        <x:v>ProxyError: primary market source unavailable; see source_id for full audit.</x:v>
      </x:c>
      <x:c r="N680" t="str">
        <x:v>0</x:v>
      </x:c>
      <x:c r="O680" t="str">
        <x:v>0fd6ad2d-3389-4e70-8974-eb85ee223eeb</x:v>
      </x:c>
      <x:c r="P680" t="str">
        <x:v>2026-09-04</x:v>
      </x:c>
    </x:row>
    <x:row r="681">
      <x:c r="A681" t="str">
        <x:v>重点观察</x:v>
      </x:c>
      <x:c r="B681" t="str">
        <x:v>补全 PB、财报，等待Agent自动验证</x:v>
      </x:c>
      <x:c r="C681" t="str">
        <x:v>600141</x:v>
      </x:c>
      <x:c r="D681" t="str">
        <x:v>兴发集团</x:v>
      </x:c>
      <x:c r="E681" t="str">
        <x:v>主板</x:v>
      </x:c>
      <x:c r="F681" t="str">
        <x:v>待行业映射</x:v>
      </x:c>
      <x:c r="G681" t="str">
        <x:v>当前全市场行情快照缺少 PB；只能作为待补全研究队列，不得按完整估值条件生成交易建议。</x:v>
      </x:c>
      <x:c r="H681" t="n">
        <x:v>30.19</x:v>
      </x:c>
      <x:c r="I681" t="n">
        <x:v>22.66</x:v>
      </x:c>
      <x:c r="J681"/>
      <x:c r="K681" t="str">
        <x:v>待归档官方财报</x:v>
      </x:c>
      <x:c r="L681" t="str">
        <x:v>AkShare / Tencent all-A market snapshot</x:v>
      </x:c>
      <x:c r="M681" t="str">
        <x:v>ProxyError: primary market source unavailable; see source_id for full audit.</x:v>
      </x:c>
      <x:c r="N681" t="str">
        <x:v>0</x:v>
      </x:c>
      <x:c r="O681" t="str">
        <x:v>0fd6ad2d-3389-4e70-8974-eb85ee223eeb</x:v>
      </x:c>
      <x:c r="P681" t="str">
        <x:v>2026-09-04</x:v>
      </x:c>
    </x:row>
    <x:row r="682">
      <x:c r="A682" t="str">
        <x:v>重点观察</x:v>
      </x:c>
      <x:c r="B682" t="str">
        <x:v>补全 PB、财报，等待Agent自动验证</x:v>
      </x:c>
      <x:c r="C682" t="str">
        <x:v>920174</x:v>
      </x:c>
      <x:c r="D682" t="str">
        <x:v>五新智能</x:v>
      </x:c>
      <x:c r="E682" t="str">
        <x:v>北交所</x:v>
      </x:c>
      <x:c r="F682" t="str">
        <x:v>待行业映射</x:v>
      </x:c>
      <x:c r="G682" t="str">
        <x:v>当前全市场行情快照缺少 PB；只能作为待补全研究队列，不得按完整估值条件生成交易建议。</x:v>
      </x:c>
      <x:c r="H682" t="n">
        <x:v>34.28</x:v>
      </x:c>
      <x:c r="I682" t="n">
        <x:v>18.89</x:v>
      </x:c>
      <x:c r="J682"/>
      <x:c r="K682" t="str">
        <x:v>待归档官方财报</x:v>
      </x:c>
      <x:c r="L682" t="str">
        <x:v>AkShare / Tencent all-A market snapshot</x:v>
      </x:c>
      <x:c r="M682" t="str">
        <x:v>ProxyError: primary market source unavailable; see source_id for full audit.</x:v>
      </x:c>
      <x:c r="N682" t="str">
        <x:v>0</x:v>
      </x:c>
      <x:c r="O682" t="str">
        <x:v>0fd6ad2d-3389-4e70-8974-eb85ee223eeb</x:v>
      </x:c>
      <x:c r="P682" t="str">
        <x:v>2026-09-04</x:v>
      </x:c>
    </x:row>
    <x:row r="683">
      <x:c r="A683" t="str">
        <x:v>重点观察</x:v>
      </x:c>
      <x:c r="B683" t="str">
        <x:v>补全 PB、财报，等待Agent自动验证</x:v>
      </x:c>
      <x:c r="C683" t="str">
        <x:v>000709</x:v>
      </x:c>
      <x:c r="D683" t="str">
        <x:v>河钢股份</x:v>
      </x:c>
      <x:c r="E683" t="str">
        <x:v>主板</x:v>
      </x:c>
      <x:c r="F683" t="str">
        <x:v>待行业映射</x:v>
      </x:c>
      <x:c r="G683" t="str">
        <x:v>当前全市场行情快照缺少 PB；只能作为待补全研究队列，不得按完整估值条件生成交易建议。</x:v>
      </x:c>
      <x:c r="H683" t="n">
        <x:v>2.1</x:v>
      </x:c>
      <x:c r="I683" t="n">
        <x:v>20.84</x:v>
      </x:c>
      <x:c r="J683"/>
      <x:c r="K683" t="str">
        <x:v>待归档官方财报</x:v>
      </x:c>
      <x:c r="L683" t="str">
        <x:v>AkShare / Tencent all-A market snapshot</x:v>
      </x:c>
      <x:c r="M683" t="str">
        <x:v>ProxyError: primary market source unavailable; see source_id for full audit.</x:v>
      </x:c>
      <x:c r="N683" t="str">
        <x:v>0</x:v>
      </x:c>
      <x:c r="O683" t="str">
        <x:v>0fd6ad2d-3389-4e70-8974-eb85ee223eeb</x:v>
      </x:c>
      <x:c r="P683" t="str">
        <x:v>2026-09-04</x:v>
      </x:c>
    </x:row>
    <x:row r="684">
      <x:c r="A684" t="str">
        <x:v>重点观察</x:v>
      </x:c>
      <x:c r="B684" t="str">
        <x:v>补全 PB、财报，等待Agent自动验证</x:v>
      </x:c>
      <x:c r="C684" t="str">
        <x:v>002487</x:v>
      </x:c>
      <x:c r="D684" t="str">
        <x:v>大金重工</x:v>
      </x:c>
      <x:c r="E684" t="str">
        <x:v>主板</x:v>
      </x:c>
      <x:c r="F684" t="str">
        <x:v>待行业映射</x:v>
      </x:c>
      <x:c r="G684" t="str">
        <x:v>当前全市场行情快照缺少 PB；只能作为待补全研究队列，不得按完整估值条件生成交易建议。</x:v>
      </x:c>
      <x:c r="H684" t="n">
        <x:v>33.22</x:v>
      </x:c>
      <x:c r="I684" t="n">
        <x:v>21.24</x:v>
      </x:c>
      <x:c r="J684"/>
      <x:c r="K684" t="str">
        <x:v>待归档官方财报</x:v>
      </x:c>
      <x:c r="L684" t="str">
        <x:v>AkShare / Tencent all-A market snapshot</x:v>
      </x:c>
      <x:c r="M684" t="str">
        <x:v>ProxyError: primary market source unavailable; see source_id for full audit.</x:v>
      </x:c>
      <x:c r="N684" t="str">
        <x:v>0</x:v>
      </x:c>
      <x:c r="O684" t="str">
        <x:v>0fd6ad2d-3389-4e70-8974-eb85ee223eeb</x:v>
      </x:c>
      <x:c r="P684" t="str">
        <x:v>2026-09-04</x:v>
      </x:c>
    </x:row>
    <x:row r="685">
      <x:c r="A685" t="str">
        <x:v>重点观察</x:v>
      </x:c>
      <x:c r="B685" t="str">
        <x:v>补全 PB、财报，等待Agent自动验证</x:v>
      </x:c>
      <x:c r="C685" t="str">
        <x:v>300009</x:v>
      </x:c>
      <x:c r="D685" t="str">
        <x:v>安科生物</x:v>
      </x:c>
      <x:c r="E685" t="str">
        <x:v>创业板</x:v>
      </x:c>
      <x:c r="F685" t="str">
        <x:v>待行业映射</x:v>
      </x:c>
      <x:c r="G685" t="str">
        <x:v>当前全市场行情快照缺少 PB；只能作为待补全研究队列，不得按完整估值条件生成交易建议。</x:v>
      </x:c>
      <x:c r="H685" t="n">
        <x:v>8.32</x:v>
      </x:c>
      <x:c r="I685" t="n">
        <x:v>19.83</x:v>
      </x:c>
      <x:c r="J685"/>
      <x:c r="K685" t="str">
        <x:v>待归档官方财报</x:v>
      </x:c>
      <x:c r="L685" t="str">
        <x:v>AkShare / Tencent all-A market snapshot</x:v>
      </x:c>
      <x:c r="M685" t="str">
        <x:v>ProxyError: primary market source unavailable; see source_id for full audit.</x:v>
      </x:c>
      <x:c r="N685" t="str">
        <x:v>0</x:v>
      </x:c>
      <x:c r="O685" t="str">
        <x:v>0fd6ad2d-3389-4e70-8974-eb85ee223eeb</x:v>
      </x:c>
      <x:c r="P685" t="str">
        <x:v>2026-09-04</x:v>
      </x:c>
    </x:row>
    <x:row r="686">
      <x:c r="A686" t="str">
        <x:v>重点观察</x:v>
      </x:c>
      <x:c r="B686" t="str">
        <x:v>补全 PB、财报，等待Agent自动验证</x:v>
      </x:c>
      <x:c r="C686" t="str">
        <x:v>688819</x:v>
      </x:c>
      <x:c r="D686" t="str">
        <x:v>天能股份</x:v>
      </x:c>
      <x:c r="E686" t="str">
        <x:v>科创板</x:v>
      </x:c>
      <x:c r="F686" t="str">
        <x:v>待行业映射</x:v>
      </x:c>
      <x:c r="G686" t="str">
        <x:v>当前全市场行情快照缺少 PB；只能作为待补全研究队列，不得按完整估值条件生成交易建议。</x:v>
      </x:c>
      <x:c r="H686" t="n">
        <x:v>21.46</x:v>
      </x:c>
      <x:c r="I686" t="n">
        <x:v>20.78</x:v>
      </x:c>
      <x:c r="J686"/>
      <x:c r="K686" t="str">
        <x:v>待归档官方财报</x:v>
      </x:c>
      <x:c r="L686" t="str">
        <x:v>AkShare / Tencent all-A market snapshot</x:v>
      </x:c>
      <x:c r="M686" t="str">
        <x:v>ProxyError: primary market source unavailable; see source_id for full audit.</x:v>
      </x:c>
      <x:c r="N686" t="str">
        <x:v>0</x:v>
      </x:c>
      <x:c r="O686" t="str">
        <x:v>0fd6ad2d-3389-4e70-8974-eb85ee223eeb</x:v>
      </x:c>
      <x:c r="P686" t="str">
        <x:v>2026-09-04</x:v>
      </x:c>
    </x:row>
    <x:row r="687">
      <x:c r="A687" t="str">
        <x:v>重点观察</x:v>
      </x:c>
      <x:c r="B687" t="str">
        <x:v>补全 PB、财报，等待Agent自动验证</x:v>
      </x:c>
      <x:c r="C687" t="str">
        <x:v>000551</x:v>
      </x:c>
      <x:c r="D687" t="str">
        <x:v>创元科技</x:v>
      </x:c>
      <x:c r="E687" t="str">
        <x:v>主板</x:v>
      </x:c>
      <x:c r="F687" t="str">
        <x:v>待行业映射</x:v>
      </x:c>
      <x:c r="G687" t="str">
        <x:v>当前全市场行情快照缺少 PB；只能作为待补全研究队列，不得按完整估值条件生成交易建议。</x:v>
      </x:c>
      <x:c r="H687" t="n">
        <x:v>12.14</x:v>
      </x:c>
      <x:c r="I687" t="n">
        <x:v>18.77</x:v>
      </x:c>
      <x:c r="J687"/>
      <x:c r="K687" t="str">
        <x:v>待归档官方财报</x:v>
      </x:c>
      <x:c r="L687" t="str">
        <x:v>AkShare / Tencent all-A market snapshot</x:v>
      </x:c>
      <x:c r="M687" t="str">
        <x:v>ProxyError: primary market source unavailable; see source_id for full audit.</x:v>
      </x:c>
      <x:c r="N687" t="str">
        <x:v>0</x:v>
      </x:c>
      <x:c r="O687" t="str">
        <x:v>0fd6ad2d-3389-4e70-8974-eb85ee223eeb</x:v>
      </x:c>
      <x:c r="P687" t="str">
        <x:v>2026-09-04</x:v>
      </x:c>
    </x:row>
    <x:row r="688">
      <x:c r="A688" t="str">
        <x:v>重点观察</x:v>
      </x:c>
      <x:c r="B688" t="str">
        <x:v>补全 PB、财报，等待Agent自动验证</x:v>
      </x:c>
      <x:c r="C688" t="str">
        <x:v>601022</x:v>
      </x:c>
      <x:c r="D688" t="str">
        <x:v>宁波远洋</x:v>
      </x:c>
      <x:c r="E688" t="str">
        <x:v>主板</x:v>
      </x:c>
      <x:c r="F688" t="str">
        <x:v>待行业映射</x:v>
      </x:c>
      <x:c r="G688" t="str">
        <x:v>当前全市场行情快照缺少 PB；只能作为待补全研究队列，不得按完整估值条件生成交易建议。</x:v>
      </x:c>
      <x:c r="H688" t="n">
        <x:v>8.35</x:v>
      </x:c>
      <x:c r="I688" t="n">
        <x:v>19.61</x:v>
      </x:c>
      <x:c r="J688"/>
      <x:c r="K688" t="str">
        <x:v>待归档官方财报</x:v>
      </x:c>
      <x:c r="L688" t="str">
        <x:v>AkShare / Tencent all-A market snapshot</x:v>
      </x:c>
      <x:c r="M688" t="str">
        <x:v>ProxyError: primary market source unavailable; see source_id for full audit.</x:v>
      </x:c>
      <x:c r="N688" t="str">
        <x:v>0</x:v>
      </x:c>
      <x:c r="O688" t="str">
        <x:v>0fd6ad2d-3389-4e70-8974-eb85ee223eeb</x:v>
      </x:c>
      <x:c r="P688" t="str">
        <x:v>2026-09-04</x:v>
      </x:c>
    </x:row>
    <x:row r="689">
      <x:c r="A689" t="str">
        <x:v>重点观察</x:v>
      </x:c>
      <x:c r="B689" t="str">
        <x:v>补全 PB、财报，等待Agent自动验证</x:v>
      </x:c>
      <x:c r="C689" t="str">
        <x:v>301035</x:v>
      </x:c>
      <x:c r="D689" t="str">
        <x:v>润丰股份</x:v>
      </x:c>
      <x:c r="E689" t="str">
        <x:v>创业板</x:v>
      </x:c>
      <x:c r="F689" t="str">
        <x:v>待行业映射</x:v>
      </x:c>
      <x:c r="G689" t="str">
        <x:v>当前全市场行情快照缺少 PB；只能作为待补全研究队列，不得按完整估值条件生成交易建议。</x:v>
      </x:c>
      <x:c r="H689" t="n">
        <x:v>56.48</x:v>
      </x:c>
      <x:c r="I689" t="n">
        <x:v>20.78</x:v>
      </x:c>
      <x:c r="J689"/>
      <x:c r="K689" t="str">
        <x:v>待归档官方财报</x:v>
      </x:c>
      <x:c r="L689" t="str">
        <x:v>AkShare / Tencent all-A market snapshot</x:v>
      </x:c>
      <x:c r="M689" t="str">
        <x:v>ProxyError: primary market source unavailable; see source_id for full audit.</x:v>
      </x:c>
      <x:c r="N689" t="str">
        <x:v>0</x:v>
      </x:c>
      <x:c r="O689" t="str">
        <x:v>0fd6ad2d-3389-4e70-8974-eb85ee223eeb</x:v>
      </x:c>
      <x:c r="P689" t="str">
        <x:v>2026-09-04</x:v>
      </x:c>
    </x:row>
    <x:row r="690">
      <x:c r="A690" t="str">
        <x:v>重点观察</x:v>
      </x:c>
      <x:c r="B690" t="str">
        <x:v>补全 PB、财报，等待Agent自动验证</x:v>
      </x:c>
      <x:c r="C690" t="str">
        <x:v>605098</x:v>
      </x:c>
      <x:c r="D690" t="str">
        <x:v>行动教育</x:v>
      </x:c>
      <x:c r="E690" t="str">
        <x:v>主板</x:v>
      </x:c>
      <x:c r="F690" t="str">
        <x:v>待行业映射</x:v>
      </x:c>
      <x:c r="G690" t="str">
        <x:v>当前全市场行情快照缺少 PB；只能作为待补全研究队列，不得按完整估值条件生成交易建议。</x:v>
      </x:c>
      <x:c r="H690" t="n">
        <x:v>57.18</x:v>
      </x:c>
      <x:c r="I690" t="n">
        <x:v>18.93</x:v>
      </x:c>
      <x:c r="J690"/>
      <x:c r="K690" t="str">
        <x:v>待归档官方财报</x:v>
      </x:c>
      <x:c r="L690" t="str">
        <x:v>AkShare / Tencent all-A market snapshot</x:v>
      </x:c>
      <x:c r="M690" t="str">
        <x:v>ProxyError: primary market source unavailable; see source_id for full audit.</x:v>
      </x:c>
      <x:c r="N690" t="str">
        <x:v>0</x:v>
      </x:c>
      <x:c r="O690" t="str">
        <x:v>0fd6ad2d-3389-4e70-8974-eb85ee223eeb</x:v>
      </x:c>
      <x:c r="P690" t="str">
        <x:v>2026-09-04</x:v>
      </x:c>
    </x:row>
    <x:row r="691">
      <x:c r="A691" t="str">
        <x:v>重点观察</x:v>
      </x:c>
      <x:c r="B691" t="str">
        <x:v>补全 PB、财报，等待Agent自动验证</x:v>
      </x:c>
      <x:c r="C691" t="str">
        <x:v>600312</x:v>
      </x:c>
      <x:c r="D691" t="str">
        <x:v>平高电气</x:v>
      </x:c>
      <x:c r="E691" t="str">
        <x:v>主板</x:v>
      </x:c>
      <x:c r="F691" t="str">
        <x:v>待行业映射</x:v>
      </x:c>
      <x:c r="G691" t="str">
        <x:v>当前全市场行情快照缺少 PB；只能作为待补全研究队列，不得按完整估值条件生成交易建议。</x:v>
      </x:c>
      <x:c r="H691" t="n">
        <x:v>20.38</x:v>
      </x:c>
      <x:c r="I691" t="n">
        <x:v>21.74</x:v>
      </x:c>
      <x:c r="J691"/>
      <x:c r="K691" t="str">
        <x:v>待归档官方财报</x:v>
      </x:c>
      <x:c r="L691" t="str">
        <x:v>AkShare / Tencent all-A market snapshot</x:v>
      </x:c>
      <x:c r="M691" t="str">
        <x:v>ProxyError: primary market source unavailable; see source_id for full audit.</x:v>
      </x:c>
      <x:c r="N691" t="str">
        <x:v>0</x:v>
      </x:c>
      <x:c r="O691" t="str">
        <x:v>0fd6ad2d-3389-4e70-8974-eb85ee223eeb</x:v>
      </x:c>
      <x:c r="P691" t="str">
        <x:v>2026-09-04</x:v>
      </x:c>
    </x:row>
    <x:row r="692">
      <x:c r="A692" t="str">
        <x:v>重点观察</x:v>
      </x:c>
      <x:c r="B692" t="str">
        <x:v>补全 PB、财报，等待Agent自动验证</x:v>
      </x:c>
      <x:c r="C692" t="str">
        <x:v>000650</x:v>
      </x:c>
      <x:c r="D692" t="str">
        <x:v>仁和药业</x:v>
      </x:c>
      <x:c r="E692" t="str">
        <x:v>主板</x:v>
      </x:c>
      <x:c r="F692" t="str">
        <x:v>待行业映射</x:v>
      </x:c>
      <x:c r="G692" t="str">
        <x:v>当前全市场行情快照缺少 PB；只能作为待补全研究队列，不得按完整估值条件生成交易建议。</x:v>
      </x:c>
      <x:c r="H692" t="n">
        <x:v>5.38</x:v>
      </x:c>
      <x:c r="I692" t="n">
        <x:v>19.08</x:v>
      </x:c>
      <x:c r="J692"/>
      <x:c r="K692" t="str">
        <x:v>待归档官方财报</x:v>
      </x:c>
      <x:c r="L692" t="str">
        <x:v>AkShare / Tencent all-A market snapshot</x:v>
      </x:c>
      <x:c r="M692" t="str">
        <x:v>ProxyError: primary market source unavailable; see source_id for full audit.</x:v>
      </x:c>
      <x:c r="N692" t="str">
        <x:v>0</x:v>
      </x:c>
      <x:c r="O692" t="str">
        <x:v>0fd6ad2d-3389-4e70-8974-eb85ee223eeb</x:v>
      </x:c>
      <x:c r="P692" t="str">
        <x:v>2026-09-04</x:v>
      </x:c>
    </x:row>
    <x:row r="693">
      <x:c r="A693" t="str">
        <x:v>重点观察</x:v>
      </x:c>
      <x:c r="B693" t="str">
        <x:v>补全 PB、财报，等待Agent自动验证</x:v>
      </x:c>
      <x:c r="C693" t="str">
        <x:v>002328</x:v>
      </x:c>
      <x:c r="D693" t="str">
        <x:v>新朋股份</x:v>
      </x:c>
      <x:c r="E693" t="str">
        <x:v>主板</x:v>
      </x:c>
      <x:c r="F693" t="str">
        <x:v>待行业映射</x:v>
      </x:c>
      <x:c r="G693" t="str">
        <x:v>当前全市场行情快照缺少 PB；只能作为待补全研究队列，不得按完整估值条件生成交易建议。</x:v>
      </x:c>
      <x:c r="H693" t="n">
        <x:v>9.96</x:v>
      </x:c>
      <x:c r="I693" t="n">
        <x:v>19.1</x:v>
      </x:c>
      <x:c r="J693"/>
      <x:c r="K693" t="str">
        <x:v>待归档官方财报</x:v>
      </x:c>
      <x:c r="L693" t="str">
        <x:v>AkShare / Tencent all-A market snapshot</x:v>
      </x:c>
      <x:c r="M693" t="str">
        <x:v>ProxyError: primary market source unavailable; see source_id for full audit.</x:v>
      </x:c>
      <x:c r="N693" t="str">
        <x:v>0</x:v>
      </x:c>
      <x:c r="O693" t="str">
        <x:v>0fd6ad2d-3389-4e70-8974-eb85ee223eeb</x:v>
      </x:c>
      <x:c r="P693" t="str">
        <x:v>2026-09-04</x:v>
      </x:c>
    </x:row>
    <x:row r="694">
      <x:c r="A694" t="str">
        <x:v>重点观察</x:v>
      </x:c>
      <x:c r="B694" t="str">
        <x:v>补全 PB、财报，等待Agent自动验证</x:v>
      </x:c>
      <x:c r="C694" t="str">
        <x:v>603170</x:v>
      </x:c>
      <x:c r="D694" t="str">
        <x:v>宝立食品</x:v>
      </x:c>
      <x:c r="E694" t="str">
        <x:v>主板</x:v>
      </x:c>
      <x:c r="F694" t="str">
        <x:v>待行业映射</x:v>
      </x:c>
      <x:c r="G694" t="str">
        <x:v>当前全市场行情快照缺少 PB；只能作为待补全研究队列，不得按完整估值条件生成交易建议。</x:v>
      </x:c>
      <x:c r="H694" t="n">
        <x:v>12.87</x:v>
      </x:c>
      <x:c r="I694" t="n">
        <x:v>18.76</x:v>
      </x:c>
      <x:c r="J694"/>
      <x:c r="K694" t="str">
        <x:v>待归档官方财报</x:v>
      </x:c>
      <x:c r="L694" t="str">
        <x:v>AkShare / Tencent all-A market snapshot</x:v>
      </x:c>
      <x:c r="M694" t="str">
        <x:v>ProxyError: primary market source unavailable; see source_id for full audit.</x:v>
      </x:c>
      <x:c r="N694" t="str">
        <x:v>0</x:v>
      </x:c>
      <x:c r="O694" t="str">
        <x:v>0fd6ad2d-3389-4e70-8974-eb85ee223eeb</x:v>
      </x:c>
      <x:c r="P694" t="str">
        <x:v>2026-09-04</x:v>
      </x:c>
    </x:row>
    <x:row r="695">
      <x:c r="A695" t="str">
        <x:v>重点观察</x:v>
      </x:c>
      <x:c r="B695" t="str">
        <x:v>补全 PB、财报，等待Agent自动验证</x:v>
      </x:c>
      <x:c r="C695" t="str">
        <x:v>603197</x:v>
      </x:c>
      <x:c r="D695" t="str">
        <x:v>保隆科技</x:v>
      </x:c>
      <x:c r="E695" t="str">
        <x:v>主板</x:v>
      </x:c>
      <x:c r="F695" t="str">
        <x:v>待行业映射</x:v>
      </x:c>
      <x:c r="G695" t="str">
        <x:v>当前全市场行情快照缺少 PB；只能作为待补全研究队列，不得按完整估值条件生成交易建议。</x:v>
      </x:c>
      <x:c r="H695" t="n">
        <x:v>30.27</x:v>
      </x:c>
      <x:c r="I695" t="n">
        <x:v>18.96</x:v>
      </x:c>
      <x:c r="J695"/>
      <x:c r="K695" t="str">
        <x:v>待归档官方财报</x:v>
      </x:c>
      <x:c r="L695" t="str">
        <x:v>AkShare / Tencent all-A market snapshot</x:v>
      </x:c>
      <x:c r="M695" t="str">
        <x:v>ProxyError: primary market source unavailable; see source_id for full audit.</x:v>
      </x:c>
      <x:c r="N695" t="str">
        <x:v>0</x:v>
      </x:c>
      <x:c r="O695" t="str">
        <x:v>0fd6ad2d-3389-4e70-8974-eb85ee223eeb</x:v>
      </x:c>
      <x:c r="P695" t="str">
        <x:v>2026-09-04</x:v>
      </x:c>
    </x:row>
    <x:row r="696">
      <x:c r="A696" t="str">
        <x:v>重点观察</x:v>
      </x:c>
      <x:c r="B696" t="str">
        <x:v>补全 PB、财报，等待Agent自动验证</x:v>
      </x:c>
      <x:c r="C696" t="str">
        <x:v>603235</x:v>
      </x:c>
      <x:c r="D696" t="str">
        <x:v>天新药业</x:v>
      </x:c>
      <x:c r="E696" t="str">
        <x:v>主板</x:v>
      </x:c>
      <x:c r="F696" t="str">
        <x:v>待行业映射</x:v>
      </x:c>
      <x:c r="G696" t="str">
        <x:v>当前全市场行情快照缺少 PB；只能作为待补全研究队列，不得按完整估值条件生成交易建议。</x:v>
      </x:c>
      <x:c r="H696" t="n">
        <x:v>24.8</x:v>
      </x:c>
      <x:c r="I696" t="n">
        <x:v>19.57</x:v>
      </x:c>
      <x:c r="J696"/>
      <x:c r="K696" t="str">
        <x:v>待归档官方财报</x:v>
      </x:c>
      <x:c r="L696" t="str">
        <x:v>AkShare / Tencent all-A market snapshot</x:v>
      </x:c>
      <x:c r="M696" t="str">
        <x:v>ProxyError: primary market source unavailable; see source_id for full audit.</x:v>
      </x:c>
      <x:c r="N696" t="str">
        <x:v>0</x:v>
      </x:c>
      <x:c r="O696" t="str">
        <x:v>0fd6ad2d-3389-4e70-8974-eb85ee223eeb</x:v>
      </x:c>
      <x:c r="P696" t="str">
        <x:v>2026-09-04</x:v>
      </x:c>
    </x:row>
    <x:row r="697">
      <x:c r="A697" t="str">
        <x:v>重点观察</x:v>
      </x:c>
      <x:c r="B697" t="str">
        <x:v>补全 PB、财报，等待Agent自动验证</x:v>
      </x:c>
      <x:c r="C697" t="str">
        <x:v>300832</x:v>
      </x:c>
      <x:c r="D697" t="str">
        <x:v>新产业</x:v>
      </x:c>
      <x:c r="E697" t="str">
        <x:v>创业板</x:v>
      </x:c>
      <x:c r="F697" t="str">
        <x:v>待行业映射</x:v>
      </x:c>
      <x:c r="G697" t="str">
        <x:v>当前全市场行情快照缺少 PB；只能作为待补全研究队列，不得按完整估值条件生成交易建议。</x:v>
      </x:c>
      <x:c r="H697" t="n">
        <x:v>51.5</x:v>
      </x:c>
      <x:c r="I697" t="n">
        <x:v>23.57</x:v>
      </x:c>
      <x:c r="J697"/>
      <x:c r="K697" t="str">
        <x:v>待归档官方财报</x:v>
      </x:c>
      <x:c r="L697" t="str">
        <x:v>AkShare / Tencent all-A market snapshot</x:v>
      </x:c>
      <x:c r="M697" t="str">
        <x:v>ProxyError: primary market source unavailable; see source_id for full audit.</x:v>
      </x:c>
      <x:c r="N697" t="str">
        <x:v>0</x:v>
      </x:c>
      <x:c r="O697" t="str">
        <x:v>0fd6ad2d-3389-4e70-8974-eb85ee223eeb</x:v>
      </x:c>
      <x:c r="P697" t="str">
        <x:v>2026-09-04</x:v>
      </x:c>
    </x:row>
    <x:row r="698">
      <x:c r="A698" t="str">
        <x:v>重点观察</x:v>
      </x:c>
      <x:c r="B698" t="str">
        <x:v>补全 PB、财报，等待Agent自动验证</x:v>
      </x:c>
      <x:c r="C698" t="str">
        <x:v>600816</x:v>
      </x:c>
      <x:c r="D698" t="str">
        <x:v>建元信托</x:v>
      </x:c>
      <x:c r="E698" t="str">
        <x:v>主板</x:v>
      </x:c>
      <x:c r="F698" t="str">
        <x:v>待行业映射</x:v>
      </x:c>
      <x:c r="G698" t="str">
        <x:v>当前全市场行情快照缺少 PB；只能作为待补全研究队列，不得按完整估值条件生成交易建议。</x:v>
      </x:c>
      <x:c r="H698" t="n">
        <x:v>2.5</x:v>
      </x:c>
      <x:c r="I698" t="n">
        <x:v>21.44</x:v>
      </x:c>
      <x:c r="J698"/>
      <x:c r="K698" t="str">
        <x:v>待归档官方财报</x:v>
      </x:c>
      <x:c r="L698" t="str">
        <x:v>AkShare / Tencent all-A market snapshot</x:v>
      </x:c>
      <x:c r="M698" t="str">
        <x:v>ProxyError: primary market source unavailable; see source_id for full audit.</x:v>
      </x:c>
      <x:c r="N698" t="str">
        <x:v>0</x:v>
      </x:c>
      <x:c r="O698" t="str">
        <x:v>0fd6ad2d-3389-4e70-8974-eb85ee223eeb</x:v>
      </x:c>
      <x:c r="P698" t="str">
        <x:v>2026-09-04</x:v>
      </x:c>
    </x:row>
    <x:row r="699">
      <x:c r="A699" t="str">
        <x:v>重点观察</x:v>
      </x:c>
      <x:c r="B699" t="str">
        <x:v>补全 PB、财报，等待Agent自动验证</x:v>
      </x:c>
      <x:c r="C699" t="str">
        <x:v>688526</x:v>
      </x:c>
      <x:c r="D699" t="str">
        <x:v>科前生物</x:v>
      </x:c>
      <x:c r="E699" t="str">
        <x:v>科创板</x:v>
      </x:c>
      <x:c r="F699" t="str">
        <x:v>待行业映射</x:v>
      </x:c>
      <x:c r="G699" t="str">
        <x:v>当前全市场行情快照缺少 PB；只能作为待补全研究队列，不得按完整估值条件生成交易建议。</x:v>
      </x:c>
      <x:c r="H699" t="n">
        <x:v>12.78</x:v>
      </x:c>
      <x:c r="I699" t="n">
        <x:v>18.94</x:v>
      </x:c>
      <x:c r="J699"/>
      <x:c r="K699" t="str">
        <x:v>待归档官方财报</x:v>
      </x:c>
      <x:c r="L699" t="str">
        <x:v>AkShare / Tencent all-A market snapshot</x:v>
      </x:c>
      <x:c r="M699" t="str">
        <x:v>ProxyError: primary market source unavailable; see source_id for full audit.</x:v>
      </x:c>
      <x:c r="N699" t="str">
        <x:v>0</x:v>
      </x:c>
      <x:c r="O699" t="str">
        <x:v>0fd6ad2d-3389-4e70-8974-eb85ee223eeb</x:v>
      </x:c>
      <x:c r="P699" t="str">
        <x:v>2026-09-04</x:v>
      </x:c>
    </x:row>
    <x:row r="700">
      <x:c r="A700" t="str">
        <x:v>重点观察</x:v>
      </x:c>
      <x:c r="B700" t="str">
        <x:v>补全 PB、财报，等待Agent自动验证</x:v>
      </x:c>
      <x:c r="C700" t="str">
        <x:v>600363</x:v>
      </x:c>
      <x:c r="D700" t="str">
        <x:v>联创光电</x:v>
      </x:c>
      <x:c r="E700" t="str">
        <x:v>主板</x:v>
      </x:c>
      <x:c r="F700" t="str">
        <x:v>待行业映射</x:v>
      </x:c>
      <x:c r="G700" t="str">
        <x:v>当前全市场行情快照缺少 PB；只能作为待补全研究队列，不得按完整估值条件生成交易建议。</x:v>
      </x:c>
      <x:c r="H700" t="n">
        <x:v>16.31</x:v>
      </x:c>
      <x:c r="I700" t="n">
        <x:v>19.17</x:v>
      </x:c>
      <x:c r="J700"/>
      <x:c r="K700" t="str">
        <x:v>待归档官方财报</x:v>
      </x:c>
      <x:c r="L700" t="str">
        <x:v>AkShare / Tencent all-A market snapshot</x:v>
      </x:c>
      <x:c r="M700" t="str">
        <x:v>ProxyError: primary market source unavailable; see source_id for full audit.</x:v>
      </x:c>
      <x:c r="N700" t="str">
        <x:v>0</x:v>
      </x:c>
      <x:c r="O700" t="str">
        <x:v>0fd6ad2d-3389-4e70-8974-eb85ee223eeb</x:v>
      </x:c>
      <x:c r="P700" t="str">
        <x:v>2026-09-04</x:v>
      </x:c>
    </x:row>
    <x:row r="701">
      <x:c r="A701" t="str">
        <x:v>重点观察</x:v>
      </x:c>
      <x:c r="B701" t="str">
        <x:v>补全 PB、财报，等待Agent自动验证</x:v>
      </x:c>
      <x:c r="C701" t="str">
        <x:v>600479</x:v>
      </x:c>
      <x:c r="D701" t="str">
        <x:v>千金药业</x:v>
      </x:c>
      <x:c r="E701" t="str">
        <x:v>主板</x:v>
      </x:c>
      <x:c r="F701" t="str">
        <x:v>待行业映射</x:v>
      </x:c>
      <x:c r="G701" t="str">
        <x:v>当前全市场行情快照缺少 PB；只能作为待补全研究队列，不得按完整估值条件生成交易建议。</x:v>
      </x:c>
      <x:c r="H701" t="n">
        <x:v>13.15</x:v>
      </x:c>
      <x:c r="I701" t="n">
        <x:v>19.07</x:v>
      </x:c>
      <x:c r="J701"/>
      <x:c r="K701" t="str">
        <x:v>待归档官方财报</x:v>
      </x:c>
      <x:c r="L701" t="str">
        <x:v>AkShare / Tencent all-A market snapshot</x:v>
      </x:c>
      <x:c r="M701" t="str">
        <x:v>ProxyError: primary market source unavailable; see source_id for full audit.</x:v>
      </x:c>
      <x:c r="N701" t="str">
        <x:v>0</x:v>
      </x:c>
      <x:c r="O701" t="str">
        <x:v>0fd6ad2d-3389-4e70-8974-eb85ee223eeb</x:v>
      </x:c>
      <x:c r="P701" t="str">
        <x:v>2026-09-04</x:v>
      </x:c>
    </x:row>
    <x:row r="702">
      <x:c r="A702" t="str">
        <x:v>重点观察</x:v>
      </x:c>
      <x:c r="B702" t="str">
        <x:v>补全 PB、财报，等待Agent自动验证</x:v>
      </x:c>
      <x:c r="C702" t="str">
        <x:v>002978</x:v>
      </x:c>
      <x:c r="D702" t="str">
        <x:v>安宁股份</x:v>
      </x:c>
      <x:c r="E702" t="str">
        <x:v>主板</x:v>
      </x:c>
      <x:c r="F702" t="str">
        <x:v>待行业映射</x:v>
      </x:c>
      <x:c r="G702" t="str">
        <x:v>当前全市场行情快照缺少 PB；只能作为待补全研究队列，不得按完整估值条件生成交易建议。</x:v>
      </x:c>
      <x:c r="H702" t="n">
        <x:v>26.08</x:v>
      </x:c>
      <x:c r="I702" t="n">
        <x:v>19.86</x:v>
      </x:c>
      <x:c r="J702"/>
      <x:c r="K702" t="str">
        <x:v>待归档官方财报</x:v>
      </x:c>
      <x:c r="L702" t="str">
        <x:v>AkShare / Tencent all-A market snapshot</x:v>
      </x:c>
      <x:c r="M702" t="str">
        <x:v>ProxyError: primary market source unavailable; see source_id for full audit.</x:v>
      </x:c>
      <x:c r="N702" t="str">
        <x:v>0</x:v>
      </x:c>
      <x:c r="O702" t="str">
        <x:v>0fd6ad2d-3389-4e70-8974-eb85ee223eeb</x:v>
      </x:c>
      <x:c r="P702" t="str">
        <x:v>2026-09-04</x:v>
      </x:c>
    </x:row>
    <x:row r="703">
      <x:c r="A703" t="str">
        <x:v>重点观察</x:v>
      </x:c>
      <x:c r="B703" t="str">
        <x:v>补全 PB、财报，等待Agent自动验证</x:v>
      </x:c>
      <x:c r="C703" t="str">
        <x:v>600458</x:v>
      </x:c>
      <x:c r="D703" t="str">
        <x:v>时代新材</x:v>
      </x:c>
      <x:c r="E703" t="str">
        <x:v>主板</x:v>
      </x:c>
      <x:c r="F703" t="str">
        <x:v>待行业映射</x:v>
      </x:c>
      <x:c r="G703" t="str">
        <x:v>当前全市场行情快照缺少 PB；只能作为待补全研究队列，不得按完整估值条件生成交易建议。</x:v>
      </x:c>
      <x:c r="H703" t="n">
        <x:v>11.51</x:v>
      </x:c>
      <x:c r="I703" t="n">
        <x:v>19.7</x:v>
      </x:c>
      <x:c r="J703"/>
      <x:c r="K703" t="str">
        <x:v>待归档官方财报</x:v>
      </x:c>
      <x:c r="L703" t="str">
        <x:v>AkShare / Tencent all-A market snapshot</x:v>
      </x:c>
      <x:c r="M703" t="str">
        <x:v>ProxyError: primary market source unavailable; see source_id for full audit.</x:v>
      </x:c>
      <x:c r="N703" t="str">
        <x:v>0</x:v>
      </x:c>
      <x:c r="O703" t="str">
        <x:v>0fd6ad2d-3389-4e70-8974-eb85ee223eeb</x:v>
      </x:c>
      <x:c r="P703" t="str">
        <x:v>2026-09-04</x:v>
      </x:c>
    </x:row>
    <x:row r="704">
      <x:c r="A704" t="str">
        <x:v>重点观察</x:v>
      </x:c>
      <x:c r="B704" t="str">
        <x:v>补全 PB、财报，等待Agent自动验证</x:v>
      </x:c>
      <x:c r="C704" t="str">
        <x:v>301305</x:v>
      </x:c>
      <x:c r="D704" t="str">
        <x:v>朗坤科技</x:v>
      </x:c>
      <x:c r="E704" t="str">
        <x:v>创业板</x:v>
      </x:c>
      <x:c r="F704" t="str">
        <x:v>待行业映射</x:v>
      </x:c>
      <x:c r="G704" t="str">
        <x:v>当前全市场行情快照缺少 PB；只能作为待补全研究队列，不得按完整估值条件生成交易建议。</x:v>
      </x:c>
      <x:c r="H704" t="n">
        <x:v>24.39</x:v>
      </x:c>
      <x:c r="I704" t="n">
        <x:v>19.02</x:v>
      </x:c>
      <x:c r="J704"/>
      <x:c r="K704" t="str">
        <x:v>待归档官方财报</x:v>
      </x:c>
      <x:c r="L704" t="str">
        <x:v>AkShare / Tencent all-A market snapshot</x:v>
      </x:c>
      <x:c r="M704" t="str">
        <x:v>ProxyError: primary market source unavailable; see source_id for full audit.</x:v>
      </x:c>
      <x:c r="N704" t="str">
        <x:v>0</x:v>
      </x:c>
      <x:c r="O704" t="str">
        <x:v>0fd6ad2d-3389-4e70-8974-eb85ee223eeb</x:v>
      </x:c>
      <x:c r="P704" t="str">
        <x:v>2026-09-04</x:v>
      </x:c>
    </x:row>
    <x:row r="705">
      <x:c r="A705" t="str">
        <x:v>重点观察</x:v>
      </x:c>
      <x:c r="B705" t="str">
        <x:v>补全 PB、财报，等待Agent自动验证</x:v>
      </x:c>
      <x:c r="C705" t="str">
        <x:v>603393</x:v>
      </x:c>
      <x:c r="D705" t="str">
        <x:v>新天然气</x:v>
      </x:c>
      <x:c r="E705" t="str">
        <x:v>主板</x:v>
      </x:c>
      <x:c r="F705" t="str">
        <x:v>待行业映射</x:v>
      </x:c>
      <x:c r="G705" t="str">
        <x:v>当前全市场行情快照缺少 PB；只能作为待补全研究队列，不得按完整估值条件生成交易建议。</x:v>
      </x:c>
      <x:c r="H705" t="n">
        <x:v>26.61</x:v>
      </x:c>
      <x:c r="I705" t="n">
        <x:v>19.76</x:v>
      </x:c>
      <x:c r="J705"/>
      <x:c r="K705" t="str">
        <x:v>待归档官方财报</x:v>
      </x:c>
      <x:c r="L705" t="str">
        <x:v>AkShare / Tencent all-A market snapshot</x:v>
      </x:c>
      <x:c r="M705" t="str">
        <x:v>ProxyError: primary market source unavailable; see source_id for full audit.</x:v>
      </x:c>
      <x:c r="N705" t="str">
        <x:v>0</x:v>
      </x:c>
      <x:c r="O705" t="str">
        <x:v>0fd6ad2d-3389-4e70-8974-eb85ee223eeb</x:v>
      </x:c>
      <x:c r="P705" t="str">
        <x:v>2026-09-04</x:v>
      </x:c>
    </x:row>
    <x:row r="706">
      <x:c r="A706" t="str">
        <x:v>重点观察</x:v>
      </x:c>
      <x:c r="B706" t="str">
        <x:v>证券公司专用模型待核验</x:v>
      </x:c>
      <x:c r="C706" t="str">
        <x:v>600369</x:v>
      </x:c>
      <x:c r="D706" t="str">
        <x:v>西南证券</x:v>
      </x:c>
      <x:c r="E706" t="str">
        <x:v>主板</x:v>
      </x:c>
      <x:c r="F706" t="str">
        <x:v>待行业映射</x:v>
      </x:c>
      <x:c r="G706" t="str">
        <x:v>名称/板块初步识别为证券公司；须以同一报告期官方披露复核专用指标和行业分类，禁止套用通用企业现金流、负债率或 EV/EBITDA 规则。 当前公共行情快照缺少 PB，须在专用模型复核中补齐。</x:v>
      </x:c>
      <x:c r="H706" t="n">
        <x:v>4.12</x:v>
      </x:c>
      <x:c r="I706" t="n">
        <x:v>22.01</x:v>
      </x:c>
      <x:c r="J706"/>
      <x:c r="K706" t="str">
        <x:v>待归档官方财报</x:v>
      </x:c>
      <x:c r="L706" t="str">
        <x:v>AkShare / Tencent all-A market snapshot</x:v>
      </x:c>
      <x:c r="M706" t="str">
        <x:v>ProxyError: primary market source unavailable; see source_id for full audit.</x:v>
      </x:c>
      <x:c r="N706" t="str">
        <x:v>0</x:v>
      </x:c>
      <x:c r="O706" t="str">
        <x:v>0fd6ad2d-3389-4e70-8974-eb85ee223eeb</x:v>
      </x:c>
      <x:c r="P706" t="str">
        <x:v>2026-09-04</x:v>
      </x:c>
    </x:row>
    <x:row r="707">
      <x:c r="A707" t="str">
        <x:v>重点观察</x:v>
      </x:c>
      <x:c r="B707" t="str">
        <x:v>补全 PB、财报，等待Agent自动验证</x:v>
      </x:c>
      <x:c r="C707" t="str">
        <x:v>600388</x:v>
      </x:c>
      <x:c r="D707" t="str">
        <x:v>紫金龙净</x:v>
      </x:c>
      <x:c r="E707" t="str">
        <x:v>主板</x:v>
      </x:c>
      <x:c r="F707" t="str">
        <x:v>待行业映射</x:v>
      </x:c>
      <x:c r="G707" t="str">
        <x:v>当前全市场行情快照缺少 PB；只能作为待补全研究队列，不得按完整估值条件生成交易建议。</x:v>
      </x:c>
      <x:c r="H707" t="n">
        <x:v>19.01</x:v>
      </x:c>
      <x:c r="I707" t="n">
        <x:v>21.94</x:v>
      </x:c>
      <x:c r="J707"/>
      <x:c r="K707" t="str">
        <x:v>待归档官方财报</x:v>
      </x:c>
      <x:c r="L707" t="str">
        <x:v>AkShare / Tencent all-A market snapshot</x:v>
      </x:c>
      <x:c r="M707" t="str">
        <x:v>ProxyError: primary market source unavailable; see source_id for full audit.</x:v>
      </x:c>
      <x:c r="N707" t="str">
        <x:v>0</x:v>
      </x:c>
      <x:c r="O707" t="str">
        <x:v>0fd6ad2d-3389-4e70-8974-eb85ee223eeb</x:v>
      </x:c>
      <x:c r="P707" t="str">
        <x:v>2026-09-04</x:v>
      </x:c>
    </x:row>
    <x:row r="708">
      <x:c r="A708" t="str">
        <x:v>重点观察</x:v>
      </x:c>
      <x:c r="B708" t="str">
        <x:v>补全 PB、财报，等待Agent自动验证</x:v>
      </x:c>
      <x:c r="C708" t="str">
        <x:v>605319</x:v>
      </x:c>
      <x:c r="D708" t="str">
        <x:v>无锡振华</x:v>
      </x:c>
      <x:c r="E708" t="str">
        <x:v>主板</x:v>
      </x:c>
      <x:c r="F708" t="str">
        <x:v>待行业映射</x:v>
      </x:c>
      <x:c r="G708" t="str">
        <x:v>当前全市场行情快照缺少 PB；只能作为待补全研究队列，不得按完整估值条件生成交易建议。</x:v>
      </x:c>
      <x:c r="H708" t="n">
        <x:v>26.23</x:v>
      </x:c>
      <x:c r="I708" t="n">
        <x:v>19.58</x:v>
      </x:c>
      <x:c r="J708"/>
      <x:c r="K708" t="str">
        <x:v>待归档官方财报</x:v>
      </x:c>
      <x:c r="L708" t="str">
        <x:v>AkShare / Tencent all-A market snapshot</x:v>
      </x:c>
      <x:c r="M708" t="str">
        <x:v>ProxyError: primary market source unavailable; see source_id for full audit.</x:v>
      </x:c>
      <x:c r="N708" t="str">
        <x:v>0</x:v>
      </x:c>
      <x:c r="O708" t="str">
        <x:v>0fd6ad2d-3389-4e70-8974-eb85ee223eeb</x:v>
      </x:c>
      <x:c r="P708" t="str">
        <x:v>2026-09-04</x:v>
      </x:c>
    </x:row>
    <x:row r="709">
      <x:c r="A709" t="str">
        <x:v>重点观察</x:v>
      </x:c>
      <x:c r="B709" t="str">
        <x:v>补全 PB、财报，等待Agent自动验证</x:v>
      </x:c>
      <x:c r="C709" t="str">
        <x:v>603337</x:v>
      </x:c>
      <x:c r="D709" t="str">
        <x:v>杰克科技</x:v>
      </x:c>
      <x:c r="E709" t="str">
        <x:v>主板</x:v>
      </x:c>
      <x:c r="F709" t="str">
        <x:v>待行业映射</x:v>
      </x:c>
      <x:c r="G709" t="str">
        <x:v>当前全市场行情快照缺少 PB；只能作为待补全研究队列，不得按完整估值条件生成交易建议。</x:v>
      </x:c>
      <x:c r="H709" t="n">
        <x:v>37.96</x:v>
      </x:c>
      <x:c r="I709" t="n">
        <x:v>20.78</x:v>
      </x:c>
      <x:c r="J709"/>
      <x:c r="K709" t="str">
        <x:v>待归档官方财报</x:v>
      </x:c>
      <x:c r="L709" t="str">
        <x:v>AkShare / Tencent all-A market snapshot</x:v>
      </x:c>
      <x:c r="M709" t="str">
        <x:v>ProxyError: primary market source unavailable; see source_id for full audit.</x:v>
      </x:c>
      <x:c r="N709" t="str">
        <x:v>0</x:v>
      </x:c>
      <x:c r="O709" t="str">
        <x:v>0fd6ad2d-3389-4e70-8974-eb85ee223eeb</x:v>
      </x:c>
      <x:c r="P709" t="str">
        <x:v>2026-09-04</x:v>
      </x:c>
    </x:row>
    <x:row r="710">
      <x:c r="A710" t="str">
        <x:v>重点观察</x:v>
      </x:c>
      <x:c r="B710" t="str">
        <x:v>补全 PB、财报，等待Agent自动验证</x:v>
      </x:c>
      <x:c r="C710" t="str">
        <x:v>603897</x:v>
      </x:c>
      <x:c r="D710" t="str">
        <x:v>长城科技</x:v>
      </x:c>
      <x:c r="E710" t="str">
        <x:v>主板</x:v>
      </x:c>
      <x:c r="F710" t="str">
        <x:v>待行业映射</x:v>
      </x:c>
      <x:c r="G710" t="str">
        <x:v>当前全市场行情快照缺少 PB；只能作为待补全研究队列，不得按完整估值条件生成交易建议。</x:v>
      </x:c>
      <x:c r="H710" t="n">
        <x:v>29.81</x:v>
      </x:c>
      <x:c r="I710" t="n">
        <x:v>19.23</x:v>
      </x:c>
      <x:c r="J710"/>
      <x:c r="K710" t="str">
        <x:v>待归档官方财报</x:v>
      </x:c>
      <x:c r="L710" t="str">
        <x:v>AkShare / Tencent all-A market snapshot</x:v>
      </x:c>
      <x:c r="M710" t="str">
        <x:v>ProxyError: primary market source unavailable; see source_id for full audit.</x:v>
      </x:c>
      <x:c r="N710" t="str">
        <x:v>0</x:v>
      </x:c>
      <x:c r="O710" t="str">
        <x:v>0fd6ad2d-3389-4e70-8974-eb85ee223eeb</x:v>
      </x:c>
      <x:c r="P710" t="str">
        <x:v>2026-09-04</x:v>
      </x:c>
    </x:row>
    <x:row r="711">
      <x:c r="A711" t="str">
        <x:v>重点观察</x:v>
      </x:c>
      <x:c r="B711" t="str">
        <x:v>补全 PB、财报，等待Agent自动验证</x:v>
      </x:c>
      <x:c r="C711" t="str">
        <x:v>688278</x:v>
      </x:c>
      <x:c r="D711" t="str">
        <x:v>特宝生物</x:v>
      </x:c>
      <x:c r="E711" t="str">
        <x:v>科创板</x:v>
      </x:c>
      <x:c r="F711" t="str">
        <x:v>待行业映射</x:v>
      </x:c>
      <x:c r="G711" t="str">
        <x:v>当前全市场行情快照缺少 PB；只能作为待补全研究队列，不得按完整估值条件生成交易建议。</x:v>
      </x:c>
      <x:c r="H711" t="n">
        <x:v>56.96</x:v>
      </x:c>
      <x:c r="I711" t="n">
        <x:v>21.53</x:v>
      </x:c>
      <x:c r="J711"/>
      <x:c r="K711" t="str">
        <x:v>待归档官方财报</x:v>
      </x:c>
      <x:c r="L711" t="str">
        <x:v>AkShare / Tencent all-A market snapshot</x:v>
      </x:c>
      <x:c r="M711" t="str">
        <x:v>ProxyError: primary market source unavailable; see source_id for full audit.</x:v>
      </x:c>
      <x:c r="N711" t="str">
        <x:v>0</x:v>
      </x:c>
      <x:c r="O711" t="str">
        <x:v>0fd6ad2d-3389-4e70-8974-eb85ee223eeb</x:v>
      </x:c>
      <x:c r="P711" t="str">
        <x:v>2026-09-04</x:v>
      </x:c>
    </x:row>
    <x:row r="712">
      <x:c r="A712" t="str">
        <x:v>重点观察</x:v>
      </x:c>
      <x:c r="B712" t="str">
        <x:v>补全 PB、财报，等待Agent自动验证</x:v>
      </x:c>
      <x:c r="C712" t="str">
        <x:v>300206</x:v>
      </x:c>
      <x:c r="D712" t="str">
        <x:v>理邦仪器</x:v>
      </x:c>
      <x:c r="E712" t="str">
        <x:v>创业板</x:v>
      </x:c>
      <x:c r="F712" t="str">
        <x:v>待行业映射</x:v>
      </x:c>
      <x:c r="G712" t="str">
        <x:v>当前全市场行情快照缺少 PB；只能作为待补全研究队列，不得按完整估值条件生成交易建议。</x:v>
      </x:c>
      <x:c r="H712" t="n">
        <x:v>11.79</x:v>
      </x:c>
      <x:c r="I712" t="n">
        <x:v>19.36</x:v>
      </x:c>
      <x:c r="J712"/>
      <x:c r="K712" t="str">
        <x:v>待归档官方财报</x:v>
      </x:c>
      <x:c r="L712" t="str">
        <x:v>AkShare / Tencent all-A market snapshot</x:v>
      </x:c>
      <x:c r="M712" t="str">
        <x:v>ProxyError: primary market source unavailable; see source_id for full audit.</x:v>
      </x:c>
      <x:c r="N712" t="str">
        <x:v>0</x:v>
      </x:c>
      <x:c r="O712" t="str">
        <x:v>0fd6ad2d-3389-4e70-8974-eb85ee223eeb</x:v>
      </x:c>
      <x:c r="P712" t="str">
        <x:v>2026-09-04</x:v>
      </x:c>
    </x:row>
    <x:row r="713">
      <x:c r="A713" t="str">
        <x:v>重点观察</x:v>
      </x:c>
      <x:c r="B713" t="str">
        <x:v>补全 PB、财报，等待Agent自动验证</x:v>
      </x:c>
      <x:c r="C713" t="str">
        <x:v>000830</x:v>
      </x:c>
      <x:c r="D713" t="str">
        <x:v>鲁西化工</x:v>
      </x:c>
      <x:c r="E713" t="str">
        <x:v>主板</x:v>
      </x:c>
      <x:c r="F713" t="str">
        <x:v>待行业映射</x:v>
      </x:c>
      <x:c r="G713" t="str">
        <x:v>当前全市场行情快照缺少 PB；只能作为待补全研究队列，不得按完整估值条件生成交易建议。</x:v>
      </x:c>
      <x:c r="H713" t="n">
        <x:v>12.74</x:v>
      </x:c>
      <x:c r="I713" t="n">
        <x:v>21.71</x:v>
      </x:c>
      <x:c r="J713"/>
      <x:c r="K713" t="str">
        <x:v>待归档官方财报</x:v>
      </x:c>
      <x:c r="L713" t="str">
        <x:v>AkShare / Tencent all-A market snapshot</x:v>
      </x:c>
      <x:c r="M713" t="str">
        <x:v>ProxyError: primary market source unavailable; see source_id for full audit.</x:v>
      </x:c>
      <x:c r="N713" t="str">
        <x:v>0</x:v>
      </x:c>
      <x:c r="O713" t="str">
        <x:v>0fd6ad2d-3389-4e70-8974-eb85ee223eeb</x:v>
      </x:c>
      <x:c r="P713" t="str">
        <x:v>2026-09-04</x:v>
      </x:c>
    </x:row>
    <x:row r="714">
      <x:c r="A714" t="str">
        <x:v>重点观察</x:v>
      </x:c>
      <x:c r="B714" t="str">
        <x:v>补全 PB、财报，等待Agent自动验证</x:v>
      </x:c>
      <x:c r="C714" t="str">
        <x:v>600256</x:v>
      </x:c>
      <x:c r="D714" t="str">
        <x:v>广汇能源</x:v>
      </x:c>
      <x:c r="E714" t="str">
        <x:v>主板</x:v>
      </x:c>
      <x:c r="F714" t="str">
        <x:v>待行业映射</x:v>
      </x:c>
      <x:c r="G714" t="str">
        <x:v>当前全市场行情快照缺少 PB；只能作为待补全研究队列，不得按完整估值条件生成交易建议。</x:v>
      </x:c>
      <x:c r="H714" t="n">
        <x:v>6.71</x:v>
      </x:c>
      <x:c r="I714" t="n">
        <x:v>24.23</x:v>
      </x:c>
      <x:c r="J714"/>
      <x:c r="K714" t="str">
        <x:v>待归档官方财报</x:v>
      </x:c>
      <x:c r="L714" t="str">
        <x:v>AkShare / Tencent all-A market snapshot</x:v>
      </x:c>
      <x:c r="M714" t="str">
        <x:v>ProxyError: primary market source unavailable; see source_id for full audit.</x:v>
      </x:c>
      <x:c r="N714" t="str">
        <x:v>0</x:v>
      </x:c>
      <x:c r="O714" t="str">
        <x:v>0fd6ad2d-3389-4e70-8974-eb85ee223eeb</x:v>
      </x:c>
      <x:c r="P714" t="str">
        <x:v>2026-09-04</x:v>
      </x:c>
    </x:row>
    <x:row r="715">
      <x:c r="A715" t="str">
        <x:v>重点观察</x:v>
      </x:c>
      <x:c r="B715" t="str">
        <x:v>补全 PB、财报，等待Agent自动验证</x:v>
      </x:c>
      <x:c r="C715" t="str">
        <x:v>002928</x:v>
      </x:c>
      <x:c r="D715" t="str">
        <x:v>华夏航空</x:v>
      </x:c>
      <x:c r="E715" t="str">
        <x:v>主板</x:v>
      </x:c>
      <x:c r="F715" t="str">
        <x:v>待行业映射</x:v>
      </x:c>
      <x:c r="G715" t="str">
        <x:v>当前全市场行情快照缺少 PB；只能作为待补全研究队列，不得按完整估值条件生成交易建议。</x:v>
      </x:c>
      <x:c r="H715" t="n">
        <x:v>6.43</x:v>
      </x:c>
      <x:c r="I715" t="n">
        <x:v>19.63</x:v>
      </x:c>
      <x:c r="J715"/>
      <x:c r="K715" t="str">
        <x:v>待归档官方财报</x:v>
      </x:c>
      <x:c r="L715" t="str">
        <x:v>AkShare / Tencent all-A market snapshot</x:v>
      </x:c>
      <x:c r="M715" t="str">
        <x:v>ProxyError: primary market source unavailable; see source_id for full audit.</x:v>
      </x:c>
      <x:c r="N715" t="str">
        <x:v>0</x:v>
      </x:c>
      <x:c r="O715" t="str">
        <x:v>0fd6ad2d-3389-4e70-8974-eb85ee223eeb</x:v>
      </x:c>
      <x:c r="P715" t="str">
        <x:v>2026-09-04</x:v>
      </x:c>
    </x:row>
    <x:row r="716">
      <x:c r="A716" t="str">
        <x:v>重点观察</x:v>
      </x:c>
      <x:c r="B716" t="str">
        <x:v>补全 PB、财报，等待Agent自动验证</x:v>
      </x:c>
      <x:c r="C716" t="str">
        <x:v>301665</x:v>
      </x:c>
      <x:c r="D716" t="str">
        <x:v>泰禾股份</x:v>
      </x:c>
      <x:c r="E716" t="str">
        <x:v>创业板</x:v>
      </x:c>
      <x:c r="F716" t="str">
        <x:v>待行业映射</x:v>
      </x:c>
      <x:c r="G716" t="str">
        <x:v>当前全市场行情快照缺少 PB；只能作为待补全研究队列，不得按完整估值条件生成交易建议。</x:v>
      </x:c>
      <x:c r="H716" t="n">
        <x:v>23.3</x:v>
      </x:c>
      <x:c r="I716" t="n">
        <x:v>19.99</x:v>
      </x:c>
      <x:c r="J716"/>
      <x:c r="K716" t="str">
        <x:v>待归档官方财报</x:v>
      </x:c>
      <x:c r="L716" t="str">
        <x:v>AkShare / Tencent all-A market snapshot</x:v>
      </x:c>
      <x:c r="M716" t="str">
        <x:v>ProxyError: primary market source unavailable; see source_id for full audit.</x:v>
      </x:c>
      <x:c r="N716" t="str">
        <x:v>0</x:v>
      </x:c>
      <x:c r="O716" t="str">
        <x:v>0fd6ad2d-3389-4e70-8974-eb85ee223eeb</x:v>
      </x:c>
      <x:c r="P716" t="str">
        <x:v>2026-09-04</x:v>
      </x:c>
    </x:row>
    <x:row r="717">
      <x:c r="A717" t="str">
        <x:v>重点观察</x:v>
      </x:c>
      <x:c r="B717" t="str">
        <x:v>补全 PB、财报，等待Agent自动验证</x:v>
      </x:c>
      <x:c r="C717" t="str">
        <x:v>002237</x:v>
      </x:c>
      <x:c r="D717" t="str">
        <x:v>恒邦股份</x:v>
      </x:c>
      <x:c r="E717" t="str">
        <x:v>主板</x:v>
      </x:c>
      <x:c r="F717" t="str">
        <x:v>待行业映射</x:v>
      </x:c>
      <x:c r="G717" t="str">
        <x:v>当前全市场行情快照缺少 PB；只能作为待补全研究队列，不得按完整估值条件生成交易建议。</x:v>
      </x:c>
      <x:c r="H717" t="n">
        <x:v>14.96</x:v>
      </x:c>
      <x:c r="I717" t="n">
        <x:v>21.53</x:v>
      </x:c>
      <x:c r="J717"/>
      <x:c r="K717" t="str">
        <x:v>待归档官方财报</x:v>
      </x:c>
      <x:c r="L717" t="str">
        <x:v>AkShare / Tencent all-A market snapshot</x:v>
      </x:c>
      <x:c r="M717" t="str">
        <x:v>ProxyError: primary market source unavailable; see source_id for full audit.</x:v>
      </x:c>
      <x:c r="N717" t="str">
        <x:v>0</x:v>
      </x:c>
      <x:c r="O717" t="str">
        <x:v>0fd6ad2d-3389-4e70-8974-eb85ee223eeb</x:v>
      </x:c>
      <x:c r="P717" t="str">
        <x:v>2026-09-04</x:v>
      </x:c>
    </x:row>
    <x:row r="718">
      <x:c r="A718" t="str">
        <x:v>重点观察</x:v>
      </x:c>
      <x:c r="B718" t="str">
        <x:v>补全 PB、财报，等待Agent自动验证</x:v>
      </x:c>
      <x:c r="C718" t="str">
        <x:v>688789</x:v>
      </x:c>
      <x:c r="D718" t="str">
        <x:v>宏华数科</x:v>
      </x:c>
      <x:c r="E718" t="str">
        <x:v>科创板</x:v>
      </x:c>
      <x:c r="F718" t="str">
        <x:v>待行业映射</x:v>
      </x:c>
      <x:c r="G718" t="str">
        <x:v>当前全市场行情快照缺少 PB；只能作为待补全研究队列，不得按完整估值条件生成交易建议。</x:v>
      </x:c>
      <x:c r="H718" t="n">
        <x:v>42.5</x:v>
      </x:c>
      <x:c r="I718" t="n">
        <x:v>19.7</x:v>
      </x:c>
      <x:c r="J718"/>
      <x:c r="K718" t="str">
        <x:v>待归档官方财报</x:v>
      </x:c>
      <x:c r="L718" t="str">
        <x:v>AkShare / Tencent all-A market snapshot</x:v>
      </x:c>
      <x:c r="M718" t="str">
        <x:v>ProxyError: primary market source unavailable; see source_id for full audit.</x:v>
      </x:c>
      <x:c r="N718" t="str">
        <x:v>0</x:v>
      </x:c>
      <x:c r="O718" t="str">
        <x:v>0fd6ad2d-3389-4e70-8974-eb85ee223eeb</x:v>
      </x:c>
      <x:c r="P718" t="str">
        <x:v>2026-09-04</x:v>
      </x:c>
    </x:row>
    <x:row r="719">
      <x:c r="A719" t="str">
        <x:v>重点观察</x:v>
      </x:c>
      <x:c r="B719" t="str">
        <x:v>补全 PB、财报，等待Agent自动验证</x:v>
      </x:c>
      <x:c r="C719" t="str">
        <x:v>000878</x:v>
      </x:c>
      <x:c r="D719" t="str">
        <x:v>云南铜业</x:v>
      </x:c>
      <x:c r="E719" t="str">
        <x:v>主板</x:v>
      </x:c>
      <x:c r="F719" t="str">
        <x:v>待行业映射</x:v>
      </x:c>
      <x:c r="G719" t="str">
        <x:v>当前全市场行情快照缺少 PB；只能作为待补全研究队列，不得按完整估值条件生成交易建议。</x:v>
      </x:c>
      <x:c r="H719" t="n">
        <x:v>17.35</x:v>
      </x:c>
      <x:c r="I719" t="n">
        <x:v>24.34</x:v>
      </x:c>
      <x:c r="J719"/>
      <x:c r="K719" t="str">
        <x:v>待归档官方财报</x:v>
      </x:c>
      <x:c r="L719" t="str">
        <x:v>AkShare / Tencent all-A market snapshot</x:v>
      </x:c>
      <x:c r="M719" t="str">
        <x:v>ProxyError: primary market source unavailable; see source_id for full audit.</x:v>
      </x:c>
      <x:c r="N719" t="str">
        <x:v>0</x:v>
      </x:c>
      <x:c r="O719" t="str">
        <x:v>0fd6ad2d-3389-4e70-8974-eb85ee223eeb</x:v>
      </x:c>
      <x:c r="P719" t="str">
        <x:v>2026-09-04</x:v>
      </x:c>
    </x:row>
    <x:row r="720">
      <x:c r="A720" t="str">
        <x:v>重点观察</x:v>
      </x:c>
      <x:c r="B720" t="str">
        <x:v>补全 PB、财报，等待Agent自动验证</x:v>
      </x:c>
      <x:c r="C720" t="str">
        <x:v>605020</x:v>
      </x:c>
      <x:c r="D720" t="str">
        <x:v>永和股份</x:v>
      </x:c>
      <x:c r="E720" t="str">
        <x:v>主板</x:v>
      </x:c>
      <x:c r="F720" t="str">
        <x:v>待行业映射</x:v>
      </x:c>
      <x:c r="G720" t="str">
        <x:v>当前全市场行情快照缺少 PB；只能作为待补全研究队列，不得按完整估值条件生成交易建议。</x:v>
      </x:c>
      <x:c r="H720" t="n">
        <x:v>32.96</x:v>
      </x:c>
      <x:c r="I720" t="n">
        <x:v>20.96</x:v>
      </x:c>
      <x:c r="J720"/>
      <x:c r="K720" t="str">
        <x:v>待归档官方财报</x:v>
      </x:c>
      <x:c r="L720" t="str">
        <x:v>AkShare / Tencent all-A market snapshot</x:v>
      </x:c>
      <x:c r="M720" t="str">
        <x:v>ProxyError: primary market source unavailable; see source_id for full audit.</x:v>
      </x:c>
      <x:c r="N720" t="str">
        <x:v>0</x:v>
      </x:c>
      <x:c r="O720" t="str">
        <x:v>0fd6ad2d-3389-4e70-8974-eb85ee223eeb</x:v>
      </x:c>
      <x:c r="P720" t="str">
        <x:v>2026-09-04</x:v>
      </x:c>
    </x:row>
    <x:row r="721">
      <x:c r="A721" t="str">
        <x:v>重点观察</x:v>
      </x:c>
      <x:c r="B721" t="str">
        <x:v>补全 PB、财报，等待Agent自动验证</x:v>
      </x:c>
      <x:c r="C721" t="str">
        <x:v>600872</x:v>
      </x:c>
      <x:c r="D721" t="str">
        <x:v>中炬高新</x:v>
      </x:c>
      <x:c r="E721" t="str">
        <x:v>主板</x:v>
      </x:c>
      <x:c r="F721" t="str">
        <x:v>待行业映射</x:v>
      </x:c>
      <x:c r="G721" t="str">
        <x:v>当前全市场行情快照缺少 PB；只能作为待补全研究队列，不得按完整估值条件生成交易建议。</x:v>
      </x:c>
      <x:c r="H721" t="n">
        <x:v>18.51</x:v>
      </x:c>
      <x:c r="I721" t="n">
        <x:v>20.64</x:v>
      </x:c>
      <x:c r="J721"/>
      <x:c r="K721" t="str">
        <x:v>待归档官方财报</x:v>
      </x:c>
      <x:c r="L721" t="str">
        <x:v>AkShare / Tencent all-A market snapshot</x:v>
      </x:c>
      <x:c r="M721" t="str">
        <x:v>ProxyError: primary market source unavailable; see source_id for full audit.</x:v>
      </x:c>
      <x:c r="N721" t="str">
        <x:v>0</x:v>
      </x:c>
      <x:c r="O721" t="str">
        <x:v>0fd6ad2d-3389-4e70-8974-eb85ee223eeb</x:v>
      </x:c>
      <x:c r="P721" t="str">
        <x:v>2026-09-04</x:v>
      </x:c>
    </x:row>
    <x:row r="722">
      <x:c r="A722" t="str">
        <x:v>重点观察</x:v>
      </x:c>
      <x:c r="B722" t="str">
        <x:v>补全 PB、财报，等待Agent自动验证</x:v>
      </x:c>
      <x:c r="C722" t="str">
        <x:v>600826</x:v>
      </x:c>
      <x:c r="D722" t="str">
        <x:v>兰生股份</x:v>
      </x:c>
      <x:c r="E722" t="str">
        <x:v>主板</x:v>
      </x:c>
      <x:c r="F722" t="str">
        <x:v>待行业映射</x:v>
      </x:c>
      <x:c r="G722" t="str">
        <x:v>当前全市场行情快照缺少 PB；只能作为待补全研究队列，不得按完整估值条件生成交易建议。</x:v>
      </x:c>
      <x:c r="H722" t="n">
        <x:v>7.71</x:v>
      </x:c>
      <x:c r="I722" t="n">
        <x:v>19.51</x:v>
      </x:c>
      <x:c r="J722"/>
      <x:c r="K722" t="str">
        <x:v>待归档官方财报</x:v>
      </x:c>
      <x:c r="L722" t="str">
        <x:v>AkShare / Tencent all-A market snapshot</x:v>
      </x:c>
      <x:c r="M722" t="str">
        <x:v>ProxyError: primary market source unavailable; see source_id for full audit.</x:v>
      </x:c>
      <x:c r="N722" t="str">
        <x:v>0</x:v>
      </x:c>
      <x:c r="O722" t="str">
        <x:v>0fd6ad2d-3389-4e70-8974-eb85ee223eeb</x:v>
      </x:c>
      <x:c r="P722" t="str">
        <x:v>2026-09-04</x:v>
      </x:c>
    </x:row>
    <x:row r="723">
      <x:c r="A723" t="str">
        <x:v>重点观察</x:v>
      </x:c>
      <x:c r="B723" t="str">
        <x:v>补全 PB、财报，等待Agent自动验证</x:v>
      </x:c>
      <x:c r="C723" t="str">
        <x:v>002233</x:v>
      </x:c>
      <x:c r="D723" t="str">
        <x:v>塔牌集团</x:v>
      </x:c>
      <x:c r="E723" t="str">
        <x:v>主板</x:v>
      </x:c>
      <x:c r="F723" t="str">
        <x:v>待行业映射</x:v>
      </x:c>
      <x:c r="G723" t="str">
        <x:v>当前全市场行情快照缺少 PB；只能作为待补全研究队列，不得按完整估值条件生成交易建议。</x:v>
      </x:c>
      <x:c r="H723" t="n">
        <x:v>7.09</x:v>
      </x:c>
      <x:c r="I723" t="n">
        <x:v>19.91</x:v>
      </x:c>
      <x:c r="J723"/>
      <x:c r="K723" t="str">
        <x:v>待归档官方财报</x:v>
      </x:c>
      <x:c r="L723" t="str">
        <x:v>AkShare / Tencent all-A market snapshot</x:v>
      </x:c>
      <x:c r="M723" t="str">
        <x:v>ProxyError: primary market source unavailable; see source_id for full audit.</x:v>
      </x:c>
      <x:c r="N723" t="str">
        <x:v>0</x:v>
      </x:c>
      <x:c r="O723" t="str">
        <x:v>0fd6ad2d-3389-4e70-8974-eb85ee223eeb</x:v>
      </x:c>
      <x:c r="P723" t="str">
        <x:v>2026-09-04</x:v>
      </x:c>
    </x:row>
    <x:row r="724">
      <x:c r="A724" t="str">
        <x:v>重点观察</x:v>
      </x:c>
      <x:c r="B724" t="str">
        <x:v>补全 PB、财报，等待Agent自动验证</x:v>
      </x:c>
      <x:c r="C724" t="str">
        <x:v>000700</x:v>
      </x:c>
      <x:c r="D724" t="str">
        <x:v>模塑科技</x:v>
      </x:c>
      <x:c r="E724" t="str">
        <x:v>主板</x:v>
      </x:c>
      <x:c r="F724" t="str">
        <x:v>待行业映射</x:v>
      </x:c>
      <x:c r="G724" t="str">
        <x:v>当前全市场行情快照缺少 PB；只能作为待补全研究队列，不得按完整估值条件生成交易建议。</x:v>
      </x:c>
      <x:c r="H724" t="n">
        <x:v>11.1</x:v>
      </x:c>
      <x:c r="I724" t="n">
        <x:v>20.19</x:v>
      </x:c>
      <x:c r="J724"/>
      <x:c r="K724" t="str">
        <x:v>待归档官方财报</x:v>
      </x:c>
      <x:c r="L724" t="str">
        <x:v>AkShare / Tencent all-A market snapshot</x:v>
      </x:c>
      <x:c r="M724" t="str">
        <x:v>ProxyError: primary market source unavailable; see source_id for full audit.</x:v>
      </x:c>
      <x:c r="N724" t="str">
        <x:v>0</x:v>
      </x:c>
      <x:c r="O724" t="str">
        <x:v>0fd6ad2d-3389-4e70-8974-eb85ee223eeb</x:v>
      </x:c>
      <x:c r="P724" t="str">
        <x:v>2026-09-04</x:v>
      </x:c>
    </x:row>
    <x:row r="725">
      <x:c r="A725" t="str">
        <x:v>重点观察</x:v>
      </x:c>
      <x:c r="B725" t="str">
        <x:v>补全 PB、财报，等待Agent自动验证</x:v>
      </x:c>
      <x:c r="C725" t="str">
        <x:v>301175</x:v>
      </x:c>
      <x:c r="D725" t="str">
        <x:v>中科环保</x:v>
      </x:c>
      <x:c r="E725" t="str">
        <x:v>创业板</x:v>
      </x:c>
      <x:c r="F725" t="str">
        <x:v>待行业映射</x:v>
      </x:c>
      <x:c r="G725" t="str">
        <x:v>当前全市场行情快照缺少 PB；只能作为待补全研究队列，不得按完整估值条件生成交易建议。</x:v>
      </x:c>
      <x:c r="H725" t="n">
        <x:v>5.6</x:v>
      </x:c>
      <x:c r="I725" t="n">
        <x:v>19.95</x:v>
      </x:c>
      <x:c r="J725"/>
      <x:c r="K725" t="str">
        <x:v>待归档官方财报</x:v>
      </x:c>
      <x:c r="L725" t="str">
        <x:v>AkShare / Tencent all-A market snapshot</x:v>
      </x:c>
      <x:c r="M725" t="str">
        <x:v>ProxyError: primary market source unavailable; see source_id for full audit.</x:v>
      </x:c>
      <x:c r="N725" t="str">
        <x:v>0</x:v>
      </x:c>
      <x:c r="O725" t="str">
        <x:v>0fd6ad2d-3389-4e70-8974-eb85ee223eeb</x:v>
      </x:c>
      <x:c r="P725" t="str">
        <x:v>2026-09-04</x:v>
      </x:c>
    </x:row>
    <x:row r="726">
      <x:c r="A726" t="str">
        <x:v>重点观察</x:v>
      </x:c>
      <x:c r="B726" t="str">
        <x:v>补全 PB、财报，等待Agent自动验证</x:v>
      </x:c>
      <x:c r="C726" t="str">
        <x:v>300685</x:v>
      </x:c>
      <x:c r="D726" t="str">
        <x:v>艾德生物</x:v>
      </x:c>
      <x:c r="E726" t="str">
        <x:v>创业板</x:v>
      </x:c>
      <x:c r="F726" t="str">
        <x:v>待行业映射</x:v>
      </x:c>
      <x:c r="G726" t="str">
        <x:v>当前全市场行情快照缺少 PB；只能作为待补全研究队列，不得按完整估值条件生成交易建议。</x:v>
      </x:c>
      <x:c r="H726" t="n">
        <x:v>17.13</x:v>
      </x:c>
      <x:c r="I726" t="n">
        <x:v>19.75</x:v>
      </x:c>
      <x:c r="J726"/>
      <x:c r="K726" t="str">
        <x:v>待归档官方财报</x:v>
      </x:c>
      <x:c r="L726" t="str">
        <x:v>AkShare / Tencent all-A market snapshot</x:v>
      </x:c>
      <x:c r="M726" t="str">
        <x:v>ProxyError: primary market source unavailable; see source_id for full audit.</x:v>
      </x:c>
      <x:c r="N726" t="str">
        <x:v>0</x:v>
      </x:c>
      <x:c r="O726" t="str">
        <x:v>0fd6ad2d-3389-4e70-8974-eb85ee223eeb</x:v>
      </x:c>
      <x:c r="P726" t="str">
        <x:v>2026-09-04</x:v>
      </x:c>
    </x:row>
    <x:row r="727">
      <x:c r="A727" t="str">
        <x:v>重点观察</x:v>
      </x:c>
      <x:c r="B727" t="str">
        <x:v>补全 PB、财报，等待Agent自动验证</x:v>
      </x:c>
      <x:c r="C727" t="str">
        <x:v>002557</x:v>
      </x:c>
      <x:c r="D727" t="str">
        <x:v>洽洽食品</x:v>
      </x:c>
      <x:c r="E727" t="str">
        <x:v>主板</x:v>
      </x:c>
      <x:c r="F727" t="str">
        <x:v>待行业映射</x:v>
      </x:c>
      <x:c r="G727" t="str">
        <x:v>当前全市场行情快照缺少 PB；只能作为待补全研究队列，不得按完整估值条件生成交易建议。</x:v>
      </x:c>
      <x:c r="H727" t="n">
        <x:v>18.95</x:v>
      </x:c>
      <x:c r="I727" t="n">
        <x:v>20.15</x:v>
      </x:c>
      <x:c r="J727"/>
      <x:c r="K727" t="str">
        <x:v>待归档官方财报</x:v>
      </x:c>
      <x:c r="L727" t="str">
        <x:v>AkShare / Tencent all-A market snapshot</x:v>
      </x:c>
      <x:c r="M727" t="str">
        <x:v>ProxyError: primary market source unavailable; see source_id for full audit.</x:v>
      </x:c>
      <x:c r="N727" t="str">
        <x:v>0</x:v>
      </x:c>
      <x:c r="O727" t="str">
        <x:v>0fd6ad2d-3389-4e70-8974-eb85ee223eeb</x:v>
      </x:c>
      <x:c r="P727" t="str">
        <x:v>2026-09-04</x:v>
      </x:c>
    </x:row>
    <x:row r="728">
      <x:c r="A728" t="str">
        <x:v>重点观察</x:v>
      </x:c>
      <x:c r="B728" t="str">
        <x:v>补全 PB、财报，等待Agent自动验证</x:v>
      </x:c>
      <x:c r="C728" t="str">
        <x:v>688236</x:v>
      </x:c>
      <x:c r="D728" t="str">
        <x:v>春立医疗</x:v>
      </x:c>
      <x:c r="E728" t="str">
        <x:v>科创板</x:v>
      </x:c>
      <x:c r="F728" t="str">
        <x:v>待行业映射</x:v>
      </x:c>
      <x:c r="G728" t="str">
        <x:v>当前全市场行情快照缺少 PB；只能作为待补全研究队列，不得按完整估值条件生成交易建议。</x:v>
      </x:c>
      <x:c r="H728" t="n">
        <x:v>14.2</x:v>
      </x:c>
      <x:c r="I728" t="n">
        <x:v>19.59</x:v>
      </x:c>
      <x:c r="J728"/>
      <x:c r="K728" t="str">
        <x:v>待归档官方财报</x:v>
      </x:c>
      <x:c r="L728" t="str">
        <x:v>AkShare / Tencent all-A market snapshot</x:v>
      </x:c>
      <x:c r="M728" t="str">
        <x:v>ProxyError: primary market source unavailable; see source_id for full audit.</x:v>
      </x:c>
      <x:c r="N728" t="str">
        <x:v>0</x:v>
      </x:c>
      <x:c r="O728" t="str">
        <x:v>0fd6ad2d-3389-4e70-8974-eb85ee223eeb</x:v>
      </x:c>
      <x:c r="P728" t="str">
        <x:v>2026-09-04</x:v>
      </x:c>
    </x:row>
    <x:row r="729">
      <x:c r="A729" t="str">
        <x:v>重点观察</x:v>
      </x:c>
      <x:c r="B729" t="str">
        <x:v>补全 PB、财报，等待Agent自动验证</x:v>
      </x:c>
      <x:c r="C729" t="str">
        <x:v>600163</x:v>
      </x:c>
      <x:c r="D729" t="str">
        <x:v>中闽能源</x:v>
      </x:c>
      <x:c r="E729" t="str">
        <x:v>主板</x:v>
      </x:c>
      <x:c r="F729" t="str">
        <x:v>待行业映射</x:v>
      </x:c>
      <x:c r="G729" t="str">
        <x:v>当前全市场行情快照缺少 PB；只能作为待补全研究队列，不得按完整估值条件生成交易建议。</x:v>
      </x:c>
      <x:c r="H729" t="n">
        <x:v>5.26</x:v>
      </x:c>
      <x:c r="I729" t="n">
        <x:v>20.25</x:v>
      </x:c>
      <x:c r="J729"/>
      <x:c r="K729" t="str">
        <x:v>待归档官方财报</x:v>
      </x:c>
      <x:c r="L729" t="str">
        <x:v>AkShare / Tencent all-A market snapshot</x:v>
      </x:c>
      <x:c r="M729" t="str">
        <x:v>ProxyError: primary market source unavailable; see source_id for full audit.</x:v>
      </x:c>
      <x:c r="N729" t="str">
        <x:v>0</x:v>
      </x:c>
      <x:c r="O729" t="str">
        <x:v>0fd6ad2d-3389-4e70-8974-eb85ee223eeb</x:v>
      </x:c>
      <x:c r="P729" t="str">
        <x:v>2026-09-04</x:v>
      </x:c>
    </x:row>
    <x:row r="730">
      <x:c r="A730" t="str">
        <x:v>重点观察</x:v>
      </x:c>
      <x:c r="B730" t="str">
        <x:v>补全 PB、财报，等待Agent自动验证</x:v>
      </x:c>
      <x:c r="C730" t="str">
        <x:v>300144</x:v>
      </x:c>
      <x:c r="D730" t="str">
        <x:v>宋城演艺</x:v>
      </x:c>
      <x:c r="E730" t="str">
        <x:v>创业板</x:v>
      </x:c>
      <x:c r="F730" t="str">
        <x:v>待行业映射</x:v>
      </x:c>
      <x:c r="G730" t="str">
        <x:v>当前全市场行情快照缺少 PB；只能作为待补全研究队列，不得按完整估值条件生成交易建议。</x:v>
      </x:c>
      <x:c r="H730" t="n">
        <x:v>6.13</x:v>
      </x:c>
      <x:c r="I730" t="n">
        <x:v>21.06</x:v>
      </x:c>
      <x:c r="J730"/>
      <x:c r="K730" t="str">
        <x:v>待归档官方财报</x:v>
      </x:c>
      <x:c r="L730" t="str">
        <x:v>AkShare / Tencent all-A market snapshot</x:v>
      </x:c>
      <x:c r="M730" t="str">
        <x:v>ProxyError: primary market source unavailable; see source_id for full audit.</x:v>
      </x:c>
      <x:c r="N730" t="str">
        <x:v>0</x:v>
      </x:c>
      <x:c r="O730" t="str">
        <x:v>0fd6ad2d-3389-4e70-8974-eb85ee223eeb</x:v>
      </x:c>
      <x:c r="P730" t="str">
        <x:v>2026-09-04</x:v>
      </x:c>
    </x:row>
    <x:row r="731">
      <x:c r="A731" t="str">
        <x:v>重点观察</x:v>
      </x:c>
      <x:c r="B731" t="str">
        <x:v>补全 PB、财报，等待Agent自动验证</x:v>
      </x:c>
      <x:c r="C731" t="str">
        <x:v>600170</x:v>
      </x:c>
      <x:c r="D731" t="str">
        <x:v>上海建工</x:v>
      </x:c>
      <x:c r="E731" t="str">
        <x:v>主板</x:v>
      </x:c>
      <x:c r="F731" t="str">
        <x:v>待行业映射</x:v>
      </x:c>
      <x:c r="G731" t="str">
        <x:v>当前全市场行情快照缺少 PB；只能作为待补全研究队列，不得按完整估值条件生成交易建议。</x:v>
      </x:c>
      <x:c r="H731" t="n">
        <x:v>2.28</x:v>
      </x:c>
      <x:c r="I731" t="n">
        <x:v>21.66</x:v>
      </x:c>
      <x:c r="J731"/>
      <x:c r="K731" t="str">
        <x:v>待归档官方财报</x:v>
      </x:c>
      <x:c r="L731" t="str">
        <x:v>AkShare / Tencent all-A market snapshot</x:v>
      </x:c>
      <x:c r="M731" t="str">
        <x:v>ProxyError: primary market source unavailable; see source_id for full audit.</x:v>
      </x:c>
      <x:c r="N731" t="str">
        <x:v>0</x:v>
      </x:c>
      <x:c r="O731" t="str">
        <x:v>0fd6ad2d-3389-4e70-8974-eb85ee223eeb</x:v>
      </x:c>
      <x:c r="P731" t="str">
        <x:v>2026-09-04</x:v>
      </x:c>
    </x:row>
    <x:row r="732">
      <x:c r="A732" t="str">
        <x:v>重点观察</x:v>
      </x:c>
      <x:c r="B732" t="str">
        <x:v>补全 PB、财报，等待Agent自动验证</x:v>
      </x:c>
      <x:c r="C732" t="str">
        <x:v>002941</x:v>
      </x:c>
      <x:c r="D732" t="str">
        <x:v>新疆交建</x:v>
      </x:c>
      <x:c r="E732" t="str">
        <x:v>主板</x:v>
      </x:c>
      <x:c r="F732" t="str">
        <x:v>待行业映射</x:v>
      </x:c>
      <x:c r="G732" t="str">
        <x:v>当前全市场行情快照缺少 PB；只能作为待补全研究队列，不得按完整估值条件生成交易建议。</x:v>
      </x:c>
      <x:c r="H732" t="n">
        <x:v>10.98</x:v>
      </x:c>
      <x:c r="I732" t="n">
        <x:v>20.04</x:v>
      </x:c>
      <x:c r="J732"/>
      <x:c r="K732" t="str">
        <x:v>待归档官方财报</x:v>
      </x:c>
      <x:c r="L732" t="str">
        <x:v>AkShare / Tencent all-A market snapshot</x:v>
      </x:c>
      <x:c r="M732" t="str">
        <x:v>ProxyError: primary market source unavailable; see source_id for full audit.</x:v>
      </x:c>
      <x:c r="N732" t="str">
        <x:v>0</x:v>
      </x:c>
      <x:c r="O732" t="str">
        <x:v>0fd6ad2d-3389-4e70-8974-eb85ee223eeb</x:v>
      </x:c>
      <x:c r="P732" t="str">
        <x:v>2026-09-04</x:v>
      </x:c>
    </x:row>
    <x:row r="733">
      <x:c r="A733" t="str">
        <x:v>重点观察</x:v>
      </x:c>
      <x:c r="B733" t="str">
        <x:v>补全 PB、财报，等待Agent自动验证</x:v>
      </x:c>
      <x:c r="C733" t="str">
        <x:v>600284</x:v>
      </x:c>
      <x:c r="D733" t="str">
        <x:v>浦东建设</x:v>
      </x:c>
      <x:c r="E733" t="str">
        <x:v>主板</x:v>
      </x:c>
      <x:c r="F733" t="str">
        <x:v>待行业映射</x:v>
      </x:c>
      <x:c r="G733" t="str">
        <x:v>当前全市场行情快照缺少 PB；只能作为待补全研究队列，不得按完整估值条件生成交易建议。</x:v>
      </x:c>
      <x:c r="H733" t="n">
        <x:v>5.22</x:v>
      </x:c>
      <x:c r="I733" t="n">
        <x:v>19.66</x:v>
      </x:c>
      <x:c r="J733"/>
      <x:c r="K733" t="str">
        <x:v>待归档官方财报</x:v>
      </x:c>
      <x:c r="L733" t="str">
        <x:v>AkShare / Tencent all-A market snapshot</x:v>
      </x:c>
      <x:c r="M733" t="str">
        <x:v>ProxyError: primary market source unavailable; see source_id for full audit.</x:v>
      </x:c>
      <x:c r="N733" t="str">
        <x:v>0</x:v>
      </x:c>
      <x:c r="O733" t="str">
        <x:v>0fd6ad2d-3389-4e70-8974-eb85ee223eeb</x:v>
      </x:c>
      <x:c r="P733" t="str">
        <x:v>2026-09-04</x:v>
      </x:c>
    </x:row>
    <x:row r="734">
      <x:c r="A734" t="str">
        <x:v>重点观察</x:v>
      </x:c>
      <x:c r="B734" t="str">
        <x:v>补全 PB、财报，等待Agent自动验证</x:v>
      </x:c>
      <x:c r="C734" t="str">
        <x:v>920119</x:v>
      </x:c>
      <x:c r="D734" t="str">
        <x:v>美德乐</x:v>
      </x:c>
      <x:c r="E734" t="str">
        <x:v>北交所</x:v>
      </x:c>
      <x:c r="F734" t="str">
        <x:v>待行业映射</x:v>
      </x:c>
      <x:c r="G734" t="str">
        <x:v>当前全市场行情快照缺少 PB；只能作为待补全研究队列，不得按完整估值条件生成交易建议。</x:v>
      </x:c>
      <x:c r="H734" t="n">
        <x:v>55.37</x:v>
      </x:c>
      <x:c r="I734" t="n">
        <x:v>19.75</x:v>
      </x:c>
      <x:c r="J734"/>
      <x:c r="K734" t="str">
        <x:v>待归档官方财报</x:v>
      </x:c>
      <x:c r="L734" t="str">
        <x:v>AkShare / Tencent all-A market snapshot</x:v>
      </x:c>
      <x:c r="M734" t="str">
        <x:v>ProxyError: primary market source unavailable; see source_id for full audit.</x:v>
      </x:c>
      <x:c r="N734" t="str">
        <x:v>0</x:v>
      </x:c>
      <x:c r="O734" t="str">
        <x:v>0fd6ad2d-3389-4e70-8974-eb85ee223eeb</x:v>
      </x:c>
      <x:c r="P734" t="str">
        <x:v>2026-09-04</x:v>
      </x:c>
    </x:row>
    <x:row r="735">
      <x:c r="A735" t="str">
        <x:v>重点观察</x:v>
      </x:c>
      <x:c r="B735" t="str">
        <x:v>补全 PB、财报，等待Agent自动验证</x:v>
      </x:c>
      <x:c r="C735" t="str">
        <x:v>605007</x:v>
      </x:c>
      <x:c r="D735" t="str">
        <x:v>五洲特纸</x:v>
      </x:c>
      <x:c r="E735" t="str">
        <x:v>主板</x:v>
      </x:c>
      <x:c r="F735" t="str">
        <x:v>待行业映射</x:v>
      </x:c>
      <x:c r="G735" t="str">
        <x:v>当前全市场行情快照缺少 PB；只能作为待补全研究队列，不得按完整估值条件生成交易建议。</x:v>
      </x:c>
      <x:c r="H735" t="n">
        <x:v>14.81</x:v>
      </x:c>
      <x:c r="I735" t="n">
        <x:v>19.96</x:v>
      </x:c>
      <x:c r="J735"/>
      <x:c r="K735" t="str">
        <x:v>待归档官方财报</x:v>
      </x:c>
      <x:c r="L735" t="str">
        <x:v>AkShare / Tencent all-A market snapshot</x:v>
      </x:c>
      <x:c r="M735" t="str">
        <x:v>ProxyError: primary market source unavailable; see source_id for full audit.</x:v>
      </x:c>
      <x:c r="N735" t="str">
        <x:v>0</x:v>
      </x:c>
      <x:c r="O735" t="str">
        <x:v>0fd6ad2d-3389-4e70-8974-eb85ee223eeb</x:v>
      </x:c>
      <x:c r="P735" t="str">
        <x:v>2026-09-04</x:v>
      </x:c>
    </x:row>
    <x:row r="736">
      <x:c r="A736" t="str">
        <x:v>重点观察</x:v>
      </x:c>
      <x:c r="B736" t="str">
        <x:v>补全 PB、财报，等待Agent自动验证</x:v>
      </x:c>
      <x:c r="C736" t="str">
        <x:v>300012</x:v>
      </x:c>
      <x:c r="D736" t="str">
        <x:v>华测检测</x:v>
      </x:c>
      <x:c r="E736" t="str">
        <x:v>创业板</x:v>
      </x:c>
      <x:c r="F736" t="str">
        <x:v>待行业映射</x:v>
      </x:c>
      <x:c r="G736" t="str">
        <x:v>当前全市场行情快照缺少 PB；只能作为待补全研究队列，不得按完整估值条件生成交易建议。</x:v>
      </x:c>
      <x:c r="H736" t="n">
        <x:v>14.79</x:v>
      </x:c>
      <x:c r="I736" t="n">
        <x:v>22.37</x:v>
      </x:c>
      <x:c r="J736"/>
      <x:c r="K736" t="str">
        <x:v>待归档官方财报</x:v>
      </x:c>
      <x:c r="L736" t="str">
        <x:v>AkShare / Tencent all-A market snapshot</x:v>
      </x:c>
      <x:c r="M736" t="str">
        <x:v>ProxyError: primary market source unavailable; see source_id for full audit.</x:v>
      </x:c>
      <x:c r="N736" t="str">
        <x:v>0</x:v>
      </x:c>
      <x:c r="O736" t="str">
        <x:v>0fd6ad2d-3389-4e70-8974-eb85ee223eeb</x:v>
      </x:c>
      <x:c r="P736" t="str">
        <x:v>2026-09-04</x:v>
      </x:c>
    </x:row>
    <x:row r="737">
      <x:c r="A737" t="str">
        <x:v>重点观察</x:v>
      </x:c>
      <x:c r="B737" t="str">
        <x:v>补全 PB、财报，等待Agent自动验证</x:v>
      </x:c>
      <x:c r="C737" t="str">
        <x:v>601886</x:v>
      </x:c>
      <x:c r="D737" t="str">
        <x:v>江河集团</x:v>
      </x:c>
      <x:c r="E737" t="str">
        <x:v>主板</x:v>
      </x:c>
      <x:c r="F737" t="str">
        <x:v>待行业映射</x:v>
      </x:c>
      <x:c r="G737" t="str">
        <x:v>当前全市场行情快照缺少 PB；只能作为待补全研究队列，不得按完整估值条件生成交易建议。</x:v>
      </x:c>
      <x:c r="H737" t="n">
        <x:v>13.46</x:v>
      </x:c>
      <x:c r="I737" t="n">
        <x:v>21.1</x:v>
      </x:c>
      <x:c r="J737"/>
      <x:c r="K737" t="str">
        <x:v>待归档官方财报</x:v>
      </x:c>
      <x:c r="L737" t="str">
        <x:v>AkShare / Tencent all-A market snapshot</x:v>
      </x:c>
      <x:c r="M737" t="str">
        <x:v>ProxyError: primary market source unavailable; see source_id for full audit.</x:v>
      </x:c>
      <x:c r="N737" t="str">
        <x:v>0</x:v>
      </x:c>
      <x:c r="O737" t="str">
        <x:v>0fd6ad2d-3389-4e70-8974-eb85ee223eeb</x:v>
      </x:c>
      <x:c r="P737" t="str">
        <x:v>2026-09-04</x:v>
      </x:c>
    </x:row>
    <x:row r="738">
      <x:c r="A738" t="str">
        <x:v>重点观察</x:v>
      </x:c>
      <x:c r="B738" t="str">
        <x:v>补全 PB、财报，等待Agent自动验证</x:v>
      </x:c>
      <x:c r="C738" t="str">
        <x:v>002738</x:v>
      </x:c>
      <x:c r="D738" t="str">
        <x:v>中矿资源</x:v>
      </x:c>
      <x:c r="E738" t="str">
        <x:v>主板</x:v>
      </x:c>
      <x:c r="F738" t="str">
        <x:v>待行业映射</x:v>
      </x:c>
      <x:c r="G738" t="str">
        <x:v>当前全市场行情快照缺少 PB；只能作为待补全研究队列，不得按完整估值条件生成交易建议。</x:v>
      </x:c>
      <x:c r="H738" t="n">
        <x:v>48.39</x:v>
      </x:c>
      <x:c r="I738" t="n">
        <x:v>23.85</x:v>
      </x:c>
      <x:c r="J738"/>
      <x:c r="K738" t="str">
        <x:v>待归档官方财报</x:v>
      </x:c>
      <x:c r="L738" t="str">
        <x:v>AkShare / Tencent all-A market snapshot</x:v>
      </x:c>
      <x:c r="M738" t="str">
        <x:v>ProxyError: primary market source unavailable; see source_id for full audit.</x:v>
      </x:c>
      <x:c r="N738" t="str">
        <x:v>0</x:v>
      </x:c>
      <x:c r="O738" t="str">
        <x:v>0fd6ad2d-3389-4e70-8974-eb85ee223eeb</x:v>
      </x:c>
      <x:c r="P738" t="str">
        <x:v>2026-09-04</x:v>
      </x:c>
    </x:row>
    <x:row r="739">
      <x:c r="A739" t="str">
        <x:v>重点观察</x:v>
      </x:c>
      <x:c r="B739" t="str">
        <x:v>补全 PB、财报，等待Agent自动验证</x:v>
      </x:c>
      <x:c r="C739" t="str">
        <x:v>601089</x:v>
      </x:c>
      <x:c r="D739" t="str">
        <x:v>福元医药</x:v>
      </x:c>
      <x:c r="E739" t="str">
        <x:v>主板</x:v>
      </x:c>
      <x:c r="F739" t="str">
        <x:v>待行业映射</x:v>
      </x:c>
      <x:c r="G739" t="str">
        <x:v>当前全市场行情快照缺少 PB；只能作为待补全研究队列，不得按完整估值条件生成交易建议。</x:v>
      </x:c>
      <x:c r="H739" t="n">
        <x:v>16.28</x:v>
      </x:c>
      <x:c r="I739" t="n">
        <x:v>20.16</x:v>
      </x:c>
      <x:c r="J739"/>
      <x:c r="K739" t="str">
        <x:v>待归档官方财报</x:v>
      </x:c>
      <x:c r="L739" t="str">
        <x:v>AkShare / Tencent all-A market snapshot</x:v>
      </x:c>
      <x:c r="M739" t="str">
        <x:v>ProxyError: primary market source unavailable; see source_id for full audit.</x:v>
      </x:c>
      <x:c r="N739" t="str">
        <x:v>0</x:v>
      </x:c>
      <x:c r="O739" t="str">
        <x:v>0fd6ad2d-3389-4e70-8974-eb85ee223eeb</x:v>
      </x:c>
      <x:c r="P739" t="str">
        <x:v>2026-09-04</x:v>
      </x:c>
    </x:row>
    <x:row r="740">
      <x:c r="A740" t="str">
        <x:v>重点观察</x:v>
      </x:c>
      <x:c r="B740" t="str">
        <x:v>补全 PB、财报，等待Agent自动验证</x:v>
      </x:c>
      <x:c r="C740" t="str">
        <x:v>003013</x:v>
      </x:c>
      <x:c r="D740" t="str">
        <x:v>地铁设计</x:v>
      </x:c>
      <x:c r="E740" t="str">
        <x:v>主板</x:v>
      </x:c>
      <x:c r="F740" t="str">
        <x:v>待行业映射</x:v>
      </x:c>
      <x:c r="G740" t="str">
        <x:v>当前全市场行情快照缺少 PB；只能作为待补全研究队列，不得按完整估值条件生成交易建议。</x:v>
      </x:c>
      <x:c r="H740" t="n">
        <x:v>16.33</x:v>
      </x:c>
      <x:c r="I740" t="n">
        <x:v>20.14</x:v>
      </x:c>
      <x:c r="J740"/>
      <x:c r="K740" t="str">
        <x:v>待归档官方财报</x:v>
      </x:c>
      <x:c r="L740" t="str">
        <x:v>AkShare / Tencent all-A market snapshot</x:v>
      </x:c>
      <x:c r="M740" t="str">
        <x:v>ProxyError: primary market source unavailable; see source_id for full audit.</x:v>
      </x:c>
      <x:c r="N740" t="str">
        <x:v>0</x:v>
      </x:c>
      <x:c r="O740" t="str">
        <x:v>0fd6ad2d-3389-4e70-8974-eb85ee223eeb</x:v>
      </x:c>
      <x:c r="P740" t="str">
        <x:v>2026-09-04</x:v>
      </x:c>
    </x:row>
    <x:row r="741">
      <x:c r="A741" t="str">
        <x:v>重点观察</x:v>
      </x:c>
      <x:c r="B741" t="str">
        <x:v>补全 PB、财报，等待Agent自动验证</x:v>
      </x:c>
      <x:c r="C741" t="str">
        <x:v>002003</x:v>
      </x:c>
      <x:c r="D741" t="str">
        <x:v>伟星股份</x:v>
      </x:c>
      <x:c r="E741" t="str">
        <x:v>主板</x:v>
      </x:c>
      <x:c r="F741" t="str">
        <x:v>待行业映射</x:v>
      </x:c>
      <x:c r="G741" t="str">
        <x:v>当前全市场行情快照缺少 PB；只能作为待补全研究队列，不得按完整估值条件生成交易建议。</x:v>
      </x:c>
      <x:c r="H741" t="n">
        <x:v>12.23</x:v>
      </x:c>
      <x:c r="I741" t="n">
        <x:v>21.12</x:v>
      </x:c>
      <x:c r="J741"/>
      <x:c r="K741" t="str">
        <x:v>待归档官方财报</x:v>
      </x:c>
      <x:c r="L741" t="str">
        <x:v>AkShare / Tencent all-A market snapshot</x:v>
      </x:c>
      <x:c r="M741" t="str">
        <x:v>ProxyError: primary market source unavailable; see source_id for full audit.</x:v>
      </x:c>
      <x:c r="N741" t="str">
        <x:v>0</x:v>
      </x:c>
      <x:c r="O741" t="str">
        <x:v>0fd6ad2d-3389-4e70-8974-eb85ee223eeb</x:v>
      </x:c>
      <x:c r="P741" t="str">
        <x:v>2026-09-04</x:v>
      </x:c>
    </x:row>
    <x:row r="742">
      <x:c r="A742" t="str">
        <x:v>重点观察</x:v>
      </x:c>
      <x:c r="B742" t="str">
        <x:v>补全 PB、财报，等待Agent自动验证</x:v>
      </x:c>
      <x:c r="C742" t="str">
        <x:v>002351</x:v>
      </x:c>
      <x:c r="D742" t="str">
        <x:v>漫步者</x:v>
      </x:c>
      <x:c r="E742" t="str">
        <x:v>主板</x:v>
      </x:c>
      <x:c r="F742" t="str">
        <x:v>待行业映射</x:v>
      </x:c>
      <x:c r="G742" t="str">
        <x:v>当前全市场行情快照缺少 PB；只能作为待补全研究队列，不得按完整估值条件生成交易建议。</x:v>
      </x:c>
      <x:c r="H742" t="n">
        <x:v>10.14</x:v>
      </x:c>
      <x:c r="I742" t="n">
        <x:v>20.39</x:v>
      </x:c>
      <x:c r="J742"/>
      <x:c r="K742" t="str">
        <x:v>待归档官方财报</x:v>
      </x:c>
      <x:c r="L742" t="str">
        <x:v>AkShare / Tencent all-A market snapshot</x:v>
      </x:c>
      <x:c r="M742" t="str">
        <x:v>ProxyError: primary market source unavailable; see source_id for full audit.</x:v>
      </x:c>
      <x:c r="N742" t="str">
        <x:v>0</x:v>
      </x:c>
      <x:c r="O742" t="str">
        <x:v>0fd6ad2d-3389-4e70-8974-eb85ee223eeb</x:v>
      </x:c>
      <x:c r="P742" t="str">
        <x:v>2026-09-04</x:v>
      </x:c>
    </x:row>
    <x:row r="743">
      <x:c r="A743" t="str">
        <x:v>重点观察</x:v>
      </x:c>
      <x:c r="B743" t="str">
        <x:v>补全 PB、财报，等待Agent自动验证</x:v>
      </x:c>
      <x:c r="C743" t="str">
        <x:v>002299</x:v>
      </x:c>
      <x:c r="D743" t="str">
        <x:v>圣农发展</x:v>
      </x:c>
      <x:c r="E743" t="str">
        <x:v>主板</x:v>
      </x:c>
      <x:c r="F743" t="str">
        <x:v>待行业映射</x:v>
      </x:c>
      <x:c r="G743" t="str">
        <x:v>当前全市场行情快照缺少 PB；只能作为待补全研究队列，不得按完整估值条件生成交易建议。</x:v>
      </x:c>
      <x:c r="H743" t="n">
        <x:v>17.27</x:v>
      </x:c>
      <x:c r="I743" t="n">
        <x:v>22.07</x:v>
      </x:c>
      <x:c r="J743"/>
      <x:c r="K743" t="str">
        <x:v>待归档官方财报</x:v>
      </x:c>
      <x:c r="L743" t="str">
        <x:v>AkShare / Tencent all-A market snapshot</x:v>
      </x:c>
      <x:c r="M743" t="str">
        <x:v>ProxyError: primary market source unavailable; see source_id for full audit.</x:v>
      </x:c>
      <x:c r="N743" t="str">
        <x:v>0</x:v>
      </x:c>
      <x:c r="O743" t="str">
        <x:v>0fd6ad2d-3389-4e70-8974-eb85ee223eeb</x:v>
      </x:c>
      <x:c r="P743" t="str">
        <x:v>2026-09-04</x:v>
      </x:c>
    </x:row>
    <x:row r="744">
      <x:c r="A744" t="str">
        <x:v>重点观察</x:v>
      </x:c>
      <x:c r="B744" t="str">
        <x:v>补全 PB、财报，等待Agent自动验证</x:v>
      </x:c>
      <x:c r="C744" t="str">
        <x:v>001233</x:v>
      </x:c>
      <x:c r="D744" t="str">
        <x:v>海安集团</x:v>
      </x:c>
      <x:c r="E744" t="str">
        <x:v>主板</x:v>
      </x:c>
      <x:c r="F744" t="str">
        <x:v>待行业映射</x:v>
      </x:c>
      <x:c r="G744" t="str">
        <x:v>当前全市场行情快照缺少 PB；只能作为待补全研究队列，不得按完整估值条件生成交易建议。</x:v>
      </x:c>
      <x:c r="H744" t="n">
        <x:v>44</x:v>
      </x:c>
      <x:c r="I744" t="n">
        <x:v>20.33</x:v>
      </x:c>
      <x:c r="J744"/>
      <x:c r="K744" t="str">
        <x:v>待归档官方财报</x:v>
      </x:c>
      <x:c r="L744" t="str">
        <x:v>AkShare / Tencent all-A market snapshot</x:v>
      </x:c>
      <x:c r="M744" t="str">
        <x:v>ProxyError: primary market source unavailable; see source_id for full audit.</x:v>
      </x:c>
      <x:c r="N744" t="str">
        <x:v>0</x:v>
      </x:c>
      <x:c r="O744" t="str">
        <x:v>0fd6ad2d-3389-4e70-8974-eb85ee223eeb</x:v>
      </x:c>
      <x:c r="P744" t="str">
        <x:v>2026-09-04</x:v>
      </x:c>
    </x:row>
    <x:row r="745">
      <x:c r="A745" t="str">
        <x:v>重点观察</x:v>
      </x:c>
      <x:c r="B745" t="str">
        <x:v>补全 PB、财报，等待Agent自动验证</x:v>
      </x:c>
      <x:c r="C745" t="str">
        <x:v>601177</x:v>
      </x:c>
      <x:c r="D745" t="str">
        <x:v>杭齿前进</x:v>
      </x:c>
      <x:c r="E745" t="str">
        <x:v>主板</x:v>
      </x:c>
      <x:c r="F745" t="str">
        <x:v>待行业映射</x:v>
      </x:c>
      <x:c r="G745" t="str">
        <x:v>当前全市场行情快照缺少 PB；只能作为待补全研究队列，不得按完整估值条件生成交易建议。</x:v>
      </x:c>
      <x:c r="H745" t="n">
        <x:v>13.98</x:v>
      </x:c>
      <x:c r="I745" t="n">
        <x:v>20.01</x:v>
      </x:c>
      <x:c r="J745"/>
      <x:c r="K745" t="str">
        <x:v>待归档官方财报</x:v>
      </x:c>
      <x:c r="L745" t="str">
        <x:v>AkShare / Tencent all-A market snapshot</x:v>
      </x:c>
      <x:c r="M745" t="str">
        <x:v>ProxyError: primary market source unavailable; see source_id for full audit.</x:v>
      </x:c>
      <x:c r="N745" t="str">
        <x:v>0</x:v>
      </x:c>
      <x:c r="O745" t="str">
        <x:v>0fd6ad2d-3389-4e70-8974-eb85ee223eeb</x:v>
      </x:c>
      <x:c r="P745" t="str">
        <x:v>2026-09-04</x:v>
      </x:c>
    </x:row>
    <x:row r="746">
      <x:c r="A746" t="str">
        <x:v>重点观察</x:v>
      </x:c>
      <x:c r="B746" t="str">
        <x:v>补全 PB、财报，等待Agent自动验证</x:v>
      </x:c>
      <x:c r="C746" t="str">
        <x:v>002033</x:v>
      </x:c>
      <x:c r="D746" t="str">
        <x:v>丽江股份</x:v>
      </x:c>
      <x:c r="E746" t="str">
        <x:v>主板</x:v>
      </x:c>
      <x:c r="F746" t="str">
        <x:v>待行业映射</x:v>
      </x:c>
      <x:c r="G746" t="str">
        <x:v>当前全市场行情快照缺少 PB；只能作为待补全研究队列，不得按完整估值条件生成交易建议。</x:v>
      </x:c>
      <x:c r="H746" t="n">
        <x:v>9.14</x:v>
      </x:c>
      <x:c r="I746" t="n">
        <x:v>19.95</x:v>
      </x:c>
      <x:c r="J746"/>
      <x:c r="K746" t="str">
        <x:v>待归档官方财报</x:v>
      </x:c>
      <x:c r="L746" t="str">
        <x:v>AkShare / Tencent all-A market snapshot</x:v>
      </x:c>
      <x:c r="M746" t="str">
        <x:v>ProxyError: primary market source unavailable; see source_id for full audit.</x:v>
      </x:c>
      <x:c r="N746" t="str">
        <x:v>0</x:v>
      </x:c>
      <x:c r="O746" t="str">
        <x:v>0fd6ad2d-3389-4e70-8974-eb85ee223eeb</x:v>
      </x:c>
      <x:c r="P746" t="str">
        <x:v>2026-09-04</x:v>
      </x:c>
    </x:row>
    <x:row r="747">
      <x:c r="A747" t="str">
        <x:v>重点观察</x:v>
      </x:c>
      <x:c r="B747" t="str">
        <x:v>补全 PB、财报，等待Agent自动验证</x:v>
      </x:c>
      <x:c r="C747" t="str">
        <x:v>002768</x:v>
      </x:c>
      <x:c r="D747" t="str">
        <x:v>国恩股份</x:v>
      </x:c>
      <x:c r="E747" t="str">
        <x:v>主板</x:v>
      </x:c>
      <x:c r="F747" t="str">
        <x:v>待行业映射</x:v>
      </x:c>
      <x:c r="G747" t="str">
        <x:v>当前全市场行情快照缺少 PB；只能作为待补全研究队列，不得按完整估值条件生成交易建议。</x:v>
      </x:c>
      <x:c r="H747" t="n">
        <x:v>60.17</x:v>
      </x:c>
      <x:c r="I747" t="n">
        <x:v>22.84</x:v>
      </x:c>
      <x:c r="J747"/>
      <x:c r="K747" t="str">
        <x:v>待归档官方财报</x:v>
      </x:c>
      <x:c r="L747" t="str">
        <x:v>AkShare / Tencent all-A market snapshot</x:v>
      </x:c>
      <x:c r="M747" t="str">
        <x:v>ProxyError: primary market source unavailable; see source_id for full audit.</x:v>
      </x:c>
      <x:c r="N747" t="str">
        <x:v>0</x:v>
      </x:c>
      <x:c r="O747" t="str">
        <x:v>0fd6ad2d-3389-4e70-8974-eb85ee223eeb</x:v>
      </x:c>
      <x:c r="P747" t="str">
        <x:v>2026-09-04</x:v>
      </x:c>
    </x:row>
    <x:row r="748">
      <x:c r="A748" t="str">
        <x:v>重点观察</x:v>
      </x:c>
      <x:c r="B748" t="str">
        <x:v>补全 PB、财报，等待Agent自动验证</x:v>
      </x:c>
      <x:c r="C748" t="str">
        <x:v>002101</x:v>
      </x:c>
      <x:c r="D748" t="str">
        <x:v>广东鸿图</x:v>
      </x:c>
      <x:c r="E748" t="str">
        <x:v>主板</x:v>
      </x:c>
      <x:c r="F748" t="str">
        <x:v>待行业映射</x:v>
      </x:c>
      <x:c r="G748" t="str">
        <x:v>当前全市场行情快照缺少 PB；只能作为待补全研究队列，不得按完整估值条件生成交易建议。</x:v>
      </x:c>
      <x:c r="H748" t="n">
        <x:v>8.73</x:v>
      </x:c>
      <x:c r="I748" t="n">
        <x:v>20.09</x:v>
      </x:c>
      <x:c r="J748"/>
      <x:c r="K748" t="str">
        <x:v>待归档官方财报</x:v>
      </x:c>
      <x:c r="L748" t="str">
        <x:v>AkShare / Tencent all-A market snapshot</x:v>
      </x:c>
      <x:c r="M748" t="str">
        <x:v>ProxyError: primary market source unavailable; see source_id for full audit.</x:v>
      </x:c>
      <x:c r="N748" t="str">
        <x:v>0</x:v>
      </x:c>
      <x:c r="O748" t="str">
        <x:v>0fd6ad2d-3389-4e70-8974-eb85ee223eeb</x:v>
      </x:c>
      <x:c r="P748" t="str">
        <x:v>2026-09-04</x:v>
      </x:c>
    </x:row>
    <x:row r="749">
      <x:c r="A749" t="str">
        <x:v>重点观察</x:v>
      </x:c>
      <x:c r="B749" t="str">
        <x:v>补全 PB、财报，等待Agent自动验证</x:v>
      </x:c>
      <x:c r="C749" t="str">
        <x:v>600563</x:v>
      </x:c>
      <x:c r="D749" t="str">
        <x:v>法拉电子</x:v>
      </x:c>
      <x:c r="E749" t="str">
        <x:v>主板</x:v>
      </x:c>
      <x:c r="F749" t="str">
        <x:v>待行业映射</x:v>
      </x:c>
      <x:c r="G749" t="str">
        <x:v>当前全市场行情快照缺少 PB；只能作为待补全研究队列，不得按完整估值条件生成交易建议。</x:v>
      </x:c>
      <x:c r="H749" t="n">
        <x:v>123.48</x:v>
      </x:c>
      <x:c r="I749" t="n">
        <x:v>23.06</x:v>
      </x:c>
      <x:c r="J749"/>
      <x:c r="K749" t="str">
        <x:v>待归档官方财报</x:v>
      </x:c>
      <x:c r="L749" t="str">
        <x:v>AkShare / Tencent all-A market snapshot</x:v>
      </x:c>
      <x:c r="M749" t="str">
        <x:v>ProxyError: primary market source unavailable; see source_id for full audit.</x:v>
      </x:c>
      <x:c r="N749" t="str">
        <x:v>0</x:v>
      </x:c>
      <x:c r="O749" t="str">
        <x:v>0fd6ad2d-3389-4e70-8974-eb85ee223eeb</x:v>
      </x:c>
      <x:c r="P749" t="str">
        <x:v>2026-09-04</x:v>
      </x:c>
    </x:row>
    <x:row r="750">
      <x:c r="A750" t="str">
        <x:v>重点观察</x:v>
      </x:c>
      <x:c r="B750" t="str">
        <x:v>补全 PB、财报，等待Agent自动验证</x:v>
      </x:c>
      <x:c r="C750" t="str">
        <x:v>600420</x:v>
      </x:c>
      <x:c r="D750" t="str">
        <x:v>国药现代</x:v>
      </x:c>
      <x:c r="E750" t="str">
        <x:v>主板</x:v>
      </x:c>
      <x:c r="F750" t="str">
        <x:v>待行业映射</x:v>
      </x:c>
      <x:c r="G750" t="str">
        <x:v>当前全市场行情快照缺少 PB；只能作为待补全研究队列，不得按完整估值条件生成交易建议。</x:v>
      </x:c>
      <x:c r="H750" t="n">
        <x:v>8.49</x:v>
      </x:c>
      <x:c r="I750" t="n">
        <x:v>20.89</x:v>
      </x:c>
      <x:c r="J750"/>
      <x:c r="K750" t="str">
        <x:v>待归档官方财报</x:v>
      </x:c>
      <x:c r="L750" t="str">
        <x:v>AkShare / Tencent all-A market snapshot</x:v>
      </x:c>
      <x:c r="M750" t="str">
        <x:v>ProxyError: primary market source unavailable; see source_id for full audit.</x:v>
      </x:c>
      <x:c r="N750" t="str">
        <x:v>0</x:v>
      </x:c>
      <x:c r="O750" t="str">
        <x:v>0fd6ad2d-3389-4e70-8974-eb85ee223eeb</x:v>
      </x:c>
      <x:c r="P750" t="str">
        <x:v>2026-09-04</x:v>
      </x:c>
    </x:row>
    <x:row r="751">
      <x:c r="A751" t="str">
        <x:v>重点观察</x:v>
      </x:c>
      <x:c r="B751" t="str">
        <x:v>补全 PB、财报，等待Agent自动验证</x:v>
      </x:c>
      <x:c r="C751" t="str">
        <x:v>600268</x:v>
      </x:c>
      <x:c r="D751" t="str">
        <x:v>国电南自</x:v>
      </x:c>
      <x:c r="E751" t="str">
        <x:v>主板</x:v>
      </x:c>
      <x:c r="F751" t="str">
        <x:v>待行业映射</x:v>
      </x:c>
      <x:c r="G751" t="str">
        <x:v>当前全市场行情快照缺少 PB；只能作为待补全研究队列，不得按完整估值条件生成交易建议。</x:v>
      </x:c>
      <x:c r="H751" t="n">
        <x:v>10.58</x:v>
      </x:c>
      <x:c r="I751" t="n">
        <x:v>20.86</x:v>
      </x:c>
      <x:c r="J751"/>
      <x:c r="K751" t="str">
        <x:v>待归档官方财报</x:v>
      </x:c>
      <x:c r="L751" t="str">
        <x:v>AkShare / Tencent all-A market snapshot</x:v>
      </x:c>
      <x:c r="M751" t="str">
        <x:v>ProxyError: primary market source unavailable; see source_id for full audit.</x:v>
      </x:c>
      <x:c r="N751" t="str">
        <x:v>0</x:v>
      </x:c>
      <x:c r="O751" t="str">
        <x:v>0fd6ad2d-3389-4e70-8974-eb85ee223eeb</x:v>
      </x:c>
      <x:c r="P751" t="str">
        <x:v>2026-09-04</x:v>
      </x:c>
    </x:row>
    <x:row r="752">
      <x:c r="A752" t="str">
        <x:v>重点观察</x:v>
      </x:c>
      <x:c r="B752" t="str">
        <x:v>补全 PB、财报，等待Agent自动验证</x:v>
      </x:c>
      <x:c r="C752" t="str">
        <x:v>601388</x:v>
      </x:c>
      <x:c r="D752" t="str">
        <x:v>怡球资源</x:v>
      </x:c>
      <x:c r="E752" t="str">
        <x:v>主板</x:v>
      </x:c>
      <x:c r="F752" t="str">
        <x:v>待行业映射</x:v>
      </x:c>
      <x:c r="G752" t="str">
        <x:v>当前全市场行情快照缺少 PB；只能作为待补全研究队列，不得按完整估值条件生成交易建议。</x:v>
      </x:c>
      <x:c r="H752" t="n">
        <x:v>3.4</x:v>
      </x:c>
      <x:c r="I752" t="n">
        <x:v>20.45</x:v>
      </x:c>
      <x:c r="J752"/>
      <x:c r="K752" t="str">
        <x:v>待归档官方财报</x:v>
      </x:c>
      <x:c r="L752" t="str">
        <x:v>AkShare / Tencent all-A market snapshot</x:v>
      </x:c>
      <x:c r="M752" t="str">
        <x:v>ProxyError: primary market source unavailable; see source_id for full audit.</x:v>
      </x:c>
      <x:c r="N752" t="str">
        <x:v>0</x:v>
      </x:c>
      <x:c r="O752" t="str">
        <x:v>0fd6ad2d-3389-4e70-8974-eb85ee223eeb</x:v>
      </x:c>
      <x:c r="P752" t="str">
        <x:v>2026-09-04</x:v>
      </x:c>
    </x:row>
    <x:row r="753">
      <x:c r="A753" t="str">
        <x:v>重点观察</x:v>
      </x:c>
      <x:c r="B753" t="str">
        <x:v>补全 PB、财报，等待Agent自动验证</x:v>
      </x:c>
      <x:c r="C753" t="str">
        <x:v>601949</x:v>
      </x:c>
      <x:c r="D753" t="str">
        <x:v>中国出版</x:v>
      </x:c>
      <x:c r="E753" t="str">
        <x:v>主板</x:v>
      </x:c>
      <x:c r="F753" t="str">
        <x:v>待行业映射</x:v>
      </x:c>
      <x:c r="G753" t="str">
        <x:v>当前全市场行情快照缺少 PB；只能作为待补全研究队列，不得按完整估值条件生成交易建议。</x:v>
      </x:c>
      <x:c r="H753" t="n">
        <x:v>5.83</x:v>
      </x:c>
      <x:c r="I753" t="n">
        <x:v>20.95</x:v>
      </x:c>
      <x:c r="J753"/>
      <x:c r="K753" t="str">
        <x:v>待归档官方财报</x:v>
      </x:c>
      <x:c r="L753" t="str">
        <x:v>AkShare / Tencent all-A market snapshot</x:v>
      </x:c>
      <x:c r="M753" t="str">
        <x:v>ProxyError: primary market source unavailable; see source_id for full audit.</x:v>
      </x:c>
      <x:c r="N753" t="str">
        <x:v>0</x:v>
      </x:c>
      <x:c r="O753" t="str">
        <x:v>0fd6ad2d-3389-4e70-8974-eb85ee223eeb</x:v>
      </x:c>
      <x:c r="P753" t="str">
        <x:v>2026-09-04</x:v>
      </x:c>
    </x:row>
    <x:row r="754">
      <x:c r="A754" t="str">
        <x:v>重点观察</x:v>
      </x:c>
      <x:c r="B754" t="str">
        <x:v>补全 PB、财报，等待Agent自动验证</x:v>
      </x:c>
      <x:c r="C754" t="str">
        <x:v>301589</x:v>
      </x:c>
      <x:c r="D754" t="str">
        <x:v>诺瓦星云</x:v>
      </x:c>
      <x:c r="E754" t="str">
        <x:v>创业板</x:v>
      </x:c>
      <x:c r="F754" t="str">
        <x:v>待行业映射</x:v>
      </x:c>
      <x:c r="G754" t="str">
        <x:v>当前全市场行情快照缺少 PB；只能作为待补全研究队列，不得按完整估值条件生成交易建议。</x:v>
      </x:c>
      <x:c r="H754" t="n">
        <x:v>144</x:v>
      </x:c>
      <x:c r="I754" t="n">
        <x:v>21.28</x:v>
      </x:c>
      <x:c r="J754"/>
      <x:c r="K754" t="str">
        <x:v>待归档官方财报</x:v>
      </x:c>
      <x:c r="L754" t="str">
        <x:v>AkShare / Tencent all-A market snapshot</x:v>
      </x:c>
      <x:c r="M754" t="str">
        <x:v>ProxyError: primary market source unavailable; see source_id for full audit.</x:v>
      </x:c>
      <x:c r="N754" t="str">
        <x:v>0</x:v>
      </x:c>
      <x:c r="O754" t="str">
        <x:v>0fd6ad2d-3389-4e70-8974-eb85ee223eeb</x:v>
      </x:c>
      <x:c r="P754" t="str">
        <x:v>2026-09-04</x:v>
      </x:c>
    </x:row>
    <x:row r="755">
      <x:c r="A755" t="str">
        <x:v>重点观察</x:v>
      </x:c>
      <x:c r="B755" t="str">
        <x:v>补全 PB、财报，等待Agent自动验证</x:v>
      </x:c>
      <x:c r="C755" t="str">
        <x:v>002746</x:v>
      </x:c>
      <x:c r="D755" t="str">
        <x:v>仙坛股份</x:v>
      </x:c>
      <x:c r="E755" t="str">
        <x:v>主板</x:v>
      </x:c>
      <x:c r="F755" t="str">
        <x:v>待行业映射</x:v>
      </x:c>
      <x:c r="G755" t="str">
        <x:v>当前全市场行情快照缺少 PB；只能作为待补全研究队列，不得按完整估值条件生成交易建议。</x:v>
      </x:c>
      <x:c r="H755" t="n">
        <x:v>6.76</x:v>
      </x:c>
      <x:c r="I755" t="n">
        <x:v>20.29</x:v>
      </x:c>
      <x:c r="J755"/>
      <x:c r="K755" t="str">
        <x:v>待归档官方财报</x:v>
      </x:c>
      <x:c r="L755" t="str">
        <x:v>AkShare / Tencent all-A market snapshot</x:v>
      </x:c>
      <x:c r="M755" t="str">
        <x:v>ProxyError: primary market source unavailable; see source_id for full audit.</x:v>
      </x:c>
      <x:c r="N755" t="str">
        <x:v>0</x:v>
      </x:c>
      <x:c r="O755" t="str">
        <x:v>0fd6ad2d-3389-4e70-8974-eb85ee223eeb</x:v>
      </x:c>
      <x:c r="P755" t="str">
        <x:v>2026-09-04</x:v>
      </x:c>
    </x:row>
    <x:row r="756">
      <x:c r="A756" t="str">
        <x:v>重点观察</x:v>
      </x:c>
      <x:c r="B756" t="str">
        <x:v>补全 PB、财报，等待Agent自动验证</x:v>
      </x:c>
      <x:c r="C756" t="str">
        <x:v>300888</x:v>
      </x:c>
      <x:c r="D756" t="str">
        <x:v>稳健医疗</x:v>
      </x:c>
      <x:c r="E756" t="str">
        <x:v>创业板</x:v>
      </x:c>
      <x:c r="F756" t="str">
        <x:v>待行业映射</x:v>
      </x:c>
      <x:c r="G756" t="str">
        <x:v>当前全市场行情快照缺少 PB；只能作为待补全研究队列，不得按完整估值条件生成交易建议。</x:v>
      </x:c>
      <x:c r="H756" t="n">
        <x:v>29.6</x:v>
      </x:c>
      <x:c r="I756" t="n">
        <x:v>21.86</x:v>
      </x:c>
      <x:c r="J756"/>
      <x:c r="K756" t="str">
        <x:v>待归档官方财报</x:v>
      </x:c>
      <x:c r="L756" t="str">
        <x:v>AkShare / Tencent all-A market snapshot</x:v>
      </x:c>
      <x:c r="M756" t="str">
        <x:v>ProxyError: primary market source unavailable; see source_id for full audit.</x:v>
      </x:c>
      <x:c r="N756" t="str">
        <x:v>0</x:v>
      </x:c>
      <x:c r="O756" t="str">
        <x:v>0fd6ad2d-3389-4e70-8974-eb85ee223eeb</x:v>
      </x:c>
      <x:c r="P756" t="str">
        <x:v>2026-09-04</x:v>
      </x:c>
    </x:row>
    <x:row r="757">
      <x:c r="A757" t="str">
        <x:v>重点观察</x:v>
      </x:c>
      <x:c r="B757" t="str">
        <x:v>补全 PB、财报，等待Agent自动验证</x:v>
      </x:c>
      <x:c r="C757" t="str">
        <x:v>001237</x:v>
      </x:c>
      <x:c r="D757" t="str">
        <x:v>惠康科技</x:v>
      </x:c>
      <x:c r="E757" t="str">
        <x:v>主板</x:v>
      </x:c>
      <x:c r="F757" t="str">
        <x:v>待行业映射</x:v>
      </x:c>
      <x:c r="G757" t="str">
        <x:v>当前全市场行情快照缺少 PB；只能作为待补全研究队列，不得按完整估值条件生成交易建议。</x:v>
      </x:c>
      <x:c r="H757" t="n">
        <x:v>51.05</x:v>
      </x:c>
      <x:c r="I757" t="n">
        <x:v>20.56</x:v>
      </x:c>
      <x:c r="J757"/>
      <x:c r="K757" t="str">
        <x:v>待归档官方财报</x:v>
      </x:c>
      <x:c r="L757" t="str">
        <x:v>AkShare / Tencent all-A market snapshot</x:v>
      </x:c>
      <x:c r="M757" t="str">
        <x:v>ProxyError: primary market source unavailable; see source_id for full audit.</x:v>
      </x:c>
      <x:c r="N757" t="str">
        <x:v>0</x:v>
      </x:c>
      <x:c r="O757" t="str">
        <x:v>0fd6ad2d-3389-4e70-8974-eb85ee223eeb</x:v>
      </x:c>
      <x:c r="P757" t="str">
        <x:v>2026-09-04</x:v>
      </x:c>
    </x:row>
    <x:row r="758">
      <x:c r="A758" t="str">
        <x:v>重点观察</x:v>
      </x:c>
      <x:c r="B758" t="str">
        <x:v>补全 PB、财报，等待Agent自动验证</x:v>
      </x:c>
      <x:c r="C758" t="str">
        <x:v>002223</x:v>
      </x:c>
      <x:c r="D758" t="str">
        <x:v>鱼跃医疗</x:v>
      </x:c>
      <x:c r="E758" t="str">
        <x:v>主板</x:v>
      </x:c>
      <x:c r="F758" t="str">
        <x:v>待行业映射</x:v>
      </x:c>
      <x:c r="G758" t="str">
        <x:v>当前全市场行情快照缺少 PB；只能作为待补全研究队列，不得按完整估值条件生成交易建议。</x:v>
      </x:c>
      <x:c r="H758" t="n">
        <x:v>25.79</x:v>
      </x:c>
      <x:c r="I758" t="n">
        <x:v>23.04</x:v>
      </x:c>
      <x:c r="J758"/>
      <x:c r="K758" t="str">
        <x:v>待归档官方财报</x:v>
      </x:c>
      <x:c r="L758" t="str">
        <x:v>AkShare / Tencent all-A market snapshot</x:v>
      </x:c>
      <x:c r="M758" t="str">
        <x:v>ProxyError: primary market source unavailable; see source_id for full audit.</x:v>
      </x:c>
      <x:c r="N758" t="str">
        <x:v>0</x:v>
      </x:c>
      <x:c r="O758" t="str">
        <x:v>0fd6ad2d-3389-4e70-8974-eb85ee223eeb</x:v>
      </x:c>
      <x:c r="P758" t="str">
        <x:v>2026-09-04</x:v>
      </x:c>
    </x:row>
    <x:row r="759">
      <x:c r="A759" t="str">
        <x:v>重点观察</x:v>
      </x:c>
      <x:c r="B759" t="str">
        <x:v>补全 PB、财报，等待Agent自动验证</x:v>
      </x:c>
      <x:c r="C759" t="str">
        <x:v>000932</x:v>
      </x:c>
      <x:c r="D759" t="str">
        <x:v>华菱钢铁</x:v>
      </x:c>
      <x:c r="E759" t="str">
        <x:v>主板</x:v>
      </x:c>
      <x:c r="F759" t="str">
        <x:v>待行业映射</x:v>
      </x:c>
      <x:c r="G759" t="str">
        <x:v>当前全市场行情快照缺少 PB；只能作为待补全研究队列，不得按完整估值条件生成交易建议。</x:v>
      </x:c>
      <x:c r="H759" t="n">
        <x:v>3.64</x:v>
      </x:c>
      <x:c r="I759" t="n">
        <x:v>22.93</x:v>
      </x:c>
      <x:c r="J759"/>
      <x:c r="K759" t="str">
        <x:v>待归档官方财报</x:v>
      </x:c>
      <x:c r="L759" t="str">
        <x:v>AkShare / Tencent all-A market snapshot</x:v>
      </x:c>
      <x:c r="M759" t="str">
        <x:v>ProxyError: primary market source unavailable; see source_id for full audit.</x:v>
      </x:c>
      <x:c r="N759" t="str">
        <x:v>0</x:v>
      </x:c>
      <x:c r="O759" t="str">
        <x:v>0fd6ad2d-3389-4e70-8974-eb85ee223eeb</x:v>
      </x:c>
      <x:c r="P759" t="str">
        <x:v>2026-09-04</x:v>
      </x:c>
    </x:row>
    <x:row r="760">
      <x:c r="A760" t="str">
        <x:v>重点观察</x:v>
      </x:c>
      <x:c r="B760" t="str">
        <x:v>补全 PB、财报，等待Agent自动验证</x:v>
      </x:c>
      <x:c r="C760" t="str">
        <x:v>001221</x:v>
      </x:c>
      <x:c r="D760" t="str">
        <x:v>悍高集团</x:v>
      </x:c>
      <x:c r="E760" t="str">
        <x:v>主板</x:v>
      </x:c>
      <x:c r="F760" t="str">
        <x:v>待行业映射</x:v>
      </x:c>
      <x:c r="G760" t="str">
        <x:v>当前全市场行情快照缺少 PB；只能作为待补全研究队列，不得按完整估值条件生成交易建议。</x:v>
      </x:c>
      <x:c r="H760" t="n">
        <x:v>39.65</x:v>
      </x:c>
      <x:c r="I760" t="n">
        <x:v>21.72</x:v>
      </x:c>
      <x:c r="J760"/>
      <x:c r="K760" t="str">
        <x:v>待归档官方财报</x:v>
      </x:c>
      <x:c r="L760" t="str">
        <x:v>AkShare / Tencent all-A market snapshot</x:v>
      </x:c>
      <x:c r="M760" t="str">
        <x:v>ProxyError: primary market source unavailable; see source_id for full audit.</x:v>
      </x:c>
      <x:c r="N760" t="str">
        <x:v>0</x:v>
      </x:c>
      <x:c r="O760" t="str">
        <x:v>0fd6ad2d-3389-4e70-8974-eb85ee223eeb</x:v>
      </x:c>
      <x:c r="P760" t="str">
        <x:v>2026-09-04</x:v>
      </x:c>
    </x:row>
    <x:row r="761">
      <x:c r="A761" t="str">
        <x:v>重点观察</x:v>
      </x:c>
      <x:c r="B761" t="str">
        <x:v>补全 PB、财报，等待Agent自动验证</x:v>
      </x:c>
      <x:c r="C761" t="str">
        <x:v>603162</x:v>
      </x:c>
      <x:c r="D761" t="str">
        <x:v>海通发展</x:v>
      </x:c>
      <x:c r="E761" t="str">
        <x:v>主板</x:v>
      </x:c>
      <x:c r="F761" t="str">
        <x:v>待行业映射</x:v>
      </x:c>
      <x:c r="G761" t="str">
        <x:v>当前全市场行情快照缺少 PB；只能作为待补全研究队列，不得按完整估值条件生成交易建议。</x:v>
      </x:c>
      <x:c r="H761" t="n">
        <x:v>14.64</x:v>
      </x:c>
      <x:c r="I761" t="n">
        <x:v>22.33</x:v>
      </x:c>
      <x:c r="J761"/>
      <x:c r="K761" t="str">
        <x:v>待归档官方财报</x:v>
      </x:c>
      <x:c r="L761" t="str">
        <x:v>AkShare / Tencent all-A market snapshot</x:v>
      </x:c>
      <x:c r="M761" t="str">
        <x:v>ProxyError: primary market source unavailable; see source_id for full audit.</x:v>
      </x:c>
      <x:c r="N761" t="str">
        <x:v>0</x:v>
      </x:c>
      <x:c r="O761" t="str">
        <x:v>0fd6ad2d-3389-4e70-8974-eb85ee223eeb</x:v>
      </x:c>
      <x:c r="P761" t="str">
        <x:v>2026-09-04</x:v>
      </x:c>
    </x:row>
    <x:row r="762">
      <x:c r="A762" t="str">
        <x:v>重点观察</x:v>
      </x:c>
      <x:c r="B762" t="str">
        <x:v>补全 PB、财报，等待Agent自动验证</x:v>
      </x:c>
      <x:c r="C762" t="str">
        <x:v>603587</x:v>
      </x:c>
      <x:c r="D762" t="str">
        <x:v>地素时尚</x:v>
      </x:c>
      <x:c r="E762" t="str">
        <x:v>主板</x:v>
      </x:c>
      <x:c r="F762" t="str">
        <x:v>待行业映射</x:v>
      </x:c>
      <x:c r="G762" t="str">
        <x:v>当前全市场行情快照缺少 PB；只能作为待补全研究队列，不得按完整估值条件生成交易建议。</x:v>
      </x:c>
      <x:c r="H762" t="n">
        <x:v>12.99</x:v>
      </x:c>
      <x:c r="I762" t="n">
        <x:v>20.47</x:v>
      </x:c>
      <x:c r="J762"/>
      <x:c r="K762" t="str">
        <x:v>待归档官方财报</x:v>
      </x:c>
      <x:c r="L762" t="str">
        <x:v>AkShare / Tencent all-A market snapshot</x:v>
      </x:c>
      <x:c r="M762" t="str">
        <x:v>ProxyError: primary market source unavailable; see source_id for full audit.</x:v>
      </x:c>
      <x:c r="N762" t="str">
        <x:v>0</x:v>
      </x:c>
      <x:c r="O762" t="str">
        <x:v>0fd6ad2d-3389-4e70-8974-eb85ee223eeb</x:v>
      </x:c>
      <x:c r="P762" t="str">
        <x:v>2026-09-04</x:v>
      </x:c>
    </x:row>
    <x:row r="763">
      <x:c r="A763" t="str">
        <x:v>重点观察</x:v>
      </x:c>
      <x:c r="B763" t="str">
        <x:v>补全 PB、财报，等待Agent自动验证</x:v>
      </x:c>
      <x:c r="C763" t="str">
        <x:v>603223</x:v>
      </x:c>
      <x:c r="D763" t="str">
        <x:v>恒通股份</x:v>
      </x:c>
      <x:c r="E763" t="str">
        <x:v>主板</x:v>
      </x:c>
      <x:c r="F763" t="str">
        <x:v>待行业映射</x:v>
      </x:c>
      <x:c r="G763" t="str">
        <x:v>当前全市场行情快照缺少 PB；只能作为待补全研究队列，不得按完整估值条件生成交易建议。</x:v>
      </x:c>
      <x:c r="H763" t="n">
        <x:v>10.29</x:v>
      </x:c>
      <x:c r="I763" t="n">
        <x:v>20.68</x:v>
      </x:c>
      <x:c r="J763"/>
      <x:c r="K763" t="str">
        <x:v>待归档官方财报</x:v>
      </x:c>
      <x:c r="L763" t="str">
        <x:v>AkShare / Tencent all-A market snapshot</x:v>
      </x:c>
      <x:c r="M763" t="str">
        <x:v>ProxyError: primary market source unavailable; see source_id for full audit.</x:v>
      </x:c>
      <x:c r="N763" t="str">
        <x:v>0</x:v>
      </x:c>
      <x:c r="O763" t="str">
        <x:v>0fd6ad2d-3389-4e70-8974-eb85ee223eeb</x:v>
      </x:c>
      <x:c r="P763" t="str">
        <x:v>2026-09-04</x:v>
      </x:c>
    </x:row>
    <x:row r="764">
      <x:c r="A764" t="str">
        <x:v>重点观察</x:v>
      </x:c>
      <x:c r="B764" t="str">
        <x:v>补全 PB、财报，等待Agent自动验证</x:v>
      </x:c>
      <x:c r="C764" t="str">
        <x:v>300893</x:v>
      </x:c>
      <x:c r="D764" t="str">
        <x:v>松原安全</x:v>
      </x:c>
      <x:c r="E764" t="str">
        <x:v>创业板</x:v>
      </x:c>
      <x:c r="F764" t="str">
        <x:v>待行业映射</x:v>
      </x:c>
      <x:c r="G764" t="str">
        <x:v>当前全市场行情快照缺少 PB；只能作为待补全研究队列，不得按完整估值条件生成交易建议。</x:v>
      </x:c>
      <x:c r="H764" t="n">
        <x:v>14.36</x:v>
      </x:c>
      <x:c r="I764" t="n">
        <x:v>20.63</x:v>
      </x:c>
      <x:c r="J764"/>
      <x:c r="K764" t="str">
        <x:v>待归档官方财报</x:v>
      </x:c>
      <x:c r="L764" t="str">
        <x:v>AkShare / Tencent all-A market snapshot</x:v>
      </x:c>
      <x:c r="M764" t="str">
        <x:v>ProxyError: primary market source unavailable; see source_id for full audit.</x:v>
      </x:c>
      <x:c r="N764" t="str">
        <x:v>0</x:v>
      </x:c>
      <x:c r="O764" t="str">
        <x:v>0fd6ad2d-3389-4e70-8974-eb85ee223eeb</x:v>
      </x:c>
      <x:c r="P764" t="str">
        <x:v>2026-09-04</x:v>
      </x:c>
    </x:row>
    <x:row r="765">
      <x:c r="A765" t="str">
        <x:v>重点观察</x:v>
      </x:c>
      <x:c r="B765" t="str">
        <x:v>补全 PB、财报，等待Agent自动验证</x:v>
      </x:c>
      <x:c r="C765" t="str">
        <x:v>600425</x:v>
      </x:c>
      <x:c r="D765" t="str">
        <x:v>青松建化</x:v>
      </x:c>
      <x:c r="E765" t="str">
        <x:v>主板</x:v>
      </x:c>
      <x:c r="F765" t="str">
        <x:v>待行业映射</x:v>
      </x:c>
      <x:c r="G765" t="str">
        <x:v>当前全市场行情快照缺少 PB；只能作为待补全研究队列，不得按完整估值条件生成交易建议。</x:v>
      </x:c>
      <x:c r="H765" t="n">
        <x:v>3.72</x:v>
      </x:c>
      <x:c r="I765" t="n">
        <x:v>20.52</x:v>
      </x:c>
      <x:c r="J765"/>
      <x:c r="K765" t="str">
        <x:v>待归档官方财报</x:v>
      </x:c>
      <x:c r="L765" t="str">
        <x:v>AkShare / Tencent all-A market snapshot</x:v>
      </x:c>
      <x:c r="M765" t="str">
        <x:v>ProxyError: primary market source unavailable; see source_id for full audit.</x:v>
      </x:c>
      <x:c r="N765" t="str">
        <x:v>0</x:v>
      </x:c>
      <x:c r="O765" t="str">
        <x:v>0fd6ad2d-3389-4e70-8974-eb85ee223eeb</x:v>
      </x:c>
      <x:c r="P765" t="str">
        <x:v>2026-09-04</x:v>
      </x:c>
    </x:row>
    <x:row r="766">
      <x:c r="A766" t="str">
        <x:v>重点观察</x:v>
      </x:c>
      <x:c r="B766" t="str">
        <x:v>补全 PB、财报，等待Agent自动验证</x:v>
      </x:c>
      <x:c r="C766" t="str">
        <x:v>000683</x:v>
      </x:c>
      <x:c r="D766" t="str">
        <x:v>博源化工</x:v>
      </x:c>
      <x:c r="E766" t="str">
        <x:v>主板</x:v>
      </x:c>
      <x:c r="F766" t="str">
        <x:v>待行业映射</x:v>
      </x:c>
      <x:c r="G766" t="str">
        <x:v>当前全市场行情快照缺少 PB；只能作为待补全研究队列，不得按完整估值条件生成交易建议。</x:v>
      </x:c>
      <x:c r="H766" t="n">
        <x:v>6.37</x:v>
      </x:c>
      <x:c r="I766" t="n">
        <x:v>22.91</x:v>
      </x:c>
      <x:c r="J766"/>
      <x:c r="K766" t="str">
        <x:v>待归档官方财报</x:v>
      </x:c>
      <x:c r="L766" t="str">
        <x:v>AkShare / Tencent all-A market snapshot</x:v>
      </x:c>
      <x:c r="M766" t="str">
        <x:v>ProxyError: primary market source unavailable; see source_id for full audit.</x:v>
      </x:c>
      <x:c r="N766" t="str">
        <x:v>0</x:v>
      </x:c>
      <x:c r="O766" t="str">
        <x:v>0fd6ad2d-3389-4e70-8974-eb85ee223eeb</x:v>
      </x:c>
      <x:c r="P766" t="str">
        <x:v>2026-09-04</x:v>
      </x:c>
    </x:row>
    <x:row r="767">
      <x:c r="A767" t="str">
        <x:v>重点观察</x:v>
      </x:c>
      <x:c r="B767" t="str">
        <x:v>补全 PB、财报，等待Agent自动验证</x:v>
      </x:c>
      <x:c r="C767" t="str">
        <x:v>002283</x:v>
      </x:c>
      <x:c r="D767" t="str">
        <x:v>天润工业</x:v>
      </x:c>
      <x:c r="E767" t="str">
        <x:v>主板</x:v>
      </x:c>
      <x:c r="F767" t="str">
        <x:v>待行业映射</x:v>
      </x:c>
      <x:c r="G767" t="str">
        <x:v>当前全市场行情快照缺少 PB；只能作为待补全研究队列，不得按完整估值条件生成交易建议。</x:v>
      </x:c>
      <x:c r="H767" t="n">
        <x:v>8.17</x:v>
      </x:c>
      <x:c r="I767" t="n">
        <x:v>21.1</x:v>
      </x:c>
      <x:c r="J767"/>
      <x:c r="K767" t="str">
        <x:v>待归档官方财报</x:v>
      </x:c>
      <x:c r="L767" t="str">
        <x:v>AkShare / Tencent all-A market snapshot</x:v>
      </x:c>
      <x:c r="M767" t="str">
        <x:v>ProxyError: primary market source unavailable; see source_id for full audit.</x:v>
      </x:c>
      <x:c r="N767" t="str">
        <x:v>0</x:v>
      </x:c>
      <x:c r="O767" t="str">
        <x:v>0fd6ad2d-3389-4e70-8974-eb85ee223eeb</x:v>
      </x:c>
      <x:c r="P767" t="str">
        <x:v>2026-09-04</x:v>
      </x:c>
    </x:row>
    <x:row r="768">
      <x:c r="A768" t="str">
        <x:v>重点观察</x:v>
      </x:c>
      <x:c r="B768" t="str">
        <x:v>补全 PB、财报，等待Agent自动验证</x:v>
      </x:c>
      <x:c r="C768" t="str">
        <x:v>603093</x:v>
      </x:c>
      <x:c r="D768" t="str">
        <x:v>南华期货</x:v>
      </x:c>
      <x:c r="E768" t="str">
        <x:v>主板</x:v>
      </x:c>
      <x:c r="F768" t="str">
        <x:v>待行业映射</x:v>
      </x:c>
      <x:c r="G768" t="str">
        <x:v>当前全市场行情快照缺少 PB；只能作为待补全研究队列，不得按完整估值条件生成交易建议。</x:v>
      </x:c>
      <x:c r="H768" t="n">
        <x:v>13.49</x:v>
      </x:c>
      <x:c r="I768" t="n">
        <x:v>21.77</x:v>
      </x:c>
      <x:c r="J768"/>
      <x:c r="K768" t="str">
        <x:v>待归档官方财报</x:v>
      </x:c>
      <x:c r="L768" t="str">
        <x:v>AkShare / Tencent all-A market snapshot</x:v>
      </x:c>
      <x:c r="M768" t="str">
        <x:v>ProxyError: primary market source unavailable; see source_id for full audit.</x:v>
      </x:c>
      <x:c r="N768" t="str">
        <x:v>0</x:v>
      </x:c>
      <x:c r="O768" t="str">
        <x:v>0fd6ad2d-3389-4e70-8974-eb85ee223eeb</x:v>
      </x:c>
      <x:c r="P768" t="str">
        <x:v>2026-09-04</x:v>
      </x:c>
    </x:row>
    <x:row r="769">
      <x:c r="A769" t="str">
        <x:v>重点观察</x:v>
      </x:c>
      <x:c r="B769" t="str">
        <x:v>补全 PB、财报，等待Agent自动验证</x:v>
      </x:c>
      <x:c r="C769" t="str">
        <x:v>600390</x:v>
      </x:c>
      <x:c r="D769" t="str">
        <x:v>五矿资本</x:v>
      </x:c>
      <x:c r="E769" t="str">
        <x:v>主板</x:v>
      </x:c>
      <x:c r="F769" t="str">
        <x:v>待行业映射</x:v>
      </x:c>
      <x:c r="G769" t="str">
        <x:v>当前全市场行情快照缺少 PB；只能作为待补全研究队列，不得按完整估值条件生成交易建议。</x:v>
      </x:c>
      <x:c r="H769" t="n">
        <x:v>5.03</x:v>
      </x:c>
      <x:c r="I769" t="n">
        <x:v>22.96</x:v>
      </x:c>
      <x:c r="J769"/>
      <x:c r="K769" t="str">
        <x:v>待归档官方财报</x:v>
      </x:c>
      <x:c r="L769" t="str">
        <x:v>AkShare / Tencent all-A market snapshot</x:v>
      </x:c>
      <x:c r="M769" t="str">
        <x:v>ProxyError: primary market source unavailable; see source_id for full audit.</x:v>
      </x:c>
      <x:c r="N769" t="str">
        <x:v>0</x:v>
      </x:c>
      <x:c r="O769" t="str">
        <x:v>0fd6ad2d-3389-4e70-8974-eb85ee223eeb</x:v>
      </x:c>
      <x:c r="P769" t="str">
        <x:v>2026-09-04</x:v>
      </x:c>
    </x:row>
    <x:row r="770">
      <x:c r="A770" t="str">
        <x:v>重点观察</x:v>
      </x:c>
      <x:c r="B770" t="str">
        <x:v>补全 PB、财报，等待Agent自动验证</x:v>
      </x:c>
      <x:c r="C770" t="str">
        <x:v>603997</x:v>
      </x:c>
      <x:c r="D770" t="str">
        <x:v>继峰股份</x:v>
      </x:c>
      <x:c r="E770" t="str">
        <x:v>主板</x:v>
      </x:c>
      <x:c r="F770" t="str">
        <x:v>待行业映射</x:v>
      </x:c>
      <x:c r="G770" t="str">
        <x:v>当前全市场行情快照缺少 PB；只能作为待补全研究队列，不得按完整估值条件生成交易建议。</x:v>
      </x:c>
      <x:c r="H770" t="n">
        <x:v>11.43</x:v>
      </x:c>
      <x:c r="I770" t="n">
        <x:v>21.88</x:v>
      </x:c>
      <x:c r="J770"/>
      <x:c r="K770" t="str">
        <x:v>待归档官方财报</x:v>
      </x:c>
      <x:c r="L770" t="str">
        <x:v>AkShare / Tencent all-A market snapshot</x:v>
      </x:c>
      <x:c r="M770" t="str">
        <x:v>ProxyError: primary market source unavailable; see source_id for full audit.</x:v>
      </x:c>
      <x:c r="N770" t="str">
        <x:v>0</x:v>
      </x:c>
      <x:c r="O770" t="str">
        <x:v>0fd6ad2d-3389-4e70-8974-eb85ee223eeb</x:v>
      </x:c>
      <x:c r="P770" t="str">
        <x:v>2026-09-04</x:v>
      </x:c>
    </x:row>
    <x:row r="771">
      <x:c r="A771" t="str">
        <x:v>重点观察</x:v>
      </x:c>
      <x:c r="B771" t="str">
        <x:v>证券公司专用模型待核验</x:v>
      </x:c>
      <x:c r="C771" t="str">
        <x:v>601990</x:v>
      </x:c>
      <x:c r="D771" t="str">
        <x:v>南京证券</x:v>
      </x:c>
      <x:c r="E771" t="str">
        <x:v>主板</x:v>
      </x:c>
      <x:c r="F771" t="str">
        <x:v>待行业映射</x:v>
      </x:c>
      <x:c r="G771" t="str">
        <x:v>名称/板块初步识别为证券公司；须以同一报告期官方披露复核专用指标和行业分类，禁止套用通用企业现金流、负债率或 EV/EBITDA 规则。 当前公共行情快照缺少 PB，须在专用模型复核中补齐。</x:v>
      </x:c>
      <x:c r="H771" t="n">
        <x:v>6.85</x:v>
      </x:c>
      <x:c r="I771" t="n">
        <x:v>24.06</x:v>
      </x:c>
      <x:c r="J771"/>
      <x:c r="K771" t="str">
        <x:v>待归档官方财报</x:v>
      </x:c>
      <x:c r="L771" t="str">
        <x:v>AkShare / Tencent all-A market snapshot</x:v>
      </x:c>
      <x:c r="M771" t="str">
        <x:v>ProxyError: primary market source unavailable; see source_id for full audit.</x:v>
      </x:c>
      <x:c r="N771" t="str">
        <x:v>0</x:v>
      </x:c>
      <x:c r="O771" t="str">
        <x:v>0fd6ad2d-3389-4e70-8974-eb85ee223eeb</x:v>
      </x:c>
      <x:c r="P771" t="str">
        <x:v>2026-09-04</x:v>
      </x:c>
    </x:row>
    <x:row r="772">
      <x:c r="A772" t="str">
        <x:v>重点观察</x:v>
      </x:c>
      <x:c r="B772" t="str">
        <x:v>补全 PB、财报，等待Agent自动验证</x:v>
      </x:c>
      <x:c r="C772" t="str">
        <x:v>300595</x:v>
      </x:c>
      <x:c r="D772" t="str">
        <x:v>欧普康视</x:v>
      </x:c>
      <x:c r="E772" t="str">
        <x:v>创业板</x:v>
      </x:c>
      <x:c r="F772" t="str">
        <x:v>待行业映射</x:v>
      </x:c>
      <x:c r="G772" t="str">
        <x:v>当前全市场行情快照缺少 PB；只能作为待补全研究队列，不得按完整估值条件生成交易建议。</x:v>
      </x:c>
      <x:c r="H772" t="n">
        <x:v>11.04</x:v>
      </x:c>
      <x:c r="I772" t="n">
        <x:v>21.4</x:v>
      </x:c>
      <x:c r="J772"/>
      <x:c r="K772" t="str">
        <x:v>待归档官方财报</x:v>
      </x:c>
      <x:c r="L772" t="str">
        <x:v>AkShare / Tencent all-A market snapshot</x:v>
      </x:c>
      <x:c r="M772" t="str">
        <x:v>ProxyError: primary market source unavailable; see source_id for full audit.</x:v>
      </x:c>
      <x:c r="N772" t="str">
        <x:v>0</x:v>
      </x:c>
      <x:c r="O772" t="str">
        <x:v>0fd6ad2d-3389-4e70-8974-eb85ee223eeb</x:v>
      </x:c>
      <x:c r="P772" t="str">
        <x:v>2026-09-04</x:v>
      </x:c>
    </x:row>
    <x:row r="773">
      <x:c r="A773" t="str">
        <x:v>重点观察</x:v>
      </x:c>
      <x:c r="B773" t="str">
        <x:v>补全 PB、财报，等待Agent自动验证</x:v>
      </x:c>
      <x:c r="C773" t="str">
        <x:v>600338</x:v>
      </x:c>
      <x:c r="D773" t="str">
        <x:v>西藏珠峰</x:v>
      </x:c>
      <x:c r="E773" t="str">
        <x:v>主板</x:v>
      </x:c>
      <x:c r="F773" t="str">
        <x:v>待行业映射</x:v>
      </x:c>
      <x:c r="G773" t="str">
        <x:v>当前全市场行情快照缺少 PB；只能作为待补全研究队列，不得按完整估值条件生成交易建议。</x:v>
      </x:c>
      <x:c r="H773" t="n">
        <x:v>13.48</x:v>
      </x:c>
      <x:c r="I773" t="n">
        <x:v>21.76</x:v>
      </x:c>
      <x:c r="J773"/>
      <x:c r="K773" t="str">
        <x:v>待归档官方财报</x:v>
      </x:c>
      <x:c r="L773" t="str">
        <x:v>AkShare / Tencent all-A market snapshot</x:v>
      </x:c>
      <x:c r="M773" t="str">
        <x:v>ProxyError: primary market source unavailable; see source_id for full audit.</x:v>
      </x:c>
      <x:c r="N773" t="str">
        <x:v>0</x:v>
      </x:c>
      <x:c r="O773" t="str">
        <x:v>0fd6ad2d-3389-4e70-8974-eb85ee223eeb</x:v>
      </x:c>
      <x:c r="P773" t="str">
        <x:v>2026-09-04</x:v>
      </x:c>
    </x:row>
    <x:row r="774">
      <x:c r="A774" t="str">
        <x:v>重点观察</x:v>
      </x:c>
      <x:c r="B774" t="str">
        <x:v>补全 PB、财报，等待Agent自动验证</x:v>
      </x:c>
      <x:c r="C774" t="str">
        <x:v>601369</x:v>
      </x:c>
      <x:c r="D774" t="str">
        <x:v>陕鼓动力</x:v>
      </x:c>
      <x:c r="E774" t="str">
        <x:v>主板</x:v>
      </x:c>
      <x:c r="F774" t="str">
        <x:v>待行业映射</x:v>
      </x:c>
      <x:c r="G774" t="str">
        <x:v>当前全市场行情快照缺少 PB；只能作为待补全研究队列，不得按完整估值条件生成交易建议。</x:v>
      </x:c>
      <x:c r="H774" t="n">
        <x:v>8.55</x:v>
      </x:c>
      <x:c r="I774" t="n">
        <x:v>22.14</x:v>
      </x:c>
      <x:c r="J774"/>
      <x:c r="K774" t="str">
        <x:v>待归档官方财报</x:v>
      </x:c>
      <x:c r="L774" t="str">
        <x:v>AkShare / Tencent all-A market snapshot</x:v>
      </x:c>
      <x:c r="M774" t="str">
        <x:v>ProxyError: primary market source unavailable; see source_id for full audit.</x:v>
      </x:c>
      <x:c r="N774" t="str">
        <x:v>0</x:v>
      </x:c>
      <x:c r="O774" t="str">
        <x:v>0fd6ad2d-3389-4e70-8974-eb85ee223eeb</x:v>
      </x:c>
      <x:c r="P774" t="str">
        <x:v>2026-09-04</x:v>
      </x:c>
    </x:row>
    <x:row r="775">
      <x:c r="A775" t="str">
        <x:v>重点观察</x:v>
      </x:c>
      <x:c r="B775" t="str">
        <x:v>补全 PB、财报，等待Agent自动验证</x:v>
      </x:c>
      <x:c r="C775" t="str">
        <x:v>001285</x:v>
      </x:c>
      <x:c r="D775" t="str">
        <x:v>瑞立科密</x:v>
      </x:c>
      <x:c r="E775" t="str">
        <x:v>主板</x:v>
      </x:c>
      <x:c r="F775" t="str">
        <x:v>待行业映射</x:v>
      </x:c>
      <x:c r="G775" t="str">
        <x:v>当前全市场行情快照缺少 PB；只能作为待补全研究队列，不得按完整估值条件生成交易建议。</x:v>
      </x:c>
      <x:c r="H775" t="n">
        <x:v>44.4</x:v>
      </x:c>
      <x:c r="I775" t="n">
        <x:v>21.27</x:v>
      </x:c>
      <x:c r="J775"/>
      <x:c r="K775" t="str">
        <x:v>待归档官方财报</x:v>
      </x:c>
      <x:c r="L775" t="str">
        <x:v>AkShare / Tencent all-A market snapshot</x:v>
      </x:c>
      <x:c r="M775" t="str">
        <x:v>ProxyError: primary market source unavailable; see source_id for full audit.</x:v>
      </x:c>
      <x:c r="N775" t="str">
        <x:v>0</x:v>
      </x:c>
      <x:c r="O775" t="str">
        <x:v>0fd6ad2d-3389-4e70-8974-eb85ee223eeb</x:v>
      </x:c>
      <x:c r="P775" t="str">
        <x:v>2026-09-04</x:v>
      </x:c>
    </x:row>
    <x:row r="776">
      <x:c r="A776" t="str">
        <x:v>重点观察</x:v>
      </x:c>
      <x:c r="B776" t="str">
        <x:v>补全 PB、财报，等待Agent自动验证</x:v>
      </x:c>
      <x:c r="C776" t="str">
        <x:v>000733</x:v>
      </x:c>
      <x:c r="D776" t="str">
        <x:v>振华科技</x:v>
      </x:c>
      <x:c r="E776" t="str">
        <x:v>主板</x:v>
      </x:c>
      <x:c r="F776" t="str">
        <x:v>待行业映射</x:v>
      </x:c>
      <x:c r="G776" t="str">
        <x:v>当前全市场行情快照缺少 PB；只能作为待补全研究队列，不得按完整估值条件生成交易建议。</x:v>
      </x:c>
      <x:c r="H776" t="n">
        <x:v>40.28</x:v>
      </x:c>
      <x:c r="I776" t="n">
        <x:v>23.25</x:v>
      </x:c>
      <x:c r="J776"/>
      <x:c r="K776" t="str">
        <x:v>待归档官方财报</x:v>
      </x:c>
      <x:c r="L776" t="str">
        <x:v>AkShare / Tencent all-A market snapshot</x:v>
      </x:c>
      <x:c r="M776" t="str">
        <x:v>ProxyError: primary market source unavailable; see source_id for full audit.</x:v>
      </x:c>
      <x:c r="N776" t="str">
        <x:v>0</x:v>
      </x:c>
      <x:c r="O776" t="str">
        <x:v>0fd6ad2d-3389-4e70-8974-eb85ee223eeb</x:v>
      </x:c>
      <x:c r="P776" t="str">
        <x:v>2026-09-04</x:v>
      </x:c>
    </x:row>
    <x:row r="777">
      <x:c r="A777" t="str">
        <x:v>重点观察</x:v>
      </x:c>
      <x:c r="B777" t="str">
        <x:v>补全 PB、财报，等待Agent自动验证</x:v>
      </x:c>
      <x:c r="C777" t="str">
        <x:v>605116</x:v>
      </x:c>
      <x:c r="D777" t="str">
        <x:v>奥锐特</x:v>
      </x:c>
      <x:c r="E777" t="str">
        <x:v>主板</x:v>
      </x:c>
      <x:c r="F777" t="str">
        <x:v>待行业映射</x:v>
      </x:c>
      <x:c r="G777" t="str">
        <x:v>当前全市场行情快照缺少 PB；只能作为待补全研究队列，不得按完整估值条件生成交易建议。</x:v>
      </x:c>
      <x:c r="H777" t="n">
        <x:v>19.64</x:v>
      </x:c>
      <x:c r="I777" t="n">
        <x:v>21.38</x:v>
      </x:c>
      <x:c r="J777"/>
      <x:c r="K777" t="str">
        <x:v>待归档官方财报</x:v>
      </x:c>
      <x:c r="L777" t="str">
        <x:v>AkShare / Tencent all-A market snapshot</x:v>
      </x:c>
      <x:c r="M777" t="str">
        <x:v>ProxyError: primary market source unavailable; see source_id for full audit.</x:v>
      </x:c>
      <x:c r="N777" t="str">
        <x:v>0</x:v>
      </x:c>
      <x:c r="O777" t="str">
        <x:v>0fd6ad2d-3389-4e70-8974-eb85ee223eeb</x:v>
      </x:c>
      <x:c r="P777" t="str">
        <x:v>2026-09-04</x:v>
      </x:c>
    </x:row>
    <x:row r="778">
      <x:c r="A778" t="str">
        <x:v>重点观察</x:v>
      </x:c>
      <x:c r="B778" t="str">
        <x:v>补全 PB、财报，等待Agent自动验证</x:v>
      </x:c>
      <x:c r="C778" t="str">
        <x:v>603786</x:v>
      </x:c>
      <x:c r="D778" t="str">
        <x:v>科博达</x:v>
      </x:c>
      <x:c r="E778" t="str">
        <x:v>主板</x:v>
      </x:c>
      <x:c r="F778" t="str">
        <x:v>待行业映射</x:v>
      </x:c>
      <x:c r="G778" t="str">
        <x:v>当前全市场行情快照缺少 PB；只能作为待补全研究队列，不得按完整估值条件生成交易建议。</x:v>
      </x:c>
      <x:c r="H778" t="n">
        <x:v>39.52</x:v>
      </x:c>
      <x:c r="I778" t="n">
        <x:v>22.48</x:v>
      </x:c>
      <x:c r="J778"/>
      <x:c r="K778" t="str">
        <x:v>待归档官方财报</x:v>
      </x:c>
      <x:c r="L778" t="str">
        <x:v>AkShare / Tencent all-A market snapshot</x:v>
      </x:c>
      <x:c r="M778" t="str">
        <x:v>ProxyError: primary market source unavailable; see source_id for full audit.</x:v>
      </x:c>
      <x:c r="N778" t="str">
        <x:v>0</x:v>
      </x:c>
      <x:c r="O778" t="str">
        <x:v>0fd6ad2d-3389-4e70-8974-eb85ee223eeb</x:v>
      </x:c>
      <x:c r="P778" t="str">
        <x:v>2026-09-04</x:v>
      </x:c>
    </x:row>
    <x:row r="779">
      <x:c r="A779" t="str">
        <x:v>重点观察</x:v>
      </x:c>
      <x:c r="B779" t="str">
        <x:v>补全 PB、财报，等待Agent自动验证</x:v>
      </x:c>
      <x:c r="C779" t="str">
        <x:v>601020</x:v>
      </x:c>
      <x:c r="D779" t="str">
        <x:v>华钰矿业</x:v>
      </x:c>
      <x:c r="E779" t="str">
        <x:v>主板</x:v>
      </x:c>
      <x:c r="F779" t="str">
        <x:v>待行业映射</x:v>
      </x:c>
      <x:c r="G779" t="str">
        <x:v>当前全市场行情快照缺少 PB；只能作为待补全研究队列，不得按完整估值条件生成交易建议。</x:v>
      </x:c>
      <x:c r="H779" t="n">
        <x:v>22.61</x:v>
      </x:c>
      <x:c r="I779" t="n">
        <x:v>22.86</x:v>
      </x:c>
      <x:c r="J779"/>
      <x:c r="K779" t="str">
        <x:v>待归档官方财报</x:v>
      </x:c>
      <x:c r="L779" t="str">
        <x:v>AkShare / Tencent all-A market snapshot</x:v>
      </x:c>
      <x:c r="M779" t="str">
        <x:v>ProxyError: primary market source unavailable; see source_id for full audit.</x:v>
      </x:c>
      <x:c r="N779" t="str">
        <x:v>0</x:v>
      </x:c>
      <x:c r="O779" t="str">
        <x:v>0fd6ad2d-3389-4e70-8974-eb85ee223eeb</x:v>
      </x:c>
      <x:c r="P779" t="str">
        <x:v>2026-09-04</x:v>
      </x:c>
    </x:row>
    <x:row r="780">
      <x:c r="A780" t="str">
        <x:v>重点观察</x:v>
      </x:c>
      <x:c r="B780" t="str">
        <x:v>补全 PB、财报，等待Agent自动验证</x:v>
      </x:c>
      <x:c r="C780" t="str">
        <x:v>603876</x:v>
      </x:c>
      <x:c r="D780" t="str">
        <x:v>鼎胜新材</x:v>
      </x:c>
      <x:c r="E780" t="str">
        <x:v>主板</x:v>
      </x:c>
      <x:c r="F780" t="str">
        <x:v>待行业映射</x:v>
      </x:c>
      <x:c r="G780" t="str">
        <x:v>当前全市场行情快照缺少 PB；只能作为待补全研究队列，不得按完整估值条件生成交易建议。</x:v>
      </x:c>
      <x:c r="H780" t="n">
        <x:v>19.82</x:v>
      </x:c>
      <x:c r="I780" t="n">
        <x:v>22.88</x:v>
      </x:c>
      <x:c r="J780"/>
      <x:c r="K780" t="str">
        <x:v>待归档官方财报</x:v>
      </x:c>
      <x:c r="L780" t="str">
        <x:v>AkShare / Tencent all-A market snapshot</x:v>
      </x:c>
      <x:c r="M780" t="str">
        <x:v>ProxyError: primary market source unavailable; see source_id for full audit.</x:v>
      </x:c>
      <x:c r="N780" t="str">
        <x:v>0</x:v>
      </x:c>
      <x:c r="O780" t="str">
        <x:v>0fd6ad2d-3389-4e70-8974-eb85ee223eeb</x:v>
      </x:c>
      <x:c r="P780" t="str">
        <x:v>2026-09-04</x:v>
      </x:c>
    </x:row>
    <x:row r="781">
      <x:c r="A781" t="str">
        <x:v>重点观察</x:v>
      </x:c>
      <x:c r="B781" t="str">
        <x:v>补全 PB、财报，等待Agent自动验证</x:v>
      </x:c>
      <x:c r="C781" t="str">
        <x:v>000400</x:v>
      </x:c>
      <x:c r="D781" t="str">
        <x:v>许继电气</x:v>
      </x:c>
      <x:c r="E781" t="str">
        <x:v>主板</x:v>
      </x:c>
      <x:c r="F781" t="str">
        <x:v>待行业映射</x:v>
      </x:c>
      <x:c r="G781" t="str">
        <x:v>当前全市场行情快照缺少 PB；只能作为待补全研究队列，不得按完整估值条件生成交易建议。</x:v>
      </x:c>
      <x:c r="H781" t="n">
        <x:v>21.92</x:v>
      </x:c>
      <x:c r="I781" t="n">
        <x:v>23.52</x:v>
      </x:c>
      <x:c r="J781"/>
      <x:c r="K781" t="str">
        <x:v>待归档官方财报</x:v>
      </x:c>
      <x:c r="L781" t="str">
        <x:v>AkShare / Tencent all-A market snapshot</x:v>
      </x:c>
      <x:c r="M781" t="str">
        <x:v>ProxyError: primary market source unavailable; see source_id for full audit.</x:v>
      </x:c>
      <x:c r="N781" t="str">
        <x:v>0</x:v>
      </x:c>
      <x:c r="O781" t="str">
        <x:v>0fd6ad2d-3389-4e70-8974-eb85ee223eeb</x:v>
      </x:c>
      <x:c r="P781" t="str">
        <x:v>2026-09-04</x:v>
      </x:c>
    </x:row>
    <x:row r="782">
      <x:c r="A782" t="str">
        <x:v>重点观察</x:v>
      </x:c>
      <x:c r="B782" t="str">
        <x:v>补全 PB、财报，等待Agent自动验证</x:v>
      </x:c>
      <x:c r="C782" t="str">
        <x:v>603091</x:v>
      </x:c>
      <x:c r="D782" t="str">
        <x:v>众鑫股份</x:v>
      </x:c>
      <x:c r="E782" t="str">
        <x:v>主板</x:v>
      </x:c>
      <x:c r="F782" t="str">
        <x:v>待行业映射</x:v>
      </x:c>
      <x:c r="G782" t="str">
        <x:v>当前全市场行情快照缺少 PB；只能作为待补全研究队列，不得按完整估值条件生成交易建议。</x:v>
      </x:c>
      <x:c r="H782" t="n">
        <x:v>51.9</x:v>
      </x:c>
      <x:c r="I782" t="n">
        <x:v>21.61</x:v>
      </x:c>
      <x:c r="J782"/>
      <x:c r="K782" t="str">
        <x:v>待归档官方财报</x:v>
      </x:c>
      <x:c r="L782" t="str">
        <x:v>AkShare / Tencent all-A market snapshot</x:v>
      </x:c>
      <x:c r="M782" t="str">
        <x:v>ProxyError: primary market source unavailable; see source_id for full audit.</x:v>
      </x:c>
      <x:c r="N782" t="str">
        <x:v>0</x:v>
      </x:c>
      <x:c r="O782" t="str">
        <x:v>0fd6ad2d-3389-4e70-8974-eb85ee223eeb</x:v>
      </x:c>
      <x:c r="P782" t="str">
        <x:v>2026-09-04</x:v>
      </x:c>
    </x:row>
    <x:row r="783">
      <x:c r="A783" t="str">
        <x:v>重点观察</x:v>
      </x:c>
      <x:c r="B783" t="str">
        <x:v>补全 PB、财报，等待Agent自动验证</x:v>
      </x:c>
      <x:c r="C783" t="str">
        <x:v>300457</x:v>
      </x:c>
      <x:c r="D783" t="str">
        <x:v>赢合科技</x:v>
      </x:c>
      <x:c r="E783" t="str">
        <x:v>创业板</x:v>
      </x:c>
      <x:c r="F783" t="str">
        <x:v>待行业映射</x:v>
      </x:c>
      <x:c r="G783" t="str">
        <x:v>当前全市场行情快照缺少 PB；只能作为待补全研究队列，不得按完整估值条件生成交易建议。</x:v>
      </x:c>
      <x:c r="H783" t="n">
        <x:v>21.54</x:v>
      </x:c>
      <x:c r="I783" t="n">
        <x:v>22.49</x:v>
      </x:c>
      <x:c r="J783"/>
      <x:c r="K783" t="str">
        <x:v>待归档官方财报</x:v>
      </x:c>
      <x:c r="L783" t="str">
        <x:v>AkShare / Tencent all-A market snapshot</x:v>
      </x:c>
      <x:c r="M783" t="str">
        <x:v>ProxyError: primary market source unavailable; see source_id for full audit.</x:v>
      </x:c>
      <x:c r="N783" t="str">
        <x:v>0</x:v>
      </x:c>
      <x:c r="O783" t="str">
        <x:v>0fd6ad2d-3389-4e70-8974-eb85ee223eeb</x:v>
      </x:c>
      <x:c r="P783" t="str">
        <x:v>2026-09-04</x:v>
      </x:c>
    </x:row>
    <x:row r="784">
      <x:c r="A784" t="str">
        <x:v>重点观察</x:v>
      </x:c>
      <x:c r="B784" t="str">
        <x:v>补全 PB、财报，等待Agent自动验证</x:v>
      </x:c>
      <x:c r="C784" t="str">
        <x:v>300196</x:v>
      </x:c>
      <x:c r="D784" t="str">
        <x:v>长海股份</x:v>
      </x:c>
      <x:c r="E784" t="str">
        <x:v>创业板</x:v>
      </x:c>
      <x:c r="F784" t="str">
        <x:v>待行业映射</x:v>
      </x:c>
      <x:c r="G784" t="str">
        <x:v>当前全市场行情快照缺少 PB；只能作为待补全研究队列，不得按完整估值条件生成交易建议。</x:v>
      </x:c>
      <x:c r="H784" t="n">
        <x:v>16.28</x:v>
      </x:c>
      <x:c r="I784" t="n">
        <x:v>21.53</x:v>
      </x:c>
      <x:c r="J784"/>
      <x:c r="K784" t="str">
        <x:v>待归档官方财报</x:v>
      </x:c>
      <x:c r="L784" t="str">
        <x:v>AkShare / Tencent all-A market snapshot</x:v>
      </x:c>
      <x:c r="M784" t="str">
        <x:v>ProxyError: primary market source unavailable; see source_id for full audit.</x:v>
      </x:c>
      <x:c r="N784" t="str">
        <x:v>0</x:v>
      </x:c>
      <x:c r="O784" t="str">
        <x:v>0fd6ad2d-3389-4e70-8974-eb85ee223eeb</x:v>
      </x:c>
      <x:c r="P784" t="str">
        <x:v>2026-09-04</x:v>
      </x:c>
    </x:row>
    <x:row r="785">
      <x:c r="A785" t="str">
        <x:v>重点观察</x:v>
      </x:c>
      <x:c r="B785" t="str">
        <x:v>补全 PB、财报，等待Agent自动验证</x:v>
      </x:c>
      <x:c r="C785" t="str">
        <x:v>603456</x:v>
      </x:c>
      <x:c r="D785" t="str">
        <x:v>九洲药业</x:v>
      </x:c>
      <x:c r="E785" t="str">
        <x:v>主板</x:v>
      </x:c>
      <x:c r="F785" t="str">
        <x:v>待行业映射</x:v>
      </x:c>
      <x:c r="G785" t="str">
        <x:v>当前全市场行情快照缺少 PB；只能作为待补全研究队列，不得按完整估值条件生成交易建议。</x:v>
      </x:c>
      <x:c r="H785" t="n">
        <x:v>15.07</x:v>
      </x:c>
      <x:c r="I785" t="n">
        <x:v>22.46</x:v>
      </x:c>
      <x:c r="J785"/>
      <x:c r="K785" t="str">
        <x:v>待归档官方财报</x:v>
      </x:c>
      <x:c r="L785" t="str">
        <x:v>AkShare / Tencent all-A market snapshot</x:v>
      </x:c>
      <x:c r="M785" t="str">
        <x:v>ProxyError: primary market source unavailable; see source_id for full audit.</x:v>
      </x:c>
      <x:c r="N785" t="str">
        <x:v>0</x:v>
      </x:c>
      <x:c r="O785" t="str">
        <x:v>0fd6ad2d-3389-4e70-8974-eb85ee223eeb</x:v>
      </x:c>
      <x:c r="P785" t="str">
        <x:v>2026-09-04</x:v>
      </x:c>
    </x:row>
    <x:row r="786">
      <x:c r="A786" t="str">
        <x:v>重点观察</x:v>
      </x:c>
      <x:c r="B786" t="str">
        <x:v>补全 PB、财报，等待Agent自动验证</x:v>
      </x:c>
      <x:c r="C786" t="str">
        <x:v>002540</x:v>
      </x:c>
      <x:c r="D786" t="str">
        <x:v>亚太科技</x:v>
      </x:c>
      <x:c r="E786" t="str">
        <x:v>主板</x:v>
      </x:c>
      <x:c r="F786" t="str">
        <x:v>待行业映射</x:v>
      </x:c>
      <x:c r="G786" t="str">
        <x:v>当前全市场行情快照缺少 PB；只能作为待补全研究队列，不得按完整估值条件生成交易建议。</x:v>
      </x:c>
      <x:c r="H786" t="n">
        <x:v>5.14</x:v>
      </x:c>
      <x:c r="I786" t="n">
        <x:v>21.54</x:v>
      </x:c>
      <x:c r="J786"/>
      <x:c r="K786" t="str">
        <x:v>待归档官方财报</x:v>
      </x:c>
      <x:c r="L786" t="str">
        <x:v>AkShare / Tencent all-A market snapshot</x:v>
      </x:c>
      <x:c r="M786" t="str">
        <x:v>ProxyError: primary market source unavailable; see source_id for full audit.</x:v>
      </x:c>
      <x:c r="N786" t="str">
        <x:v>0</x:v>
      </x:c>
      <x:c r="O786" t="str">
        <x:v>0fd6ad2d-3389-4e70-8974-eb85ee223eeb</x:v>
      </x:c>
      <x:c r="P786" t="str">
        <x:v>2026-09-04</x:v>
      </x:c>
    </x:row>
    <x:row r="787">
      <x:c r="A787" t="str">
        <x:v>重点观察</x:v>
      </x:c>
      <x:c r="B787" t="str">
        <x:v>补全 PB、财报，等待Agent自动验证</x:v>
      </x:c>
      <x:c r="C787" t="str">
        <x:v>600884</x:v>
      </x:c>
      <x:c r="D787" t="str">
        <x:v>杉杉股份</x:v>
      </x:c>
      <x:c r="E787" t="str">
        <x:v>主板</x:v>
      </x:c>
      <x:c r="F787" t="str">
        <x:v>待行业映射</x:v>
      </x:c>
      <x:c r="G787" t="str">
        <x:v>当前全市场行情快照缺少 PB；只能作为待补全研究队列，不得按完整估值条件生成交易建议。</x:v>
      </x:c>
      <x:c r="H787" t="n">
        <x:v>11.55</x:v>
      </x:c>
      <x:c r="I787" t="n">
        <x:v>24.17</x:v>
      </x:c>
      <x:c r="J787"/>
      <x:c r="K787" t="str">
        <x:v>待归档官方财报</x:v>
      </x:c>
      <x:c r="L787" t="str">
        <x:v>AkShare / Tencent all-A market snapshot</x:v>
      </x:c>
      <x:c r="M787" t="str">
        <x:v>ProxyError: primary market source unavailable; see source_id for full audit.</x:v>
      </x:c>
      <x:c r="N787" t="str">
        <x:v>0</x:v>
      </x:c>
      <x:c r="O787" t="str">
        <x:v>0fd6ad2d-3389-4e70-8974-eb85ee223eeb</x:v>
      </x:c>
      <x:c r="P787" t="str">
        <x:v>2026-09-04</x:v>
      </x:c>
    </x:row>
    <x:row r="788">
      <x:c r="A788" t="str">
        <x:v>重点观察</x:v>
      </x:c>
      <x:c r="B788" t="str">
        <x:v>补全 PB、财报，等待Agent自动验证</x:v>
      </x:c>
      <x:c r="C788" t="str">
        <x:v>605056</x:v>
      </x:c>
      <x:c r="D788" t="str">
        <x:v>咸亨国际</x:v>
      </x:c>
      <x:c r="E788" t="str">
        <x:v>主板</x:v>
      </x:c>
      <x:c r="F788" t="str">
        <x:v>待行业映射</x:v>
      </x:c>
      <x:c r="G788" t="str">
        <x:v>当前全市场行情快照缺少 PB；只能作为待补全研究队列，不得按完整估值条件生成交易建议。</x:v>
      </x:c>
      <x:c r="H788" t="n">
        <x:v>13.68</x:v>
      </x:c>
      <x:c r="I788" t="n">
        <x:v>21.43</x:v>
      </x:c>
      <x:c r="J788"/>
      <x:c r="K788" t="str">
        <x:v>待归档官方财报</x:v>
      </x:c>
      <x:c r="L788" t="str">
        <x:v>AkShare / Tencent all-A market snapshot</x:v>
      </x:c>
      <x:c r="M788" t="str">
        <x:v>ProxyError: primary market source unavailable; see source_id for full audit.</x:v>
      </x:c>
      <x:c r="N788" t="str">
        <x:v>0</x:v>
      </x:c>
      <x:c r="O788" t="str">
        <x:v>0fd6ad2d-3389-4e70-8974-eb85ee223eeb</x:v>
      </x:c>
      <x:c r="P788" t="str">
        <x:v>2026-09-04</x:v>
      </x:c>
    </x:row>
    <x:row r="789">
      <x:c r="A789" t="str">
        <x:v>重点观察</x:v>
      </x:c>
      <x:c r="B789" t="str">
        <x:v>补全 PB、财报，等待Agent自动验证</x:v>
      </x:c>
      <x:c r="C789" t="str">
        <x:v>002437</x:v>
      </x:c>
      <x:c r="D789" t="str">
        <x:v>誉衡药业</x:v>
      </x:c>
      <x:c r="E789" t="str">
        <x:v>主板</x:v>
      </x:c>
      <x:c r="F789" t="str">
        <x:v>待行业映射</x:v>
      </x:c>
      <x:c r="G789" t="str">
        <x:v>当前全市场行情快照缺少 PB；只能作为待补全研究队列，不得按完整估值条件生成交易建议。</x:v>
      </x:c>
      <x:c r="H789" t="n">
        <x:v>3.94</x:v>
      </x:c>
      <x:c r="I789" t="n">
        <x:v>21.88</x:v>
      </x:c>
      <x:c r="J789"/>
      <x:c r="K789" t="str">
        <x:v>待归档官方财报</x:v>
      </x:c>
      <x:c r="L789" t="str">
        <x:v>AkShare / Tencent all-A market snapshot</x:v>
      </x:c>
      <x:c r="M789" t="str">
        <x:v>ProxyError: primary market source unavailable; see source_id for full audit.</x:v>
      </x:c>
      <x:c r="N789" t="str">
        <x:v>0</x:v>
      </x:c>
      <x:c r="O789" t="str">
        <x:v>0fd6ad2d-3389-4e70-8974-eb85ee223eeb</x:v>
      </x:c>
      <x:c r="P789" t="str">
        <x:v>2026-09-04</x:v>
      </x:c>
    </x:row>
    <x:row r="790">
      <x:c r="A790" t="str">
        <x:v>重点观察</x:v>
      </x:c>
      <x:c r="B790" t="str">
        <x:v>补全 PB、财报，等待Agent自动验证</x:v>
      </x:c>
      <x:c r="C790" t="str">
        <x:v>001301</x:v>
      </x:c>
      <x:c r="D790" t="str">
        <x:v>尚太科技</x:v>
      </x:c>
      <x:c r="E790" t="str">
        <x:v>主板</x:v>
      </x:c>
      <x:c r="F790" t="str">
        <x:v>待行业映射</x:v>
      </x:c>
      <x:c r="G790" t="str">
        <x:v>当前全市场行情快照缺少 PB；只能作为待补全研究队列，不得按完整估值条件生成交易建议。</x:v>
      </x:c>
      <x:c r="H790" t="n">
        <x:v>55.74</x:v>
      </x:c>
      <x:c r="I790" t="n">
        <x:v>23.46</x:v>
      </x:c>
      <x:c r="J790"/>
      <x:c r="K790" t="str">
        <x:v>待归档官方财报</x:v>
      </x:c>
      <x:c r="L790" t="str">
        <x:v>AkShare / Tencent all-A market snapshot</x:v>
      </x:c>
      <x:c r="M790" t="str">
        <x:v>ProxyError: primary market source unavailable; see source_id for full audit.</x:v>
      </x:c>
      <x:c r="N790" t="str">
        <x:v>0</x:v>
      </x:c>
      <x:c r="O790" t="str">
        <x:v>0fd6ad2d-3389-4e70-8974-eb85ee223eeb</x:v>
      </x:c>
      <x:c r="P790" t="str">
        <x:v>2026-09-04</x:v>
      </x:c>
    </x:row>
    <x:row r="791">
      <x:c r="A791" t="str">
        <x:v>重点观察</x:v>
      </x:c>
      <x:c r="B791" t="str">
        <x:v>补全 PB、财报，等待Agent自动验证</x:v>
      </x:c>
      <x:c r="C791" t="str">
        <x:v>002925</x:v>
      </x:c>
      <x:c r="D791" t="str">
        <x:v>盈趣科技</x:v>
      </x:c>
      <x:c r="E791" t="str">
        <x:v>主板</x:v>
      </x:c>
      <x:c r="F791" t="str">
        <x:v>待行业映射</x:v>
      </x:c>
      <x:c r="G791" t="str">
        <x:v>当前全市场行情快照缺少 PB；只能作为待补全研究队列，不得按完整估值条件生成交易建议。</x:v>
      </x:c>
      <x:c r="H791" t="n">
        <x:v>23.33</x:v>
      </x:c>
      <x:c r="I791" t="n">
        <x:v>23.16</x:v>
      </x:c>
      <x:c r="J791"/>
      <x:c r="K791" t="str">
        <x:v>待归档官方财报</x:v>
      </x:c>
      <x:c r="L791" t="str">
        <x:v>AkShare / Tencent all-A market snapshot</x:v>
      </x:c>
      <x:c r="M791" t="str">
        <x:v>ProxyError: primary market source unavailable; see source_id for full audit.</x:v>
      </x:c>
      <x:c r="N791" t="str">
        <x:v>0</x:v>
      </x:c>
      <x:c r="O791" t="str">
        <x:v>0fd6ad2d-3389-4e70-8974-eb85ee223eeb</x:v>
      </x:c>
      <x:c r="P791" t="str">
        <x:v>2026-09-04</x:v>
      </x:c>
    </x:row>
    <x:row r="792">
      <x:c r="A792" t="str">
        <x:v>重点观察</x:v>
      </x:c>
      <x:c r="B792" t="str">
        <x:v>补全 PB、财报，等待Agent自动验证</x:v>
      </x:c>
      <x:c r="C792" t="str">
        <x:v>603218</x:v>
      </x:c>
      <x:c r="D792" t="str">
        <x:v>日月股份</x:v>
      </x:c>
      <x:c r="E792" t="str">
        <x:v>主板</x:v>
      </x:c>
      <x:c r="F792" t="str">
        <x:v>待行业映射</x:v>
      </x:c>
      <x:c r="G792" t="str">
        <x:v>当前全市场行情快照缺少 PB；只能作为待补全研究队列，不得按完整估值条件生成交易建议。</x:v>
      </x:c>
      <x:c r="H792" t="n">
        <x:v>9.24</x:v>
      </x:c>
      <x:c r="I792" t="n">
        <x:v>22.03</x:v>
      </x:c>
      <x:c r="J792"/>
      <x:c r="K792" t="str">
        <x:v>待归档官方财报</x:v>
      </x:c>
      <x:c r="L792" t="str">
        <x:v>AkShare / Tencent all-A market snapshot</x:v>
      </x:c>
      <x:c r="M792" t="str">
        <x:v>ProxyError: primary market source unavailable; see source_id for full audit.</x:v>
      </x:c>
      <x:c r="N792" t="str">
        <x:v>0</x:v>
      </x:c>
      <x:c r="O792" t="str">
        <x:v>0fd6ad2d-3389-4e70-8974-eb85ee223eeb</x:v>
      </x:c>
      <x:c r="P792" t="str">
        <x:v>2026-09-04</x:v>
      </x:c>
    </x:row>
    <x:row r="793">
      <x:c r="A793" t="str">
        <x:v>重点观察</x:v>
      </x:c>
      <x:c r="B793" t="str">
        <x:v>补全 PB、财报，等待Agent自动验证</x:v>
      </x:c>
      <x:c r="C793" t="str">
        <x:v>688275</x:v>
      </x:c>
      <x:c r="D793" t="str">
        <x:v>万润新能</x:v>
      </x:c>
      <x:c r="E793" t="str">
        <x:v>科创板</x:v>
      </x:c>
      <x:c r="F793" t="str">
        <x:v>待行业映射</x:v>
      </x:c>
      <x:c r="G793" t="str">
        <x:v>当前全市场行情快照缺少 PB；只能作为待补全研究队列，不得按完整估值条件生成交易建议。</x:v>
      </x:c>
      <x:c r="H793" t="n">
        <x:v>71.58</x:v>
      </x:c>
      <x:c r="I793" t="n">
        <x:v>22.04</x:v>
      </x:c>
      <x:c r="J793"/>
      <x:c r="K793" t="str">
        <x:v>待归档官方财报</x:v>
      </x:c>
      <x:c r="L793" t="str">
        <x:v>AkShare / Tencent all-A market snapshot</x:v>
      </x:c>
      <x:c r="M793" t="str">
        <x:v>ProxyError: primary market source unavailable; see source_id for full audit.</x:v>
      </x:c>
      <x:c r="N793" t="str">
        <x:v>0</x:v>
      </x:c>
      <x:c r="O793" t="str">
        <x:v>0fd6ad2d-3389-4e70-8974-eb85ee223eeb</x:v>
      </x:c>
      <x:c r="P793" t="str">
        <x:v>2026-09-04</x:v>
      </x:c>
    </x:row>
    <x:row r="794">
      <x:c r="A794" t="str">
        <x:v>重点观察</x:v>
      </x:c>
      <x:c r="B794" t="str">
        <x:v>补全 PB、财报，等待Agent自动验证</x:v>
      </x:c>
      <x:c r="C794" t="str">
        <x:v>600345</x:v>
      </x:c>
      <x:c r="D794" t="str">
        <x:v>长江通信</x:v>
      </x:c>
      <x:c r="E794" t="str">
        <x:v>主板</x:v>
      </x:c>
      <x:c r="F794" t="str">
        <x:v>待行业映射</x:v>
      </x:c>
      <x:c r="G794" t="str">
        <x:v>当前全市场行情快照缺少 PB；只能作为待补全研究队列，不得按完整估值条件生成交易建议。</x:v>
      </x:c>
      <x:c r="H794" t="n">
        <x:v>46.59</x:v>
      </x:c>
      <x:c r="I794" t="n">
        <x:v>22.9</x:v>
      </x:c>
      <x:c r="J794"/>
      <x:c r="K794" t="str">
        <x:v>待归档官方财报</x:v>
      </x:c>
      <x:c r="L794" t="str">
        <x:v>AkShare / Tencent all-A market snapshot</x:v>
      </x:c>
      <x:c r="M794" t="str">
        <x:v>ProxyError: primary market source unavailable; see source_id for full audit.</x:v>
      </x:c>
      <x:c r="N794" t="str">
        <x:v>0</x:v>
      </x:c>
      <x:c r="O794" t="str">
        <x:v>0fd6ad2d-3389-4e70-8974-eb85ee223eeb</x:v>
      </x:c>
      <x:c r="P794" t="str">
        <x:v>2026-09-04</x:v>
      </x:c>
    </x:row>
    <x:row r="795">
      <x:c r="A795" t="str">
        <x:v>重点观察</x:v>
      </x:c>
      <x:c r="B795" t="str">
        <x:v>补全 PB、财报，等待Agent自动验证</x:v>
      </x:c>
      <x:c r="C795" t="str">
        <x:v>301015</x:v>
      </x:c>
      <x:c r="D795" t="str">
        <x:v>百洋医药</x:v>
      </x:c>
      <x:c r="E795" t="str">
        <x:v>创业板</x:v>
      </x:c>
      <x:c r="F795" t="str">
        <x:v>待行业映射</x:v>
      </x:c>
      <x:c r="G795" t="str">
        <x:v>当前全市场行情快照缺少 PB；只能作为待补全研究队列，不得按完整估值条件生成交易建议。</x:v>
      </x:c>
      <x:c r="H795" t="n">
        <x:v>22.92</x:v>
      </x:c>
      <x:c r="I795" t="n">
        <x:v>22.47</x:v>
      </x:c>
      <x:c r="J795"/>
      <x:c r="K795" t="str">
        <x:v>待归档官方财报</x:v>
      </x:c>
      <x:c r="L795" t="str">
        <x:v>AkShare / Tencent all-A market snapshot</x:v>
      </x:c>
      <x:c r="M795" t="str">
        <x:v>ProxyError: primary market source unavailable; see source_id for full audit.</x:v>
      </x:c>
      <x:c r="N795" t="str">
        <x:v>0</x:v>
      </x:c>
      <x:c r="O795" t="str">
        <x:v>0fd6ad2d-3389-4e70-8974-eb85ee223eeb</x:v>
      </x:c>
      <x:c r="P795" t="str">
        <x:v>2026-09-04</x:v>
      </x:c>
    </x:row>
    <x:row r="796">
      <x:c r="A796" t="str">
        <x:v>重点观察</x:v>
      </x:c>
      <x:c r="B796" t="str">
        <x:v>补全 PB、财报，等待Agent自动验证</x:v>
      </x:c>
      <x:c r="C796" t="str">
        <x:v>600572</x:v>
      </x:c>
      <x:c r="D796" t="str">
        <x:v>康恩贝</x:v>
      </x:c>
      <x:c r="E796" t="str">
        <x:v>主板</x:v>
      </x:c>
      <x:c r="F796" t="str">
        <x:v>待行业映射</x:v>
      </x:c>
      <x:c r="G796" t="str">
        <x:v>当前全市场行情快照缺少 PB；只能作为待补全研究队列，不得按完整估值条件生成交易建议。</x:v>
      </x:c>
      <x:c r="H796" t="n">
        <x:v>4.39</x:v>
      </x:c>
      <x:c r="I796" t="n">
        <x:v>22.35</x:v>
      </x:c>
      <x:c r="J796"/>
      <x:c r="K796" t="str">
        <x:v>待归档官方财报</x:v>
      </x:c>
      <x:c r="L796" t="str">
        <x:v>AkShare / Tencent all-A market snapshot</x:v>
      </x:c>
      <x:c r="M796" t="str">
        <x:v>ProxyError: primary market source unavailable; see source_id for full audit.</x:v>
      </x:c>
      <x:c r="N796" t="str">
        <x:v>0</x:v>
      </x:c>
      <x:c r="O796" t="str">
        <x:v>0fd6ad2d-3389-4e70-8974-eb85ee223eeb</x:v>
      </x:c>
      <x:c r="P796" t="str">
        <x:v>2026-09-04</x:v>
      </x:c>
    </x:row>
    <x:row r="797">
      <x:c r="A797" t="str">
        <x:v>重点观察</x:v>
      </x:c>
      <x:c r="B797" t="str">
        <x:v>补全 PB、财报，等待Agent自动验证</x:v>
      </x:c>
      <x:c r="C797" t="str">
        <x:v>603166</x:v>
      </x:c>
      <x:c r="D797" t="str">
        <x:v>福达股份</x:v>
      </x:c>
      <x:c r="E797" t="str">
        <x:v>主板</x:v>
      </x:c>
      <x:c r="F797" t="str">
        <x:v>待行业映射</x:v>
      </x:c>
      <x:c r="G797" t="str">
        <x:v>当前全市场行情快照缺少 PB；只能作为待补全研究队列，不得按完整估值条件生成交易建议。</x:v>
      </x:c>
      <x:c r="H797" t="n">
        <x:v>11.06</x:v>
      </x:c>
      <x:c r="I797" t="n">
        <x:v>21.81</x:v>
      </x:c>
      <x:c r="J797"/>
      <x:c r="K797" t="str">
        <x:v>待归档官方财报</x:v>
      </x:c>
      <x:c r="L797" t="str">
        <x:v>AkShare / Tencent all-A market snapshot</x:v>
      </x:c>
      <x:c r="M797" t="str">
        <x:v>ProxyError: primary market source unavailable; see source_id for full audit.</x:v>
      </x:c>
      <x:c r="N797" t="str">
        <x:v>0</x:v>
      </x:c>
      <x:c r="O797" t="str">
        <x:v>0fd6ad2d-3389-4e70-8974-eb85ee223eeb</x:v>
      </x:c>
      <x:c r="P797" t="str">
        <x:v>2026-09-04</x:v>
      </x:c>
    </x:row>
    <x:row r="798">
      <x:c r="A798" t="str">
        <x:v>重点观察</x:v>
      </x:c>
      <x:c r="B798" t="str">
        <x:v>补全 PB、财报，等待Agent自动验证</x:v>
      </x:c>
      <x:c r="C798" t="str">
        <x:v>300975</x:v>
      </x:c>
      <x:c r="D798" t="str">
        <x:v>商络电子</x:v>
      </x:c>
      <x:c r="E798" t="str">
        <x:v>创业板</x:v>
      </x:c>
      <x:c r="F798" t="str">
        <x:v>待行业映射</x:v>
      </x:c>
      <x:c r="G798" t="str">
        <x:v>当前全市场行情快照缺少 PB；只能作为待补全研究队列，不得按完整估值条件生成交易建议。</x:v>
      </x:c>
      <x:c r="H798" t="n">
        <x:v>24.28</x:v>
      </x:c>
      <x:c r="I798" t="n">
        <x:v>23.13</x:v>
      </x:c>
      <x:c r="J798"/>
      <x:c r="K798" t="str">
        <x:v>待归档官方财报</x:v>
      </x:c>
      <x:c r="L798" t="str">
        <x:v>AkShare / Tencent all-A market snapshot</x:v>
      </x:c>
      <x:c r="M798" t="str">
        <x:v>ProxyError: primary market source unavailable; see source_id for full audit.</x:v>
      </x:c>
      <x:c r="N798" t="str">
        <x:v>0</x:v>
      </x:c>
      <x:c r="O798" t="str">
        <x:v>0fd6ad2d-3389-4e70-8974-eb85ee223eeb</x:v>
      </x:c>
      <x:c r="P798" t="str">
        <x:v>2026-09-04</x:v>
      </x:c>
    </x:row>
    <x:row r="799">
      <x:c r="A799" t="str">
        <x:v>重点观察</x:v>
      </x:c>
      <x:c r="B799" t="str">
        <x:v>补全 PB、财报，等待Agent自动验证</x:v>
      </x:c>
      <x:c r="C799" t="str">
        <x:v>301028</x:v>
      </x:c>
      <x:c r="D799" t="str">
        <x:v>鼎熔岩</x:v>
      </x:c>
      <x:c r="E799" t="str">
        <x:v>创业板</x:v>
      </x:c>
      <x:c r="F799" t="str">
        <x:v>待行业映射</x:v>
      </x:c>
      <x:c r="G799" t="str">
        <x:v>当前全市场行情快照缺少 PB；只能作为待补全研究队列，不得按完整估值条件生成交易建议。</x:v>
      </x:c>
      <x:c r="H799" t="n">
        <x:v>13.46</x:v>
      </x:c>
      <x:c r="I799" t="n">
        <x:v>21.62</x:v>
      </x:c>
      <x:c r="J799"/>
      <x:c r="K799" t="str">
        <x:v>待归档官方财报</x:v>
      </x:c>
      <x:c r="L799" t="str">
        <x:v>AkShare / Tencent all-A market snapshot</x:v>
      </x:c>
      <x:c r="M799" t="str">
        <x:v>ProxyError: primary market source unavailable; see source_id for full audit.</x:v>
      </x:c>
      <x:c r="N799" t="str">
        <x:v>0</x:v>
      </x:c>
      <x:c r="O799" t="str">
        <x:v>0fd6ad2d-3389-4e70-8974-eb85ee223eeb</x:v>
      </x:c>
      <x:c r="P799" t="str">
        <x:v>2026-09-04</x:v>
      </x:c>
    </x:row>
    <x:row r="800">
      <x:c r="A800" t="str">
        <x:v>重点观察</x:v>
      </x:c>
      <x:c r="B800" t="str">
        <x:v>补全 PB、财报，等待Agent自动验证</x:v>
      </x:c>
      <x:c r="C800" t="str">
        <x:v>688100</x:v>
      </x:c>
      <x:c r="D800" t="str">
        <x:v>威胜信息</x:v>
      </x:c>
      <x:c r="E800" t="str">
        <x:v>科创板</x:v>
      </x:c>
      <x:c r="F800" t="str">
        <x:v>待行业映射</x:v>
      </x:c>
      <x:c r="G800" t="str">
        <x:v>当前全市场行情快照缺少 PB；只能作为待补全研究队列，不得按完整估值条件生成交易建议。</x:v>
      </x:c>
      <x:c r="H800" t="n">
        <x:v>25.97</x:v>
      </x:c>
      <x:c r="I800" t="n">
        <x:v>22.66</x:v>
      </x:c>
      <x:c r="J800"/>
      <x:c r="K800" t="str">
        <x:v>待归档官方财报</x:v>
      </x:c>
      <x:c r="L800" t="str">
        <x:v>AkShare / Tencent all-A market snapshot</x:v>
      </x:c>
      <x:c r="M800" t="str">
        <x:v>ProxyError: primary market source unavailable; see source_id for full audit.</x:v>
      </x:c>
      <x:c r="N800" t="str">
        <x:v>0</x:v>
      </x:c>
      <x:c r="O800" t="str">
        <x:v>0fd6ad2d-3389-4e70-8974-eb85ee223eeb</x:v>
      </x:c>
      <x:c r="P800" t="str">
        <x:v>2026-09-04</x:v>
      </x:c>
    </x:row>
    <x:row r="801">
      <x:c r="A801" t="str">
        <x:v>重点观察</x:v>
      </x:c>
      <x:c r="B801" t="str">
        <x:v>补全 PB、财报，等待Agent自动验证</x:v>
      </x:c>
      <x:c r="C801" t="str">
        <x:v>300039</x:v>
      </x:c>
      <x:c r="D801" t="str">
        <x:v>上海凯宝</x:v>
      </x:c>
      <x:c r="E801" t="str">
        <x:v>创业板</x:v>
      </x:c>
      <x:c r="F801" t="str">
        <x:v>待行业映射</x:v>
      </x:c>
      <x:c r="G801" t="str">
        <x:v>当前全市场行情快照缺少 PB；只能作为待补全研究队列，不得按完整估值条件生成交易建议。</x:v>
      </x:c>
      <x:c r="H801" t="n">
        <x:v>5.37</x:v>
      </x:c>
      <x:c r="I801" t="n">
        <x:v>21.72</x:v>
      </x:c>
      <x:c r="J801"/>
      <x:c r="K801" t="str">
        <x:v>待归档官方财报</x:v>
      </x:c>
      <x:c r="L801" t="str">
        <x:v>AkShare / Tencent all-A market snapshot</x:v>
      </x:c>
      <x:c r="M801" t="str">
        <x:v>ProxyError: primary market source unavailable; see source_id for full audit.</x:v>
      </x:c>
      <x:c r="N801" t="str">
        <x:v>0</x:v>
      </x:c>
      <x:c r="O801" t="str">
        <x:v>0fd6ad2d-3389-4e70-8974-eb85ee223eeb</x:v>
      </x:c>
      <x:c r="P801" t="str">
        <x:v>2026-09-04</x:v>
      </x:c>
    </x:row>
    <x:row r="802">
      <x:c r="A802" t="str">
        <x:v>重点观察</x:v>
      </x:c>
      <x:c r="B802" t="str">
        <x:v>补全 PB、财报，等待Agent自动验证</x:v>
      </x:c>
      <x:c r="C802" t="str">
        <x:v>002683</x:v>
      </x:c>
      <x:c r="D802" t="str">
        <x:v>广东宏大</x:v>
      </x:c>
      <x:c r="E802" t="str">
        <x:v>主板</x:v>
      </x:c>
      <x:c r="F802" t="str">
        <x:v>待行业映射</x:v>
      </x:c>
      <x:c r="G802" t="str">
        <x:v>当前全市场行情快照缺少 PB；只能作为待补全研究队列，不得按完整估值条件生成交易建议。</x:v>
      </x:c>
      <x:c r="H802" t="n">
        <x:v>30.94</x:v>
      </x:c>
      <x:c r="I802" t="n">
        <x:v>24.15</x:v>
      </x:c>
      <x:c r="J802"/>
      <x:c r="K802" t="str">
        <x:v>待归档官方财报</x:v>
      </x:c>
      <x:c r="L802" t="str">
        <x:v>AkShare / Tencent all-A market snapshot</x:v>
      </x:c>
      <x:c r="M802" t="str">
        <x:v>ProxyError: primary market source unavailable; see source_id for full audit.</x:v>
      </x:c>
      <x:c r="N802" t="str">
        <x:v>0</x:v>
      </x:c>
      <x:c r="O802" t="str">
        <x:v>0fd6ad2d-3389-4e70-8974-eb85ee223eeb</x:v>
      </x:c>
      <x:c r="P802" t="str">
        <x:v>2026-09-04</x:v>
      </x:c>
    </x:row>
    <x:row r="803">
      <x:c r="A803" t="str">
        <x:v>重点观察</x:v>
      </x:c>
      <x:c r="B803" t="str">
        <x:v>补全 PB、财报，等待Agent自动验证</x:v>
      </x:c>
      <x:c r="C803" t="str">
        <x:v>000049</x:v>
      </x:c>
      <x:c r="D803" t="str">
        <x:v>德赛电池</x:v>
      </x:c>
      <x:c r="E803" t="str">
        <x:v>主板</x:v>
      </x:c>
      <x:c r="F803" t="str">
        <x:v>待行业映射</x:v>
      </x:c>
      <x:c r="G803" t="str">
        <x:v>当前全市场行情快照缺少 PB；只能作为待补全研究队列，不得按完整估值条件生成交易建议。</x:v>
      </x:c>
      <x:c r="H803" t="n">
        <x:v>23.13</x:v>
      </x:c>
      <x:c r="I803" t="n">
        <x:v>22.24</x:v>
      </x:c>
      <x:c r="J803"/>
      <x:c r="K803" t="str">
        <x:v>待归档官方财报</x:v>
      </x:c>
      <x:c r="L803" t="str">
        <x:v>AkShare / Tencent all-A market snapshot</x:v>
      </x:c>
      <x:c r="M803" t="str">
        <x:v>ProxyError: primary market source unavailable; see source_id for full audit.</x:v>
      </x:c>
      <x:c r="N803" t="str">
        <x:v>0</x:v>
      </x:c>
      <x:c r="O803" t="str">
        <x:v>0fd6ad2d-3389-4e70-8974-eb85ee223eeb</x:v>
      </x:c>
      <x:c r="P803" t="str">
        <x:v>2026-09-04</x:v>
      </x:c>
    </x:row>
    <x:row r="804">
      <x:c r="A804" t="str">
        <x:v>重点观察</x:v>
      </x:c>
      <x:c r="B804" t="str">
        <x:v>补全 PB、财报，等待Agent自动验证</x:v>
      </x:c>
      <x:c r="C804" t="str">
        <x:v>603277</x:v>
      </x:c>
      <x:c r="D804" t="str">
        <x:v>银都股份</x:v>
      </x:c>
      <x:c r="E804" t="str">
        <x:v>主板</x:v>
      </x:c>
      <x:c r="F804" t="str">
        <x:v>待行业映射</x:v>
      </x:c>
      <x:c r="G804" t="str">
        <x:v>当前全市场行情快照缺少 PB；只能作为待补全研究队列，不得按完整估值条件生成交易建议。</x:v>
      </x:c>
      <x:c r="H804" t="n">
        <x:v>11.35</x:v>
      </x:c>
      <x:c r="I804" t="n">
        <x:v>21.99</x:v>
      </x:c>
      <x:c r="J804"/>
      <x:c r="K804" t="str">
        <x:v>待归档官方财报</x:v>
      </x:c>
      <x:c r="L804" t="str">
        <x:v>AkShare / Tencent all-A market snapshot</x:v>
      </x:c>
      <x:c r="M804" t="str">
        <x:v>ProxyError: primary market source unavailable; see source_id for full audit.</x:v>
      </x:c>
      <x:c r="N804" t="str">
        <x:v>0</x:v>
      </x:c>
      <x:c r="O804" t="str">
        <x:v>0fd6ad2d-3389-4e70-8974-eb85ee223eeb</x:v>
      </x:c>
      <x:c r="P804" t="str">
        <x:v>2026-09-04</x:v>
      </x:c>
    </x:row>
    <x:row r="805">
      <x:c r="A805" t="str">
        <x:v>重点观察</x:v>
      </x:c>
      <x:c r="B805" t="str">
        <x:v>补全 PB、财报，等待Agent自动验证</x:v>
      </x:c>
      <x:c r="C805" t="str">
        <x:v>603507</x:v>
      </x:c>
      <x:c r="D805" t="str">
        <x:v>振江股份</x:v>
      </x:c>
      <x:c r="E805" t="str">
        <x:v>主板</x:v>
      </x:c>
      <x:c r="F805" t="str">
        <x:v>待行业映射</x:v>
      </x:c>
      <x:c r="G805" t="str">
        <x:v>当前全市场行情快照缺少 PB；只能作为待补全研究队列，不得按完整估值条件生成交易建议。</x:v>
      </x:c>
      <x:c r="H805" t="n">
        <x:v>22.41</x:v>
      </x:c>
      <x:c r="I805" t="n">
        <x:v>21.81</x:v>
      </x:c>
      <x:c r="J805"/>
      <x:c r="K805" t="str">
        <x:v>待归档官方财报</x:v>
      </x:c>
      <x:c r="L805" t="str">
        <x:v>AkShare / Tencent all-A market snapshot</x:v>
      </x:c>
      <x:c r="M805" t="str">
        <x:v>ProxyError: primary market source unavailable; see source_id for full audit.</x:v>
      </x:c>
      <x:c r="N805" t="str">
        <x:v>0</x:v>
      </x:c>
      <x:c r="O805" t="str">
        <x:v>0fd6ad2d-3389-4e70-8974-eb85ee223eeb</x:v>
      </x:c>
      <x:c r="P805" t="str">
        <x:v>2026-09-04</x:v>
      </x:c>
    </x:row>
    <x:row r="806">
      <x:c r="A806" t="str">
        <x:v>重点观察</x:v>
      </x:c>
      <x:c r="B806" t="str">
        <x:v>补全 PB、财报，等待Agent自动验证</x:v>
      </x:c>
      <x:c r="C806" t="str">
        <x:v>002332</x:v>
      </x:c>
      <x:c r="D806" t="str">
        <x:v>仙琚制药</x:v>
      </x:c>
      <x:c r="E806" t="str">
        <x:v>主板</x:v>
      </x:c>
      <x:c r="F806" t="str">
        <x:v>待行业映射</x:v>
      </x:c>
      <x:c r="G806" t="str">
        <x:v>当前全市场行情快照缺少 PB；只能作为待补全研究队列，不得按完整估值条件生成交易建议。</x:v>
      </x:c>
      <x:c r="H806" t="n">
        <x:v>8.68</x:v>
      </x:c>
      <x:c r="I806" t="n">
        <x:v>22.25</x:v>
      </x:c>
      <x:c r="J806"/>
      <x:c r="K806" t="str">
        <x:v>待归档官方财报</x:v>
      </x:c>
      <x:c r="L806" t="str">
        <x:v>AkShare / Tencent all-A market snapshot</x:v>
      </x:c>
      <x:c r="M806" t="str">
        <x:v>ProxyError: primary market source unavailable; see source_id for full audit.</x:v>
      </x:c>
      <x:c r="N806" t="str">
        <x:v>0</x:v>
      </x:c>
      <x:c r="O806" t="str">
        <x:v>0fd6ad2d-3389-4e70-8974-eb85ee223eeb</x:v>
      </x:c>
      <x:c r="P806" t="str">
        <x:v>2026-09-04</x:v>
      </x:c>
    </x:row>
    <x:row r="807">
      <x:c r="A807" t="str">
        <x:v>重点观察</x:v>
      </x:c>
      <x:c r="B807" t="str">
        <x:v>补全 PB、财报，等待Agent自动验证</x:v>
      </x:c>
      <x:c r="C807" t="str">
        <x:v>300438</x:v>
      </x:c>
      <x:c r="D807" t="str">
        <x:v>鹏辉能源</x:v>
      </x:c>
      <x:c r="E807" t="str">
        <x:v>创业板</x:v>
      </x:c>
      <x:c r="F807" t="str">
        <x:v>待行业映射</x:v>
      </x:c>
      <x:c r="G807" t="str">
        <x:v>当前全市场行情快照缺少 PB；只能作为待补全研究队列，不得按完整估值条件生成交易建议。</x:v>
      </x:c>
      <x:c r="H807" t="n">
        <x:v>54.82</x:v>
      </x:c>
      <x:c r="I807" t="n">
        <x:v>24.84</x:v>
      </x:c>
      <x:c r="J807"/>
      <x:c r="K807" t="str">
        <x:v>待归档官方财报</x:v>
      </x:c>
      <x:c r="L807" t="str">
        <x:v>AkShare / Tencent all-A market snapshot</x:v>
      </x:c>
      <x:c r="M807" t="str">
        <x:v>ProxyError: primary market source unavailable; see source_id for full audit.</x:v>
      </x:c>
      <x:c r="N807" t="str">
        <x:v>0</x:v>
      </x:c>
      <x:c r="O807" t="str">
        <x:v>0fd6ad2d-3389-4e70-8974-eb85ee223eeb</x:v>
      </x:c>
      <x:c r="P807" t="str">
        <x:v>2026-09-04</x:v>
      </x:c>
    </x:row>
    <x:row r="808">
      <x:c r="A808" t="str">
        <x:v>重点观察</x:v>
      </x:c>
      <x:c r="B808" t="str">
        <x:v>补全 PB、财报，等待Agent自动验证</x:v>
      </x:c>
      <x:c r="C808" t="str">
        <x:v>002270</x:v>
      </x:c>
      <x:c r="D808" t="str">
        <x:v>华明装备</x:v>
      </x:c>
      <x:c r="E808" t="str">
        <x:v>主板</x:v>
      </x:c>
      <x:c r="F808" t="str">
        <x:v>待行业映射</x:v>
      </x:c>
      <x:c r="G808" t="str">
        <x:v>当前全市场行情快照缺少 PB；只能作为待补全研究队列，不得按完整估值条件生成交易建议。</x:v>
      </x:c>
      <x:c r="H808" t="n">
        <x:v>19.12</x:v>
      </x:c>
      <x:c r="I808" t="n">
        <x:v>23.44</x:v>
      </x:c>
      <x:c r="J808"/>
      <x:c r="K808" t="str">
        <x:v>待归档官方财报</x:v>
      </x:c>
      <x:c r="L808" t="str">
        <x:v>AkShare / Tencent all-A market snapshot</x:v>
      </x:c>
      <x:c r="M808" t="str">
        <x:v>ProxyError: primary market source unavailable; see source_id for full audit.</x:v>
      </x:c>
      <x:c r="N808" t="str">
        <x:v>0</x:v>
      </x:c>
      <x:c r="O808" t="str">
        <x:v>0fd6ad2d-3389-4e70-8974-eb85ee223eeb</x:v>
      </x:c>
      <x:c r="P808" t="str">
        <x:v>2026-09-04</x:v>
      </x:c>
    </x:row>
    <x:row r="809">
      <x:c r="A809" t="str">
        <x:v>重点观察</x:v>
      </x:c>
      <x:c r="B809" t="str">
        <x:v>补全 PB、财报，等待Agent自动验证</x:v>
      </x:c>
      <x:c r="C809" t="str">
        <x:v>601158</x:v>
      </x:c>
      <x:c r="D809" t="str">
        <x:v>重庆水务</x:v>
      </x:c>
      <x:c r="E809" t="str">
        <x:v>主板</x:v>
      </x:c>
      <x:c r="F809" t="str">
        <x:v>待行业映射</x:v>
      </x:c>
      <x:c r="G809" t="str">
        <x:v>当前全市场行情快照缺少 PB；只能作为待补全研究队列，不得按完整估值条件生成交易建议。</x:v>
      </x:c>
      <x:c r="H809" t="n">
        <x:v>4.12</x:v>
      </x:c>
      <x:c r="I809" t="n">
        <x:v>23.81</x:v>
      </x:c>
      <x:c r="J809"/>
      <x:c r="K809" t="str">
        <x:v>待归档官方财报</x:v>
      </x:c>
      <x:c r="L809" t="str">
        <x:v>AkShare / Tencent all-A market snapshot</x:v>
      </x:c>
      <x:c r="M809" t="str">
        <x:v>ProxyError: primary market source unavailable; see source_id for full audit.</x:v>
      </x:c>
      <x:c r="N809" t="str">
        <x:v>0</x:v>
      </x:c>
      <x:c r="O809" t="str">
        <x:v>0fd6ad2d-3389-4e70-8974-eb85ee223eeb</x:v>
      </x:c>
      <x:c r="P809" t="str">
        <x:v>2026-09-04</x:v>
      </x:c>
    </x:row>
    <x:row r="810">
      <x:c r="A810" t="str">
        <x:v>重点观察</x:v>
      </x:c>
      <x:c r="B810" t="str">
        <x:v>补全 PB、财报，等待Agent自动验证</x:v>
      </x:c>
      <x:c r="C810" t="str">
        <x:v>301345</x:v>
      </x:c>
      <x:c r="D810" t="str">
        <x:v>涛涛车业</x:v>
      </x:c>
      <x:c r="E810" t="str">
        <x:v>创业板</x:v>
      </x:c>
      <x:c r="F810" t="str">
        <x:v>待行业映射</x:v>
      </x:c>
      <x:c r="G810" t="str">
        <x:v>当前全市场行情快照缺少 PB；只能作为待补全研究队列，不得按完整估值条件生成交易建议。</x:v>
      </x:c>
      <x:c r="H810" t="n">
        <x:v>229.01</x:v>
      </x:c>
      <x:c r="I810" t="n">
        <x:v>24.61</x:v>
      </x:c>
      <x:c r="J810"/>
      <x:c r="K810" t="str">
        <x:v>待归档官方财报</x:v>
      </x:c>
      <x:c r="L810" t="str">
        <x:v>AkShare / Tencent all-A market snapshot</x:v>
      </x:c>
      <x:c r="M810" t="str">
        <x:v>ProxyError: primary market source unavailable; see source_id for full audit.</x:v>
      </x:c>
      <x:c r="N810" t="str">
        <x:v>0</x:v>
      </x:c>
      <x:c r="O810" t="str">
        <x:v>0fd6ad2d-3389-4e70-8974-eb85ee223eeb</x:v>
      </x:c>
      <x:c r="P810" t="str">
        <x:v>2026-09-04</x:v>
      </x:c>
    </x:row>
    <x:row r="811">
      <x:c r="A811" t="str">
        <x:v>重点观察</x:v>
      </x:c>
      <x:c r="B811" t="str">
        <x:v>补全 PB、财报，等待Agent自动验证</x:v>
      </x:c>
      <x:c r="C811" t="str">
        <x:v>002956</x:v>
      </x:c>
      <x:c r="D811" t="str">
        <x:v>西麦食品</x:v>
      </x:c>
      <x:c r="E811" t="str">
        <x:v>主板</x:v>
      </x:c>
      <x:c r="F811" t="str">
        <x:v>待行业映射</x:v>
      </x:c>
      <x:c r="G811" t="str">
        <x:v>当前全市场行情快照缺少 PB；只能作为待补全研究队列，不得按完整估值条件生成交易建议。</x:v>
      </x:c>
      <x:c r="H811" t="n">
        <x:v>16.77</x:v>
      </x:c>
      <x:c r="I811" t="n">
        <x:v>21.98</x:v>
      </x:c>
      <x:c r="J811"/>
      <x:c r="K811" t="str">
        <x:v>待归档官方财报</x:v>
      </x:c>
      <x:c r="L811" t="str">
        <x:v>AkShare / Tencent all-A market snapshot</x:v>
      </x:c>
      <x:c r="M811" t="str">
        <x:v>ProxyError: primary market source unavailable; see source_id for full audit.</x:v>
      </x:c>
      <x:c r="N811" t="str">
        <x:v>0</x:v>
      </x:c>
      <x:c r="O811" t="str">
        <x:v>0fd6ad2d-3389-4e70-8974-eb85ee223eeb</x:v>
      </x:c>
      <x:c r="P811" t="str">
        <x:v>2026-09-04</x:v>
      </x:c>
    </x:row>
    <x:row r="812">
      <x:c r="A812" t="str">
        <x:v>重点观察</x:v>
      </x:c>
      <x:c r="B812" t="str">
        <x:v>补全 PB、财报，等待Agent自动验证</x:v>
      </x:c>
      <x:c r="C812" t="str">
        <x:v>300693</x:v>
      </x:c>
      <x:c r="D812" t="str">
        <x:v>盛弘股份</x:v>
      </x:c>
      <x:c r="E812" t="str">
        <x:v>创业板</x:v>
      </x:c>
      <x:c r="F812" t="str">
        <x:v>待行业映射</x:v>
      </x:c>
      <x:c r="G812" t="str">
        <x:v>当前全市场行情快照缺少 PB；只能作为待补全研究队列，不得按完整估值条件生成交易建议。</x:v>
      </x:c>
      <x:c r="H812" t="n">
        <x:v>40.13</x:v>
      </x:c>
      <x:c r="I812" t="n">
        <x:v>23</x:v>
      </x:c>
      <x:c r="J812"/>
      <x:c r="K812" t="str">
        <x:v>待归档官方财报</x:v>
      </x:c>
      <x:c r="L812" t="str">
        <x:v>AkShare / Tencent all-A market snapshot</x:v>
      </x:c>
      <x:c r="M812" t="str">
        <x:v>ProxyError: primary market source unavailable; see source_id for full audit.</x:v>
      </x:c>
      <x:c r="N812" t="str">
        <x:v>0</x:v>
      </x:c>
      <x:c r="O812" t="str">
        <x:v>0fd6ad2d-3389-4e70-8974-eb85ee223eeb</x:v>
      </x:c>
      <x:c r="P812" t="str">
        <x:v>2026-09-04</x:v>
      </x:c>
    </x:row>
    <x:row r="813">
      <x:c r="A813" t="str">
        <x:v>重点观察</x:v>
      </x:c>
      <x:c r="B813" t="str">
        <x:v>补全 PB、财报，等待Agent自动验证</x:v>
      </x:c>
      <x:c r="C813" t="str">
        <x:v>300443</x:v>
      </x:c>
      <x:c r="D813" t="str">
        <x:v>金雷股份</x:v>
      </x:c>
      <x:c r="E813" t="str">
        <x:v>创业板</x:v>
      </x:c>
      <x:c r="F813" t="str">
        <x:v>待行业映射</x:v>
      </x:c>
      <x:c r="G813" t="str">
        <x:v>当前全市场行情快照缺少 PB；只能作为待补全研究队列，不得按完整估值条件生成交易建议。</x:v>
      </x:c>
      <x:c r="H813" t="n">
        <x:v>18.62</x:v>
      </x:c>
      <x:c r="I813" t="n">
        <x:v>22.12</x:v>
      </x:c>
      <x:c r="J813"/>
      <x:c r="K813" t="str">
        <x:v>待归档官方财报</x:v>
      </x:c>
      <x:c r="L813" t="str">
        <x:v>AkShare / Tencent all-A market snapshot</x:v>
      </x:c>
      <x:c r="M813" t="str">
        <x:v>ProxyError: primary market source unavailable; see source_id for full audit.</x:v>
      </x:c>
      <x:c r="N813" t="str">
        <x:v>0</x:v>
      </x:c>
      <x:c r="O813" t="str">
        <x:v>0fd6ad2d-3389-4e70-8974-eb85ee223eeb</x:v>
      </x:c>
      <x:c r="P813" t="str">
        <x:v>2026-09-04</x:v>
      </x:c>
    </x:row>
    <x:row r="814">
      <x:c r="A814" t="str">
        <x:v>重点观察</x:v>
      </x:c>
      <x:c r="B814" t="str">
        <x:v>补全 PB、财报，等待Agent自动验证</x:v>
      </x:c>
      <x:c r="C814" t="str">
        <x:v>600320</x:v>
      </x:c>
      <x:c r="D814" t="str">
        <x:v>振华重工</x:v>
      </x:c>
      <x:c r="E814" t="str">
        <x:v>主板</x:v>
      </x:c>
      <x:c r="F814" t="str">
        <x:v>待行业映射</x:v>
      </x:c>
      <x:c r="G814" t="str">
        <x:v>当前全市场行情快照缺少 PB；只能作为待补全研究队列，不得按完整估值条件生成交易建议。</x:v>
      </x:c>
      <x:c r="H814" t="n">
        <x:v>4.13</x:v>
      </x:c>
      <x:c r="I814" t="n">
        <x:v>24.39</x:v>
      </x:c>
      <x:c r="J814"/>
      <x:c r="K814" t="str">
        <x:v>待归档官方财报</x:v>
      </x:c>
      <x:c r="L814" t="str">
        <x:v>AkShare / Tencent all-A market snapshot</x:v>
      </x:c>
      <x:c r="M814" t="str">
        <x:v>ProxyError: primary market source unavailable; see source_id for full audit.</x:v>
      </x:c>
      <x:c r="N814" t="str">
        <x:v>0</x:v>
      </x:c>
      <x:c r="O814" t="str">
        <x:v>0fd6ad2d-3389-4e70-8974-eb85ee223eeb</x:v>
      </x:c>
      <x:c r="P814" t="str">
        <x:v>2026-09-04</x:v>
      </x:c>
    </x:row>
    <x:row r="815">
      <x:c r="A815" t="str">
        <x:v>重点观察</x:v>
      </x:c>
      <x:c r="B815" t="str">
        <x:v>补全 PB、财报，等待Agent自动验证</x:v>
      </x:c>
      <x:c r="C815" t="str">
        <x:v>002085</x:v>
      </x:c>
      <x:c r="D815" t="str">
        <x:v>万丰奥威</x:v>
      </x:c>
      <x:c r="E815" t="str">
        <x:v>主板</x:v>
      </x:c>
      <x:c r="F815" t="str">
        <x:v>待行业映射</x:v>
      </x:c>
      <x:c r="G815" t="str">
        <x:v>当前全市场行情快照缺少 PB；只能作为待补全研究队列，不得按完整估值条件生成交易建议。</x:v>
      </x:c>
      <x:c r="H815" t="n">
        <x:v>10.45</x:v>
      </x:c>
      <x:c r="I815" t="n">
        <x:v>24.52</x:v>
      </x:c>
      <x:c r="J815"/>
      <x:c r="K815" t="str">
        <x:v>待归档官方财报</x:v>
      </x:c>
      <x:c r="L815" t="str">
        <x:v>AkShare / Tencent all-A market snapshot</x:v>
      </x:c>
      <x:c r="M815" t="str">
        <x:v>ProxyError: primary market source unavailable; see source_id for full audit.</x:v>
      </x:c>
      <x:c r="N815" t="str">
        <x:v>0</x:v>
      </x:c>
      <x:c r="O815" t="str">
        <x:v>0fd6ad2d-3389-4e70-8974-eb85ee223eeb</x:v>
      </x:c>
      <x:c r="P815" t="str">
        <x:v>2026-09-04</x:v>
      </x:c>
    </x:row>
    <x:row r="816">
      <x:c r="A816" t="str">
        <x:v>重点观察</x:v>
      </x:c>
      <x:c r="B816" t="str">
        <x:v>补全 PB、财报，等待Agent自动验证</x:v>
      </x:c>
      <x:c r="C816" t="str">
        <x:v>605016</x:v>
      </x:c>
      <x:c r="D816" t="str">
        <x:v>百龙创园</x:v>
      </x:c>
      <x:c r="E816" t="str">
        <x:v>主板</x:v>
      </x:c>
      <x:c r="F816" t="str">
        <x:v>待行业映射</x:v>
      </x:c>
      <x:c r="G816" t="str">
        <x:v>当前全市场行情快照缺少 PB；只能作为待补全研究队列，不得按完整估值条件生成交易建议。</x:v>
      </x:c>
      <x:c r="H816" t="n">
        <x:v>22.25</x:v>
      </x:c>
      <x:c r="I816" t="n">
        <x:v>22.83</x:v>
      </x:c>
      <x:c r="J816"/>
      <x:c r="K816" t="str">
        <x:v>待归档官方财报</x:v>
      </x:c>
      <x:c r="L816" t="str">
        <x:v>AkShare / Tencent all-A market snapshot</x:v>
      </x:c>
      <x:c r="M816" t="str">
        <x:v>ProxyError: primary market source unavailable; see source_id for full audit.</x:v>
      </x:c>
      <x:c r="N816" t="str">
        <x:v>0</x:v>
      </x:c>
      <x:c r="O816" t="str">
        <x:v>0fd6ad2d-3389-4e70-8974-eb85ee223eeb</x:v>
      </x:c>
      <x:c r="P816" t="str">
        <x:v>2026-09-04</x:v>
      </x:c>
    </x:row>
    <x:row r="817">
      <x:c r="A817" t="str">
        <x:v>重点观察</x:v>
      </x:c>
      <x:c r="B817" t="str">
        <x:v>补全 PB、财报，等待Agent自动验证</x:v>
      </x:c>
      <x:c r="C817" t="str">
        <x:v>688779</x:v>
      </x:c>
      <x:c r="D817" t="str">
        <x:v>五矿新能</x:v>
      </x:c>
      <x:c r="E817" t="str">
        <x:v>科创板</x:v>
      </x:c>
      <x:c r="F817" t="str">
        <x:v>待行业映射</x:v>
      </x:c>
      <x:c r="G817" t="str">
        <x:v>当前全市场行情快照缺少 PB；只能作为待补全研究队列，不得按完整估值条件生成交易建议。</x:v>
      </x:c>
      <x:c r="H817" t="n">
        <x:v>7.74</x:v>
      </x:c>
      <x:c r="I817" t="n">
        <x:v>23.61</x:v>
      </x:c>
      <x:c r="J817"/>
      <x:c r="K817" t="str">
        <x:v>待归档官方财报</x:v>
      </x:c>
      <x:c r="L817" t="str">
        <x:v>AkShare / Tencent all-A market snapshot</x:v>
      </x:c>
      <x:c r="M817" t="str">
        <x:v>ProxyError: primary market source unavailable; see source_id for full audit.</x:v>
      </x:c>
      <x:c r="N817" t="str">
        <x:v>0</x:v>
      </x:c>
      <x:c r="O817" t="str">
        <x:v>0fd6ad2d-3389-4e70-8974-eb85ee223eeb</x:v>
      </x:c>
      <x:c r="P817" t="str">
        <x:v>2026-09-04</x:v>
      </x:c>
    </x:row>
    <x:row r="818">
      <x:c r="A818" t="str">
        <x:v>重点观察</x:v>
      </x:c>
      <x:c r="B818" t="str">
        <x:v>补全 PB、财报，等待Agent自动验证</x:v>
      </x:c>
      <x:c r="C818" t="str">
        <x:v>000155</x:v>
      </x:c>
      <x:c r="D818" t="str">
        <x:v>川能动力</x:v>
      </x:c>
      <x:c r="E818" t="str">
        <x:v>主板</x:v>
      </x:c>
      <x:c r="F818" t="str">
        <x:v>待行业映射</x:v>
      </x:c>
      <x:c r="G818" t="str">
        <x:v>当前全市场行情快照缺少 PB；只能作为待补全研究队列，不得按完整估值条件生成交易建议。</x:v>
      </x:c>
      <x:c r="H818" t="n">
        <x:v>12.02</x:v>
      </x:c>
      <x:c r="I818" t="n">
        <x:v>24.59</x:v>
      </x:c>
      <x:c r="J818"/>
      <x:c r="K818" t="str">
        <x:v>待归档官方财报</x:v>
      </x:c>
      <x:c r="L818" t="str">
        <x:v>AkShare / Tencent all-A market snapshot</x:v>
      </x:c>
      <x:c r="M818" t="str">
        <x:v>ProxyError: primary market source unavailable; see source_id for full audit.</x:v>
      </x:c>
      <x:c r="N818" t="str">
        <x:v>0</x:v>
      </x:c>
      <x:c r="O818" t="str">
        <x:v>0fd6ad2d-3389-4e70-8974-eb85ee223eeb</x:v>
      </x:c>
      <x:c r="P818" t="str">
        <x:v>2026-09-04</x:v>
      </x:c>
    </x:row>
    <x:row r="819">
      <x:c r="A819" t="str">
        <x:v>重点观察</x:v>
      </x:c>
      <x:c r="B819" t="str">
        <x:v>补全 PB、财报，等待Agent自动验证</x:v>
      </x:c>
      <x:c r="C819" t="str">
        <x:v>300861</x:v>
      </x:c>
      <x:c r="D819" t="str">
        <x:v>美畅股份</x:v>
      </x:c>
      <x:c r="E819" t="str">
        <x:v>创业板</x:v>
      </x:c>
      <x:c r="F819" t="str">
        <x:v>待行业映射</x:v>
      </x:c>
      <x:c r="G819" t="str">
        <x:v>当前全市场行情快照缺少 PB；只能作为待补全研究队列，不得按完整估值条件生成交易建议。</x:v>
      </x:c>
      <x:c r="H819" t="n">
        <x:v>16.17</x:v>
      </x:c>
      <x:c r="I819" t="n">
        <x:v>23.17</x:v>
      </x:c>
      <x:c r="J819"/>
      <x:c r="K819" t="str">
        <x:v>待归档官方财报</x:v>
      </x:c>
      <x:c r="L819" t="str">
        <x:v>AkShare / Tencent all-A market snapshot</x:v>
      </x:c>
      <x:c r="M819" t="str">
        <x:v>ProxyError: primary market source unavailable; see source_id for full audit.</x:v>
      </x:c>
      <x:c r="N819" t="str">
        <x:v>0</x:v>
      </x:c>
      <x:c r="O819" t="str">
        <x:v>0fd6ad2d-3389-4e70-8974-eb85ee223eeb</x:v>
      </x:c>
      <x:c r="P819" t="str">
        <x:v>2026-09-04</x:v>
      </x:c>
    </x:row>
    <x:row r="820">
      <x:c r="A820" t="str">
        <x:v>重点观察</x:v>
      </x:c>
      <x:c r="B820" t="str">
        <x:v>补全 PB、财报，等待Agent自动验证</x:v>
      </x:c>
      <x:c r="C820" t="str">
        <x:v>600927</x:v>
      </x:c>
      <x:c r="D820" t="str">
        <x:v>永安期货</x:v>
      </x:c>
      <x:c r="E820" t="str">
        <x:v>主板</x:v>
      </x:c>
      <x:c r="F820" t="str">
        <x:v>待行业映射</x:v>
      </x:c>
      <x:c r="G820" t="str">
        <x:v>当前全市场行情快照缺少 PB；只能作为待补全研究队列，不得按完整估值条件生成交易建议。</x:v>
      </x:c>
      <x:c r="H820" t="n">
        <x:v>12.88</x:v>
      </x:c>
      <x:c r="I820" t="n">
        <x:v>24.25</x:v>
      </x:c>
      <x:c r="J820"/>
      <x:c r="K820" t="str">
        <x:v>待归档官方财报</x:v>
      </x:c>
      <x:c r="L820" t="str">
        <x:v>AkShare / Tencent all-A market snapshot</x:v>
      </x:c>
      <x:c r="M820" t="str">
        <x:v>ProxyError: primary market source unavailable; see source_id for full audit.</x:v>
      </x:c>
      <x:c r="N820" t="str">
        <x:v>0</x:v>
      </x:c>
      <x:c r="O820" t="str">
        <x:v>0fd6ad2d-3389-4e70-8974-eb85ee223eeb</x:v>
      </x:c>
      <x:c r="P820" t="str">
        <x:v>2026-09-04</x:v>
      </x:c>
    </x:row>
    <x:row r="821">
      <x:c r="A821" t="str">
        <x:v>重点观察</x:v>
      </x:c>
      <x:c r="B821" t="str">
        <x:v>补全 PB、财报，等待Agent自动验证</x:v>
      </x:c>
      <x:c r="C821" t="str">
        <x:v>001323</x:v>
      </x:c>
      <x:c r="D821" t="str">
        <x:v>慕思股份</x:v>
      </x:c>
      <x:c r="E821" t="str">
        <x:v>主板</x:v>
      </x:c>
      <x:c r="F821" t="str">
        <x:v>待行业映射</x:v>
      </x:c>
      <x:c r="G821" t="str">
        <x:v>当前全市场行情快照缺少 PB；只能作为待补全研究队列，不得按完整估值条件生成交易建议。</x:v>
      </x:c>
      <x:c r="H821" t="n">
        <x:v>19.09</x:v>
      </x:c>
      <x:c r="I821" t="n">
        <x:v>22.86</x:v>
      </x:c>
      <x:c r="J821"/>
      <x:c r="K821" t="str">
        <x:v>待归档官方财报</x:v>
      </x:c>
      <x:c r="L821" t="str">
        <x:v>AkShare / Tencent all-A market snapshot</x:v>
      </x:c>
      <x:c r="M821" t="str">
        <x:v>ProxyError: primary market source unavailable; see source_id for full audit.</x:v>
      </x:c>
      <x:c r="N821" t="str">
        <x:v>0</x:v>
      </x:c>
      <x:c r="O821" t="str">
        <x:v>0fd6ad2d-3389-4e70-8974-eb85ee223eeb</x:v>
      </x:c>
      <x:c r="P821" t="str">
        <x:v>2026-09-04</x:v>
      </x:c>
    </x:row>
    <x:row r="822">
      <x:c r="A822" t="str">
        <x:v>重点观察</x:v>
      </x:c>
      <x:c r="B822" t="str">
        <x:v>补全 PB、财报，等待Agent自动验证</x:v>
      </x:c>
      <x:c r="C822" t="str">
        <x:v>002901</x:v>
      </x:c>
      <x:c r="D822" t="str">
        <x:v>大博医疗</x:v>
      </x:c>
      <x:c r="E822" t="str">
        <x:v>主板</x:v>
      </x:c>
      <x:c r="F822" t="str">
        <x:v>待行业映射</x:v>
      </x:c>
      <x:c r="G822" t="str">
        <x:v>当前全市场行情快照缺少 PB；只能作为待补全研究队列，不得按完整估值条件生成交易建议。</x:v>
      </x:c>
      <x:c r="H822" t="n">
        <x:v>41.22</x:v>
      </x:c>
      <x:c r="I822" t="n">
        <x:v>24.08</x:v>
      </x:c>
      <x:c r="J822"/>
      <x:c r="K822" t="str">
        <x:v>待归档官方财报</x:v>
      </x:c>
      <x:c r="L822" t="str">
        <x:v>AkShare / Tencent all-A market snapshot</x:v>
      </x:c>
      <x:c r="M822" t="str">
        <x:v>ProxyError: primary market source unavailable; see source_id for full audit.</x:v>
      </x:c>
      <x:c r="N822" t="str">
        <x:v>0</x:v>
      </x:c>
      <x:c r="O822" t="str">
        <x:v>0fd6ad2d-3389-4e70-8974-eb85ee223eeb</x:v>
      </x:c>
      <x:c r="P822" t="str">
        <x:v>2026-09-04</x:v>
      </x:c>
    </x:row>
    <x:row r="823">
      <x:c r="A823" t="str">
        <x:v>重点观察</x:v>
      </x:c>
      <x:c r="B823" t="str">
        <x:v>补全 PB、财报，等待Agent自动验证</x:v>
      </x:c>
      <x:c r="C823" t="str">
        <x:v>603300</x:v>
      </x:c>
      <x:c r="D823" t="str">
        <x:v>海南华铁</x:v>
      </x:c>
      <x:c r="E823" t="str">
        <x:v>主板</x:v>
      </x:c>
      <x:c r="F823" t="str">
        <x:v>待行业映射</x:v>
      </x:c>
      <x:c r="G823" t="str">
        <x:v>当前全市场行情快照缺少 PB；只能作为待补全研究队列，不得按完整估值条件生成交易建议。</x:v>
      </x:c>
      <x:c r="H823" t="n">
        <x:v>4.9</x:v>
      </x:c>
      <x:c r="I823" t="n">
        <x:v>23.11</x:v>
      </x:c>
      <x:c r="J823"/>
      <x:c r="K823" t="str">
        <x:v>待归档官方财报</x:v>
      </x:c>
      <x:c r="L823" t="str">
        <x:v>AkShare / Tencent all-A market snapshot</x:v>
      </x:c>
      <x:c r="M823" t="str">
        <x:v>ProxyError: primary market source unavailable; see source_id for full audit.</x:v>
      </x:c>
      <x:c r="N823" t="str">
        <x:v>0</x:v>
      </x:c>
      <x:c r="O823" t="str">
        <x:v>0fd6ad2d-3389-4e70-8974-eb85ee223eeb</x:v>
      </x:c>
      <x:c r="P823" t="str">
        <x:v>2026-09-04</x:v>
      </x:c>
    </x:row>
    <x:row r="824">
      <x:c r="A824" t="str">
        <x:v>重点观察</x:v>
      </x:c>
      <x:c r="B824" t="str">
        <x:v>补全 PB、财报，等待Agent自动验证</x:v>
      </x:c>
      <x:c r="C824" t="str">
        <x:v>002698</x:v>
      </x:c>
      <x:c r="D824" t="str">
        <x:v>博实股份</x:v>
      </x:c>
      <x:c r="E824" t="str">
        <x:v>主板</x:v>
      </x:c>
      <x:c r="F824" t="str">
        <x:v>待行业映射</x:v>
      </x:c>
      <x:c r="G824" t="str">
        <x:v>当前全市场行情快照缺少 PB；只能作为待补全研究队列，不得按完整估值条件生成交易建议。</x:v>
      </x:c>
      <x:c r="H824" t="n">
        <x:v>11.94</x:v>
      </x:c>
      <x:c r="I824" t="n">
        <x:v>23.44</x:v>
      </x:c>
      <x:c r="J824"/>
      <x:c r="K824" t="str">
        <x:v>待归档官方财报</x:v>
      </x:c>
      <x:c r="L824" t="str">
        <x:v>AkShare / Tencent all-A market snapshot</x:v>
      </x:c>
      <x:c r="M824" t="str">
        <x:v>ProxyError: primary market source unavailable; see source_id for full audit.</x:v>
      </x:c>
      <x:c r="N824" t="str">
        <x:v>0</x:v>
      </x:c>
      <x:c r="O824" t="str">
        <x:v>0fd6ad2d-3389-4e70-8974-eb85ee223eeb</x:v>
      </x:c>
      <x:c r="P824" t="str">
        <x:v>2026-09-04</x:v>
      </x:c>
    </x:row>
    <x:row r="825">
      <x:c r="A825" t="str">
        <x:v>重点观察</x:v>
      </x:c>
      <x:c r="B825" t="str">
        <x:v>补全 PB、财报，等待Agent自动验证</x:v>
      </x:c>
      <x:c r="C825" t="str">
        <x:v>002315</x:v>
      </x:c>
      <x:c r="D825" t="str">
        <x:v>焦点科技</x:v>
      </x:c>
      <x:c r="E825" t="str">
        <x:v>主板</x:v>
      </x:c>
      <x:c r="F825" t="str">
        <x:v>待行业映射</x:v>
      </x:c>
      <x:c r="G825" t="str">
        <x:v>当前全市场行情快照缺少 PB；只能作为待补全研究队列，不得按完整估值条件生成交易建议。</x:v>
      </x:c>
      <x:c r="H825" t="n">
        <x:v>26.46</x:v>
      </x:c>
      <x:c r="I825" t="n">
        <x:v>23.31</x:v>
      </x:c>
      <x:c r="J825"/>
      <x:c r="K825" t="str">
        <x:v>待归档官方财报</x:v>
      </x:c>
      <x:c r="L825" t="str">
        <x:v>AkShare / Tencent all-A market snapshot</x:v>
      </x:c>
      <x:c r="M825" t="str">
        <x:v>ProxyError: primary market source unavailable; see source_id for full audit.</x:v>
      </x:c>
      <x:c r="N825" t="str">
        <x:v>0</x:v>
      </x:c>
      <x:c r="O825" t="str">
        <x:v>0fd6ad2d-3389-4e70-8974-eb85ee223eeb</x:v>
      </x:c>
      <x:c r="P825" t="str">
        <x:v>2026-09-04</x:v>
      </x:c>
    </x:row>
    <x:row r="826">
      <x:c r="A826" t="str">
        <x:v>重点观察</x:v>
      </x:c>
      <x:c r="B826" t="str">
        <x:v>补全 PB、财报，等待Agent自动验证</x:v>
      </x:c>
      <x:c r="C826" t="str">
        <x:v>605009</x:v>
      </x:c>
      <x:c r="D826" t="str">
        <x:v>豪悦护理</x:v>
      </x:c>
      <x:c r="E826" t="str">
        <x:v>主板</x:v>
      </x:c>
      <x:c r="F826" t="str">
        <x:v>待行业映射</x:v>
      </x:c>
      <x:c r="G826" t="str">
        <x:v>当前全市场行情快照缺少 PB；只能作为待补全研究队列，不得按完整估值条件生成交易建议。</x:v>
      </x:c>
      <x:c r="H826" t="n">
        <x:v>24.94</x:v>
      </x:c>
      <x:c r="I826" t="n">
        <x:v>22.59</x:v>
      </x:c>
      <x:c r="J826"/>
      <x:c r="K826" t="str">
        <x:v>待归档官方财报</x:v>
      </x:c>
      <x:c r="L826" t="str">
        <x:v>AkShare / Tencent all-A market snapshot</x:v>
      </x:c>
      <x:c r="M826" t="str">
        <x:v>ProxyError: primary market source unavailable; see source_id for full audit.</x:v>
      </x:c>
      <x:c r="N826" t="str">
        <x:v>0</x:v>
      </x:c>
      <x:c r="O826" t="str">
        <x:v>0fd6ad2d-3389-4e70-8974-eb85ee223eeb</x:v>
      </x:c>
      <x:c r="P826" t="str">
        <x:v>2026-09-04</x:v>
      </x:c>
    </x:row>
    <x:row r="827">
      <x:c r="A827" t="str">
        <x:v>重点观察</x:v>
      </x:c>
      <x:c r="B827" t="str">
        <x:v>补全 PB、财报，等待Agent自动验证</x:v>
      </x:c>
      <x:c r="C827" t="str">
        <x:v>600063</x:v>
      </x:c>
      <x:c r="D827" t="str">
        <x:v>皖维高新</x:v>
      </x:c>
      <x:c r="E827" t="str">
        <x:v>主板</x:v>
      </x:c>
      <x:c r="F827" t="str">
        <x:v>待行业映射</x:v>
      </x:c>
      <x:c r="G827" t="str">
        <x:v>当前全市场行情快照缺少 PB；只能作为待补全研究队列，不得按完整估值条件生成交易建议。</x:v>
      </x:c>
      <x:c r="H827" t="n">
        <x:v>5.57</x:v>
      </x:c>
      <x:c r="I827" t="n">
        <x:v>23.45</x:v>
      </x:c>
      <x:c r="J827"/>
      <x:c r="K827" t="str">
        <x:v>待归档官方财报</x:v>
      </x:c>
      <x:c r="L827" t="str">
        <x:v>AkShare / Tencent all-A market snapshot</x:v>
      </x:c>
      <x:c r="M827" t="str">
        <x:v>ProxyError: primary market source unavailable; see source_id for full audit.</x:v>
      </x:c>
      <x:c r="N827" t="str">
        <x:v>0</x:v>
      </x:c>
      <x:c r="O827" t="str">
        <x:v>0fd6ad2d-3389-4e70-8974-eb85ee223eeb</x:v>
      </x:c>
      <x:c r="P827" t="str">
        <x:v>2026-09-04</x:v>
      </x:c>
    </x:row>
    <x:row r="828">
      <x:c r="A828" t="str">
        <x:v>重点观察</x:v>
      </x:c>
      <x:c r="B828" t="str">
        <x:v>补全 PB、财报，等待Agent自动验证</x:v>
      </x:c>
      <x:c r="C828" t="str">
        <x:v>002511</x:v>
      </x:c>
      <x:c r="D828" t="str">
        <x:v>中顺洁柔</x:v>
      </x:c>
      <x:c r="E828" t="str">
        <x:v>主板</x:v>
      </x:c>
      <x:c r="F828" t="str">
        <x:v>待行业映射</x:v>
      </x:c>
      <x:c r="G828" t="str">
        <x:v>当前全市场行情快照缺少 PB；只能作为待补全研究队列，不得按完整估值条件生成交易建议。</x:v>
      </x:c>
      <x:c r="H828" t="n">
        <x:v>7.11</x:v>
      </x:c>
      <x:c r="I828" t="n">
        <x:v>23.13</x:v>
      </x:c>
      <x:c r="J828"/>
      <x:c r="K828" t="str">
        <x:v>待归档官方财报</x:v>
      </x:c>
      <x:c r="L828" t="str">
        <x:v>AkShare / Tencent all-A market snapshot</x:v>
      </x:c>
      <x:c r="M828" t="str">
        <x:v>ProxyError: primary market source unavailable; see source_id for full audit.</x:v>
      </x:c>
      <x:c r="N828" t="str">
        <x:v>0</x:v>
      </x:c>
      <x:c r="O828" t="str">
        <x:v>0fd6ad2d-3389-4e70-8974-eb85ee223eeb</x:v>
      </x:c>
      <x:c r="P828" t="str">
        <x:v>2026-09-04</x:v>
      </x:c>
    </x:row>
    <x:row r="829">
      <x:c r="A829" t="str">
        <x:v>重点观察</x:v>
      </x:c>
      <x:c r="B829" t="str">
        <x:v>补全 PB、财报，等待Agent自动验证</x:v>
      </x:c>
      <x:c r="C829" t="str">
        <x:v>601500</x:v>
      </x:c>
      <x:c r="D829" t="str">
        <x:v>通用股份</x:v>
      </x:c>
      <x:c r="E829" t="str">
        <x:v>主板</x:v>
      </x:c>
      <x:c r="F829" t="str">
        <x:v>待行业映射</x:v>
      </x:c>
      <x:c r="G829" t="str">
        <x:v>当前全市场行情快照缺少 PB；只能作为待补全研究队列，不得按完整估值条件生成交易建议。</x:v>
      </x:c>
      <x:c r="H829" t="n">
        <x:v>3.96</x:v>
      </x:c>
      <x:c r="I829" t="n">
        <x:v>22.78</x:v>
      </x:c>
      <x:c r="J829"/>
      <x:c r="K829" t="str">
        <x:v>待归档官方财报</x:v>
      </x:c>
      <x:c r="L829" t="str">
        <x:v>AkShare / Tencent all-A market snapshot</x:v>
      </x:c>
      <x:c r="M829" t="str">
        <x:v>ProxyError: primary market source unavailable; see source_id for full audit.</x:v>
      </x:c>
      <x:c r="N829" t="str">
        <x:v>0</x:v>
      </x:c>
      <x:c r="O829" t="str">
        <x:v>0fd6ad2d-3389-4e70-8974-eb85ee223eeb</x:v>
      </x:c>
      <x:c r="P829" t="str">
        <x:v>2026-09-04</x:v>
      </x:c>
    </x:row>
    <x:row r="830">
      <x:c r="A830" t="str">
        <x:v>重点观察</x:v>
      </x:c>
      <x:c r="B830" t="str">
        <x:v>补全 PB、财报，等待Agent自动验证</x:v>
      </x:c>
      <x:c r="C830" t="str">
        <x:v>300641</x:v>
      </x:c>
      <x:c r="D830" t="str">
        <x:v>正丹股份</x:v>
      </x:c>
      <x:c r="E830" t="str">
        <x:v>创业板</x:v>
      </x:c>
      <x:c r="F830" t="str">
        <x:v>待行业映射</x:v>
      </x:c>
      <x:c r="G830" t="str">
        <x:v>当前全市场行情快照缺少 PB；只能作为待补全研究队列，不得按完整估值条件生成交易建议。</x:v>
      </x:c>
      <x:c r="H830" t="n">
        <x:v>14.02</x:v>
      </x:c>
      <x:c r="I830" t="n">
        <x:v>22.96</x:v>
      </x:c>
      <x:c r="J830"/>
      <x:c r="K830" t="str">
        <x:v>待归档官方财报</x:v>
      </x:c>
      <x:c r="L830" t="str">
        <x:v>AkShare / Tencent all-A market snapshot</x:v>
      </x:c>
      <x:c r="M830" t="str">
        <x:v>ProxyError: primary market source unavailable; see source_id for full audit.</x:v>
      </x:c>
      <x:c r="N830" t="str">
        <x:v>0</x:v>
      </x:c>
      <x:c r="O830" t="str">
        <x:v>0fd6ad2d-3389-4e70-8974-eb85ee223eeb</x:v>
      </x:c>
      <x:c r="P830" t="str">
        <x:v>2026-09-04</x:v>
      </x:c>
    </x:row>
    <x:row r="831">
      <x:c r="A831" t="str">
        <x:v>重点观察</x:v>
      </x:c>
      <x:c r="B831" t="str">
        <x:v>补全 PB、财报，等待Agent自动验证</x:v>
      </x:c>
      <x:c r="C831" t="str">
        <x:v>601101</x:v>
      </x:c>
      <x:c r="D831" t="str">
        <x:v>昊华能源</x:v>
      </x:c>
      <x:c r="E831" t="str">
        <x:v>主板</x:v>
      </x:c>
      <x:c r="F831" t="str">
        <x:v>待行业映射</x:v>
      </x:c>
      <x:c r="G831" t="str">
        <x:v>当前全市场行情快照缺少 PB；只能作为待补全研究队列，不得按完整估值条件生成交易建议。</x:v>
      </x:c>
      <x:c r="H831" t="n">
        <x:v>13.86</x:v>
      </x:c>
      <x:c r="I831" t="n">
        <x:v>24.68</x:v>
      </x:c>
      <x:c r="J831"/>
      <x:c r="K831" t="str">
        <x:v>待归档官方财报</x:v>
      </x:c>
      <x:c r="L831" t="str">
        <x:v>AkShare / Tencent all-A market snapshot</x:v>
      </x:c>
      <x:c r="M831" t="str">
        <x:v>ProxyError: primary market source unavailable; see source_id for full audit.</x:v>
      </x:c>
      <x:c r="N831" t="str">
        <x:v>0</x:v>
      </x:c>
      <x:c r="O831" t="str">
        <x:v>0fd6ad2d-3389-4e70-8974-eb85ee223eeb</x:v>
      </x:c>
      <x:c r="P831" t="str">
        <x:v>2026-09-04</x:v>
      </x:c>
    </x:row>
    <x:row r="832">
      <x:c r="A832" t="str">
        <x:v>重点观察</x:v>
      </x:c>
      <x:c r="B832" t="str">
        <x:v>补全 PB、财报，等待Agent自动验证</x:v>
      </x:c>
      <x:c r="C832" t="str">
        <x:v>300529</x:v>
      </x:c>
      <x:c r="D832" t="str">
        <x:v>健帆生物</x:v>
      </x:c>
      <x:c r="E832" t="str">
        <x:v>创业板</x:v>
      </x:c>
      <x:c r="F832" t="str">
        <x:v>待行业映射</x:v>
      </x:c>
      <x:c r="G832" t="str">
        <x:v>当前全市场行情快照缺少 PB；只能作为待补全研究队列，不得按完整估值条件生成交易建议。</x:v>
      </x:c>
      <x:c r="H832" t="n">
        <x:v>15.56</x:v>
      </x:c>
      <x:c r="I832" t="n">
        <x:v>23.67</x:v>
      </x:c>
      <x:c r="J832"/>
      <x:c r="K832" t="str">
        <x:v>待归档官方财报</x:v>
      </x:c>
      <x:c r="L832" t="str">
        <x:v>AkShare / Tencent all-A market snapshot</x:v>
      </x:c>
      <x:c r="M832" t="str">
        <x:v>ProxyError: primary market source unavailable; see source_id for full audit.</x:v>
      </x:c>
      <x:c r="N832" t="str">
        <x:v>0</x:v>
      </x:c>
      <x:c r="O832" t="str">
        <x:v>0fd6ad2d-3389-4e70-8974-eb85ee223eeb</x:v>
      </x:c>
      <x:c r="P832" t="str">
        <x:v>2026-09-04</x:v>
      </x:c>
    </x:row>
    <x:row r="833">
      <x:c r="A833" t="str">
        <x:v>重点观察</x:v>
      </x:c>
      <x:c r="B833" t="str">
        <x:v>补全 PB、财报，等待Agent自动验证</x:v>
      </x:c>
      <x:c r="C833" t="str">
        <x:v>300002</x:v>
      </x:c>
      <x:c r="D833" t="str">
        <x:v>神州泰岳</x:v>
      </x:c>
      <x:c r="E833" t="str">
        <x:v>创业板</x:v>
      </x:c>
      <x:c r="F833" t="str">
        <x:v>待行业映射</x:v>
      </x:c>
      <x:c r="G833" t="str">
        <x:v>当前全市场行情快照缺少 PB；只能作为待补全研究队列，不得按完整估值条件生成交易建议。</x:v>
      </x:c>
      <x:c r="H833" t="n">
        <x:v>8.29</x:v>
      </x:c>
      <x:c r="I833" t="n">
        <x:v>24.2</x:v>
      </x:c>
      <x:c r="J833"/>
      <x:c r="K833" t="str">
        <x:v>待归档官方财报</x:v>
      </x:c>
      <x:c r="L833" t="str">
        <x:v>AkShare / Tencent all-A market snapshot</x:v>
      </x:c>
      <x:c r="M833" t="str">
        <x:v>ProxyError: primary market source unavailable; see source_id for full audit.</x:v>
      </x:c>
      <x:c r="N833" t="str">
        <x:v>0</x:v>
      </x:c>
      <x:c r="O833" t="str">
        <x:v>0fd6ad2d-3389-4e70-8974-eb85ee223eeb</x:v>
      </x:c>
      <x:c r="P833" t="str">
        <x:v>2026-09-04</x:v>
      </x:c>
    </x:row>
    <x:row r="834">
      <x:c r="A834" t="str">
        <x:v>重点观察</x:v>
      </x:c>
      <x:c r="B834" t="str">
        <x:v>补全 PB、财报，等待Agent自动验证</x:v>
      </x:c>
      <x:c r="C834" t="str">
        <x:v>600557</x:v>
      </x:c>
      <x:c r="D834" t="str">
        <x:v>康缘药业</x:v>
      </x:c>
      <x:c r="E834" t="str">
        <x:v>主板</x:v>
      </x:c>
      <x:c r="F834" t="str">
        <x:v>待行业映射</x:v>
      </x:c>
      <x:c r="G834" t="str">
        <x:v>当前全市场行情快照缺少 PB；只能作为待补全研究队列，不得按完整估值条件生成交易建议。</x:v>
      </x:c>
      <x:c r="H834" t="n">
        <x:v>12.52</x:v>
      </x:c>
      <x:c r="I834" t="n">
        <x:v>22.96</x:v>
      </x:c>
      <x:c r="J834"/>
      <x:c r="K834" t="str">
        <x:v>待归档官方财报</x:v>
      </x:c>
      <x:c r="L834" t="str">
        <x:v>AkShare / Tencent all-A market snapshot</x:v>
      </x:c>
      <x:c r="M834" t="str">
        <x:v>ProxyError: primary market source unavailable; see source_id for full audit.</x:v>
      </x:c>
      <x:c r="N834" t="str">
        <x:v>0</x:v>
      </x:c>
      <x:c r="O834" t="str">
        <x:v>0fd6ad2d-3389-4e70-8974-eb85ee223eeb</x:v>
      </x:c>
      <x:c r="P834" t="str">
        <x:v>2026-09-04</x:v>
      </x:c>
    </x:row>
    <x:row r="835">
      <x:c r="A835" t="str">
        <x:v>重点观察</x:v>
      </x:c>
      <x:c r="B835" t="str">
        <x:v>补全 PB、财报，等待Agent自动验证</x:v>
      </x:c>
      <x:c r="C835" t="str">
        <x:v>300409</x:v>
      </x:c>
      <x:c r="D835" t="str">
        <x:v>道氏技术</x:v>
      </x:c>
      <x:c r="E835" t="str">
        <x:v>创业板</x:v>
      </x:c>
      <x:c r="F835" t="str">
        <x:v>待行业映射</x:v>
      </x:c>
      <x:c r="G835" t="str">
        <x:v>当前全市场行情快照缺少 PB；只能作为待补全研究队列，不得按完整估值条件生成交易建议。</x:v>
      </x:c>
      <x:c r="H835" t="n">
        <x:v>17.27</x:v>
      </x:c>
      <x:c r="I835" t="n">
        <x:v>23.84</x:v>
      </x:c>
      <x:c r="J835"/>
      <x:c r="K835" t="str">
        <x:v>待归档官方财报</x:v>
      </x:c>
      <x:c r="L835" t="str">
        <x:v>AkShare / Tencent all-A market snapshot</x:v>
      </x:c>
      <x:c r="M835" t="str">
        <x:v>ProxyError: primary market source unavailable; see source_id for full audit.</x:v>
      </x:c>
      <x:c r="N835" t="str">
        <x:v>0</x:v>
      </x:c>
      <x:c r="O835" t="str">
        <x:v>0fd6ad2d-3389-4e70-8974-eb85ee223eeb</x:v>
      </x:c>
      <x:c r="P835" t="str">
        <x:v>2026-09-04</x:v>
      </x:c>
    </x:row>
    <x:row r="836">
      <x:c r="A836" t="str">
        <x:v>重点观察</x:v>
      </x:c>
      <x:c r="B836" t="str">
        <x:v>补全 PB、财报，等待Agent自动验证</x:v>
      </x:c>
      <x:c r="C836" t="str">
        <x:v>688334</x:v>
      </x:c>
      <x:c r="D836" t="str">
        <x:v>西高院</x:v>
      </x:c>
      <x:c r="E836" t="str">
        <x:v>科创板</x:v>
      </x:c>
      <x:c r="F836" t="str">
        <x:v>待行业映射</x:v>
      </x:c>
      <x:c r="G836" t="str">
        <x:v>当前全市场行情快照缺少 PB；只能作为待补全研究队列，不得按完整估值条件生成交易建议。</x:v>
      </x:c>
      <x:c r="H836" t="n">
        <x:v>18.4</x:v>
      </x:c>
      <x:c r="I836" t="n">
        <x:v>22.83</x:v>
      </x:c>
      <x:c r="J836"/>
      <x:c r="K836" t="str">
        <x:v>待归档官方财报</x:v>
      </x:c>
      <x:c r="L836" t="str">
        <x:v>AkShare / Tencent all-A market snapshot</x:v>
      </x:c>
      <x:c r="M836" t="str">
        <x:v>ProxyError: primary market source unavailable; see source_id for full audit.</x:v>
      </x:c>
      <x:c r="N836" t="str">
        <x:v>0</x:v>
      </x:c>
      <x:c r="O836" t="str">
        <x:v>0fd6ad2d-3389-4e70-8974-eb85ee223eeb</x:v>
      </x:c>
      <x:c r="P836" t="str">
        <x:v>2026-09-04</x:v>
      </x:c>
    </x:row>
    <x:row r="837">
      <x:c r="A837" t="str">
        <x:v>重点观察</x:v>
      </x:c>
      <x:c r="B837" t="str">
        <x:v>补全 PB、财报，等待Agent自动验证</x:v>
      </x:c>
      <x:c r="C837" t="str">
        <x:v>920037</x:v>
      </x:c>
      <x:c r="D837" t="str">
        <x:v>广信科技</x:v>
      </x:c>
      <x:c r="E837" t="str">
        <x:v>北交所</x:v>
      </x:c>
      <x:c r="F837" t="str">
        <x:v>待行业映射</x:v>
      </x:c>
      <x:c r="G837" t="str">
        <x:v>当前全市场行情快照缺少 PB；只能作为待补全研究队列，不得按完整估值条件生成交易建议。</x:v>
      </x:c>
      <x:c r="H837" t="n">
        <x:v>39.54</x:v>
      </x:c>
      <x:c r="I837" t="n">
        <x:v>22.8</x:v>
      </x:c>
      <x:c r="J837"/>
      <x:c r="K837" t="str">
        <x:v>待归档官方财报</x:v>
      </x:c>
      <x:c r="L837" t="str">
        <x:v>AkShare / Tencent all-A market snapshot</x:v>
      </x:c>
      <x:c r="M837" t="str">
        <x:v>ProxyError: primary market source unavailable; see source_id for full audit.</x:v>
      </x:c>
      <x:c r="N837" t="str">
        <x:v>0</x:v>
      </x:c>
      <x:c r="O837" t="str">
        <x:v>0fd6ad2d-3389-4e70-8974-eb85ee223eeb</x:v>
      </x:c>
      <x:c r="P837" t="str">
        <x:v>2026-09-04</x:v>
      </x:c>
    </x:row>
    <x:row r="838">
      <x:c r="A838" t="str">
        <x:v>重点观察</x:v>
      </x:c>
      <x:c r="B838" t="str">
        <x:v>补全 PB、财报，等待Agent自动验证</x:v>
      </x:c>
      <x:c r="C838" t="str">
        <x:v>002832</x:v>
      </x:c>
      <x:c r="D838" t="str">
        <x:v>比音勒芬</x:v>
      </x:c>
      <x:c r="E838" t="str">
        <x:v>主板</x:v>
      </x:c>
      <x:c r="F838" t="str">
        <x:v>待行业映射</x:v>
      </x:c>
      <x:c r="G838" t="str">
        <x:v>当前全市场行情快照缺少 PB；只能作为待补全研究队列，不得按完整估值条件生成交易建议。</x:v>
      </x:c>
      <x:c r="H838" t="n">
        <x:v>26.6</x:v>
      </x:c>
      <x:c r="I838" t="n">
        <x:v>24.21</x:v>
      </x:c>
      <x:c r="J838"/>
      <x:c r="K838" t="str">
        <x:v>待归档官方财报</x:v>
      </x:c>
      <x:c r="L838" t="str">
        <x:v>AkShare / Tencent all-A market snapshot</x:v>
      </x:c>
      <x:c r="M838" t="str">
        <x:v>ProxyError: primary market source unavailable; see source_id for full audit.</x:v>
      </x:c>
      <x:c r="N838" t="str">
        <x:v>0</x:v>
      </x:c>
      <x:c r="O838" t="str">
        <x:v>0fd6ad2d-3389-4e70-8974-eb85ee223eeb</x:v>
      </x:c>
      <x:c r="P838" t="str">
        <x:v>2026-09-04</x:v>
      </x:c>
    </x:row>
    <x:row r="839">
      <x:c r="A839" t="str">
        <x:v>重点观察</x:v>
      </x:c>
      <x:c r="B839" t="str">
        <x:v>补全 PB、财报，等待Agent自动验证</x:v>
      </x:c>
      <x:c r="C839" t="str">
        <x:v>300073</x:v>
      </x:c>
      <x:c r="D839" t="str">
        <x:v>当升科技</x:v>
      </x:c>
      <x:c r="E839" t="str">
        <x:v>创业板</x:v>
      </x:c>
      <x:c r="F839" t="str">
        <x:v>待行业映射</x:v>
      </x:c>
      <x:c r="G839" t="str">
        <x:v>当前全市场行情快照缺少 PB；只能作为待补全研究队列，不得按完整估值条件生成交易建议。</x:v>
      </x:c>
      <x:c r="H839" t="n">
        <x:v>38.66</x:v>
      </x:c>
      <x:c r="I839" t="n">
        <x:v>25</x:v>
      </x:c>
      <x:c r="J839"/>
      <x:c r="K839" t="str">
        <x:v>待归档官方财报</x:v>
      </x:c>
      <x:c r="L839" t="str">
        <x:v>AkShare / Tencent all-A market snapshot</x:v>
      </x:c>
      <x:c r="M839" t="str">
        <x:v>ProxyError: primary market source unavailable; see source_id for full audit.</x:v>
      </x:c>
      <x:c r="N839" t="str">
        <x:v>0</x:v>
      </x:c>
      <x:c r="O839" t="str">
        <x:v>0fd6ad2d-3389-4e70-8974-eb85ee223eeb</x:v>
      </x:c>
      <x:c r="P839" t="str">
        <x:v>2026-09-04</x:v>
      </x:c>
    </x:row>
    <x:row r="840">
      <x:c r="A840" t="str">
        <x:v>重点观察</x:v>
      </x:c>
      <x:c r="B840" t="str">
        <x:v>补全 PB、财报，等待Agent自动验证</x:v>
      </x:c>
      <x:c r="C840" t="str">
        <x:v>603867</x:v>
      </x:c>
      <x:c r="D840" t="str">
        <x:v>新化股份</x:v>
      </x:c>
      <x:c r="E840" t="str">
        <x:v>主板</x:v>
      </x:c>
      <x:c r="F840" t="str">
        <x:v>待行业映射</x:v>
      </x:c>
      <x:c r="G840" t="str">
        <x:v>当前全市场行情快照缺少 PB；只能作为待补全研究队列，不得按完整估值条件生成交易建议。</x:v>
      </x:c>
      <x:c r="H840" t="n">
        <x:v>29.08</x:v>
      </x:c>
      <x:c r="I840" t="n">
        <x:v>23.04</x:v>
      </x:c>
      <x:c r="J840"/>
      <x:c r="K840" t="str">
        <x:v>待归档官方财报</x:v>
      </x:c>
      <x:c r="L840" t="str">
        <x:v>AkShare / Tencent all-A market snapshot</x:v>
      </x:c>
      <x:c r="M840" t="str">
        <x:v>ProxyError: primary market source unavailable; see source_id for full audit.</x:v>
      </x:c>
      <x:c r="N840" t="str">
        <x:v>0</x:v>
      </x:c>
      <x:c r="O840" t="str">
        <x:v>0fd6ad2d-3389-4e70-8974-eb85ee223eeb</x:v>
      </x:c>
      <x:c r="P840" t="str">
        <x:v>2026-09-04</x:v>
      </x:c>
    </x:row>
    <x:row r="841">
      <x:c r="A841" t="str">
        <x:v>重点观察</x:v>
      </x:c>
      <x:c r="B841" t="str">
        <x:v>补全 PB、财报，等待Agent自动验证</x:v>
      </x:c>
      <x:c r="C841" t="str">
        <x:v>000989</x:v>
      </x:c>
      <x:c r="D841" t="str">
        <x:v>九芝堂</x:v>
      </x:c>
      <x:c r="E841" t="str">
        <x:v>主板</x:v>
      </x:c>
      <x:c r="F841" t="str">
        <x:v>待行业映射</x:v>
      </x:c>
      <x:c r="G841" t="str">
        <x:v>当前全市场行情快照缺少 PB；只能作为待补全研究队列，不得按完整估值条件生成交易建议。</x:v>
      </x:c>
      <x:c r="H841" t="n">
        <x:v>8.93</x:v>
      </x:c>
      <x:c r="I841" t="n">
        <x:v>23.23</x:v>
      </x:c>
      <x:c r="J841"/>
      <x:c r="K841" t="str">
        <x:v>待归档官方财报</x:v>
      </x:c>
      <x:c r="L841" t="str">
        <x:v>AkShare / Tencent all-A market snapshot</x:v>
      </x:c>
      <x:c r="M841" t="str">
        <x:v>ProxyError: primary market source unavailable; see source_id for full audit.</x:v>
      </x:c>
      <x:c r="N841" t="str">
        <x:v>0</x:v>
      </x:c>
      <x:c r="O841" t="str">
        <x:v>0fd6ad2d-3389-4e70-8974-eb85ee223eeb</x:v>
      </x:c>
      <x:c r="P841" t="str">
        <x:v>2026-09-04</x:v>
      </x:c>
    </x:row>
    <x:row r="842">
      <x:c r="A842" t="str">
        <x:v>重点观察</x:v>
      </x:c>
      <x:c r="B842" t="str">
        <x:v>补全 PB、财报，等待Agent自动验证</x:v>
      </x:c>
      <x:c r="C842" t="str">
        <x:v>002950</x:v>
      </x:c>
      <x:c r="D842" t="str">
        <x:v>奥美医疗</x:v>
      </x:c>
      <x:c r="E842" t="str">
        <x:v>主板</x:v>
      </x:c>
      <x:c r="F842" t="str">
        <x:v>待行业映射</x:v>
      </x:c>
      <x:c r="G842" t="str">
        <x:v>当前全市场行情快照缺少 PB；只能作为待补全研究队列，不得按完整估值条件生成交易建议。</x:v>
      </x:c>
      <x:c r="H842" t="n">
        <x:v>8.79</x:v>
      </x:c>
      <x:c r="I842" t="n">
        <x:v>22.95</x:v>
      </x:c>
      <x:c r="J842"/>
      <x:c r="K842" t="str">
        <x:v>待归档官方财报</x:v>
      </x:c>
      <x:c r="L842" t="str">
        <x:v>AkShare / Tencent all-A market snapshot</x:v>
      </x:c>
      <x:c r="M842" t="str">
        <x:v>ProxyError: primary market source unavailable; see source_id for full audit.</x:v>
      </x:c>
      <x:c r="N842" t="str">
        <x:v>0</x:v>
      </x:c>
      <x:c r="O842" t="str">
        <x:v>0fd6ad2d-3389-4e70-8974-eb85ee223eeb</x:v>
      </x:c>
      <x:c r="P842" t="str">
        <x:v>2026-09-04</x:v>
      </x:c>
    </x:row>
    <x:row r="843">
      <x:c r="A843" t="str">
        <x:v>重点观察</x:v>
      </x:c>
      <x:c r="B843" t="str">
        <x:v>补全 PB、财报，等待Agent自动验证</x:v>
      </x:c>
      <x:c r="C843" t="str">
        <x:v>002010</x:v>
      </x:c>
      <x:c r="D843" t="str">
        <x:v>传化智联</x:v>
      </x:c>
      <x:c r="E843" t="str">
        <x:v>主板</x:v>
      </x:c>
      <x:c r="F843" t="str">
        <x:v>待行业映射</x:v>
      </x:c>
      <x:c r="G843" t="str">
        <x:v>当前全市场行情快照缺少 PB；只能作为待补全研究队列，不得按完整估值条件生成交易建议。</x:v>
      </x:c>
      <x:c r="H843" t="n">
        <x:v>4.58</x:v>
      </x:c>
      <x:c r="I843" t="n">
        <x:v>23.93</x:v>
      </x:c>
      <x:c r="J843"/>
      <x:c r="K843" t="str">
        <x:v>待归档官方财报</x:v>
      </x:c>
      <x:c r="L843" t="str">
        <x:v>AkShare / Tencent all-A market snapshot</x:v>
      </x:c>
      <x:c r="M843" t="str">
        <x:v>ProxyError: primary market source unavailable; see source_id for full audit.</x:v>
      </x:c>
      <x:c r="N843" t="str">
        <x:v>0</x:v>
      </x:c>
      <x:c r="O843" t="str">
        <x:v>0fd6ad2d-3389-4e70-8974-eb85ee223eeb</x:v>
      </x:c>
      <x:c r="P843" t="str">
        <x:v>2026-09-04</x:v>
      </x:c>
    </x:row>
    <x:row r="844">
      <x:c r="A844" t="str">
        <x:v>重点观察</x:v>
      </x:c>
      <x:c r="B844" t="str">
        <x:v>补全 PB、财报，等待Agent自动验证</x:v>
      </x:c>
      <x:c r="C844" t="str">
        <x:v>603883</x:v>
      </x:c>
      <x:c r="D844" t="str">
        <x:v>老百姓</x:v>
      </x:c>
      <x:c r="E844" t="str">
        <x:v>主板</x:v>
      </x:c>
      <x:c r="F844" t="str">
        <x:v>待行业映射</x:v>
      </x:c>
      <x:c r="G844" t="str">
        <x:v>当前全市场行情快照缺少 PB；只能作为待补全研究队列，不得按完整估值条件生成交易建议。</x:v>
      </x:c>
      <x:c r="H844" t="n">
        <x:v>13.47</x:v>
      </x:c>
      <x:c r="I844" t="n">
        <x:v>23.73</x:v>
      </x:c>
      <x:c r="J844"/>
      <x:c r="K844" t="str">
        <x:v>待归档官方财报</x:v>
      </x:c>
      <x:c r="L844" t="str">
        <x:v>AkShare / Tencent all-A market snapshot</x:v>
      </x:c>
      <x:c r="M844" t="str">
        <x:v>ProxyError: primary market source unavailable; see source_id for full audit.</x:v>
      </x:c>
      <x:c r="N844" t="str">
        <x:v>0</x:v>
      </x:c>
      <x:c r="O844" t="str">
        <x:v>0fd6ad2d-3389-4e70-8974-eb85ee223eeb</x:v>
      </x:c>
      <x:c r="P844" t="str">
        <x:v>2026-09-04</x:v>
      </x:c>
    </x:row>
    <x:row r="845">
      <x:c r="A845" t="str">
        <x:v>重点观察</x:v>
      </x:c>
      <x:c r="B845" t="str">
        <x:v>补全 PB、财报，等待Agent自动验证</x:v>
      </x:c>
      <x:c r="C845" t="str">
        <x:v>301608</x:v>
      </x:c>
      <x:c r="D845" t="str">
        <x:v>博实结</x:v>
      </x:c>
      <x:c r="E845" t="str">
        <x:v>创业板</x:v>
      </x:c>
      <x:c r="F845" t="str">
        <x:v>待行业映射</x:v>
      </x:c>
      <x:c r="G845" t="str">
        <x:v>当前全市场行情快照缺少 PB；只能作为待补全研究队列，不得按完整估值条件生成交易建议。</x:v>
      </x:c>
      <x:c r="H845" t="n">
        <x:v>44.11</x:v>
      </x:c>
      <x:c r="I845" t="n">
        <x:v>23.29</x:v>
      </x:c>
      <x:c r="J845"/>
      <x:c r="K845" t="str">
        <x:v>待归档官方财报</x:v>
      </x:c>
      <x:c r="L845" t="str">
        <x:v>AkShare / Tencent all-A market snapshot</x:v>
      </x:c>
      <x:c r="M845" t="str">
        <x:v>ProxyError: primary market source unavailable; see source_id for full audit.</x:v>
      </x:c>
      <x:c r="N845" t="str">
        <x:v>0</x:v>
      </x:c>
      <x:c r="O845" t="str">
        <x:v>0fd6ad2d-3389-4e70-8974-eb85ee223eeb</x:v>
      </x:c>
      <x:c r="P845" t="str">
        <x:v>2026-09-04</x:v>
      </x:c>
    </x:row>
    <x:row r="846">
      <x:c r="A846" t="str">
        <x:v>重点观察</x:v>
      </x:c>
      <x:c r="B846" t="str">
        <x:v>补全 PB、财报，等待Agent自动验证</x:v>
      </x:c>
      <x:c r="C846" t="str">
        <x:v>300119</x:v>
      </x:c>
      <x:c r="D846" t="str">
        <x:v>瑞普生物</x:v>
      </x:c>
      <x:c r="E846" t="str">
        <x:v>创业板</x:v>
      </x:c>
      <x:c r="F846" t="str">
        <x:v>待行业映射</x:v>
      </x:c>
      <x:c r="G846" t="str">
        <x:v>当前全市场行情快照缺少 PB；只能作为待补全研究队列，不得按完整估值条件生成交易建议。</x:v>
      </x:c>
      <x:c r="H846" t="n">
        <x:v>17.69</x:v>
      </x:c>
      <x:c r="I846" t="n">
        <x:v>23.62</x:v>
      </x:c>
      <x:c r="J846"/>
      <x:c r="K846" t="str">
        <x:v>待归档官方财报</x:v>
      </x:c>
      <x:c r="L846" t="str">
        <x:v>AkShare / Tencent all-A market snapshot</x:v>
      </x:c>
      <x:c r="M846" t="str">
        <x:v>ProxyError: primary market source unavailable; see source_id for full audit.</x:v>
      </x:c>
      <x:c r="N846" t="str">
        <x:v>0</x:v>
      </x:c>
      <x:c r="O846" t="str">
        <x:v>0fd6ad2d-3389-4e70-8974-eb85ee223eeb</x:v>
      </x:c>
      <x:c r="P846" t="str">
        <x:v>2026-09-04</x:v>
      </x:c>
    </x:row>
    <x:row r="847">
      <x:c r="A847" t="str">
        <x:v>重点观察</x:v>
      </x:c>
      <x:c r="B847" t="str">
        <x:v>补全 PB、财报，等待Agent自动验证</x:v>
      </x:c>
      <x:c r="C847" t="str">
        <x:v>002226</x:v>
      </x:c>
      <x:c r="D847" t="str">
        <x:v>江南化工</x:v>
      </x:c>
      <x:c r="E847" t="str">
        <x:v>主板</x:v>
      </x:c>
      <x:c r="F847" t="str">
        <x:v>待行业映射</x:v>
      </x:c>
      <x:c r="G847" t="str">
        <x:v>当前全市场行情快照缺少 PB；只能作为待补全研究队列，不得按完整估值条件生成交易建议。</x:v>
      </x:c>
      <x:c r="H847" t="n">
        <x:v>5.16</x:v>
      </x:c>
      <x:c r="I847" t="n">
        <x:v>24.4</x:v>
      </x:c>
      <x:c r="J847"/>
      <x:c r="K847" t="str">
        <x:v>待归档官方财报</x:v>
      </x:c>
      <x:c r="L847" t="str">
        <x:v>AkShare / Tencent all-A market snapshot</x:v>
      </x:c>
      <x:c r="M847" t="str">
        <x:v>ProxyError: primary market source unavailable; see source_id for full audit.</x:v>
      </x:c>
      <x:c r="N847" t="str">
        <x:v>0</x:v>
      </x:c>
      <x:c r="O847" t="str">
        <x:v>0fd6ad2d-3389-4e70-8974-eb85ee223eeb</x:v>
      </x:c>
      <x:c r="P847" t="str">
        <x:v>2026-09-04</x:v>
      </x:c>
    </x:row>
    <x:row r="848">
      <x:c r="A848" t="str">
        <x:v>重点观察</x:v>
      </x:c>
      <x:c r="B848" t="str">
        <x:v>补全 PB、财报，等待Agent自动验证</x:v>
      </x:c>
      <x:c r="C848" t="str">
        <x:v>600459</x:v>
      </x:c>
      <x:c r="D848" t="str">
        <x:v>贵研铂业</x:v>
      </x:c>
      <x:c r="E848" t="str">
        <x:v>主板</x:v>
      </x:c>
      <x:c r="F848" t="str">
        <x:v>待行业映射</x:v>
      </x:c>
      <x:c r="G848" t="str">
        <x:v>当前全市场行情快照缺少 PB；只能作为待补全研究队列，不得按完整估值条件生成交易建议。</x:v>
      </x:c>
      <x:c r="H848" t="n">
        <x:v>20.06</x:v>
      </x:c>
      <x:c r="I848" t="n">
        <x:v>24.82</x:v>
      </x:c>
      <x:c r="J848"/>
      <x:c r="K848" t="str">
        <x:v>待归档官方财报</x:v>
      </x:c>
      <x:c r="L848" t="str">
        <x:v>AkShare / Tencent all-A market snapshot</x:v>
      </x:c>
      <x:c r="M848" t="str">
        <x:v>ProxyError: primary market source unavailable; see source_id for full audit.</x:v>
      </x:c>
      <x:c r="N848" t="str">
        <x:v>0</x:v>
      </x:c>
      <x:c r="O848" t="str">
        <x:v>0fd6ad2d-3389-4e70-8974-eb85ee223eeb</x:v>
      </x:c>
      <x:c r="P848" t="str">
        <x:v>2026-09-04</x:v>
      </x:c>
    </x:row>
    <x:row r="849">
      <x:c r="A849" t="str">
        <x:v>重点观察</x:v>
      </x:c>
      <x:c r="B849" t="str">
        <x:v>补全 PB、财报，等待Agent自动验证</x:v>
      </x:c>
      <x:c r="C849" t="str">
        <x:v>688550</x:v>
      </x:c>
      <x:c r="D849" t="str">
        <x:v>瑞联新材</x:v>
      </x:c>
      <x:c r="E849" t="str">
        <x:v>科创板</x:v>
      </x:c>
      <x:c r="F849" t="str">
        <x:v>待行业映射</x:v>
      </x:c>
      <x:c r="G849" t="str">
        <x:v>当前全市场行情快照缺少 PB；只能作为待补全研究队列，不得按完整估值条件生成交易建议。</x:v>
      </x:c>
      <x:c r="H849" t="n">
        <x:v>36.27</x:v>
      </x:c>
      <x:c r="I849" t="n">
        <x:v>23.46</x:v>
      </x:c>
      <x:c r="J849"/>
      <x:c r="K849" t="str">
        <x:v>待归档官方财报</x:v>
      </x:c>
      <x:c r="L849" t="str">
        <x:v>AkShare / Tencent all-A market snapshot</x:v>
      </x:c>
      <x:c r="M849" t="str">
        <x:v>ProxyError: primary market source unavailable; see source_id for full audit.</x:v>
      </x:c>
      <x:c r="N849" t="str">
        <x:v>0</x:v>
      </x:c>
      <x:c r="O849" t="str">
        <x:v>0fd6ad2d-3389-4e70-8974-eb85ee223eeb</x:v>
      </x:c>
      <x:c r="P849" t="str">
        <x:v>2026-09-04</x:v>
      </x:c>
    </x:row>
    <x:row r="850">
      <x:c r="A850" t="str">
        <x:v>重点观察</x:v>
      </x:c>
      <x:c r="B850" t="str">
        <x:v>补全 PB、财报，等待Agent自动验证</x:v>
      </x:c>
      <x:c r="C850" t="str">
        <x:v>603075</x:v>
      </x:c>
      <x:c r="D850" t="str">
        <x:v>热威股份</x:v>
      </x:c>
      <x:c r="E850" t="str">
        <x:v>主板</x:v>
      </x:c>
      <x:c r="F850" t="str">
        <x:v>待行业映射</x:v>
      </x:c>
      <x:c r="G850" t="str">
        <x:v>当前全市场行情快照缺少 PB；只能作为待补全研究队列，不得按完整估值条件生成交易建议。</x:v>
      </x:c>
      <x:c r="H850" t="n">
        <x:v>19.15</x:v>
      </x:c>
      <x:c r="I850" t="n">
        <x:v>23.64</x:v>
      </x:c>
      <x:c r="J850"/>
      <x:c r="K850" t="str">
        <x:v>待归档官方财报</x:v>
      </x:c>
      <x:c r="L850" t="str">
        <x:v>AkShare / Tencent all-A market snapshot</x:v>
      </x:c>
      <x:c r="M850" t="str">
        <x:v>ProxyError: primary market source unavailable; see source_id for full audit.</x:v>
      </x:c>
      <x:c r="N850" t="str">
        <x:v>0</x:v>
      </x:c>
      <x:c r="O850" t="str">
        <x:v>0fd6ad2d-3389-4e70-8974-eb85ee223eeb</x:v>
      </x:c>
      <x:c r="P850" t="str">
        <x:v>2026-09-04</x:v>
      </x:c>
    </x:row>
    <x:row r="851">
      <x:c r="A851" t="str">
        <x:v>重点观察</x:v>
      </x:c>
      <x:c r="B851" t="str">
        <x:v>补全 PB、财报，等待Agent自动验证</x:v>
      </x:c>
      <x:c r="C851" t="str">
        <x:v>000968</x:v>
      </x:c>
      <x:c r="D851" t="str">
        <x:v>蓝焰控股</x:v>
      </x:c>
      <x:c r="E851" t="str">
        <x:v>主板</x:v>
      </x:c>
      <x:c r="F851" t="str">
        <x:v>待行业映射</x:v>
      </x:c>
      <x:c r="G851" t="str">
        <x:v>当前全市场行情快照缺少 PB；只能作为待补全研究队列，不得按完整估值条件生成交易建议。</x:v>
      </x:c>
      <x:c r="H851" t="n">
        <x:v>7.29</x:v>
      </x:c>
      <x:c r="I851" t="n">
        <x:v>23.61</x:v>
      </x:c>
      <x:c r="J851"/>
      <x:c r="K851" t="str">
        <x:v>待归档官方财报</x:v>
      </x:c>
      <x:c r="L851" t="str">
        <x:v>AkShare / Tencent all-A market snapshot</x:v>
      </x:c>
      <x:c r="M851" t="str">
        <x:v>ProxyError: primary market source unavailable; see source_id for full audit.</x:v>
      </x:c>
      <x:c r="N851" t="str">
        <x:v>0</x:v>
      </x:c>
      <x:c r="O851" t="str">
        <x:v>0fd6ad2d-3389-4e70-8974-eb85ee223eeb</x:v>
      </x:c>
      <x:c r="P851" t="str">
        <x:v>2026-09-04</x:v>
      </x:c>
    </x:row>
    <x:row r="852">
      <x:c r="A852" t="str">
        <x:v>重点观察</x:v>
      </x:c>
      <x:c r="B852" t="str">
        <x:v>补全 PB、财报，等待Agent自动验证</x:v>
      </x:c>
      <x:c r="C852" t="str">
        <x:v>000920</x:v>
      </x:c>
      <x:c r="D852" t="str">
        <x:v>沃顿科技</x:v>
      </x:c>
      <x:c r="E852" t="str">
        <x:v>主板</x:v>
      </x:c>
      <x:c r="F852" t="str">
        <x:v>待行业映射</x:v>
      </x:c>
      <x:c r="G852" t="str">
        <x:v>当前全市场行情快照缺少 PB；只能作为待补全研究队列，不得按完整估值条件生成交易建议。</x:v>
      </x:c>
      <x:c r="H852" t="n">
        <x:v>11.33</x:v>
      </x:c>
      <x:c r="I852" t="n">
        <x:v>23.41</x:v>
      </x:c>
      <x:c r="J852"/>
      <x:c r="K852" t="str">
        <x:v>待归档官方财报</x:v>
      </x:c>
      <x:c r="L852" t="str">
        <x:v>AkShare / Tencent all-A market snapshot</x:v>
      </x:c>
      <x:c r="M852" t="str">
        <x:v>ProxyError: primary market source unavailable; see source_id for full audit.</x:v>
      </x:c>
      <x:c r="N852" t="str">
        <x:v>0</x:v>
      </x:c>
      <x:c r="O852" t="str">
        <x:v>0fd6ad2d-3389-4e70-8974-eb85ee223eeb</x:v>
      </x:c>
      <x:c r="P852" t="str">
        <x:v>2026-09-04</x:v>
      </x:c>
    </x:row>
    <x:row r="853">
      <x:c r="A853" t="str">
        <x:v>重点观察</x:v>
      </x:c>
      <x:c r="B853" t="str">
        <x:v>补全 PB、财报，等待Agent自动验证</x:v>
      </x:c>
      <x:c r="C853" t="str">
        <x:v>600814</x:v>
      </x:c>
      <x:c r="D853" t="str">
        <x:v>杭州解百</x:v>
      </x:c>
      <x:c r="E853" t="str">
        <x:v>主板</x:v>
      </x:c>
      <x:c r="F853" t="str">
        <x:v>待行业映射</x:v>
      </x:c>
      <x:c r="G853" t="str">
        <x:v>当前全市场行情快照缺少 PB；只能作为待补全研究队列，不得按完整估值条件生成交易建议。</x:v>
      </x:c>
      <x:c r="H853" t="n">
        <x:v>7.2</x:v>
      </x:c>
      <x:c r="I853" t="n">
        <x:v>23.42</x:v>
      </x:c>
      <x:c r="J853"/>
      <x:c r="K853" t="str">
        <x:v>待归档官方财报</x:v>
      </x:c>
      <x:c r="L853" t="str">
        <x:v>AkShare / Tencent all-A market snapshot</x:v>
      </x:c>
      <x:c r="M853" t="str">
        <x:v>ProxyError: primary market source unavailable; see source_id for full audit.</x:v>
      </x:c>
      <x:c r="N853" t="str">
        <x:v>0</x:v>
      </x:c>
      <x:c r="O853" t="str">
        <x:v>0fd6ad2d-3389-4e70-8974-eb85ee223eeb</x:v>
      </x:c>
      <x:c r="P853" t="str">
        <x:v>2026-09-04</x:v>
      </x:c>
    </x:row>
    <x:row r="854">
      <x:c r="A854" t="str">
        <x:v>重点观察</x:v>
      </x:c>
      <x:c r="B854" t="str">
        <x:v>补全 PB、财报，等待Agent自动验证</x:v>
      </x:c>
      <x:c r="C854" t="str">
        <x:v>002125</x:v>
      </x:c>
      <x:c r="D854" t="str">
        <x:v>湘潭电化</x:v>
      </x:c>
      <x:c r="E854" t="str">
        <x:v>主板</x:v>
      </x:c>
      <x:c r="F854" t="str">
        <x:v>待行业映射</x:v>
      </x:c>
      <x:c r="G854" t="str">
        <x:v>当前全市场行情快照缺少 PB；只能作为待补全研究队列，不得按完整估值条件生成交易建议。</x:v>
      </x:c>
      <x:c r="H854" t="n">
        <x:v>12.29</x:v>
      </x:c>
      <x:c r="I854" t="n">
        <x:v>23.85</x:v>
      </x:c>
      <x:c r="J854"/>
      <x:c r="K854" t="str">
        <x:v>待归档官方财报</x:v>
      </x:c>
      <x:c r="L854" t="str">
        <x:v>AkShare / Tencent all-A market snapshot</x:v>
      </x:c>
      <x:c r="M854" t="str">
        <x:v>ProxyError: primary market source unavailable; see source_id for full audit.</x:v>
      </x:c>
      <x:c r="N854" t="str">
        <x:v>0</x:v>
      </x:c>
      <x:c r="O854" t="str">
        <x:v>0fd6ad2d-3389-4e70-8974-eb85ee223eeb</x:v>
      </x:c>
      <x:c r="P854" t="str">
        <x:v>2026-09-04</x:v>
      </x:c>
    </x:row>
    <x:row r="855">
      <x:c r="A855" t="str">
        <x:v>重点观察</x:v>
      </x:c>
      <x:c r="B855" t="str">
        <x:v>补全 PB、财报，等待Agent自动验证</x:v>
      </x:c>
      <x:c r="C855" t="str">
        <x:v>300674</x:v>
      </x:c>
      <x:c r="D855" t="str">
        <x:v>宇信科技</x:v>
      </x:c>
      <x:c r="E855" t="str">
        <x:v>创业板</x:v>
      </x:c>
      <x:c r="F855" t="str">
        <x:v>待行业映射</x:v>
      </x:c>
      <x:c r="G855" t="str">
        <x:v>当前全市场行情快照缺少 PB；只能作为待补全研究队列，不得按完整估值条件生成交易建议。</x:v>
      </x:c>
      <x:c r="H855" t="n">
        <x:v>18.19</x:v>
      </x:c>
      <x:c r="I855" t="n">
        <x:v>24.59</x:v>
      </x:c>
      <x:c r="J855"/>
      <x:c r="K855" t="str">
        <x:v>待归档官方财报</x:v>
      </x:c>
      <x:c r="L855" t="str">
        <x:v>AkShare / Tencent all-A market snapshot</x:v>
      </x:c>
      <x:c r="M855" t="str">
        <x:v>ProxyError: primary market source unavailable; see source_id for full audit.</x:v>
      </x:c>
      <x:c r="N855" t="str">
        <x:v>0</x:v>
      </x:c>
      <x:c r="O855" t="str">
        <x:v>0fd6ad2d-3389-4e70-8974-eb85ee223eeb</x:v>
      </x:c>
      <x:c r="P855" t="str">
        <x:v>2026-09-04</x:v>
      </x:c>
    </x:row>
    <x:row r="856">
      <x:c r="A856" t="str">
        <x:v>重点观察</x:v>
      </x:c>
      <x:c r="B856" t="str">
        <x:v>补全 PB、财报，等待Agent自动验证</x:v>
      </x:c>
      <x:c r="C856" t="str">
        <x:v>002026</x:v>
      </x:c>
      <x:c r="D856" t="str">
        <x:v>山东威达</x:v>
      </x:c>
      <x:c r="E856" t="str">
        <x:v>主板</x:v>
      </x:c>
      <x:c r="F856" t="str">
        <x:v>待行业映射</x:v>
      </x:c>
      <x:c r="G856" t="str">
        <x:v>当前全市场行情快照缺少 PB；只能作为待补全研究队列，不得按完整估值条件生成交易建议。</x:v>
      </x:c>
      <x:c r="H856" t="n">
        <x:v>11.44</x:v>
      </x:c>
      <x:c r="I856" t="n">
        <x:v>23.55</x:v>
      </x:c>
      <x:c r="J856"/>
      <x:c r="K856" t="str">
        <x:v>待归档官方财报</x:v>
      </x:c>
      <x:c r="L856" t="str">
        <x:v>AkShare / Tencent all-A market snapshot</x:v>
      </x:c>
      <x:c r="M856" t="str">
        <x:v>ProxyError: primary market source unavailable; see source_id for full audit.</x:v>
      </x:c>
      <x:c r="N856" t="str">
        <x:v>0</x:v>
      </x:c>
      <x:c r="O856" t="str">
        <x:v>0fd6ad2d-3389-4e70-8974-eb85ee223eeb</x:v>
      </x:c>
      <x:c r="P856" t="str">
        <x:v>2026-09-04</x:v>
      </x:c>
    </x:row>
    <x:row r="857">
      <x:c r="A857" t="str">
        <x:v>重点观察</x:v>
      </x:c>
      <x:c r="B857" t="str">
        <x:v>补全 PB、财报，等待Agent自动验证</x:v>
      </x:c>
      <x:c r="C857" t="str">
        <x:v>300592</x:v>
      </x:c>
      <x:c r="D857" t="str">
        <x:v>华凯易佰</x:v>
      </x:c>
      <x:c r="E857" t="str">
        <x:v>创业板</x:v>
      </x:c>
      <x:c r="F857" t="str">
        <x:v>待行业映射</x:v>
      </x:c>
      <x:c r="G857" t="str">
        <x:v>当前全市场行情快照缺少 PB；只能作为待补全研究队列，不得按完整估值条件生成交易建议。</x:v>
      </x:c>
      <x:c r="H857" t="n">
        <x:v>16.7</x:v>
      </x:c>
      <x:c r="I857" t="n">
        <x:v>23.76</x:v>
      </x:c>
      <x:c r="J857"/>
      <x:c r="K857" t="str">
        <x:v>待归档官方财报</x:v>
      </x:c>
      <x:c r="L857" t="str">
        <x:v>AkShare / Tencent all-A market snapshot</x:v>
      </x:c>
      <x:c r="M857" t="str">
        <x:v>ProxyError: primary market source unavailable; see source_id for full audit.</x:v>
      </x:c>
      <x:c r="N857" t="str">
        <x:v>0</x:v>
      </x:c>
      <x:c r="O857" t="str">
        <x:v>0fd6ad2d-3389-4e70-8974-eb85ee223eeb</x:v>
      </x:c>
      <x:c r="P857" t="str">
        <x:v>2026-09-04</x:v>
      </x:c>
    </x:row>
    <x:row r="858">
      <x:c r="A858" t="str">
        <x:v>重点观察</x:v>
      </x:c>
      <x:c r="B858" t="str">
        <x:v>补全 PB、财报，等待Agent自动验证</x:v>
      </x:c>
      <x:c r="C858" t="str">
        <x:v>603299</x:v>
      </x:c>
      <x:c r="D858" t="str">
        <x:v>苏盐井神</x:v>
      </x:c>
      <x:c r="E858" t="str">
        <x:v>主板</x:v>
      </x:c>
      <x:c r="F858" t="str">
        <x:v>待行业映射</x:v>
      </x:c>
      <x:c r="G858" t="str">
        <x:v>当前全市场行情快照缺少 PB；只能作为待补全研究队列，不得按完整估值条件生成交易建议。</x:v>
      </x:c>
      <x:c r="H858" t="n">
        <x:v>8.93</x:v>
      </x:c>
      <x:c r="I858" t="n">
        <x:v>24.17</x:v>
      </x:c>
      <x:c r="J858"/>
      <x:c r="K858" t="str">
        <x:v>待归档官方财报</x:v>
      </x:c>
      <x:c r="L858" t="str">
        <x:v>AkShare / Tencent all-A market snapshot</x:v>
      </x:c>
      <x:c r="M858" t="str">
        <x:v>ProxyError: primary market source unavailable; see source_id for full audit.</x:v>
      </x:c>
      <x:c r="N858" t="str">
        <x:v>0</x:v>
      </x:c>
      <x:c r="O858" t="str">
        <x:v>0fd6ad2d-3389-4e70-8974-eb85ee223eeb</x:v>
      </x:c>
      <x:c r="P858" t="str">
        <x:v>2026-09-04</x:v>
      </x:c>
    </x:row>
    <x:row r="859">
      <x:c r="A859" t="str">
        <x:v>重点观察</x:v>
      </x:c>
      <x:c r="B859" t="str">
        <x:v>补全 PB、财报，等待Agent自动验证</x:v>
      </x:c>
      <x:c r="C859" t="str">
        <x:v>603402</x:v>
      </x:c>
      <x:c r="D859" t="str">
        <x:v>陕西旅游</x:v>
      </x:c>
      <x:c r="E859" t="str">
        <x:v>主板</x:v>
      </x:c>
      <x:c r="F859" t="str">
        <x:v>待行业映射</x:v>
      </x:c>
      <x:c r="G859" t="str">
        <x:v>当前全市场行情快照缺少 PB；只能作为待补全研究队列，不得按完整估值条件生成交易建议。</x:v>
      </x:c>
      <x:c r="H859" t="n">
        <x:v>72.77</x:v>
      </x:c>
      <x:c r="I859" t="n">
        <x:v>24.03</x:v>
      </x:c>
      <x:c r="J859"/>
      <x:c r="K859" t="str">
        <x:v>待归档官方财报</x:v>
      </x:c>
      <x:c r="L859" t="str">
        <x:v>AkShare / Tencent all-A market snapshot</x:v>
      </x:c>
      <x:c r="M859" t="str">
        <x:v>ProxyError: primary market source unavailable; see source_id for full audit.</x:v>
      </x:c>
      <x:c r="N859" t="str">
        <x:v>0</x:v>
      </x:c>
      <x:c r="O859" t="str">
        <x:v>0fd6ad2d-3389-4e70-8974-eb85ee223eeb</x:v>
      </x:c>
      <x:c r="P859" t="str">
        <x:v>2026-09-04</x:v>
      </x:c>
    </x:row>
    <x:row r="860">
      <x:c r="A860" t="str">
        <x:v>重点观察</x:v>
      </x:c>
      <x:c r="B860" t="str">
        <x:v>补全 PB、财报，等待Agent自动验证</x:v>
      </x:c>
      <x:c r="C860" t="str">
        <x:v>301371</x:v>
      </x:c>
      <x:c r="D860" t="str">
        <x:v>敷尔佳</x:v>
      </x:c>
      <x:c r="E860" t="str">
        <x:v>创业板</x:v>
      </x:c>
      <x:c r="F860" t="str">
        <x:v>待行业映射</x:v>
      </x:c>
      <x:c r="G860" t="str">
        <x:v>当前全市场行情快照缺少 PB；只能作为待补全研究队列，不得按完整估值条件生成交易建议。</x:v>
      </x:c>
      <x:c r="H860" t="n">
        <x:v>21.68</x:v>
      </x:c>
      <x:c r="I860" t="n">
        <x:v>24.57</x:v>
      </x:c>
      <x:c r="J860"/>
      <x:c r="K860" t="str">
        <x:v>待归档官方财报</x:v>
      </x:c>
      <x:c r="L860" t="str">
        <x:v>AkShare / Tencent all-A market snapshot</x:v>
      </x:c>
      <x:c r="M860" t="str">
        <x:v>ProxyError: primary market source unavailable; see source_id for full audit.</x:v>
      </x:c>
      <x:c r="N860" t="str">
        <x:v>0</x:v>
      </x:c>
      <x:c r="O860" t="str">
        <x:v>0fd6ad2d-3389-4e70-8974-eb85ee223eeb</x:v>
      </x:c>
      <x:c r="P860" t="str">
        <x:v>2026-09-04</x:v>
      </x:c>
    </x:row>
    <x:row r="861">
      <x:c r="A861" t="str">
        <x:v>重点观察</x:v>
      </x:c>
      <x:c r="B861" t="str">
        <x:v>补全 PB、财报，等待Agent自动验证</x:v>
      </x:c>
      <x:c r="C861" t="str">
        <x:v>300130</x:v>
      </x:c>
      <x:c r="D861" t="str">
        <x:v>新国都</x:v>
      </x:c>
      <x:c r="E861" t="str">
        <x:v>创业板</x:v>
      </x:c>
      <x:c r="F861" t="str">
        <x:v>待行业映射</x:v>
      </x:c>
      <x:c r="G861" t="str">
        <x:v>当前全市场行情快照缺少 PB；只能作为待补全研究队列，不得按完整估值条件生成交易建议。</x:v>
      </x:c>
      <x:c r="H861" t="n">
        <x:v>20.22</x:v>
      </x:c>
      <x:c r="I861" t="n">
        <x:v>24.71</x:v>
      </x:c>
      <x:c r="J861"/>
      <x:c r="K861" t="str">
        <x:v>待归档官方财报</x:v>
      </x:c>
      <x:c r="L861" t="str">
        <x:v>AkShare / Tencent all-A market snapshot</x:v>
      </x:c>
      <x:c r="M861" t="str">
        <x:v>ProxyError: primary market source unavailable; see source_id for full audit.</x:v>
      </x:c>
      <x:c r="N861" t="str">
        <x:v>0</x:v>
      </x:c>
      <x:c r="O861" t="str">
        <x:v>0fd6ad2d-3389-4e70-8974-eb85ee223eeb</x:v>
      </x:c>
      <x:c r="P861" t="str">
        <x:v>2026-09-04</x:v>
      </x:c>
    </x:row>
    <x:row r="862">
      <x:c r="A862" t="str">
        <x:v>重点观察</x:v>
      </x:c>
      <x:c r="B862" t="str">
        <x:v>补全 PB、财报，等待Agent自动验证</x:v>
      </x:c>
      <x:c r="C862" t="str">
        <x:v>603380</x:v>
      </x:c>
      <x:c r="D862" t="str">
        <x:v>易德龙</x:v>
      </x:c>
      <x:c r="E862" t="str">
        <x:v>主板</x:v>
      </x:c>
      <x:c r="F862" t="str">
        <x:v>待行业映射</x:v>
      </x:c>
      <x:c r="G862" t="str">
        <x:v>当前全市场行情快照缺少 PB；只能作为待补全研究队列，不得按完整估值条件生成交易建议。</x:v>
      </x:c>
      <x:c r="H862" t="n">
        <x:v>33.22</x:v>
      </x:c>
      <x:c r="I862" t="n">
        <x:v>23.89</x:v>
      </x:c>
      <x:c r="J862"/>
      <x:c r="K862" t="str">
        <x:v>待归档官方财报</x:v>
      </x:c>
      <x:c r="L862" t="str">
        <x:v>AkShare / Tencent all-A market snapshot</x:v>
      </x:c>
      <x:c r="M862" t="str">
        <x:v>ProxyError: primary market source unavailable; see source_id for full audit.</x:v>
      </x:c>
      <x:c r="N862" t="str">
        <x:v>0</x:v>
      </x:c>
      <x:c r="O862" t="str">
        <x:v>0fd6ad2d-3389-4e70-8974-eb85ee223eeb</x:v>
      </x:c>
      <x:c r="P862" t="str">
        <x:v>2026-09-04</x:v>
      </x:c>
    </x:row>
    <x:row r="863">
      <x:c r="A863" t="str">
        <x:v>重点观察</x:v>
      </x:c>
      <x:c r="B863" t="str">
        <x:v>补全 PB、财报，等待Agent自动验证</x:v>
      </x:c>
      <x:c r="C863" t="str">
        <x:v>301376</x:v>
      </x:c>
      <x:c r="D863" t="str">
        <x:v>致欧科技</x:v>
      </x:c>
      <x:c r="E863" t="str">
        <x:v>创业板</x:v>
      </x:c>
      <x:c r="F863" t="str">
        <x:v>待行业映射</x:v>
      </x:c>
      <x:c r="G863" t="str">
        <x:v>当前全市场行情快照缺少 PB；只能作为待补全研究队列，不得按完整估值条件生成交易建议。</x:v>
      </x:c>
      <x:c r="H863" t="n">
        <x:v>23.8</x:v>
      </x:c>
      <x:c r="I863" t="n">
        <x:v>24.48</x:v>
      </x:c>
      <x:c r="J863"/>
      <x:c r="K863" t="str">
        <x:v>待归档官方财报</x:v>
      </x:c>
      <x:c r="L863" t="str">
        <x:v>AkShare / Tencent all-A market snapshot</x:v>
      </x:c>
      <x:c r="M863" t="str">
        <x:v>ProxyError: primary market source unavailable; see source_id for full audit.</x:v>
      </x:c>
      <x:c r="N863" t="str">
        <x:v>0</x:v>
      </x:c>
      <x:c r="O863" t="str">
        <x:v>0fd6ad2d-3389-4e70-8974-eb85ee223eeb</x:v>
      </x:c>
      <x:c r="P863" t="str">
        <x:v>2026-09-04</x:v>
      </x:c>
    </x:row>
    <x:row r="864">
      <x:c r="A864" t="str">
        <x:v>重点观察</x:v>
      </x:c>
      <x:c r="B864" t="str">
        <x:v>补全 PB、财报，等待Agent自动验证</x:v>
      </x:c>
      <x:c r="C864" t="str">
        <x:v>600366</x:v>
      </x:c>
      <x:c r="D864" t="str">
        <x:v>宁波韵升</x:v>
      </x:c>
      <x:c r="E864" t="str">
        <x:v>主板</x:v>
      </x:c>
      <x:c r="F864" t="str">
        <x:v>待行业映射</x:v>
      </x:c>
      <x:c r="G864" t="str">
        <x:v>当前全市场行情快照缺少 PB；只能作为待补全研究队列，不得按完整估值条件生成交易建议。</x:v>
      </x:c>
      <x:c r="H864" t="n">
        <x:v>11.25</x:v>
      </x:c>
      <x:c r="I864" t="n">
        <x:v>24.87</x:v>
      </x:c>
      <x:c r="J864"/>
      <x:c r="K864" t="str">
        <x:v>待归档官方财报</x:v>
      </x:c>
      <x:c r="L864" t="str">
        <x:v>AkShare / Tencent all-A market snapshot</x:v>
      </x:c>
      <x:c r="M864" t="str">
        <x:v>ProxyError: primary market source unavailable; see source_id for full audit.</x:v>
      </x:c>
      <x:c r="N864" t="str">
        <x:v>0</x:v>
      </x:c>
      <x:c r="O864" t="str">
        <x:v>0fd6ad2d-3389-4e70-8974-eb85ee223eeb</x:v>
      </x:c>
      <x:c r="P864" t="str">
        <x:v>2026-09-04</x:v>
      </x:c>
    </x:row>
    <x:row r="865">
      <x:c r="A865" t="str">
        <x:v>重点观察</x:v>
      </x:c>
      <x:c r="B865" t="str">
        <x:v>补全 PB、财报，等待Agent自动验证</x:v>
      </x:c>
      <x:c r="C865" t="str">
        <x:v>601882</x:v>
      </x:c>
      <x:c r="D865" t="str">
        <x:v>海天精工</x:v>
      </x:c>
      <x:c r="E865" t="str">
        <x:v>主板</x:v>
      </x:c>
      <x:c r="F865" t="str">
        <x:v>待行业映射</x:v>
      </x:c>
      <x:c r="G865" t="str">
        <x:v>当前全市场行情快照缺少 PB；只能作为待补全研究队列，不得按完整估值条件生成交易建议。</x:v>
      </x:c>
      <x:c r="H865" t="n">
        <x:v>22.63</x:v>
      </x:c>
      <x:c r="I865" t="n">
        <x:v>24.87</x:v>
      </x:c>
      <x:c r="J865"/>
      <x:c r="K865" t="str">
        <x:v>待归档官方财报</x:v>
      </x:c>
      <x:c r="L865" t="str">
        <x:v>AkShare / Tencent all-A market snapshot</x:v>
      </x:c>
      <x:c r="M865" t="str">
        <x:v>ProxyError: primary market source unavailable; see source_id for full audit.</x:v>
      </x:c>
      <x:c r="N865" t="str">
        <x:v>0</x:v>
      </x:c>
      <x:c r="O865" t="str">
        <x:v>0fd6ad2d-3389-4e70-8974-eb85ee223eeb</x:v>
      </x:c>
      <x:c r="P865" t="str">
        <x:v>2026-09-04</x:v>
      </x:c>
    </x:row>
    <x:row r="866">
      <x:c r="A866" t="str">
        <x:v>重点观察</x:v>
      </x:c>
      <x:c r="B866" t="str">
        <x:v>补全 PB、财报，等待Agent自动验证</x:v>
      </x:c>
      <x:c r="C866" t="str">
        <x:v>601789</x:v>
      </x:c>
      <x:c r="D866" t="str">
        <x:v>宁波建工</x:v>
      </x:c>
      <x:c r="E866" t="str">
        <x:v>主板</x:v>
      </x:c>
      <x:c r="F866" t="str">
        <x:v>待行业映射</x:v>
      </x:c>
      <x:c r="G866" t="str">
        <x:v>当前全市场行情快照缺少 PB；只能作为待补全研究队列，不得按完整估值条件生成交易建议。</x:v>
      </x:c>
      <x:c r="H866" t="n">
        <x:v>4.33</x:v>
      </x:c>
      <x:c r="I866" t="n">
        <x:v>24.24</x:v>
      </x:c>
      <x:c r="J866"/>
      <x:c r="K866" t="str">
        <x:v>待归档官方财报</x:v>
      </x:c>
      <x:c r="L866" t="str">
        <x:v>AkShare / Tencent all-A market snapshot</x:v>
      </x:c>
      <x:c r="M866" t="str">
        <x:v>ProxyError: primary market source unavailable; see source_id for full audit.</x:v>
      </x:c>
      <x:c r="N866" t="str">
        <x:v>0</x:v>
      </x:c>
      <x:c r="O866" t="str">
        <x:v>0fd6ad2d-3389-4e70-8974-eb85ee223eeb</x:v>
      </x:c>
      <x:c r="P866" t="str">
        <x:v>2026-09-04</x:v>
      </x:c>
    </x:row>
    <x:row r="867">
      <x:c r="A867" t="str">
        <x:v>重点观察</x:v>
      </x:c>
      <x:c r="B867" t="str">
        <x:v>补全 PB、财报，等待Agent自动验证</x:v>
      </x:c>
      <x:c r="C867" t="str">
        <x:v>002590</x:v>
      </x:c>
      <x:c r="D867" t="str">
        <x:v>万安科技</x:v>
      </x:c>
      <x:c r="E867" t="str">
        <x:v>主板</x:v>
      </x:c>
      <x:c r="F867" t="str">
        <x:v>待行业映射</x:v>
      </x:c>
      <x:c r="G867" t="str">
        <x:v>当前全市场行情快照缺少 PB；只能作为待补全研究队列，不得按完整估值条件生成交易建议。</x:v>
      </x:c>
      <x:c r="H867" t="n">
        <x:v>10.03</x:v>
      </x:c>
      <x:c r="I867" t="n">
        <x:v>24.11</x:v>
      </x:c>
      <x:c r="J867"/>
      <x:c r="K867" t="str">
        <x:v>待归档官方财报</x:v>
      </x:c>
      <x:c r="L867" t="str">
        <x:v>AkShare / Tencent all-A market snapshot</x:v>
      </x:c>
      <x:c r="M867" t="str">
        <x:v>ProxyError: primary market source unavailable; see source_id for full audit.</x:v>
      </x:c>
      <x:c r="N867" t="str">
        <x:v>0</x:v>
      </x:c>
      <x:c r="O867" t="str">
        <x:v>0fd6ad2d-3389-4e70-8974-eb85ee223eeb</x:v>
      </x:c>
      <x:c r="P867" t="str">
        <x:v>2026-09-04</x:v>
      </x:c>
    </x:row>
    <x:row r="868">
      <x:c r="A868" t="str">
        <x:v>重点观察</x:v>
      </x:c>
      <x:c r="B868" t="str">
        <x:v>补全 PB、财报，等待Agent自动验证</x:v>
      </x:c>
      <x:c r="C868" t="str">
        <x:v>002727</x:v>
      </x:c>
      <x:c r="D868" t="str">
        <x:v>一心堂</x:v>
      </x:c>
      <x:c r="E868" t="str">
        <x:v>主板</x:v>
      </x:c>
      <x:c r="F868" t="str">
        <x:v>待行业映射</x:v>
      </x:c>
      <x:c r="G868" t="str">
        <x:v>当前全市场行情快照缺少 PB；只能作为待补全研究队列，不得按完整估值条件生成交易建议。</x:v>
      </x:c>
      <x:c r="H868" t="n">
        <x:v>11.26</x:v>
      </x:c>
      <x:c r="I868" t="n">
        <x:v>24.37</x:v>
      </x:c>
      <x:c r="J868"/>
      <x:c r="K868" t="str">
        <x:v>待归档官方财报</x:v>
      </x:c>
      <x:c r="L868" t="str">
        <x:v>AkShare / Tencent all-A market snapshot</x:v>
      </x:c>
      <x:c r="M868" t="str">
        <x:v>ProxyError: primary market source unavailable; see source_id for full audit.</x:v>
      </x:c>
      <x:c r="N868" t="str">
        <x:v>0</x:v>
      </x:c>
      <x:c r="O868" t="str">
        <x:v>0fd6ad2d-3389-4e70-8974-eb85ee223eeb</x:v>
      </x:c>
      <x:c r="P868" t="str">
        <x:v>2026-09-04</x:v>
      </x:c>
    </x:row>
    <x:row r="869">
      <x:c r="A869" t="str">
        <x:v>重点观察</x:v>
      </x:c>
      <x:c r="B869" t="str">
        <x:v>补全 PB、财报，等待Agent自动验证</x:v>
      </x:c>
      <x:c r="C869" t="str">
        <x:v>601890</x:v>
      </x:c>
      <x:c r="D869" t="str">
        <x:v>亚星锚链</x:v>
      </x:c>
      <x:c r="E869" t="str">
        <x:v>主板</x:v>
      </x:c>
      <x:c r="F869" t="str">
        <x:v>待行业映射</x:v>
      </x:c>
      <x:c r="G869" t="str">
        <x:v>当前全市场行情快照缺少 PB；只能作为待补全研究队列，不得按完整估值条件生成交易建议。</x:v>
      </x:c>
      <x:c r="H869" t="n">
        <x:v>9.15</x:v>
      </x:c>
      <x:c r="I869" t="n">
        <x:v>24.68</x:v>
      </x:c>
      <x:c r="J869"/>
      <x:c r="K869" t="str">
        <x:v>待归档官方财报</x:v>
      </x:c>
      <x:c r="L869" t="str">
        <x:v>AkShare / Tencent all-A market snapshot</x:v>
      </x:c>
      <x:c r="M869" t="str">
        <x:v>ProxyError: primary market source unavailable; see source_id for full audit.</x:v>
      </x:c>
      <x:c r="N869" t="str">
        <x:v>0</x:v>
      </x:c>
      <x:c r="O869" t="str">
        <x:v>0fd6ad2d-3389-4e70-8974-eb85ee223eeb</x:v>
      </x:c>
      <x:c r="P869" t="str">
        <x:v>2026-09-04</x:v>
      </x:c>
    </x:row>
    <x:row r="870">
      <x:c r="A870" t="str">
        <x:v>重点观察</x:v>
      </x:c>
      <x:c r="B870" t="str">
        <x:v>补全 PB、财报，等待Agent自动验证</x:v>
      </x:c>
      <x:c r="C870" t="str">
        <x:v>300444</x:v>
      </x:c>
      <x:c r="D870" t="str">
        <x:v>双杰电气</x:v>
      </x:c>
      <x:c r="E870" t="str">
        <x:v>创业板</x:v>
      </x:c>
      <x:c r="F870" t="str">
        <x:v>待行业映射</x:v>
      </x:c>
      <x:c r="G870" t="str">
        <x:v>当前全市场行情快照缺少 PB；只能作为待补全研究队列，不得按完整估值条件生成交易建议。</x:v>
      </x:c>
      <x:c r="H870" t="n">
        <x:v>9.68</x:v>
      </x:c>
      <x:c r="I870" t="n">
        <x:v>24.64</x:v>
      </x:c>
      <x:c r="J870"/>
      <x:c r="K870" t="str">
        <x:v>待归档官方财报</x:v>
      </x:c>
      <x:c r="L870" t="str">
        <x:v>AkShare / Tencent all-A market snapshot</x:v>
      </x:c>
      <x:c r="M870" t="str">
        <x:v>ProxyError: primary market source unavailable; see source_id for full audit.</x:v>
      </x:c>
      <x:c r="N870" t="str">
        <x:v>0</x:v>
      </x:c>
      <x:c r="O870" t="str">
        <x:v>0fd6ad2d-3389-4e70-8974-eb85ee223eeb</x:v>
      </x:c>
      <x:c r="P870" t="str">
        <x:v>2026-09-04</x:v>
      </x:c>
    </x:row>
    <x:row r="871">
      <x:c r="A871" t="str">
        <x:v>重点观察</x:v>
      </x:c>
      <x:c r="B871" t="str">
        <x:v>补全 PB、财报，等待Agent自动验证</x:v>
      </x:c>
      <x:c r="C871" t="str">
        <x:v>688566</x:v>
      </x:c>
      <x:c r="D871" t="str">
        <x:v>吉贝尔</x:v>
      </x:c>
      <x:c r="E871" t="str">
        <x:v>科创板</x:v>
      </x:c>
      <x:c r="F871" t="str">
        <x:v>待行业映射</x:v>
      </x:c>
      <x:c r="G871" t="str">
        <x:v>当前全市场行情快照缺少 PB；只能作为待补全研究队列，不得按完整估值条件生成交易建议。</x:v>
      </x:c>
      <x:c r="H871" t="n">
        <x:v>25.58</x:v>
      </x:c>
      <x:c r="I871" t="n">
        <x:v>24.32</x:v>
      </x:c>
      <x:c r="J871"/>
      <x:c r="K871" t="str">
        <x:v>待归档官方财报</x:v>
      </x:c>
      <x:c r="L871" t="str">
        <x:v>AkShare / Tencent all-A market snapshot</x:v>
      </x:c>
      <x:c r="M871" t="str">
        <x:v>ProxyError: primary market source unavailable; see source_id for full audit.</x:v>
      </x:c>
      <x:c r="N871" t="str">
        <x:v>0</x:v>
      </x:c>
      <x:c r="O871" t="str">
        <x:v>0fd6ad2d-3389-4e70-8974-eb85ee223eeb</x:v>
      </x:c>
      <x:c r="P871" t="str">
        <x:v>2026-09-04</x:v>
      </x:c>
    </x:row>
    <x:row r="872">
      <x:c r="A872" t="str">
        <x:v>重点观察</x:v>
      </x:c>
      <x:c r="B872" t="str">
        <x:v>补全 PB、财报，等待Agent自动验证</x:v>
      </x:c>
      <x:c r="C872" t="str">
        <x:v>000888</x:v>
      </x:c>
      <x:c r="D872" t="str">
        <x:v>峨眉山Ａ</x:v>
      </x:c>
      <x:c r="E872" t="str">
        <x:v>主板</x:v>
      </x:c>
      <x:c r="F872" t="str">
        <x:v>待行业映射</x:v>
      </x:c>
      <x:c r="G872" t="str">
        <x:v>当前全市场行情快照缺少 PB；只能作为待补全研究队列，不得按完整估值条件生成交易建议。</x:v>
      </x:c>
      <x:c r="H872" t="n">
        <x:v>10.3</x:v>
      </x:c>
      <x:c r="I872" t="n">
        <x:v>24.52</x:v>
      </x:c>
      <x:c r="J872"/>
      <x:c r="K872" t="str">
        <x:v>待归档官方财报</x:v>
      </x:c>
      <x:c r="L872" t="str">
        <x:v>AkShare / Tencent all-A market snapshot</x:v>
      </x:c>
      <x:c r="M872" t="str">
        <x:v>ProxyError: primary market source unavailable; see source_id for full audit.</x:v>
      </x:c>
      <x:c r="N872" t="str">
        <x:v>0</x:v>
      </x:c>
      <x:c r="O872" t="str">
        <x:v>0fd6ad2d-3389-4e70-8974-eb85ee223eeb</x:v>
      </x:c>
      <x:c r="P872" t="str">
        <x:v>2026-09-04</x:v>
      </x:c>
    </x:row>
    <x:row r="873">
      <x:c r="A873" t="str">
        <x:v>重点观察</x:v>
      </x:c>
      <x:c r="B873" t="str">
        <x:v>补全 PB、财报，等待Agent自动验证</x:v>
      </x:c>
      <x:c r="C873" t="str">
        <x:v>300035</x:v>
      </x:c>
      <x:c r="D873" t="str">
        <x:v>中科电气</x:v>
      </x:c>
      <x:c r="E873" t="str">
        <x:v>创业板</x:v>
      </x:c>
      <x:c r="F873" t="str">
        <x:v>待行业映射</x:v>
      </x:c>
      <x:c r="G873" t="str">
        <x:v>当前全市场行情快照缺少 PB；只能作为待补全研究队列，不得按完整估值条件生成交易建议。</x:v>
      </x:c>
      <x:c r="H873" t="n">
        <x:v>12.55</x:v>
      </x:c>
      <x:c r="I873" t="n">
        <x:v>24.96</x:v>
      </x:c>
      <x:c r="J873"/>
      <x:c r="K873" t="str">
        <x:v>待归档官方财报</x:v>
      </x:c>
      <x:c r="L873" t="str">
        <x:v>AkShare / Tencent all-A market snapshot</x:v>
      </x:c>
      <x:c r="M873" t="str">
        <x:v>ProxyError: primary market source unavailable; see source_id for full audit.</x:v>
      </x:c>
      <x:c r="N873" t="str">
        <x:v>0</x:v>
      </x:c>
      <x:c r="O873" t="str">
        <x:v>0fd6ad2d-3389-4e70-8974-eb85ee223eeb</x:v>
      </x:c>
      <x:c r="P873" t="str">
        <x:v>2026-09-04</x:v>
      </x:c>
    </x:row>
    <x:row r="874">
      <x:c r="A874" t="str">
        <x:v>重点观察</x:v>
      </x:c>
      <x:c r="B874" t="str">
        <x:v>补全 PB、财报，等待Agent自动验证</x:v>
      </x:c>
      <x:c r="C874" t="str">
        <x:v>300681</x:v>
      </x:c>
      <x:c r="D874" t="str">
        <x:v>英搏尔</x:v>
      </x:c>
      <x:c r="E874" t="str">
        <x:v>创业板</x:v>
      </x:c>
      <x:c r="F874" t="str">
        <x:v>待行业映射</x:v>
      </x:c>
      <x:c r="G874" t="str">
        <x:v>当前全市场行情快照缺少 PB；只能作为待补全研究队列，不得按完整估值条件生成交易建议。</x:v>
      </x:c>
      <x:c r="H874" t="n">
        <x:v>21.48</x:v>
      </x:c>
      <x:c r="I874" t="n">
        <x:v>24.69</x:v>
      </x:c>
      <x:c r="J874"/>
      <x:c r="K874" t="str">
        <x:v>待归档官方财报</x:v>
      </x:c>
      <x:c r="L874" t="str">
        <x:v>AkShare / Tencent all-A market snapshot</x:v>
      </x:c>
      <x:c r="M874" t="str">
        <x:v>ProxyError: primary market source unavailable; see source_id for full audit.</x:v>
      </x:c>
      <x:c r="N874" t="str">
        <x:v>0</x:v>
      </x:c>
      <x:c r="O874" t="str">
        <x:v>0fd6ad2d-3389-4e70-8974-eb85ee223eeb</x:v>
      </x:c>
      <x:c r="P874" t="str">
        <x:v>2026-09-04</x:v>
      </x:c>
    </x:row>
    <x:row r="875">
      <x:c r="A875" t="str">
        <x:v>重点观察</x:v>
      </x:c>
      <x:c r="B875" t="str">
        <x:v>补全 PB、财报，等待Agent自动验证</x:v>
      </x:c>
      <x:c r="C875" t="str">
        <x:v>300043</x:v>
      </x:c>
      <x:c r="D875" t="str">
        <x:v>星辉娱乐</x:v>
      </x:c>
      <x:c r="E875" t="str">
        <x:v>创业板</x:v>
      </x:c>
      <x:c r="F875" t="str">
        <x:v>待行业映射</x:v>
      </x:c>
      <x:c r="G875" t="str">
        <x:v>当前全市场行情快照缺少 PB；只能作为待补全研究队列，不得按完整估值条件生成交易建议。</x:v>
      </x:c>
      <x:c r="H875" t="n">
        <x:v>4.73</x:v>
      </x:c>
      <x:c r="I875" t="n">
        <x:v>24.62</x:v>
      </x:c>
      <x:c r="J875"/>
      <x:c r="K875" t="str">
        <x:v>待归档官方财报</x:v>
      </x:c>
      <x:c r="L875" t="str">
        <x:v>AkShare / Tencent all-A market snapshot</x:v>
      </x:c>
      <x:c r="M875" t="str">
        <x:v>ProxyError: primary market source unavailable; see source_id for full audit.</x:v>
      </x:c>
      <x:c r="N875" t="str">
        <x:v>0</x:v>
      </x:c>
      <x:c r="O875" t="str">
        <x:v>0fd6ad2d-3389-4e70-8974-eb85ee223eeb</x:v>
      </x:c>
      <x:c r="P875" t="str">
        <x:v>2026-09-04</x:v>
      </x:c>
    </x:row>
    <x:row r="876">
      <x:c r="A876" t="str">
        <x:v>重点观察</x:v>
      </x:c>
      <x:c r="B876" t="str">
        <x:v>补全 PB、财报，等待Agent自动验证</x:v>
      </x:c>
      <x:c r="C876" t="str">
        <x:v>603848</x:v>
      </x:c>
      <x:c r="D876" t="str">
        <x:v>好太太</x:v>
      </x:c>
      <x:c r="E876" t="str">
        <x:v>主板</x:v>
      </x:c>
      <x:c r="F876" t="str">
        <x:v>待行业映射</x:v>
      </x:c>
      <x:c r="G876" t="str">
        <x:v>当前全市场行情快照缺少 PB；只能作为待补全研究队列，不得按完整估值条件生成交易建议。</x:v>
      </x:c>
      <x:c r="H876" t="n">
        <x:v>13.56</x:v>
      </x:c>
      <x:c r="I876" t="n">
        <x:v>24.88</x:v>
      </x:c>
      <x:c r="J876"/>
      <x:c r="K876" t="str">
        <x:v>待归档官方财报</x:v>
      </x:c>
      <x:c r="L876" t="str">
        <x:v>AkShare / Tencent all-A market snapshot</x:v>
      </x:c>
      <x:c r="M876" t="str">
        <x:v>ProxyError: primary market source unavailable; see source_id for full audit.</x:v>
      </x:c>
      <x:c r="N876" t="str">
        <x:v>0</x:v>
      </x:c>
      <x:c r="O876" t="str">
        <x:v>0fd6ad2d-3389-4e70-8974-eb85ee223eeb</x:v>
      </x:c>
      <x:c r="P876" t="str">
        <x:v>2026-09-04</x:v>
      </x:c>
    </x:row>
    <x:row r="877">
      <x:c r="A877" t="str">
        <x:v>重点观察</x:v>
      </x:c>
      <x:c r="B877" t="str">
        <x:v>补全 PB、财报，等待Agent自动验证</x:v>
      </x:c>
      <x:c r="C877" t="str">
        <x:v>603312</x:v>
      </x:c>
      <x:c r="D877" t="str">
        <x:v>西典新能</x:v>
      </x:c>
      <x:c r="E877" t="str">
        <x:v>主板</x:v>
      </x:c>
      <x:c r="F877" t="str">
        <x:v>待行业映射</x:v>
      </x:c>
      <x:c r="G877" t="str">
        <x:v>当前全市场行情快照缺少 PB；只能作为待补全研究队列，不得按完整估值条件生成交易建议。</x:v>
      </x:c>
      <x:c r="H877" t="n">
        <x:v>31.99</x:v>
      </x:c>
      <x:c r="I877" t="n">
        <x:v>24.89</x:v>
      </x:c>
      <x:c r="J877"/>
      <x:c r="K877" t="str">
        <x:v>待归档官方财报</x:v>
      </x:c>
      <x:c r="L877" t="str">
        <x:v>AkShare / Tencent all-A market snapshot</x:v>
      </x:c>
      <x:c r="M877" t="str">
        <x:v>ProxyError: primary market source unavailable; see source_id for full audit.</x:v>
      </x:c>
      <x:c r="N877" t="str">
        <x:v>0</x:v>
      </x:c>
      <x:c r="O877" t="str">
        <x:v>0fd6ad2d-3389-4e70-8974-eb85ee223eeb</x:v>
      </x:c>
      <x:c r="P877" t="str">
        <x:v>2026-09-04</x:v>
      </x:c>
    </x:row>
  </x:sheetData>
  <x:pageMargins left="0.7" right="0.7" top="0.75" bottom="0.75" header="0.3" footer="0.3"/>
</x:worksheet>
</file>

<file path=xl/worksheets/sheet15.xml><?xml version="1.0" encoding="utf-8"?>
<x:worksheet xmlns:x="http://schemas.openxmlformats.org/spreadsheetml/2006/main">
  <x:sheetFormatPr defaultRowHeight="15"/>
  <x:sheetData>
    <x:row r="1">
      <x:c r="A1" t="str">
        <x:v>股票代码</x:v>
      </x:c>
      <x:c r="B1" t="str">
        <x:v>公司名称</x:v>
      </x:c>
      <x:c r="C1" t="str">
        <x:v>上市板块</x:v>
      </x:c>
      <x:c r="D1" t="str">
        <x:v>行业</x:v>
      </x:c>
      <x:c r="E1" t="str">
        <x:v>当前价(元)</x:v>
      </x:c>
      <x:c r="F1" t="str">
        <x:v>PE</x:v>
      </x:c>
      <x:c r="G1" t="str">
        <x:v>PB</x:v>
      </x:c>
      <x:c r="H1" t="str">
        <x:v>总市值(亿元)</x:v>
      </x:c>
      <x:c r="I1" t="str">
        <x:v>初筛评分</x:v>
      </x:c>
      <x:c r="J1" t="str">
        <x:v>状态</x:v>
      </x:c>
      <x:c r="K1" t="str">
        <x:v>行情来源</x:v>
      </x:c>
      <x:c r="L1" t="str">
        <x:v>行情异常</x:v>
      </x:c>
      <x:c r="M1" t="str">
        <x:v>行业映射数量</x:v>
      </x:c>
      <x:c r="N1" t="str">
        <x:v>source_id</x:v>
      </x:c>
      <x:c r="O1" t="str">
        <x:v>筛选日期</x:v>
      </x:c>
    </x:row>
    <x:row r="2">
      <x:c r="A2" t="str">
        <x:v>600015</x:v>
      </x:c>
      <x:c r="B2" t="str">
        <x:v>华夏银行</x:v>
      </x:c>
      <x:c r="C2" t="str">
        <x:v>主板</x:v>
      </x:c>
      <x:c r="D2" t="str">
        <x:v>待行业映射</x:v>
      </x:c>
      <x:c r="E2" t="n">
        <x:v>6.32</x:v>
      </x:c>
      <x:c r="F2" t="n">
        <x:v>4.01</x:v>
      </x:c>
      <x:c r="G2"/>
      <x:c r="H2" t="n">
        <x:v>1005.82</x:v>
      </x:c>
      <x:c r="I2" t="n">
        <x:v>89.57</x:v>
      </x:c>
      <x:c r="J2" t="str">
        <x:v>initial_screen_pending_pb_financial_review</x:v>
      </x:c>
      <x:c r="K2" t="str">
        <x:v>AkShare / Tencent all-A market snapshot</x:v>
      </x:c>
      <x:c r="L2" t="str">
        <x:v>ProxyError: primary market source unavailable; see source_id for full audit.</x:v>
      </x:c>
      <x:c r="M2" t="str">
        <x:v>0</x:v>
      </x:c>
      <x:c r="N2" t="str">
        <x:v>0fd6ad2d-3389-4e70-8974-eb85ee223eeb</x:v>
      </x:c>
      <x:c r="O2" t="str">
        <x:v>2026-09-04</x:v>
      </x:c>
    </x:row>
    <x:row r="3">
      <x:c r="A3" t="str">
        <x:v>601336</x:v>
      </x:c>
      <x:c r="B3" t="str">
        <x:v>新华保险</x:v>
      </x:c>
      <x:c r="C3" t="str">
        <x:v>主板</x:v>
      </x:c>
      <x:c r="D3" t="str">
        <x:v>待行业映射</x:v>
      </x:c>
      <x:c r="E3" t="n">
        <x:v>62.25</x:v>
      </x:c>
      <x:c r="F3" t="n">
        <x:v>4.39</x:v>
      </x:c>
      <x:c r="G3"/>
      <x:c r="H3" t="n">
        <x:v>1941.92</x:v>
      </x:c>
      <x:c r="I3" t="n">
        <x:v>88.59</x:v>
      </x:c>
      <x:c r="J3" t="str">
        <x:v>initial_screen_pending_pb_financial_review</x:v>
      </x:c>
      <x:c r="K3" t="str">
        <x:v>AkShare / Tencent all-A market snapshot</x:v>
      </x:c>
      <x:c r="L3" t="str">
        <x:v>ProxyError: primary market source unavailable; see source_id for full audit.</x:v>
      </x:c>
      <x:c r="M3" t="str">
        <x:v>0</x:v>
      </x:c>
      <x:c r="N3" t="str">
        <x:v>0fd6ad2d-3389-4e70-8974-eb85ee223eeb</x:v>
      </x:c>
      <x:c r="O3" t="str">
        <x:v>2026-09-04</x:v>
      </x:c>
    </x:row>
    <x:row r="4">
      <x:c r="A4" t="str">
        <x:v>601628</x:v>
      </x:c>
      <x:c r="B4" t="str">
        <x:v>中国人寿</x:v>
      </x:c>
      <x:c r="C4" t="str">
        <x:v>主板</x:v>
      </x:c>
      <x:c r="D4" t="str">
        <x:v>待行业映射</x:v>
      </x:c>
      <x:c r="E4" t="n">
        <x:v>39.17</x:v>
      </x:c>
      <x:c r="F4" t="n">
        <x:v>4.47</x:v>
      </x:c>
      <x:c r="G4"/>
      <x:c r="H4" t="n">
        <x:v>11071.28</x:v>
      </x:c>
      <x:c r="I4" t="n">
        <x:v>88.38</x:v>
      </x:c>
      <x:c r="J4" t="str">
        <x:v>initial_screen_pending_pb_financial_review</x:v>
      </x:c>
      <x:c r="K4" t="str">
        <x:v>AkShare / Tencent all-A market snapshot</x:v>
      </x:c>
      <x:c r="L4" t="str">
        <x:v>ProxyError: primary market source unavailable; see source_id for full audit.</x:v>
      </x:c>
      <x:c r="M4" t="str">
        <x:v>0</x:v>
      </x:c>
      <x:c r="N4" t="str">
        <x:v>0fd6ad2d-3389-4e70-8974-eb85ee223eeb</x:v>
      </x:c>
      <x:c r="O4" t="str">
        <x:v>2026-09-04</x:v>
      </x:c>
    </x:row>
    <x:row r="5">
      <x:c r="A5" t="str">
        <x:v>601166</x:v>
      </x:c>
      <x:c r="B5" t="str">
        <x:v>兴业银行</x:v>
      </x:c>
      <x:c r="C5" t="str">
        <x:v>主板</x:v>
      </x:c>
      <x:c r="D5" t="str">
        <x:v>待行业映射</x:v>
      </x:c>
      <x:c r="E5" t="n">
        <x:v>18.22</x:v>
      </x:c>
      <x:c r="F5" t="n">
        <x:v>5.11</x:v>
      </x:c>
      <x:c r="G5"/>
      <x:c r="H5" t="n">
        <x:v>3855.87</x:v>
      </x:c>
      <x:c r="I5" t="n">
        <x:v>86.71</x:v>
      </x:c>
      <x:c r="J5" t="str">
        <x:v>initial_screen_pending_pb_financial_review</x:v>
      </x:c>
      <x:c r="K5" t="str">
        <x:v>AkShare / Tencent all-A market snapshot</x:v>
      </x:c>
      <x:c r="L5" t="str">
        <x:v>ProxyError: primary market source unavailable; see source_id for full audit.</x:v>
      </x:c>
      <x:c r="M5" t="str">
        <x:v>0</x:v>
      </x:c>
      <x:c r="N5" t="str">
        <x:v>0fd6ad2d-3389-4e70-8974-eb85ee223eeb</x:v>
      </x:c>
      <x:c r="O5" t="str">
        <x:v>2026-09-04</x:v>
      </x:c>
    </x:row>
    <x:row r="6">
      <x:c r="A6" t="str">
        <x:v>000001</x:v>
      </x:c>
      <x:c r="B6" t="str">
        <x:v>平安银行</x:v>
      </x:c>
      <x:c r="C6" t="str">
        <x:v>主板</x:v>
      </x:c>
      <x:c r="D6" t="str">
        <x:v>待行业映射</x:v>
      </x:c>
      <x:c r="E6" t="n">
        <x:v>11.89</x:v>
      </x:c>
      <x:c r="F6" t="n">
        <x:v>5.31</x:v>
      </x:c>
      <x:c r="G6"/>
      <x:c r="H6" t="n">
        <x:v>2307.36</x:v>
      </x:c>
      <x:c r="I6" t="n">
        <x:v>86.19</x:v>
      </x:c>
      <x:c r="J6" t="str">
        <x:v>initial_screen_pending_pb_financial_review</x:v>
      </x:c>
      <x:c r="K6" t="str">
        <x:v>AkShare / Tencent all-A market snapshot</x:v>
      </x:c>
      <x:c r="L6" t="str">
        <x:v>ProxyError: primary market source unavailable; see source_id for full audit.</x:v>
      </x:c>
      <x:c r="M6" t="str">
        <x:v>0</x:v>
      </x:c>
      <x:c r="N6" t="str">
        <x:v>0fd6ad2d-3389-4e70-8974-eb85ee223eeb</x:v>
      </x:c>
      <x:c r="O6" t="str">
        <x:v>2026-09-04</x:v>
      </x:c>
    </x:row>
    <x:row r="7">
      <x:c r="A7" t="str">
        <x:v>601390</x:v>
      </x:c>
      <x:c r="B7" t="str">
        <x:v>中国中铁</x:v>
      </x:c>
      <x:c r="C7" t="str">
        <x:v>主板</x:v>
      </x:c>
      <x:c r="D7" t="str">
        <x:v>待行业映射</x:v>
      </x:c>
      <x:c r="E7" t="n">
        <x:v>4.39</x:v>
      </x:c>
      <x:c r="F7" t="n">
        <x:v>5.46</x:v>
      </x:c>
      <x:c r="G7"/>
      <x:c r="H7" t="n">
        <x:v>1076.92</x:v>
      </x:c>
      <x:c r="I7" t="n">
        <x:v>85.8</x:v>
      </x:c>
      <x:c r="J7" t="str">
        <x:v>initial_screen_pending_pb_financial_review</x:v>
      </x:c>
      <x:c r="K7" t="str">
        <x:v>AkShare / Tencent all-A market snapshot</x:v>
      </x:c>
      <x:c r="L7" t="str">
        <x:v>ProxyError: primary market source unavailable; see source_id for full audit.</x:v>
      </x:c>
      <x:c r="M7" t="str">
        <x:v>0</x:v>
      </x:c>
      <x:c r="N7" t="str">
        <x:v>0fd6ad2d-3389-4e70-8974-eb85ee223eeb</x:v>
      </x:c>
      <x:c r="O7" t="str">
        <x:v>2026-09-04</x:v>
      </x:c>
    </x:row>
    <x:row r="8">
      <x:c r="A8" t="str">
        <x:v>601818</x:v>
      </x:c>
      <x:c r="B8" t="str">
        <x:v>光大银行</x:v>
      </x:c>
      <x:c r="C8" t="str">
        <x:v>主板</x:v>
      </x:c>
      <x:c r="D8" t="str">
        <x:v>待行业映射</x:v>
      </x:c>
      <x:c r="E8" t="n">
        <x:v>3.05</x:v>
      </x:c>
      <x:c r="F8" t="n">
        <x:v>5.48</x:v>
      </x:c>
      <x:c r="G8"/>
      <x:c r="H8" t="n">
        <x:v>1802.11</x:v>
      </x:c>
      <x:c r="I8" t="n">
        <x:v>85.75</x:v>
      </x:c>
      <x:c r="J8" t="str">
        <x:v>initial_screen_pending_pb_financial_review</x:v>
      </x:c>
      <x:c r="K8" t="str">
        <x:v>AkShare / Tencent all-A market snapshot</x:v>
      </x:c>
      <x:c r="L8" t="str">
        <x:v>ProxyError: primary market source unavailable; see source_id for full audit.</x:v>
      </x:c>
      <x:c r="M8" t="str">
        <x:v>0</x:v>
      </x:c>
      <x:c r="N8" t="str">
        <x:v>0fd6ad2d-3389-4e70-8974-eb85ee223eeb</x:v>
      </x:c>
      <x:c r="O8" t="str">
        <x:v>2026-09-04</x:v>
      </x:c>
    </x:row>
    <x:row r="9">
      <x:c r="A9" t="str">
        <x:v>600016</x:v>
      </x:c>
      <x:c r="B9" t="str">
        <x:v>民生银行</x:v>
      </x:c>
      <x:c r="C9" t="str">
        <x:v>主板</x:v>
      </x:c>
      <x:c r="D9" t="str">
        <x:v>待行业映射</x:v>
      </x:c>
      <x:c r="E9" t="n">
        <x:v>3.61</x:v>
      </x:c>
      <x:c r="F9" t="n">
        <x:v>5.5</x:v>
      </x:c>
      <x:c r="G9"/>
      <x:c r="H9" t="n">
        <x:v>1580.55</x:v>
      </x:c>
      <x:c r="I9" t="n">
        <x:v>85.7</x:v>
      </x:c>
      <x:c r="J9" t="str">
        <x:v>initial_screen_pending_pb_financial_review</x:v>
      </x:c>
      <x:c r="K9" t="str">
        <x:v>AkShare / Tencent all-A market snapshot</x:v>
      </x:c>
      <x:c r="L9" t="str">
        <x:v>ProxyError: primary market source unavailable; see source_id for full audit.</x:v>
      </x:c>
      <x:c r="M9" t="str">
        <x:v>0</x:v>
      </x:c>
      <x:c r="N9" t="str">
        <x:v>0fd6ad2d-3389-4e70-8974-eb85ee223eeb</x:v>
      </x:c>
      <x:c r="O9" t="str">
        <x:v>2026-09-04</x:v>
      </x:c>
    </x:row>
    <x:row r="10">
      <x:c r="A10" t="str">
        <x:v>601229</x:v>
      </x:c>
      <x:c r="B10" t="str">
        <x:v>上海银行</x:v>
      </x:c>
      <x:c r="C10" t="str">
        <x:v>主板</x:v>
      </x:c>
      <x:c r="D10" t="str">
        <x:v>待行业映射</x:v>
      </x:c>
      <x:c r="E10" t="n">
        <x:v>9.61</x:v>
      </x:c>
      <x:c r="F10" t="n">
        <x:v>5.63</x:v>
      </x:c>
      <x:c r="G10"/>
      <x:c r="H10" t="n">
        <x:v>1365.49</x:v>
      </x:c>
      <x:c r="I10" t="n">
        <x:v>85.36</x:v>
      </x:c>
      <x:c r="J10" t="str">
        <x:v>initial_screen_pending_pb_financial_review</x:v>
      </x:c>
      <x:c r="K10" t="str">
        <x:v>AkShare / Tencent all-A market snapshot</x:v>
      </x:c>
      <x:c r="L10" t="str">
        <x:v>ProxyError: primary market source unavailable; see source_id for full audit.</x:v>
      </x:c>
      <x:c r="M10" t="str">
        <x:v>0</x:v>
      </x:c>
      <x:c r="N10" t="str">
        <x:v>0fd6ad2d-3389-4e70-8974-eb85ee223eeb</x:v>
      </x:c>
      <x:c r="O10" t="str">
        <x:v>2026-09-04</x:v>
      </x:c>
    </x:row>
    <x:row r="11">
      <x:c r="A11" t="str">
        <x:v>601169</x:v>
      </x:c>
      <x:c r="B11" t="str">
        <x:v>北京银行</x:v>
      </x:c>
      <x:c r="C11" t="str">
        <x:v>主板</x:v>
      </x:c>
      <x:c r="D11" t="str">
        <x:v>待行业映射</x:v>
      </x:c>
      <x:c r="E11" t="n">
        <x:v>5.6</x:v>
      </x:c>
      <x:c r="F11" t="n">
        <x:v>5.66</x:v>
      </x:c>
      <x:c r="G11"/>
      <x:c r="H11" t="n">
        <x:v>1184.01</x:v>
      </x:c>
      <x:c r="I11" t="n">
        <x:v>85.28</x:v>
      </x:c>
      <x:c r="J11" t="str">
        <x:v>initial_screen_pending_pb_financial_review</x:v>
      </x:c>
      <x:c r="K11" t="str">
        <x:v>AkShare / Tencent all-A market snapshot</x:v>
      </x:c>
      <x:c r="L11" t="str">
        <x:v>ProxyError: primary market source unavailable; see source_id for full audit.</x:v>
      </x:c>
      <x:c r="M11" t="str">
        <x:v>0</x:v>
      </x:c>
      <x:c r="N11" t="str">
        <x:v>0fd6ad2d-3389-4e70-8974-eb85ee223eeb</x:v>
      </x:c>
      <x:c r="O11" t="str">
        <x:v>2026-09-04</x:v>
      </x:c>
    </x:row>
    <x:row r="12">
      <x:c r="A12" t="str">
        <x:v>601668</x:v>
      </x:c>
      <x:c r="B12" t="str">
        <x:v>中国建筑</x:v>
      </x:c>
      <x:c r="C12" t="str">
        <x:v>主板</x:v>
      </x:c>
      <x:c r="D12" t="str">
        <x:v>待行业映射</x:v>
      </x:c>
      <x:c r="E12" t="n">
        <x:v>4.4</x:v>
      </x:c>
      <x:c r="F12" t="n">
        <x:v>5.74</x:v>
      </x:c>
      <x:c r="G12"/>
      <x:c r="H12" t="n">
        <x:v>1818.1</x:v>
      </x:c>
      <x:c r="I12" t="n">
        <x:v>85.08</x:v>
      </x:c>
      <x:c r="J12" t="str">
        <x:v>initial_screen_pending_pb_financial_review</x:v>
      </x:c>
      <x:c r="K12" t="str">
        <x:v>AkShare / Tencent all-A market snapshot</x:v>
      </x:c>
      <x:c r="L12" t="str">
        <x:v>ProxyError: primary market source unavailable; see source_id for full audit.</x:v>
      </x:c>
      <x:c r="M12" t="str">
        <x:v>0</x:v>
      </x:c>
      <x:c r="N12" t="str">
        <x:v>0fd6ad2d-3389-4e70-8974-eb85ee223eeb</x:v>
      </x:c>
      <x:c r="O12" t="str">
        <x:v>2026-09-04</x:v>
      </x:c>
    </x:row>
    <x:row r="13">
      <x:c r="A13" t="str">
        <x:v>601601</x:v>
      </x:c>
      <x:c r="B13" t="str">
        <x:v>中国太保</x:v>
      </x:c>
      <x:c r="C13" t="str">
        <x:v>主板</x:v>
      </x:c>
      <x:c r="D13" t="str">
        <x:v>待行业映射</x:v>
      </x:c>
      <x:c r="E13" t="n">
        <x:v>34.21</x:v>
      </x:c>
      <x:c r="F13" t="n">
        <x:v>5.84</x:v>
      </x:c>
      <x:c r="G13"/>
      <x:c r="H13" t="n">
        <x:v>3291.12</x:v>
      </x:c>
      <x:c r="I13" t="n">
        <x:v>84.82</x:v>
      </x:c>
      <x:c r="J13" t="str">
        <x:v>initial_screen_pending_pb_financial_review</x:v>
      </x:c>
      <x:c r="K13" t="str">
        <x:v>AkShare / Tencent all-A market snapshot</x:v>
      </x:c>
      <x:c r="L13" t="str">
        <x:v>ProxyError: primary market source unavailable; see source_id for full audit.</x:v>
      </x:c>
      <x:c r="M13" t="str">
        <x:v>0</x:v>
      </x:c>
      <x:c r="N13" t="str">
        <x:v>0fd6ad2d-3389-4e70-8974-eb85ee223eeb</x:v>
      </x:c>
      <x:c r="O13" t="str">
        <x:v>2026-09-04</x:v>
      </x:c>
    </x:row>
    <x:row r="14">
      <x:c r="A14" t="str">
        <x:v>600000</x:v>
      </x:c>
      <x:c r="B14" t="str">
        <x:v>浦发银行</x:v>
      </x:c>
      <x:c r="C14" t="str">
        <x:v>主板</x:v>
      </x:c>
      <x:c r="D14" t="str">
        <x:v>待行业映射</x:v>
      </x:c>
      <x:c r="E14" t="n">
        <x:v>9.43</x:v>
      </x:c>
      <x:c r="F14" t="n">
        <x:v>6.13</x:v>
      </x:c>
      <x:c r="G14"/>
      <x:c r="H14" t="n">
        <x:v>3140.74</x:v>
      </x:c>
      <x:c r="I14" t="n">
        <x:v>84.06</x:v>
      </x:c>
      <x:c r="J14" t="str">
        <x:v>initial_screen_pending_pb_financial_review</x:v>
      </x:c>
      <x:c r="K14" t="str">
        <x:v>AkShare / Tencent all-A market snapshot</x:v>
      </x:c>
      <x:c r="L14" t="str">
        <x:v>ProxyError: primary market source unavailable; see source_id for full audit.</x:v>
      </x:c>
      <x:c r="M14" t="str">
        <x:v>0</x:v>
      </x:c>
      <x:c r="N14" t="str">
        <x:v>0fd6ad2d-3389-4e70-8974-eb85ee223eeb</x:v>
      </x:c>
      <x:c r="O14" t="str">
        <x:v>2026-09-04</x:v>
      </x:c>
    </x:row>
    <x:row r="15">
      <x:c r="A15" t="str">
        <x:v>600926</x:v>
      </x:c>
      <x:c r="B15" t="str">
        <x:v>杭州银行</x:v>
      </x:c>
      <x:c r="C15" t="str">
        <x:v>主板</x:v>
      </x:c>
      <x:c r="D15" t="str">
        <x:v>待行业映射</x:v>
      </x:c>
      <x:c r="E15" t="n">
        <x:v>17.25</x:v>
      </x:c>
      <x:c r="F15" t="n">
        <x:v>6.2</x:v>
      </x:c>
      <x:c r="G15"/>
      <x:c r="H15" t="n">
        <x:v>1250.45</x:v>
      </x:c>
      <x:c r="I15" t="n">
        <x:v>83.88</x:v>
      </x:c>
      <x:c r="J15" t="str">
        <x:v>initial_screen_pending_pb_financial_review</x:v>
      </x:c>
      <x:c r="K15" t="str">
        <x:v>AkShare / Tencent all-A market snapshot</x:v>
      </x:c>
      <x:c r="L15" t="str">
        <x:v>ProxyError: primary market source unavailable; see source_id for full audit.</x:v>
      </x:c>
      <x:c r="M15" t="str">
        <x:v>0</x:v>
      </x:c>
      <x:c r="N15" t="str">
        <x:v>0fd6ad2d-3389-4e70-8974-eb85ee223eeb</x:v>
      </x:c>
      <x:c r="O15" t="str">
        <x:v>2026-09-04</x:v>
      </x:c>
    </x:row>
    <x:row r="16">
      <x:c r="A16" t="str">
        <x:v>601319</x:v>
      </x:c>
      <x:c r="B16" t="str">
        <x:v>中国人保</x:v>
      </x:c>
      <x:c r="C16" t="str">
        <x:v>主板</x:v>
      </x:c>
      <x:c r="D16" t="str">
        <x:v>待行业映射</x:v>
      </x:c>
      <x:c r="E16" t="n">
        <x:v>7.99</x:v>
      </x:c>
      <x:c r="F16" t="n">
        <x:v>6.21</x:v>
      </x:c>
      <x:c r="G16"/>
      <x:c r="H16" t="n">
        <x:v>3533.5</x:v>
      </x:c>
      <x:c r="I16" t="n">
        <x:v>83.85</x:v>
      </x:c>
      <x:c r="J16" t="str">
        <x:v>initial_screen_pending_pb_financial_review</x:v>
      </x:c>
      <x:c r="K16" t="str">
        <x:v>AkShare / Tencent all-A market snapshot</x:v>
      </x:c>
      <x:c r="L16" t="str">
        <x:v>ProxyError: primary market source unavailable; see source_id for full audit.</x:v>
      </x:c>
      <x:c r="M16" t="str">
        <x:v>0</x:v>
      </x:c>
      <x:c r="N16" t="str">
        <x:v>0fd6ad2d-3389-4e70-8974-eb85ee223eeb</x:v>
      </x:c>
      <x:c r="O16" t="str">
        <x:v>2026-09-04</x:v>
      </x:c>
    </x:row>
    <x:row r="17">
      <x:c r="A17" t="str">
        <x:v>600919</x:v>
      </x:c>
      <x:c r="B17" t="str">
        <x:v>江苏银行</x:v>
      </x:c>
      <x:c r="C17" t="str">
        <x:v>主板</x:v>
      </x:c>
      <x:c r="D17" t="str">
        <x:v>待行业映射</x:v>
      </x:c>
      <x:c r="E17" t="n">
        <x:v>12.28</x:v>
      </x:c>
      <x:c r="F17" t="n">
        <x:v>6.24</x:v>
      </x:c>
      <x:c r="G17"/>
      <x:c r="H17" t="n">
        <x:v>2253.54</x:v>
      </x:c>
      <x:c r="I17" t="n">
        <x:v>83.78</x:v>
      </x:c>
      <x:c r="J17" t="str">
        <x:v>initial_screen_pending_pb_financial_review</x:v>
      </x:c>
      <x:c r="K17" t="str">
        <x:v>AkShare / Tencent all-A market snapshot</x:v>
      </x:c>
      <x:c r="L17" t="str">
        <x:v>ProxyError: primary market source unavailable; see source_id for full audit.</x:v>
      </x:c>
      <x:c r="M17" t="str">
        <x:v>0</x:v>
      </x:c>
      <x:c r="N17" t="str">
        <x:v>0fd6ad2d-3389-4e70-8974-eb85ee223eeb</x:v>
      </x:c>
      <x:c r="O17" t="str">
        <x:v>2026-09-04</x:v>
      </x:c>
    </x:row>
    <x:row r="18">
      <x:c r="A18" t="str">
        <x:v>601009</x:v>
      </x:c>
      <x:c r="B18" t="str">
        <x:v>南京银行</x:v>
      </x:c>
      <x:c r="C18" t="str">
        <x:v>主板</x:v>
      </x:c>
      <x:c r="D18" t="str">
        <x:v>待行业映射</x:v>
      </x:c>
      <x:c r="E18" t="n">
        <x:v>11.98</x:v>
      </x:c>
      <x:c r="F18" t="n">
        <x:v>6.49</x:v>
      </x:c>
      <x:c r="G18"/>
      <x:c r="H18" t="n">
        <x:v>1481.16</x:v>
      </x:c>
      <x:c r="I18" t="n">
        <x:v>83.13</x:v>
      </x:c>
      <x:c r="J18" t="str">
        <x:v>initial_screen_pending_pb_financial_review</x:v>
      </x:c>
      <x:c r="K18" t="str">
        <x:v>AkShare / Tencent all-A market snapshot</x:v>
      </x:c>
      <x:c r="L18" t="str">
        <x:v>ProxyError: primary market source unavailable; see source_id for full audit.</x:v>
      </x:c>
      <x:c r="M18" t="str">
        <x:v>0</x:v>
      </x:c>
      <x:c r="N18" t="str">
        <x:v>0fd6ad2d-3389-4e70-8974-eb85ee223eeb</x:v>
      </x:c>
      <x:c r="O18" t="str">
        <x:v>2026-09-04</x:v>
      </x:c>
    </x:row>
    <x:row r="19">
      <x:c r="A19" t="str">
        <x:v>601318</x:v>
      </x:c>
      <x:c r="B19" t="str">
        <x:v>中国平安</x:v>
      </x:c>
      <x:c r="C19" t="str">
        <x:v>主板</x:v>
      </x:c>
      <x:c r="D19" t="str">
        <x:v>待行业映射</x:v>
      </x:c>
      <x:c r="E19" t="n">
        <x:v>58.24</x:v>
      </x:c>
      <x:c r="F19" t="n">
        <x:v>6.62</x:v>
      </x:c>
      <x:c r="G19"/>
      <x:c r="H19" t="n">
        <x:v>10545.89</x:v>
      </x:c>
      <x:c r="I19" t="n">
        <x:v>82.79</x:v>
      </x:c>
      <x:c r="J19" t="str">
        <x:v>initial_screen_pending_pb_financial_review</x:v>
      </x:c>
      <x:c r="K19" t="str">
        <x:v>AkShare / Tencent all-A market snapshot</x:v>
      </x:c>
      <x:c r="L19" t="str">
        <x:v>ProxyError: primary market source unavailable; see source_id for full audit.</x:v>
      </x:c>
      <x:c r="M19" t="str">
        <x:v>0</x:v>
      </x:c>
      <x:c r="N19" t="str">
        <x:v>0fd6ad2d-3389-4e70-8974-eb85ee223eeb</x:v>
      </x:c>
      <x:c r="O19" t="str">
        <x:v>2026-09-04</x:v>
      </x:c>
    </x:row>
    <x:row r="20">
      <x:c r="A20" t="str">
        <x:v>601328</x:v>
      </x:c>
      <x:c r="B20" t="str">
        <x:v>交通银行</x:v>
      </x:c>
      <x:c r="C20" t="str">
        <x:v>主板</x:v>
      </x:c>
      <x:c r="D20" t="str">
        <x:v>待行业映射</x:v>
      </x:c>
      <x:c r="E20" t="n">
        <x:v>7.42</x:v>
      </x:c>
      <x:c r="F20" t="n">
        <x:v>6.73</x:v>
      </x:c>
      <x:c r="G20"/>
      <x:c r="H20" t="n">
        <x:v>6556.59</x:v>
      </x:c>
      <x:c r="I20" t="n">
        <x:v>82.5</x:v>
      </x:c>
      <x:c r="J20" t="str">
        <x:v>initial_screen_pending_pb_financial_review</x:v>
      </x:c>
      <x:c r="K20" t="str">
        <x:v>AkShare / Tencent all-A market snapshot</x:v>
      </x:c>
      <x:c r="L20" t="str">
        <x:v>ProxyError: primary market source unavailable; see source_id for full audit.</x:v>
      </x:c>
      <x:c r="M20" t="str">
        <x:v>0</x:v>
      </x:c>
      <x:c r="N20" t="str">
        <x:v>0fd6ad2d-3389-4e70-8974-eb85ee223eeb</x:v>
      </x:c>
      <x:c r="O20" t="str">
        <x:v>2026-09-04</x:v>
      </x:c>
    </x:row>
    <x:row r="21">
      <x:c r="A21" t="str">
        <x:v>601998</x:v>
      </x:c>
      <x:c r="B21" t="str">
        <x:v>中信银行</x:v>
      </x:c>
      <x:c r="C21" t="str">
        <x:v>主板</x:v>
      </x:c>
      <x:c r="D21" t="str">
        <x:v>待行业映射</x:v>
      </x:c>
      <x:c r="E21" t="n">
        <x:v>8.89</x:v>
      </x:c>
      <x:c r="F21" t="n">
        <x:v>6.9</x:v>
      </x:c>
      <x:c r="G21"/>
      <x:c r="H21" t="n">
        <x:v>4946.85</x:v>
      </x:c>
      <x:c r="I21" t="n">
        <x:v>82.06</x:v>
      </x:c>
      <x:c r="J21" t="str">
        <x:v>initial_screen_pending_pb_financial_review</x:v>
      </x:c>
      <x:c r="K21" t="str">
        <x:v>AkShare / Tencent all-A market snapshot</x:v>
      </x:c>
      <x:c r="L21" t="str">
        <x:v>ProxyError: primary market source unavailable; see source_id for full audit.</x:v>
      </x:c>
      <x:c r="M21" t="str">
        <x:v>0</x:v>
      </x:c>
      <x:c r="N21" t="str">
        <x:v>0fd6ad2d-3389-4e70-8974-eb85ee223eeb</x:v>
      </x:c>
      <x:c r="O21" t="str">
        <x:v>2026-09-04</x:v>
      </x:c>
    </x:row>
    <x:row r="22">
      <x:c r="A22" t="str">
        <x:v>600036</x:v>
      </x:c>
      <x:c r="B22" t="str">
        <x:v>招商银行</x:v>
      </x:c>
      <x:c r="C22" t="str">
        <x:v>主板</x:v>
      </x:c>
      <x:c r="D22" t="str">
        <x:v>待行业映射</x:v>
      </x:c>
      <x:c r="E22" t="n">
        <x:v>41.69</x:v>
      </x:c>
      <x:c r="F22" t="n">
        <x:v>6.93</x:v>
      </x:c>
      <x:c r="G22"/>
      <x:c r="H22" t="n">
        <x:v>10514.15</x:v>
      </x:c>
      <x:c r="I22" t="n">
        <x:v>81.98</x:v>
      </x:c>
      <x:c r="J22" t="str">
        <x:v>initial_screen_pending_pb_financial_review</x:v>
      </x:c>
      <x:c r="K22" t="str">
        <x:v>AkShare / Tencent all-A market snapshot</x:v>
      </x:c>
      <x:c r="L22" t="str">
        <x:v>ProxyError: primary market source unavailable; see source_id for full audit.</x:v>
      </x:c>
      <x:c r="M22" t="str">
        <x:v>0</x:v>
      </x:c>
      <x:c r="N22" t="str">
        <x:v>0fd6ad2d-3389-4e70-8974-eb85ee223eeb</x:v>
      </x:c>
      <x:c r="O22" t="str">
        <x:v>2026-09-04</x:v>
      </x:c>
    </x:row>
    <x:row r="23">
      <x:c r="A23" t="str">
        <x:v>601658</x:v>
      </x:c>
      <x:c r="B23" t="str">
        <x:v>邮储银行</x:v>
      </x:c>
      <x:c r="C23" t="str">
        <x:v>主板</x:v>
      </x:c>
      <x:c r="D23" t="str">
        <x:v>待行业映射</x:v>
      </x:c>
      <x:c r="E23" t="n">
        <x:v>5.42</x:v>
      </x:c>
      <x:c r="F23" t="n">
        <x:v>7.26</x:v>
      </x:c>
      <x:c r="G23"/>
      <x:c r="H23" t="n">
        <x:v>6509.15</x:v>
      </x:c>
      <x:c r="I23" t="n">
        <x:v>81.12</x:v>
      </x:c>
      <x:c r="J23" t="str">
        <x:v>initial_screen_pending_pb_financial_review</x:v>
      </x:c>
      <x:c r="K23" t="str">
        <x:v>AkShare / Tencent all-A market snapshot</x:v>
      </x:c>
      <x:c r="L23" t="str">
        <x:v>ProxyError: primary market source unavailable; see source_id for full audit.</x:v>
      </x:c>
      <x:c r="M23" t="str">
        <x:v>0</x:v>
      </x:c>
      <x:c r="N23" t="str">
        <x:v>0fd6ad2d-3389-4e70-8974-eb85ee223eeb</x:v>
      </x:c>
      <x:c r="O23" t="str">
        <x:v>2026-09-04</x:v>
      </x:c>
    </x:row>
    <x:row r="24">
      <x:c r="A24" t="str">
        <x:v>002142</x:v>
      </x:c>
      <x:c r="B24" t="str">
        <x:v>宁波银行</x:v>
      </x:c>
      <x:c r="C24" t="str">
        <x:v>主板</x:v>
      </x:c>
      <x:c r="D24" t="str">
        <x:v>待行业映射</x:v>
      </x:c>
      <x:c r="E24" t="n">
        <x:v>34.5</x:v>
      </x:c>
      <x:c r="F24" t="n">
        <x:v>7.32</x:v>
      </x:c>
      <x:c r="G24"/>
      <x:c r="H24" t="n">
        <x:v>2278.24</x:v>
      </x:c>
      <x:c r="I24" t="n">
        <x:v>80.97</x:v>
      </x:c>
      <x:c r="J24" t="str">
        <x:v>initial_screen_pending_pb_financial_review</x:v>
      </x:c>
      <x:c r="K24" t="str">
        <x:v>AkShare / Tencent all-A market snapshot</x:v>
      </x:c>
      <x:c r="L24" t="str">
        <x:v>ProxyError: primary market source unavailable; see source_id for full audit.</x:v>
      </x:c>
      <x:c r="M24" t="str">
        <x:v>0</x:v>
      </x:c>
      <x:c r="N24" t="str">
        <x:v>0fd6ad2d-3389-4e70-8974-eb85ee223eeb</x:v>
      </x:c>
      <x:c r="O24" t="str">
        <x:v>2026-09-04</x:v>
      </x:c>
    </x:row>
    <x:row r="25">
      <x:c r="A25" t="str">
        <x:v>601186</x:v>
      </x:c>
      <x:c r="B25" t="str">
        <x:v>中国铁建</x:v>
      </x:c>
      <x:c r="C25" t="str">
        <x:v>主板</x:v>
      </x:c>
      <x:c r="D25" t="str">
        <x:v>待行业映射</x:v>
      </x:c>
      <x:c r="E25" t="n">
        <x:v>6.11</x:v>
      </x:c>
      <x:c r="F25" t="n">
        <x:v>5.07</x:v>
      </x:c>
      <x:c r="G25"/>
      <x:c r="H25" t="n">
        <x:v>829.71</x:v>
      </x:c>
      <x:c r="I25" t="n">
        <x:v>80.86</x:v>
      </x:c>
      <x:c r="J25" t="str">
        <x:v>initial_screen_pending_pb_financial_review</x:v>
      </x:c>
      <x:c r="K25" t="str">
        <x:v>AkShare / Tencent all-A market snapshot</x:v>
      </x:c>
      <x:c r="L25" t="str">
        <x:v>ProxyError: primary market source unavailable; see source_id for full audit.</x:v>
      </x:c>
      <x:c r="M25" t="str">
        <x:v>0</x:v>
      </x:c>
      <x:c r="N25" t="str">
        <x:v>0fd6ad2d-3389-4e70-8974-eb85ee223eeb</x:v>
      </x:c>
      <x:c r="O25" t="str">
        <x:v>2026-09-04</x:v>
      </x:c>
    </x:row>
    <x:row r="26">
      <x:c r="A26" t="str">
        <x:v>601398</x:v>
      </x:c>
      <x:c r="B26" t="str">
        <x:v>工商银行</x:v>
      </x:c>
      <x:c r="C26" t="str">
        <x:v>主板</x:v>
      </x:c>
      <x:c r="D26" t="str">
        <x:v>待行业映射</x:v>
      </x:c>
      <x:c r="E26" t="n">
        <x:v>8.13</x:v>
      </x:c>
      <x:c r="F26" t="n">
        <x:v>7.74</x:v>
      </x:c>
      <x:c r="G26"/>
      <x:c r="H26" t="n">
        <x:v>28975.83</x:v>
      </x:c>
      <x:c r="I26" t="n">
        <x:v>79.88</x:v>
      </x:c>
      <x:c r="J26" t="str">
        <x:v>initial_screen_pending_pb_financial_review</x:v>
      </x:c>
      <x:c r="K26" t="str">
        <x:v>AkShare / Tencent all-A market snapshot</x:v>
      </x:c>
      <x:c r="L26" t="str">
        <x:v>ProxyError: primary market source unavailable; see source_id for full audit.</x:v>
      </x:c>
      <x:c r="M26" t="str">
        <x:v>0</x:v>
      </x:c>
      <x:c r="N26" t="str">
        <x:v>0fd6ad2d-3389-4e70-8974-eb85ee223eeb</x:v>
      </x:c>
      <x:c r="O26" t="str">
        <x:v>2026-09-04</x:v>
      </x:c>
    </x:row>
    <x:row r="27">
      <x:c r="A27" t="str">
        <x:v>000651</x:v>
      </x:c>
      <x:c r="B27" t="str">
        <x:v>格力电器</x:v>
      </x:c>
      <x:c r="C27" t="str">
        <x:v>主板</x:v>
      </x:c>
      <x:c r="D27" t="str">
        <x:v>待行业映射</x:v>
      </x:c>
      <x:c r="E27" t="n">
        <x:v>38.98</x:v>
      </x:c>
      <x:c r="F27" t="n">
        <x:v>7.83</x:v>
      </x:c>
      <x:c r="G27"/>
      <x:c r="H27" t="n">
        <x:v>2183.43</x:v>
      </x:c>
      <x:c r="I27" t="n">
        <x:v>79.64</x:v>
      </x:c>
      <x:c r="J27" t="str">
        <x:v>initial_screen_pending_pb_financial_review</x:v>
      </x:c>
      <x:c r="K27" t="str">
        <x:v>AkShare / Tencent all-A market snapshot</x:v>
      </x:c>
      <x:c r="L27" t="str">
        <x:v>ProxyError: primary market source unavailable; see source_id for full audit.</x:v>
      </x:c>
      <x:c r="M27" t="str">
        <x:v>0</x:v>
      </x:c>
      <x:c r="N27" t="str">
        <x:v>0fd6ad2d-3389-4e70-8974-eb85ee223eeb</x:v>
      </x:c>
      <x:c r="O27" t="str">
        <x:v>2026-09-04</x:v>
      </x:c>
    </x:row>
    <x:row r="28">
      <x:c r="A28" t="str">
        <x:v>601288</x:v>
      </x:c>
      <x:c r="B28" t="str">
        <x:v>农业银行</x:v>
      </x:c>
      <x:c r="C28" t="str">
        <x:v>主板</x:v>
      </x:c>
      <x:c r="D28" t="str">
        <x:v>待行业映射</x:v>
      </x:c>
      <x:c r="E28" t="n">
        <x:v>6.96</x:v>
      </x:c>
      <x:c r="F28" t="n">
        <x:v>8.18</x:v>
      </x:c>
      <x:c r="G28"/>
      <x:c r="H28" t="n">
        <x:v>24358.82</x:v>
      </x:c>
      <x:c r="I28" t="n">
        <x:v>78.73</x:v>
      </x:c>
      <x:c r="J28" t="str">
        <x:v>initial_screen_pending_pb_financial_review</x:v>
      </x:c>
      <x:c r="K28" t="str">
        <x:v>AkShare / Tencent all-A market snapshot</x:v>
      </x:c>
      <x:c r="L28" t="str">
        <x:v>ProxyError: primary market source unavailable; see source_id for full audit.</x:v>
      </x:c>
      <x:c r="M28" t="str">
        <x:v>0</x:v>
      </x:c>
      <x:c r="N28" t="str">
        <x:v>0fd6ad2d-3389-4e70-8974-eb85ee223eeb</x:v>
      </x:c>
      <x:c r="O28" t="str">
        <x:v>2026-09-04</x:v>
      </x:c>
    </x:row>
    <x:row r="29">
      <x:c r="A29" t="str">
        <x:v>601800</x:v>
      </x:c>
      <x:c r="B29" t="str">
        <x:v>中国交建</x:v>
      </x:c>
      <x:c r="C29" t="str">
        <x:v>主板</x:v>
      </x:c>
      <x:c r="D29" t="str">
        <x:v>待行业映射</x:v>
      </x:c>
      <x:c r="E29" t="n">
        <x:v>5.97</x:v>
      </x:c>
      <x:c r="F29" t="n">
        <x:v>7.77</x:v>
      </x:c>
      <x:c r="G29"/>
      <x:c r="H29" t="n">
        <x:v>967.96</x:v>
      </x:c>
      <x:c r="I29" t="n">
        <x:v>78.68</x:v>
      </x:c>
      <x:c r="J29" t="str">
        <x:v>initial_screen_pending_pb_financial_review</x:v>
      </x:c>
      <x:c r="K29" t="str">
        <x:v>AkShare / Tencent all-A market snapshot</x:v>
      </x:c>
      <x:c r="L29" t="str">
        <x:v>ProxyError: primary market source unavailable; see source_id for full audit.</x:v>
      </x:c>
      <x:c r="M29" t="str">
        <x:v>0</x:v>
      </x:c>
      <x:c r="N29" t="str">
        <x:v>0fd6ad2d-3389-4e70-8974-eb85ee223eeb</x:v>
      </x:c>
      <x:c r="O29" t="str">
        <x:v>2026-09-04</x:v>
      </x:c>
    </x:row>
    <x:row r="30">
      <x:c r="A30" t="str">
        <x:v>601939</x:v>
      </x:c>
      <x:c r="B30" t="str">
        <x:v>建设银行</x:v>
      </x:c>
      <x:c r="C30" t="str">
        <x:v>主板</x:v>
      </x:c>
      <x:c r="D30" t="str">
        <x:v>待行业映射</x:v>
      </x:c>
      <x:c r="E30" t="n">
        <x:v>10.98</x:v>
      </x:c>
      <x:c r="F30" t="n">
        <x:v>8.29</x:v>
      </x:c>
      <x:c r="G30"/>
      <x:c r="H30" t="n">
        <x:v>28723.72</x:v>
      </x:c>
      <x:c r="I30" t="n">
        <x:v>78.45</x:v>
      </x:c>
      <x:c r="J30" t="str">
        <x:v>initial_screen_pending_pb_financial_review</x:v>
      </x:c>
      <x:c r="K30" t="str">
        <x:v>AkShare / Tencent all-A market snapshot</x:v>
      </x:c>
      <x:c r="L30" t="str">
        <x:v>ProxyError: primary market source unavailable; see source_id for full audit.</x:v>
      </x:c>
      <x:c r="M30" t="str">
        <x:v>0</x:v>
      </x:c>
      <x:c r="N30" t="str">
        <x:v>0fd6ad2d-3389-4e70-8974-eb85ee223eeb</x:v>
      </x:c>
      <x:c r="O30" t="str">
        <x:v>2026-09-04</x:v>
      </x:c>
    </x:row>
    <x:row r="31">
      <x:c r="A31" t="str">
        <x:v>601838</x:v>
      </x:c>
      <x:c r="B31" t="str">
        <x:v>成都银行</x:v>
      </x:c>
      <x:c r="C31" t="str">
        <x:v>主板</x:v>
      </x:c>
      <x:c r="D31" t="str">
        <x:v>待行业映射</x:v>
      </x:c>
      <x:c r="E31" t="n">
        <x:v>19.49</x:v>
      </x:c>
      <x:c r="F31" t="n">
        <x:v>6.09</x:v>
      </x:c>
      <x:c r="G31"/>
      <x:c r="H31" t="n">
        <x:v>826.07</x:v>
      </x:c>
      <x:c r="I31" t="n">
        <x:v>78.08</x:v>
      </x:c>
      <x:c r="J31" t="str">
        <x:v>initial_screen_pending_pb_financial_review</x:v>
      </x:c>
      <x:c r="K31" t="str">
        <x:v>AkShare / Tencent all-A market snapshot</x:v>
      </x:c>
      <x:c r="L31" t="str">
        <x:v>ProxyError: primary market source unavailable; see source_id for full audit.</x:v>
      </x:c>
      <x:c r="M31" t="str">
        <x:v>0</x:v>
      </x:c>
      <x:c r="N31" t="str">
        <x:v>0fd6ad2d-3389-4e70-8974-eb85ee223eeb</x:v>
      </x:c>
      <x:c r="O31" t="str">
        <x:v>2026-09-04</x:v>
      </x:c>
    </x:row>
    <x:row r="32">
      <x:c r="A32" t="str">
        <x:v>601988</x:v>
      </x:c>
      <x:c r="B32" t="str">
        <x:v>中国银行</x:v>
      </x:c>
      <x:c r="C32" t="str">
        <x:v>主板</x:v>
      </x:c>
      <x:c r="D32" t="str">
        <x:v>待行业映射</x:v>
      </x:c>
      <x:c r="E32" t="n">
        <x:v>6.57</x:v>
      </x:c>
      <x:c r="F32" t="n">
        <x:v>8.5</x:v>
      </x:c>
      <x:c r="G32"/>
      <x:c r="H32" t="n">
        <x:v>21169.36</x:v>
      </x:c>
      <x:c r="I32" t="n">
        <x:v>77.9</x:v>
      </x:c>
      <x:c r="J32" t="str">
        <x:v>initial_screen_pending_pb_financial_review</x:v>
      </x:c>
      <x:c r="K32" t="str">
        <x:v>AkShare / Tencent all-A market snapshot</x:v>
      </x:c>
      <x:c r="L32" t="str">
        <x:v>ProxyError: primary market source unavailable; see source_id for full audit.</x:v>
      </x:c>
      <x:c r="M32" t="str">
        <x:v>0</x:v>
      </x:c>
      <x:c r="N32" t="str">
        <x:v>0fd6ad2d-3389-4e70-8974-eb85ee223eeb</x:v>
      </x:c>
      <x:c r="O32" t="str">
        <x:v>2026-09-04</x:v>
      </x:c>
    </x:row>
    <x:row r="33">
      <x:c r="A33" t="str">
        <x:v>601688</x:v>
      </x:c>
      <x:c r="B33" t="str">
        <x:v>华泰证券</x:v>
      </x:c>
      <x:c r="C33" t="str">
        <x:v>主板</x:v>
      </x:c>
      <x:c r="D33" t="str">
        <x:v>待行业映射</x:v>
      </x:c>
      <x:c r="E33" t="n">
        <x:v>19.56</x:v>
      </x:c>
      <x:c r="F33" t="n">
        <x:v>8.6</x:v>
      </x:c>
      <x:c r="G33"/>
      <x:c r="H33" t="n">
        <x:v>1765.65</x:v>
      </x:c>
      <x:c r="I33" t="n">
        <x:v>77.64</x:v>
      </x:c>
      <x:c r="J33" t="str">
        <x:v>initial_screen_pending_pb_financial_review</x:v>
      </x:c>
      <x:c r="K33" t="str">
        <x:v>AkShare / Tencent all-A market snapshot</x:v>
      </x:c>
      <x:c r="L33" t="str">
        <x:v>ProxyError: primary market source unavailable; see source_id for full audit.</x:v>
      </x:c>
      <x:c r="M33" t="str">
        <x:v>0</x:v>
      </x:c>
      <x:c r="N33" t="str">
        <x:v>0fd6ad2d-3389-4e70-8974-eb85ee223eeb</x:v>
      </x:c>
      <x:c r="O33" t="str">
        <x:v>2026-09-04</x:v>
      </x:c>
    </x:row>
    <x:row r="34">
      <x:c r="A34" t="str">
        <x:v>601916</x:v>
      </x:c>
      <x:c r="B34" t="str">
        <x:v>浙商银行</x:v>
      </x:c>
      <x:c r="C34" t="str">
        <x:v>主板</x:v>
      </x:c>
      <x:c r="D34" t="str">
        <x:v>待行业映射</x:v>
      </x:c>
      <x:c r="E34" t="n">
        <x:v>2.97</x:v>
      </x:c>
      <x:c r="F34" t="n">
        <x:v>6.23</x:v>
      </x:c>
      <x:c r="G34"/>
      <x:c r="H34" t="n">
        <x:v>815.7</x:v>
      </x:c>
      <x:c r="I34" t="n">
        <x:v>77.35</x:v>
      </x:c>
      <x:c r="J34" t="str">
        <x:v>initial_screen_pending_pb_financial_review</x:v>
      </x:c>
      <x:c r="K34" t="str">
        <x:v>AkShare / Tencent all-A market snapshot</x:v>
      </x:c>
      <x:c r="L34" t="str">
        <x:v>ProxyError: primary market source unavailable; see source_id for full audit.</x:v>
      </x:c>
      <x:c r="M34" t="str">
        <x:v>0</x:v>
      </x:c>
      <x:c r="N34" t="str">
        <x:v>0fd6ad2d-3389-4e70-8974-eb85ee223eeb</x:v>
      </x:c>
      <x:c r="O34" t="str">
        <x:v>2026-09-04</x:v>
      </x:c>
    </x:row>
    <x:row r="35">
      <x:c r="A35" t="str">
        <x:v>601825</x:v>
      </x:c>
      <x:c r="B35" t="str">
        <x:v>沪农商行</x:v>
      </x:c>
      <x:c r="C35" t="str">
        <x:v>主板</x:v>
      </x:c>
      <x:c r="D35" t="str">
        <x:v>待行业映射</x:v>
      </x:c>
      <x:c r="E35" t="n">
        <x:v>9.01</x:v>
      </x:c>
      <x:c r="F35" t="n">
        <x:v>7.02</x:v>
      </x:c>
      <x:c r="G35"/>
      <x:c r="H35" t="n">
        <x:v>868.96</x:v>
      </x:c>
      <x:c r="I35" t="n">
        <x:v>77.16</x:v>
      </x:c>
      <x:c r="J35" t="str">
        <x:v>initial_screen_pending_pb_financial_review</x:v>
      </x:c>
      <x:c r="K35" t="str">
        <x:v>AkShare / Tencent all-A market snapshot</x:v>
      </x:c>
      <x:c r="L35" t="str">
        <x:v>ProxyError: primary market source unavailable; see source_id for full audit.</x:v>
      </x:c>
      <x:c r="M35" t="str">
        <x:v>0</x:v>
      </x:c>
      <x:c r="N35" t="str">
        <x:v>0fd6ad2d-3389-4e70-8974-eb85ee223eeb</x:v>
      </x:c>
      <x:c r="O35" t="str">
        <x:v>2026-09-04</x:v>
      </x:c>
    </x:row>
    <x:row r="36">
      <x:c r="A36" t="str">
        <x:v>600018</x:v>
      </x:c>
      <x:c r="B36" t="str">
        <x:v>上港集团</x:v>
      </x:c>
      <x:c r="C36" t="str">
        <x:v>主板</x:v>
      </x:c>
      <x:c r="D36" t="str">
        <x:v>待行业映射</x:v>
      </x:c>
      <x:c r="E36" t="n">
        <x:v>5.43</x:v>
      </x:c>
      <x:c r="F36" t="n">
        <x:v>9</x:v>
      </x:c>
      <x:c r="G36"/>
      <x:c r="H36" t="n">
        <x:v>1264.1</x:v>
      </x:c>
      <x:c r="I36" t="n">
        <x:v>76.6</x:v>
      </x:c>
      <x:c r="J36" t="str">
        <x:v>initial_screen_pending_pb_financial_review</x:v>
      </x:c>
      <x:c r="K36" t="str">
        <x:v>AkShare / Tencent all-A market snapshot</x:v>
      </x:c>
      <x:c r="L36" t="str">
        <x:v>ProxyError: primary market source unavailable; see source_id for full audit.</x:v>
      </x:c>
      <x:c r="M36" t="str">
        <x:v>0</x:v>
      </x:c>
      <x:c r="N36" t="str">
        <x:v>0fd6ad2d-3389-4e70-8974-eb85ee223eeb</x:v>
      </x:c>
      <x:c r="O36" t="str">
        <x:v>2026-09-04</x:v>
      </x:c>
    </x:row>
    <x:row r="37">
      <x:c r="A37" t="str">
        <x:v>600999</x:v>
      </x:c>
      <x:c r="B37" t="str">
        <x:v>招商证券</x:v>
      </x:c>
      <x:c r="C37" t="str">
        <x:v>主板</x:v>
      </x:c>
      <x:c r="D37" t="str">
        <x:v>待行业映射</x:v>
      </x:c>
      <x:c r="E37" t="n">
        <x:v>18.54</x:v>
      </x:c>
      <x:c r="F37" t="n">
        <x:v>9.06</x:v>
      </x:c>
      <x:c r="G37"/>
      <x:c r="H37" t="n">
        <x:v>1612.34</x:v>
      </x:c>
      <x:c r="I37" t="n">
        <x:v>76.44</x:v>
      </x:c>
      <x:c r="J37" t="str">
        <x:v>initial_screen_pending_pb_financial_review</x:v>
      </x:c>
      <x:c r="K37" t="str">
        <x:v>AkShare / Tencent all-A market snapshot</x:v>
      </x:c>
      <x:c r="L37" t="str">
        <x:v>ProxyError: primary market source unavailable; see source_id for full audit.</x:v>
      </x:c>
      <x:c r="M37" t="str">
        <x:v>0</x:v>
      </x:c>
      <x:c r="N37" t="str">
        <x:v>0fd6ad2d-3389-4e70-8974-eb85ee223eeb</x:v>
      </x:c>
      <x:c r="O37" t="str">
        <x:v>2026-09-04</x:v>
      </x:c>
    </x:row>
    <x:row r="38">
      <x:c r="A38" t="str">
        <x:v>601077</x:v>
      </x:c>
      <x:c r="B38" t="str">
        <x:v>渝农商行</x:v>
      </x:c>
      <x:c r="C38" t="str">
        <x:v>主板</x:v>
      </x:c>
      <x:c r="D38" t="str">
        <x:v>待行业映射</x:v>
      </x:c>
      <x:c r="E38" t="n">
        <x:v>6.92</x:v>
      </x:c>
      <x:c r="F38" t="n">
        <x:v>6.24</x:v>
      </x:c>
      <x:c r="G38"/>
      <x:c r="H38" t="n">
        <x:v>785.9</x:v>
      </x:c>
      <x:c r="I38" t="n">
        <x:v>76.28</x:v>
      </x:c>
      <x:c r="J38" t="str">
        <x:v>initial_screen_pending_pb_financial_review</x:v>
      </x:c>
      <x:c r="K38" t="str">
        <x:v>AkShare / Tencent all-A market snapshot</x:v>
      </x:c>
      <x:c r="L38" t="str">
        <x:v>ProxyError: primary market source unavailable; see source_id for full audit.</x:v>
      </x:c>
      <x:c r="M38" t="str">
        <x:v>0</x:v>
      </x:c>
      <x:c r="N38" t="str">
        <x:v>0fd6ad2d-3389-4e70-8974-eb85ee223eeb</x:v>
      </x:c>
      <x:c r="O38" t="str">
        <x:v>2026-09-04</x:v>
      </x:c>
    </x:row>
    <x:row r="39">
      <x:c r="A39" t="str">
        <x:v>601919</x:v>
      </x:c>
      <x:c r="B39" t="str">
        <x:v>中远海控</x:v>
      </x:c>
      <x:c r="C39" t="str">
        <x:v>主板</x:v>
      </x:c>
      <x:c r="D39" t="str">
        <x:v>待行业映射</x:v>
      </x:c>
      <x:c r="E39" t="n">
        <x:v>16.06</x:v>
      </x:c>
      <x:c r="F39" t="n">
        <x:v>9.17</x:v>
      </x:c>
      <x:c r="G39"/>
      <x:c r="H39" t="n">
        <x:v>2452.06</x:v>
      </x:c>
      <x:c r="I39" t="n">
        <x:v>76.16</x:v>
      </x:c>
      <x:c r="J39" t="str">
        <x:v>initial_screen_pending_pb_financial_review</x:v>
      </x:c>
      <x:c r="K39" t="str">
        <x:v>AkShare / Tencent all-A market snapshot</x:v>
      </x:c>
      <x:c r="L39" t="str">
        <x:v>ProxyError: primary market source unavailable; see source_id for full audit.</x:v>
      </x:c>
      <x:c r="M39" t="str">
        <x:v>0</x:v>
      </x:c>
      <x:c r="N39" t="str">
        <x:v>0fd6ad2d-3389-4e70-8974-eb85ee223eeb</x:v>
      </x:c>
      <x:c r="O39" t="str">
        <x:v>2026-09-04</x:v>
      </x:c>
    </x:row>
    <x:row r="40">
      <x:c r="A40" t="str">
        <x:v>600011</x:v>
      </x:c>
      <x:c r="B40" t="str">
        <x:v>华能国际</x:v>
      </x:c>
      <x:c r="C40" t="str">
        <x:v>主板</x:v>
      </x:c>
      <x:c r="D40" t="str">
        <x:v>待行业映射</x:v>
      </x:c>
      <x:c r="E40" t="n">
        <x:v>6.86</x:v>
      </x:c>
      <x:c r="F40" t="n">
        <x:v>9.18</x:v>
      </x:c>
      <x:c r="G40"/>
      <x:c r="H40" t="n">
        <x:v>1076.89</x:v>
      </x:c>
      <x:c r="I40" t="n">
        <x:v>76.13</x:v>
      </x:c>
      <x:c r="J40" t="str">
        <x:v>initial_screen_pending_pb_financial_review</x:v>
      </x:c>
      <x:c r="K40" t="str">
        <x:v>AkShare / Tencent all-A market snapshot</x:v>
      </x:c>
      <x:c r="L40" t="str">
        <x:v>ProxyError: primary market source unavailable; see source_id for full audit.</x:v>
      </x:c>
      <x:c r="M40" t="str">
        <x:v>0</x:v>
      </x:c>
      <x:c r="N40" t="str">
        <x:v>0fd6ad2d-3389-4e70-8974-eb85ee223eeb</x:v>
      </x:c>
      <x:c r="O40" t="str">
        <x:v>2026-09-04</x:v>
      </x:c>
    </x:row>
    <x:row r="41">
      <x:c r="A41" t="str">
        <x:v>002736</x:v>
      </x:c>
      <x:c r="B41" t="str">
        <x:v>国信证券</x:v>
      </x:c>
      <x:c r="C41" t="str">
        <x:v>主板</x:v>
      </x:c>
      <x:c r="D41" t="str">
        <x:v>待行业映射</x:v>
      </x:c>
      <x:c r="E41" t="n">
        <x:v>10.26</x:v>
      </x:c>
      <x:c r="F41" t="n">
        <x:v>9.19</x:v>
      </x:c>
      <x:c r="G41"/>
      <x:c r="H41" t="n">
        <x:v>1050.8</x:v>
      </x:c>
      <x:c r="I41" t="n">
        <x:v>76.11</x:v>
      </x:c>
      <x:c r="J41" t="str">
        <x:v>initial_screen_pending_pb_financial_review</x:v>
      </x:c>
      <x:c r="K41" t="str">
        <x:v>AkShare / Tencent all-A market snapshot</x:v>
      </x:c>
      <x:c r="L41" t="str">
        <x:v>ProxyError: primary market source unavailable; see source_id for full audit.</x:v>
      </x:c>
      <x:c r="M41" t="str">
        <x:v>0</x:v>
      </x:c>
      <x:c r="N41" t="str">
        <x:v>0fd6ad2d-3389-4e70-8974-eb85ee223eeb</x:v>
      </x:c>
      <x:c r="O41" t="str">
        <x:v>2026-09-04</x:v>
      </x:c>
    </x:row>
    <x:row r="42">
      <x:c r="A42" t="str">
        <x:v>000776</x:v>
      </x:c>
      <x:c r="B42" t="str">
        <x:v>广发证券</x:v>
      </x:c>
      <x:c r="C42" t="str">
        <x:v>主板</x:v>
      </x:c>
      <x:c r="D42" t="str">
        <x:v>待行业映射</x:v>
      </x:c>
      <x:c r="E42" t="n">
        <x:v>22.2</x:v>
      </x:c>
      <x:c r="F42" t="n">
        <x:v>9.2</x:v>
      </x:c>
      <x:c r="G42"/>
      <x:c r="H42" t="n">
        <x:v>1737.12</x:v>
      </x:c>
      <x:c r="I42" t="n">
        <x:v>76.08</x:v>
      </x:c>
      <x:c r="J42" t="str">
        <x:v>initial_screen_pending_pb_financial_review</x:v>
      </x:c>
      <x:c r="K42" t="str">
        <x:v>AkShare / Tencent all-A market snapshot</x:v>
      </x:c>
      <x:c r="L42" t="str">
        <x:v>ProxyError: primary market source unavailable; see source_id for full audit.</x:v>
      </x:c>
      <x:c r="M42" t="str">
        <x:v>0</x:v>
      </x:c>
      <x:c r="N42" t="str">
        <x:v>0fd6ad2d-3389-4e70-8974-eb85ee223eeb</x:v>
      </x:c>
      <x:c r="O42" t="str">
        <x:v>2026-09-04</x:v>
      </x:c>
    </x:row>
    <x:row r="43">
      <x:c r="A43" t="str">
        <x:v>000807</x:v>
      </x:c>
      <x:c r="B43" t="str">
        <x:v>云铝股份</x:v>
      </x:c>
      <x:c r="C43" t="str">
        <x:v>主板</x:v>
      </x:c>
      <x:c r="D43" t="str">
        <x:v>待行业映射</x:v>
      </x:c>
      <x:c r="E43" t="n">
        <x:v>26.95</x:v>
      </x:c>
      <x:c r="F43" t="n">
        <x:v>8.52</x:v>
      </x:c>
      <x:c r="G43"/>
      <x:c r="H43" t="n">
        <x:v>934.61</x:v>
      </x:c>
      <x:c r="I43" t="n">
        <x:v>75.56</x:v>
      </x:c>
      <x:c r="J43" t="str">
        <x:v>initial_screen_pending_pb_financial_review</x:v>
      </x:c>
      <x:c r="K43" t="str">
        <x:v>AkShare / Tencent all-A market snapshot</x:v>
      </x:c>
      <x:c r="L43" t="str">
        <x:v>ProxyError: primary market source unavailable; see source_id for full audit.</x:v>
      </x:c>
      <x:c r="M43" t="str">
        <x:v>0</x:v>
      </x:c>
      <x:c r="N43" t="str">
        <x:v>0fd6ad2d-3389-4e70-8974-eb85ee223eeb</x:v>
      </x:c>
      <x:c r="O43" t="str">
        <x:v>2026-09-04</x:v>
      </x:c>
    </x:row>
    <x:row r="44">
      <x:c r="A44" t="str">
        <x:v>601600</x:v>
      </x:c>
      <x:c r="B44" t="str">
        <x:v>中国铝业</x:v>
      </x:c>
      <x:c r="C44" t="str">
        <x:v>主板</x:v>
      </x:c>
      <x:c r="D44" t="str">
        <x:v>待行业映射</x:v>
      </x:c>
      <x:c r="E44" t="n">
        <x:v>9.67</x:v>
      </x:c>
      <x:c r="F44" t="n">
        <x:v>9.49</x:v>
      </x:c>
      <x:c r="G44"/>
      <x:c r="H44" t="n">
        <x:v>1658.89</x:v>
      </x:c>
      <x:c r="I44" t="n">
        <x:v>75.33</x:v>
      </x:c>
      <x:c r="J44" t="str">
        <x:v>initial_screen_pending_pb_financial_review</x:v>
      </x:c>
      <x:c r="K44" t="str">
        <x:v>AkShare / Tencent all-A market snapshot</x:v>
      </x:c>
      <x:c r="L44" t="str">
        <x:v>ProxyError: primary market source unavailable; see source_id for full audit.</x:v>
      </x:c>
      <x:c r="M44" t="str">
        <x:v>0</x:v>
      </x:c>
      <x:c r="N44" t="str">
        <x:v>0fd6ad2d-3389-4e70-8974-eb85ee223eeb</x:v>
      </x:c>
      <x:c r="O44" t="str">
        <x:v>2026-09-04</x:v>
      </x:c>
    </x:row>
    <x:row r="45">
      <x:c r="A45" t="str">
        <x:v>601211</x:v>
      </x:c>
      <x:c r="B45" t="str">
        <x:v>国泰海通</x:v>
      </x:c>
      <x:c r="C45" t="str">
        <x:v>主板</x:v>
      </x:c>
      <x:c r="D45" t="str">
        <x:v>待行业映射</x:v>
      </x:c>
      <x:c r="E45" t="n">
        <x:v>17.87</x:v>
      </x:c>
      <x:c r="F45" t="n">
        <x:v>9.72</x:v>
      </x:c>
      <x:c r="G45"/>
      <x:c r="H45" t="n">
        <x:v>3141.74</x:v>
      </x:c>
      <x:c r="I45" t="n">
        <x:v>74.73</x:v>
      </x:c>
      <x:c r="J45" t="str">
        <x:v>initial_screen_pending_pb_financial_review</x:v>
      </x:c>
      <x:c r="K45" t="str">
        <x:v>AkShare / Tencent all-A market snapshot</x:v>
      </x:c>
      <x:c r="L45" t="str">
        <x:v>ProxyError: primary market source unavailable; see source_id for full audit.</x:v>
      </x:c>
      <x:c r="M45" t="str">
        <x:v>0</x:v>
      </x:c>
      <x:c r="N45" t="str">
        <x:v>0fd6ad2d-3389-4e70-8974-eb85ee223eeb</x:v>
      </x:c>
      <x:c r="O45" t="str">
        <x:v>2026-09-04</x:v>
      </x:c>
    </x:row>
    <x:row r="46">
      <x:c r="A46" t="str">
        <x:v>601881</x:v>
      </x:c>
      <x:c r="B46" t="str">
        <x:v>中国银河</x:v>
      </x:c>
      <x:c r="C46" t="str">
        <x:v>主板</x:v>
      </x:c>
      <x:c r="D46" t="str">
        <x:v>待行业映射</x:v>
      </x:c>
      <x:c r="E46" t="n">
        <x:v>12.43</x:v>
      </x:c>
      <x:c r="F46" t="n">
        <x:v>9.83</x:v>
      </x:c>
      <x:c r="G46"/>
      <x:c r="H46" t="n">
        <x:v>1359.15</x:v>
      </x:c>
      <x:c r="I46" t="n">
        <x:v>74.44</x:v>
      </x:c>
      <x:c r="J46" t="str">
        <x:v>initial_screen_pending_pb_financial_review</x:v>
      </x:c>
      <x:c r="K46" t="str">
        <x:v>AkShare / Tencent all-A market snapshot</x:v>
      </x:c>
      <x:c r="L46" t="str">
        <x:v>ProxyError: primary market source unavailable; see source_id for full audit.</x:v>
      </x:c>
      <x:c r="M46" t="str">
        <x:v>0</x:v>
      </x:c>
      <x:c r="N46" t="str">
        <x:v>0fd6ad2d-3389-4e70-8974-eb85ee223eeb</x:v>
      </x:c>
      <x:c r="O46" t="str">
        <x:v>2026-09-04</x:v>
      </x:c>
    </x:row>
    <x:row r="47">
      <x:c r="A47" t="str">
        <x:v>002379</x:v>
      </x:c>
      <x:c r="B47" t="str">
        <x:v>宏桥控股</x:v>
      </x:c>
      <x:c r="C47" t="str">
        <x:v>主板</x:v>
      </x:c>
      <x:c r="D47" t="str">
        <x:v>待行业映射</x:v>
      </x:c>
      <x:c r="E47" t="n">
        <x:v>18.94</x:v>
      </x:c>
      <x:c r="F47" t="n">
        <x:v>10</x:v>
      </x:c>
      <x:c r="G47"/>
      <x:c r="H47" t="n">
        <x:v>2468.09</x:v>
      </x:c>
      <x:c r="I47" t="n">
        <x:v>74</x:v>
      </x:c>
      <x:c r="J47" t="str">
        <x:v>initial_screen_pending_pb_financial_review</x:v>
      </x:c>
      <x:c r="K47" t="str">
        <x:v>AkShare / Tencent all-A market snapshot</x:v>
      </x:c>
      <x:c r="L47" t="str">
        <x:v>ProxyError: primary market source unavailable; see source_id for full audit.</x:v>
      </x:c>
      <x:c r="M47" t="str">
        <x:v>0</x:v>
      </x:c>
      <x:c r="N47" t="str">
        <x:v>0fd6ad2d-3389-4e70-8974-eb85ee223eeb</x:v>
      </x:c>
      <x:c r="O47" t="str">
        <x:v>2026-09-04</x:v>
      </x:c>
    </x:row>
    <x:row r="48">
      <x:c r="A48" t="str">
        <x:v>000166</x:v>
      </x:c>
      <x:c r="B48" t="str">
        <x:v>申万宏源</x:v>
      </x:c>
      <x:c r="C48" t="str">
        <x:v>主板</x:v>
      </x:c>
      <x:c r="D48" t="str">
        <x:v>待行业映射</x:v>
      </x:c>
      <x:c r="E48" t="n">
        <x:v>4.59</x:v>
      </x:c>
      <x:c r="F48" t="n">
        <x:v>10.49</x:v>
      </x:c>
      <x:c r="G48"/>
      <x:c r="H48" t="n">
        <x:v>1149.33</x:v>
      </x:c>
      <x:c r="I48" t="n">
        <x:v>72.73</x:v>
      </x:c>
      <x:c r="J48" t="str">
        <x:v>initial_screen_pending_pb_financial_review</x:v>
      </x:c>
      <x:c r="K48" t="str">
        <x:v>AkShare / Tencent all-A market snapshot</x:v>
      </x:c>
      <x:c r="L48" t="str">
        <x:v>ProxyError: primary market source unavailable; see source_id for full audit.</x:v>
      </x:c>
      <x:c r="M48" t="str">
        <x:v>0</x:v>
      </x:c>
      <x:c r="N48" t="str">
        <x:v>0fd6ad2d-3389-4e70-8974-eb85ee223eeb</x:v>
      </x:c>
      <x:c r="O48" t="str">
        <x:v>2026-09-04</x:v>
      </x:c>
    </x:row>
    <x:row r="49">
      <x:c r="A49" t="str">
        <x:v>601898</x:v>
      </x:c>
      <x:c r="B49" t="str">
        <x:v>中煤能源</x:v>
      </x:c>
      <x:c r="C49" t="str">
        <x:v>主板</x:v>
      </x:c>
      <x:c r="D49" t="str">
        <x:v>待行业映射</x:v>
      </x:c>
      <x:c r="E49" t="n">
        <x:v>15.18</x:v>
      </x:c>
      <x:c r="F49" t="n">
        <x:v>10.98</x:v>
      </x:c>
      <x:c r="G49"/>
      <x:c r="H49" t="n">
        <x:v>2012.67</x:v>
      </x:c>
      <x:c r="I49" t="n">
        <x:v>71.45</x:v>
      </x:c>
      <x:c r="J49" t="str">
        <x:v>initial_screen_pending_pb_financial_review</x:v>
      </x:c>
      <x:c r="K49" t="str">
        <x:v>AkShare / Tencent all-A market snapshot</x:v>
      </x:c>
      <x:c r="L49" t="str">
        <x:v>ProxyError: primary market source unavailable; see source_id for full audit.</x:v>
      </x:c>
      <x:c r="M49" t="str">
        <x:v>0</x:v>
      </x:c>
      <x:c r="N49" t="str">
        <x:v>0fd6ad2d-3389-4e70-8974-eb85ee223eeb</x:v>
      </x:c>
      <x:c r="O49" t="str">
        <x:v>2026-09-04</x:v>
      </x:c>
    </x:row>
    <x:row r="50">
      <x:c r="A50" t="str">
        <x:v>600030</x:v>
      </x:c>
      <x:c r="B50" t="str">
        <x:v>中信证券</x:v>
      </x:c>
      <x:c r="C50" t="str">
        <x:v>主板</x:v>
      </x:c>
      <x:c r="D50" t="str">
        <x:v>待行业映射</x:v>
      </x:c>
      <x:c r="E50" t="n">
        <x:v>27.99</x:v>
      </x:c>
      <x:c r="F50" t="n">
        <x:v>11.03</x:v>
      </x:c>
      <x:c r="G50"/>
      <x:c r="H50" t="n">
        <x:v>4373.23</x:v>
      </x:c>
      <x:c r="I50" t="n">
        <x:v>71.32</x:v>
      </x:c>
      <x:c r="J50" t="str">
        <x:v>initial_screen_pending_pb_financial_review</x:v>
      </x:c>
      <x:c r="K50" t="str">
        <x:v>AkShare / Tencent all-A market snapshot</x:v>
      </x:c>
      <x:c r="L50" t="str">
        <x:v>ProxyError: primary market source unavailable; see source_id for full audit.</x:v>
      </x:c>
      <x:c r="M50" t="str">
        <x:v>0</x:v>
      </x:c>
      <x:c r="N50" t="str">
        <x:v>0fd6ad2d-3389-4e70-8974-eb85ee223eeb</x:v>
      </x:c>
      <x:c r="O50" t="str">
        <x:v>2026-09-04</x:v>
      </x:c>
    </x:row>
    <x:row r="51">
      <x:c r="A51" t="str">
        <x:v>600690</x:v>
      </x:c>
      <x:c r="B51" t="str">
        <x:v>海尔智家</x:v>
      </x:c>
      <x:c r="C51" t="str">
        <x:v>主板</x:v>
      </x:c>
      <x:c r="D51" t="str">
        <x:v>待行业映射</x:v>
      </x:c>
      <x:c r="E51" t="n">
        <x:v>22</x:v>
      </x:c>
      <x:c r="F51" t="n">
        <x:v>11.47</x:v>
      </x:c>
      <x:c r="G51"/>
      <x:c r="H51" t="n">
        <x:v>2046.68</x:v>
      </x:c>
      <x:c r="I51" t="n">
        <x:v>70.18</x:v>
      </x:c>
      <x:c r="J51" t="str">
        <x:v>initial_screen_pending_pb_financial_review</x:v>
      </x:c>
      <x:c r="K51" t="str">
        <x:v>AkShare / Tencent all-A market snapshot</x:v>
      </x:c>
      <x:c r="L51" t="str">
        <x:v>ProxyError: primary market source unavailable; see source_id for full audit.</x:v>
      </x:c>
      <x:c r="M51" t="str">
        <x:v>0</x:v>
      </x:c>
      <x:c r="N51" t="str">
        <x:v>0fd6ad2d-3389-4e70-8974-eb85ee223eeb</x:v>
      </x:c>
      <x:c r="O51" t="str">
        <x:v>2026-09-04</x:v>
      </x:c>
    </x:row>
    <x:row r="52">
      <x:c r="A52" t="str">
        <x:v>600938</x:v>
      </x:c>
      <x:c r="B52" t="str">
        <x:v>中国海油</x:v>
      </x:c>
      <x:c r="C52" t="str">
        <x:v>主板</x:v>
      </x:c>
      <x:c r="D52" t="str">
        <x:v>待行业映射</x:v>
      </x:c>
      <x:c r="E52" t="n">
        <x:v>33.41</x:v>
      </x:c>
      <x:c r="F52" t="n">
        <x:v>11.48</x:v>
      </x:c>
      <x:c r="G52"/>
      <x:c r="H52" t="n">
        <x:v>15879.76</x:v>
      </x:c>
      <x:c r="I52" t="n">
        <x:v>70.15</x:v>
      </x:c>
      <x:c r="J52" t="str">
        <x:v>initial_screen_pending_pb_financial_review</x:v>
      </x:c>
      <x:c r="K52" t="str">
        <x:v>AkShare / Tencent all-A market snapshot</x:v>
      </x:c>
      <x:c r="L52" t="str">
        <x:v>ProxyError: primary market source unavailable; see source_id for full audit.</x:v>
      </x:c>
      <x:c r="M52" t="str">
        <x:v>0</x:v>
      </x:c>
      <x:c r="N52" t="str">
        <x:v>0fd6ad2d-3389-4e70-8974-eb85ee223eeb</x:v>
      </x:c>
      <x:c r="O52" t="str">
        <x:v>2026-09-04</x:v>
      </x:c>
    </x:row>
    <x:row r="53">
      <x:c r="A53" t="str">
        <x:v>002648</x:v>
      </x:c>
      <x:c r="B53" t="str">
        <x:v>卫星化学</x:v>
      </x:c>
      <x:c r="C53" t="str">
        <x:v>主板</x:v>
      </x:c>
      <x:c r="D53" t="str">
        <x:v>待行业映射</x:v>
      </x:c>
      <x:c r="E53" t="n">
        <x:v>27.54</x:v>
      </x:c>
      <x:c r="F53" t="n">
        <x:v>10.55</x:v>
      </x:c>
      <x:c r="G53"/>
      <x:c r="H53" t="n">
        <x:v>927.73</x:v>
      </x:c>
      <x:c r="I53" t="n">
        <x:v>70.04</x:v>
      </x:c>
      <x:c r="J53" t="str">
        <x:v>initial_screen_pending_pb_financial_review</x:v>
      </x:c>
      <x:c r="K53" t="str">
        <x:v>AkShare / Tencent all-A market snapshot</x:v>
      </x:c>
      <x:c r="L53" t="str">
        <x:v>ProxyError: primary market source unavailable; see source_id for full audit.</x:v>
      </x:c>
      <x:c r="M53" t="str">
        <x:v>0</x:v>
      </x:c>
      <x:c r="N53" t="str">
        <x:v>0fd6ad2d-3389-4e70-8974-eb85ee223eeb</x:v>
      </x:c>
      <x:c r="O53" t="str">
        <x:v>2026-09-04</x:v>
      </x:c>
    </x:row>
    <x:row r="54">
      <x:c r="A54" t="str">
        <x:v>601857</x:v>
      </x:c>
      <x:c r="B54" t="str">
        <x:v>中国石油</x:v>
      </x:c>
      <x:c r="C54" t="str">
        <x:v>主板</x:v>
      </x:c>
      <x:c r="D54" t="str">
        <x:v>待行业映射</x:v>
      </x:c>
      <x:c r="E54" t="n">
        <x:v>11.17</x:v>
      </x:c>
      <x:c r="F54" t="n">
        <x:v>11.61</x:v>
      </x:c>
      <x:c r="G54"/>
      <x:c r="H54" t="n">
        <x:v>20443.44</x:v>
      </x:c>
      <x:c r="I54" t="n">
        <x:v>69.81</x:v>
      </x:c>
      <x:c r="J54" t="str">
        <x:v>initial_screen_pending_pb_financial_review</x:v>
      </x:c>
      <x:c r="K54" t="str">
        <x:v>AkShare / Tencent all-A market snapshot</x:v>
      </x:c>
      <x:c r="L54" t="str">
        <x:v>ProxyError: primary market source unavailable; see source_id for full audit.</x:v>
      </x:c>
      <x:c r="M54" t="str">
        <x:v>0</x:v>
      </x:c>
      <x:c r="N54" t="str">
        <x:v>0fd6ad2d-3389-4e70-8974-eb85ee223eeb</x:v>
      </x:c>
      <x:c r="O54" t="str">
        <x:v>2026-09-04</x:v>
      </x:c>
    </x:row>
    <x:row r="55">
      <x:c r="A55" t="str">
        <x:v>600989</x:v>
      </x:c>
      <x:c r="B55" t="str">
        <x:v>宝丰能源</x:v>
      </x:c>
      <x:c r="C55" t="str">
        <x:v>主板</x:v>
      </x:c>
      <x:c r="D55" t="str">
        <x:v>待行业映射</x:v>
      </x:c>
      <x:c r="E55" t="n">
        <x:v>24.4</x:v>
      </x:c>
      <x:c r="F55" t="n">
        <x:v>11.65</x:v>
      </x:c>
      <x:c r="G55"/>
      <x:c r="H55" t="n">
        <x:v>1789.34</x:v>
      </x:c>
      <x:c r="I55" t="n">
        <x:v>69.71</x:v>
      </x:c>
      <x:c r="J55" t="str">
        <x:v>initial_screen_pending_pb_financial_review</x:v>
      </x:c>
      <x:c r="K55" t="str">
        <x:v>AkShare / Tencent all-A market snapshot</x:v>
      </x:c>
      <x:c r="L55" t="str">
        <x:v>ProxyError: primary market source unavailable; see source_id for full audit.</x:v>
      </x:c>
      <x:c r="M55" t="str">
        <x:v>0</x:v>
      </x:c>
      <x:c r="N55" t="str">
        <x:v>0fd6ad2d-3389-4e70-8974-eb85ee223eeb</x:v>
      </x:c>
      <x:c r="O55" t="str">
        <x:v>2026-09-04</x:v>
      </x:c>
    </x:row>
    <x:row r="56">
      <x:c r="A56" t="str">
        <x:v>000792</x:v>
      </x:c>
      <x:c r="B56" t="str">
        <x:v>盐湖股份</x:v>
      </x:c>
      <x:c r="C56" t="str">
        <x:v>主板</x:v>
      </x:c>
      <x:c r="D56" t="str">
        <x:v>待行业映射</x:v>
      </x:c>
      <x:c r="E56" t="n">
        <x:v>26.65</x:v>
      </x:c>
      <x:c r="F56" t="n">
        <x:v>11.7</x:v>
      </x:c>
      <x:c r="G56"/>
      <x:c r="H56" t="n">
        <x:v>1410.2</x:v>
      </x:c>
      <x:c r="I56" t="n">
        <x:v>69.58</x:v>
      </x:c>
      <x:c r="J56" t="str">
        <x:v>initial_screen_pending_pb_financial_review</x:v>
      </x:c>
      <x:c r="K56" t="str">
        <x:v>AkShare / Tencent all-A market snapshot</x:v>
      </x:c>
      <x:c r="L56" t="str">
        <x:v>ProxyError: primary market source unavailable; see source_id for full audit.</x:v>
      </x:c>
      <x:c r="M56" t="str">
        <x:v>0</x:v>
      </x:c>
      <x:c r="N56" t="str">
        <x:v>0fd6ad2d-3389-4e70-8974-eb85ee223eeb</x:v>
      </x:c>
      <x:c r="O56" t="str">
        <x:v>2026-09-04</x:v>
      </x:c>
    </x:row>
    <x:row r="57">
      <x:c r="A57" t="str">
        <x:v>600346</x:v>
      </x:c>
      <x:c r="B57" t="str">
        <x:v>恒力石化</x:v>
      </x:c>
      <x:c r="C57" t="str">
        <x:v>主板</x:v>
      </x:c>
      <x:c r="D57" t="str">
        <x:v>待行业映射</x:v>
      </x:c>
      <x:c r="E57" t="n">
        <x:v>19.02</x:v>
      </x:c>
      <x:c r="F57" t="n">
        <x:v>11.92</x:v>
      </x:c>
      <x:c r="G57"/>
      <x:c r="H57" t="n">
        <x:v>1338.84</x:v>
      </x:c>
      <x:c r="I57" t="n">
        <x:v>69.01</x:v>
      </x:c>
      <x:c r="J57" t="str">
        <x:v>initial_screen_pending_pb_financial_review</x:v>
      </x:c>
      <x:c r="K57" t="str">
        <x:v>AkShare / Tencent all-A market snapshot</x:v>
      </x:c>
      <x:c r="L57" t="str">
        <x:v>ProxyError: primary market source unavailable; see source_id for full audit.</x:v>
      </x:c>
      <x:c r="M57" t="str">
        <x:v>0</x:v>
      </x:c>
      <x:c r="N57" t="str">
        <x:v>0fd6ad2d-3389-4e70-8974-eb85ee223eeb</x:v>
      </x:c>
      <x:c r="O57" t="str">
        <x:v>2026-09-04</x:v>
      </x:c>
    </x:row>
    <x:row r="58">
      <x:c r="A58" t="str">
        <x:v>601995</x:v>
      </x:c>
      <x:c r="B58" t="str">
        <x:v>中金公司</x:v>
      </x:c>
      <x:c r="C58" t="str">
        <x:v>主板</x:v>
      </x:c>
      <x:c r="D58" t="str">
        <x:v>待行业映射</x:v>
      </x:c>
      <x:c r="E58" t="n">
        <x:v>33.9</x:v>
      </x:c>
      <x:c r="F58" t="n">
        <x:v>11.98</x:v>
      </x:c>
      <x:c r="G58"/>
      <x:c r="H58" t="n">
        <x:v>1636.44</x:v>
      </x:c>
      <x:c r="I58" t="n">
        <x:v>68.85</x:v>
      </x:c>
      <x:c r="J58" t="str">
        <x:v>initial_screen_pending_pb_financial_review</x:v>
      </x:c>
      <x:c r="K58" t="str">
        <x:v>AkShare / Tencent all-A market snapshot</x:v>
      </x:c>
      <x:c r="L58" t="str">
        <x:v>ProxyError: primary market source unavailable; see source_id for full audit.</x:v>
      </x:c>
      <x:c r="M58" t="str">
        <x:v>0</x:v>
      </x:c>
      <x:c r="N58" t="str">
        <x:v>0fd6ad2d-3389-4e70-8974-eb85ee223eeb</x:v>
      </x:c>
      <x:c r="O58" t="str">
        <x:v>2026-09-04</x:v>
      </x:c>
    </x:row>
    <x:row r="59">
      <x:c r="A59" t="str">
        <x:v>000656</x:v>
      </x:c>
      <x:c r="B59" t="str">
        <x:v>金科股份</x:v>
      </x:c>
      <x:c r="C59" t="str">
        <x:v>主板</x:v>
      </x:c>
      <x:c r="D59" t="str">
        <x:v>待行业映射</x:v>
      </x:c>
      <x:c r="E59" t="n">
        <x:v>1.25</x:v>
      </x:c>
      <x:c r="F59" t="n">
        <x:v>0.36</x:v>
      </x:c>
      <x:c r="G59"/>
      <x:c r="H59" t="n">
        <x:v>132.36</x:v>
      </x:c>
      <x:c r="I59" t="n">
        <x:v>68.7</x:v>
      </x:c>
      <x:c r="J59" t="str">
        <x:v>initial_screen_pending_pb_financial_review</x:v>
      </x:c>
      <x:c r="K59" t="str">
        <x:v>AkShare / Tencent all-A market snapshot</x:v>
      </x:c>
      <x:c r="L59" t="str">
        <x:v>ProxyError: primary market source unavailable; see source_id for full audit.</x:v>
      </x:c>
      <x:c r="M59" t="str">
        <x:v>0</x:v>
      </x:c>
      <x:c r="N59" t="str">
        <x:v>0fd6ad2d-3389-4e70-8974-eb85ee223eeb</x:v>
      </x:c>
      <x:c r="O59" t="str">
        <x:v>2026-09-04</x:v>
      </x:c>
    </x:row>
    <x:row r="60">
      <x:c r="A60" t="str">
        <x:v>688525</x:v>
      </x:c>
      <x:c r="B60" t="str">
        <x:v>佰维存储</x:v>
      </x:c>
      <x:c r="C60" t="str">
        <x:v>科创板</x:v>
      </x:c>
      <x:c r="D60" t="str">
        <x:v>待行业映射</x:v>
      </x:c>
      <x:c r="E60" t="n">
        <x:v>213.29</x:v>
      </x:c>
      <x:c r="F60" t="n">
        <x:v>12.2</x:v>
      </x:c>
      <x:c r="G60"/>
      <x:c r="H60" t="n">
        <x:v>1005.8</x:v>
      </x:c>
      <x:c r="I60" t="n">
        <x:v>68.28</x:v>
      </x:c>
      <x:c r="J60" t="str">
        <x:v>initial_screen_pending_pb_financial_review</x:v>
      </x:c>
      <x:c r="K60" t="str">
        <x:v>AkShare / Tencent all-A market snapshot</x:v>
      </x:c>
      <x:c r="L60" t="str">
        <x:v>ProxyError: primary market source unavailable; see source_id for full audit.</x:v>
      </x:c>
      <x:c r="M60" t="str">
        <x:v>0</x:v>
      </x:c>
      <x:c r="N60" t="str">
        <x:v>0fd6ad2d-3389-4e70-8974-eb85ee223eeb</x:v>
      </x:c>
      <x:c r="O60" t="str">
        <x:v>2026-09-04</x:v>
      </x:c>
    </x:row>
    <x:row r="61">
      <x:c r="A61" t="str">
        <x:v>601669</x:v>
      </x:c>
      <x:c r="B61" t="str">
        <x:v>中国电建</x:v>
      </x:c>
      <x:c r="C61" t="str">
        <x:v>主板</x:v>
      </x:c>
      <x:c r="D61" t="str">
        <x:v>待行业映射</x:v>
      </x:c>
      <x:c r="E61" t="n">
        <x:v>4.63</x:v>
      </x:c>
      <x:c r="F61" t="n">
        <x:v>9.49</x:v>
      </x:c>
      <x:c r="G61"/>
      <x:c r="H61" t="n">
        <x:v>797.57</x:v>
      </x:c>
      <x:c r="I61" t="n">
        <x:v>68.24</x:v>
      </x:c>
      <x:c r="J61" t="str">
        <x:v>initial_screen_pending_pb_financial_review</x:v>
      </x:c>
      <x:c r="K61" t="str">
        <x:v>AkShare / Tencent all-A market snapshot</x:v>
      </x:c>
      <x:c r="L61" t="str">
        <x:v>ProxyError: primary market source unavailable; see source_id for full audit.</x:v>
      </x:c>
      <x:c r="M61" t="str">
        <x:v>0</x:v>
      </x:c>
      <x:c r="N61" t="str">
        <x:v>0fd6ad2d-3389-4e70-8974-eb85ee223eeb</x:v>
      </x:c>
      <x:c r="O61" t="str">
        <x:v>2026-09-04</x:v>
      </x:c>
    </x:row>
    <x:row r="62">
      <x:c r="A62" t="str">
        <x:v>601991</x:v>
      </x:c>
      <x:c r="B62" t="str">
        <x:v>大唐发电</x:v>
      </x:c>
      <x:c r="C62" t="str">
        <x:v>主板</x:v>
      </x:c>
      <x:c r="D62" t="str">
        <x:v>待行业映射</x:v>
      </x:c>
      <x:c r="E62" t="n">
        <x:v>5.58</x:v>
      </x:c>
      <x:c r="F62" t="n">
        <x:v>12.42</x:v>
      </x:c>
      <x:c r="G62"/>
      <x:c r="H62" t="n">
        <x:v>1032.67</x:v>
      </x:c>
      <x:c r="I62" t="n">
        <x:v>67.71</x:v>
      </x:c>
      <x:c r="J62" t="str">
        <x:v>initial_screen_pending_pb_financial_review</x:v>
      </x:c>
      <x:c r="K62" t="str">
        <x:v>AkShare / Tencent all-A market snapshot</x:v>
      </x:c>
      <x:c r="L62" t="str">
        <x:v>ProxyError: primary market source unavailable; see source_id for full audit.</x:v>
      </x:c>
      <x:c r="M62" t="str">
        <x:v>0</x:v>
      </x:c>
      <x:c r="N62" t="str">
        <x:v>0fd6ad2d-3389-4e70-8974-eb85ee223eeb</x:v>
      </x:c>
      <x:c r="O62" t="str">
        <x:v>2026-09-04</x:v>
      </x:c>
    </x:row>
    <x:row r="63">
      <x:c r="A63" t="str">
        <x:v>301308</x:v>
      </x:c>
      <x:c r="B63" t="str">
        <x:v>江波龙</x:v>
      </x:c>
      <x:c r="C63" t="str">
        <x:v>创业板</x:v>
      </x:c>
      <x:c r="D63" t="str">
        <x:v>待行业映射</x:v>
      </x:c>
      <x:c r="E63" t="n">
        <x:v>347</x:v>
      </x:c>
      <x:c r="F63" t="n">
        <x:v>12.44</x:v>
      </x:c>
      <x:c r="G63"/>
      <x:c r="H63" t="n">
        <x:v>1490.95</x:v>
      </x:c>
      <x:c r="I63" t="n">
        <x:v>67.66</x:v>
      </x:c>
      <x:c r="J63" t="str">
        <x:v>initial_screen_pending_pb_financial_review</x:v>
      </x:c>
      <x:c r="K63" t="str">
        <x:v>AkShare / Tencent all-A market snapshot</x:v>
      </x:c>
      <x:c r="L63" t="str">
        <x:v>ProxyError: primary market source unavailable; see source_id for full audit.</x:v>
      </x:c>
      <x:c r="M63" t="str">
        <x:v>0</x:v>
      </x:c>
      <x:c r="N63" t="str">
        <x:v>0fd6ad2d-3389-4e70-8974-eb85ee223eeb</x:v>
      </x:c>
      <x:c r="O63" t="str">
        <x:v>2026-09-04</x:v>
      </x:c>
    </x:row>
    <x:row r="64">
      <x:c r="A64" t="str">
        <x:v>601225</x:v>
      </x:c>
      <x:c r="B64" t="str">
        <x:v>陕西煤业</x:v>
      </x:c>
      <x:c r="C64" t="str">
        <x:v>主板</x:v>
      </x:c>
      <x:c r="D64" t="str">
        <x:v>待行业映射</x:v>
      </x:c>
      <x:c r="E64" t="n">
        <x:v>26.24</x:v>
      </x:c>
      <x:c r="F64" t="n">
        <x:v>12.47</x:v>
      </x:c>
      <x:c r="G64"/>
      <x:c r="H64" t="n">
        <x:v>2543.97</x:v>
      </x:c>
      <x:c r="I64" t="n">
        <x:v>67.58</x:v>
      </x:c>
      <x:c r="J64" t="str">
        <x:v>initial_screen_pending_pb_financial_review</x:v>
      </x:c>
      <x:c r="K64" t="str">
        <x:v>AkShare / Tencent all-A market snapshot</x:v>
      </x:c>
      <x:c r="L64" t="str">
        <x:v>ProxyError: primary market source unavailable; see source_id for full audit.</x:v>
      </x:c>
      <x:c r="M64" t="str">
        <x:v>0</x:v>
      </x:c>
      <x:c r="N64" t="str">
        <x:v>0fd6ad2d-3389-4e70-8974-eb85ee223eeb</x:v>
      </x:c>
      <x:c r="O64" t="str">
        <x:v>2026-09-04</x:v>
      </x:c>
    </x:row>
    <x:row r="65">
      <x:c r="A65" t="str">
        <x:v>600019</x:v>
      </x:c>
      <x:c r="B65" t="str">
        <x:v>宝钢股份</x:v>
      </x:c>
      <x:c r="C65" t="str">
        <x:v>主板</x:v>
      </x:c>
      <x:c r="D65" t="str">
        <x:v>待行业映射</x:v>
      </x:c>
      <x:c r="E65" t="n">
        <x:v>5.86</x:v>
      </x:c>
      <x:c r="F65" t="n">
        <x:v>12.72</x:v>
      </x:c>
      <x:c r="G65"/>
      <x:c r="H65" t="n">
        <x:v>1276.43</x:v>
      </x:c>
      <x:c r="I65" t="n">
        <x:v>66.93</x:v>
      </x:c>
      <x:c r="J65" t="str">
        <x:v>initial_screen_pending_pb_financial_review</x:v>
      </x:c>
      <x:c r="K65" t="str">
        <x:v>AkShare / Tencent all-A market snapshot</x:v>
      </x:c>
      <x:c r="L65" t="str">
        <x:v>ProxyError: primary market source unavailable; see source_id for full audit.</x:v>
      </x:c>
      <x:c r="M65" t="str">
        <x:v>0</x:v>
      </x:c>
      <x:c r="N65" t="str">
        <x:v>0fd6ad2d-3389-4e70-8974-eb85ee223eeb</x:v>
      </x:c>
      <x:c r="O65" t="str">
        <x:v>2026-09-04</x:v>
      </x:c>
    </x:row>
    <x:row r="66">
      <x:c r="A66" t="str">
        <x:v>601577</x:v>
      </x:c>
      <x:c r="B66" t="str">
        <x:v>长沙银行</x:v>
      </x:c>
      <x:c r="C66" t="str">
        <x:v>主板</x:v>
      </x:c>
      <x:c r="D66" t="str">
        <x:v>待行业映射</x:v>
      </x:c>
      <x:c r="E66" t="n">
        <x:v>10.05</x:v>
      </x:c>
      <x:c r="F66" t="n">
        <x:v>4.85</x:v>
      </x:c>
      <x:c r="G66"/>
      <x:c r="H66" t="n">
        <x:v>404.17</x:v>
      </x:c>
      <x:c r="I66" t="n">
        <x:v>66.54</x:v>
      </x:c>
      <x:c r="J66" t="str">
        <x:v>initial_screen_pending_pb_financial_review</x:v>
      </x:c>
      <x:c r="K66" t="str">
        <x:v>AkShare / Tencent all-A market snapshot</x:v>
      </x:c>
      <x:c r="L66" t="str">
        <x:v>ProxyError: primary market source unavailable; see source_id for full audit.</x:v>
      </x:c>
      <x:c r="M66" t="str">
        <x:v>0</x:v>
      </x:c>
      <x:c r="N66" t="str">
        <x:v>0fd6ad2d-3389-4e70-8974-eb85ee223eeb</x:v>
      </x:c>
      <x:c r="O66" t="str">
        <x:v>2026-09-04</x:v>
      </x:c>
    </x:row>
    <x:row r="67">
      <x:c r="A67" t="str">
        <x:v>601766</x:v>
      </x:c>
      <x:c r="B67" t="str">
        <x:v>中国中车</x:v>
      </x:c>
      <x:c r="C67" t="str">
        <x:v>主板</x:v>
      </x:c>
      <x:c r="D67" t="str">
        <x:v>待行业映射</x:v>
      </x:c>
      <x:c r="E67" t="n">
        <x:v>6.25</x:v>
      </x:c>
      <x:c r="F67" t="n">
        <x:v>12.88</x:v>
      </x:c>
      <x:c r="G67"/>
      <x:c r="H67" t="n">
        <x:v>1793.68</x:v>
      </x:c>
      <x:c r="I67" t="n">
        <x:v>66.51</x:v>
      </x:c>
      <x:c r="J67" t="str">
        <x:v>initial_screen_pending_pb_financial_review</x:v>
      </x:c>
      <x:c r="K67" t="str">
        <x:v>AkShare / Tencent all-A market snapshot</x:v>
      </x:c>
      <x:c r="L67" t="str">
        <x:v>ProxyError: primary market source unavailable; see source_id for full audit.</x:v>
      </x:c>
      <x:c r="M67" t="str">
        <x:v>0</x:v>
      </x:c>
      <x:c r="N67" t="str">
        <x:v>0fd6ad2d-3389-4e70-8974-eb85ee223eeb</x:v>
      </x:c>
      <x:c r="O67" t="str">
        <x:v>2026-09-04</x:v>
      </x:c>
    </x:row>
    <x:row r="68">
      <x:c r="A68" t="str">
        <x:v>600104</x:v>
      </x:c>
      <x:c r="B68" t="str">
        <x:v>上汽集团</x:v>
      </x:c>
      <x:c r="C68" t="str">
        <x:v>主板</x:v>
      </x:c>
      <x:c r="D68" t="str">
        <x:v>待行业映射</x:v>
      </x:c>
      <x:c r="E68" t="n">
        <x:v>10.47</x:v>
      </x:c>
      <x:c r="F68" t="n">
        <x:v>13.02</x:v>
      </x:c>
      <x:c r="G68"/>
      <x:c r="H68" t="n">
        <x:v>1203.56</x:v>
      </x:c>
      <x:c r="I68" t="n">
        <x:v>66.15</x:v>
      </x:c>
      <x:c r="J68" t="str">
        <x:v>initial_screen_pending_pb_financial_review</x:v>
      </x:c>
      <x:c r="K68" t="str">
        <x:v>AkShare / Tencent all-A market snapshot</x:v>
      </x:c>
      <x:c r="L68" t="str">
        <x:v>ProxyError: primary market source unavailable; see source_id for full audit.</x:v>
      </x:c>
      <x:c r="M68" t="str">
        <x:v>0</x:v>
      </x:c>
      <x:c r="N68" t="str">
        <x:v>0fd6ad2d-3389-4e70-8974-eb85ee223eeb</x:v>
      </x:c>
      <x:c r="O68" t="str">
        <x:v>2026-09-04</x:v>
      </x:c>
    </x:row>
    <x:row r="69">
      <x:c r="A69" t="str">
        <x:v>601899</x:v>
      </x:c>
      <x:c r="B69" t="str">
        <x:v>紫金矿业</x:v>
      </x:c>
      <x:c r="C69" t="str">
        <x:v>主板</x:v>
      </x:c>
      <x:c r="D69" t="str">
        <x:v>待行业映射</x:v>
      </x:c>
      <x:c r="E69" t="n">
        <x:v>33.35</x:v>
      </x:c>
      <x:c r="F69" t="n">
        <x:v>13.11</x:v>
      </x:c>
      <x:c r="G69"/>
      <x:c r="H69" t="n">
        <x:v>8868</x:v>
      </x:c>
      <x:c r="I69" t="n">
        <x:v>65.91</x:v>
      </x:c>
      <x:c r="J69" t="str">
        <x:v>initial_screen_pending_pb_financial_review</x:v>
      </x:c>
      <x:c r="K69" t="str">
        <x:v>AkShare / Tencent all-A market snapshot</x:v>
      </x:c>
      <x:c r="L69" t="str">
        <x:v>ProxyError: primary market source unavailable; see source_id for full audit.</x:v>
      </x:c>
      <x:c r="M69" t="str">
        <x:v>0</x:v>
      </x:c>
      <x:c r="N69" t="str">
        <x:v>0fd6ad2d-3389-4e70-8974-eb85ee223eeb</x:v>
      </x:c>
      <x:c r="O69" t="str">
        <x:v>2026-09-04</x:v>
      </x:c>
    </x:row>
    <x:row r="70">
      <x:c r="A70" t="str">
        <x:v>600039</x:v>
      </x:c>
      <x:c r="B70" t="str">
        <x:v>四川路桥</x:v>
      </x:c>
      <x:c r="C70" t="str">
        <x:v>主板</x:v>
      </x:c>
      <x:c r="D70" t="str">
        <x:v>待行业映射</x:v>
      </x:c>
      <x:c r="E70" t="n">
        <x:v>9.16</x:v>
      </x:c>
      <x:c r="F70" t="n">
        <x:v>10.47</x:v>
      </x:c>
      <x:c r="G70"/>
      <x:c r="H70" t="n">
        <x:v>796.52</x:v>
      </x:c>
      <x:c r="I70" t="n">
        <x:v>65.66</x:v>
      </x:c>
      <x:c r="J70" t="str">
        <x:v>initial_screen_pending_pb_financial_review</x:v>
      </x:c>
      <x:c r="K70" t="str">
        <x:v>AkShare / Tencent all-A market snapshot</x:v>
      </x:c>
      <x:c r="L70" t="str">
        <x:v>ProxyError: primary market source unavailable; see source_id for full audit.</x:v>
      </x:c>
      <x:c r="M70" t="str">
        <x:v>0</x:v>
      </x:c>
      <x:c r="N70" t="str">
        <x:v>0fd6ad2d-3389-4e70-8974-eb85ee223eeb</x:v>
      </x:c>
      <x:c r="O70" t="str">
        <x:v>2026-09-04</x:v>
      </x:c>
    </x:row>
    <x:row r="71">
      <x:c r="A71" t="str">
        <x:v>600362</x:v>
      </x:c>
      <x:c r="B71" t="str">
        <x:v>江西铜业</x:v>
      </x:c>
      <x:c r="C71" t="str">
        <x:v>主板</x:v>
      </x:c>
      <x:c r="D71" t="str">
        <x:v>待行业映射</x:v>
      </x:c>
      <x:c r="E71" t="n">
        <x:v>45.86</x:v>
      </x:c>
      <x:c r="F71" t="n">
        <x:v>13.7</x:v>
      </x:c>
      <x:c r="G71"/>
      <x:c r="H71" t="n">
        <x:v>1588.01</x:v>
      </x:c>
      <x:c r="I71" t="n">
        <x:v>64.38</x:v>
      </x:c>
      <x:c r="J71" t="str">
        <x:v>initial_screen_pending_pb_financial_review</x:v>
      </x:c>
      <x:c r="K71" t="str">
        <x:v>AkShare / Tencent all-A market snapshot</x:v>
      </x:c>
      <x:c r="L71" t="str">
        <x:v>ProxyError: primary market source unavailable; see source_id for full audit.</x:v>
      </x:c>
      <x:c r="M71" t="str">
        <x:v>0</x:v>
      </x:c>
      <x:c r="N71" t="str">
        <x:v>0fd6ad2d-3389-4e70-8974-eb85ee223eeb</x:v>
      </x:c>
      <x:c r="O71" t="str">
        <x:v>2026-09-04</x:v>
      </x:c>
    </x:row>
    <x:row r="72">
      <x:c r="A72" t="str">
        <x:v>002001</x:v>
      </x:c>
      <x:c r="B72" t="str">
        <x:v>新 和 成</x:v>
      </x:c>
      <x:c r="C72" t="str">
        <x:v>主板</x:v>
      </x:c>
      <x:c r="D72" t="str">
        <x:v>待行业映射</x:v>
      </x:c>
      <x:c r="E72" t="n">
        <x:v>26.86</x:v>
      </x:c>
      <x:c r="F72" t="n">
        <x:v>11.51</x:v>
      </x:c>
      <x:c r="G72"/>
      <x:c r="H72" t="n">
        <x:v>825.52</x:v>
      </x:c>
      <x:c r="I72" t="n">
        <x:v>63.97</x:v>
      </x:c>
      <x:c r="J72" t="str">
        <x:v>initial_screen_pending_pb_financial_review</x:v>
      </x:c>
      <x:c r="K72" t="str">
        <x:v>AkShare / Tencent all-A market snapshot</x:v>
      </x:c>
      <x:c r="L72" t="str">
        <x:v>ProxyError: primary market source unavailable; see source_id for full audit.</x:v>
      </x:c>
      <x:c r="M72" t="str">
        <x:v>0</x:v>
      </x:c>
      <x:c r="N72" t="str">
        <x:v>0fd6ad2d-3389-4e70-8974-eb85ee223eeb</x:v>
      </x:c>
      <x:c r="O72" t="str">
        <x:v>2026-09-04</x:v>
      </x:c>
    </x:row>
    <x:row r="73">
      <x:c r="A73" t="str">
        <x:v>600741</x:v>
      </x:c>
      <x:c r="B73" t="str">
        <x:v>华域汽车</x:v>
      </x:c>
      <x:c r="C73" t="str">
        <x:v>主板</x:v>
      </x:c>
      <x:c r="D73" t="str">
        <x:v>待行业映射</x:v>
      </x:c>
      <x:c r="E73" t="n">
        <x:v>15.58</x:v>
      </x:c>
      <x:c r="F73" t="n">
        <x:v>7.06</x:v>
      </x:c>
      <x:c r="G73"/>
      <x:c r="H73" t="n">
        <x:v>491.19</x:v>
      </x:c>
      <x:c r="I73" t="n">
        <x:v>63.84</x:v>
      </x:c>
      <x:c r="J73" t="str">
        <x:v>initial_screen_pending_pb_financial_review</x:v>
      </x:c>
      <x:c r="K73" t="str">
        <x:v>AkShare / Tencent all-A market snapshot</x:v>
      </x:c>
      <x:c r="L73" t="str">
        <x:v>ProxyError: primary market source unavailable; see source_id for full audit.</x:v>
      </x:c>
      <x:c r="M73" t="str">
        <x:v>0</x:v>
      </x:c>
      <x:c r="N73" t="str">
        <x:v>0fd6ad2d-3389-4e70-8974-eb85ee223eeb</x:v>
      </x:c>
      <x:c r="O73" t="str">
        <x:v>2026-09-04</x:v>
      </x:c>
    </x:row>
    <x:row r="74">
      <x:c r="A74" t="str">
        <x:v>002128</x:v>
      </x:c>
      <x:c r="B74" t="str">
        <x:v>电投能源</x:v>
      </x:c>
      <x:c r="C74" t="str">
        <x:v>主板</x:v>
      </x:c>
      <x:c r="D74" t="str">
        <x:v>待行业映射</x:v>
      </x:c>
      <x:c r="E74" t="n">
        <x:v>29.25</x:v>
      </x:c>
      <x:c r="F74" t="n">
        <x:v>12.77</x:v>
      </x:c>
      <x:c r="G74"/>
      <x:c r="H74" t="n">
        <x:v>914.49</x:v>
      </x:c>
      <x:c r="I74" t="n">
        <x:v>63.81</x:v>
      </x:c>
      <x:c r="J74" t="str">
        <x:v>initial_screen_pending_pb_financial_review</x:v>
      </x:c>
      <x:c r="K74" t="str">
        <x:v>AkShare / Tencent all-A market snapshot</x:v>
      </x:c>
      <x:c r="L74" t="str">
        <x:v>ProxyError: primary market source unavailable; see source_id for full audit.</x:v>
      </x:c>
      <x:c r="M74" t="str">
        <x:v>0</x:v>
      </x:c>
      <x:c r="N74" t="str">
        <x:v>0fd6ad2d-3389-4e70-8974-eb85ee223eeb</x:v>
      </x:c>
      <x:c r="O74" t="str">
        <x:v>2026-09-04</x:v>
      </x:c>
    </x:row>
    <x:row r="75">
      <x:c r="A75" t="str">
        <x:v>002532</x:v>
      </x:c>
      <x:c r="B75" t="str">
        <x:v>天山铝业</x:v>
      </x:c>
      <x:c r="C75" t="str">
        <x:v>主板</x:v>
      </x:c>
      <x:c r="D75" t="str">
        <x:v>待行业映射</x:v>
      </x:c>
      <x:c r="E75" t="n">
        <x:v>13.13</x:v>
      </x:c>
      <x:c r="F75" t="n">
        <x:v>8.79</x:v>
      </x:c>
      <x:c r="G75"/>
      <x:c r="H75" t="n">
        <x:v>607.75</x:v>
      </x:c>
      <x:c r="I75" t="n">
        <x:v>63.42</x:v>
      </x:c>
      <x:c r="J75" t="str">
        <x:v>initial_screen_pending_pb_financial_review</x:v>
      </x:c>
      <x:c r="K75" t="str">
        <x:v>AkShare / Tencent all-A market snapshot</x:v>
      </x:c>
      <x:c r="L75" t="str">
        <x:v>ProxyError: primary market source unavailable; see source_id for full audit.</x:v>
      </x:c>
      <x:c r="M75" t="str">
        <x:v>0</x:v>
      </x:c>
      <x:c r="N75" t="str">
        <x:v>0fd6ad2d-3389-4e70-8974-eb85ee223eeb</x:v>
      </x:c>
      <x:c r="O75" t="str">
        <x:v>2026-09-04</x:v>
      </x:c>
    </x:row>
    <x:row r="76">
      <x:c r="A76" t="str">
        <x:v>000933</x:v>
      </x:c>
      <x:c r="B76" t="str">
        <x:v>神火股份</x:v>
      </x:c>
      <x:c r="C76" t="str">
        <x:v>主板</x:v>
      </x:c>
      <x:c r="D76" t="str">
        <x:v>待行业映射</x:v>
      </x:c>
      <x:c r="E76" t="n">
        <x:v>27.36</x:v>
      </x:c>
      <x:c r="F76" t="n">
        <x:v>8.94</x:v>
      </x:c>
      <x:c r="G76"/>
      <x:c r="H76" t="n">
        <x:v>615.33</x:v>
      </x:c>
      <x:c r="I76" t="n">
        <x:v>63.29</x:v>
      </x:c>
      <x:c r="J76" t="str">
        <x:v>initial_screen_pending_pb_financial_review</x:v>
      </x:c>
      <x:c r="K76" t="str">
        <x:v>AkShare / Tencent all-A market snapshot</x:v>
      </x:c>
      <x:c r="L76" t="str">
        <x:v>ProxyError: primary market source unavailable; see source_id for full audit.</x:v>
      </x:c>
      <x:c r="M76" t="str">
        <x:v>0</x:v>
      </x:c>
      <x:c r="N76" t="str">
        <x:v>0fd6ad2d-3389-4e70-8974-eb85ee223eeb</x:v>
      </x:c>
      <x:c r="O76" t="str">
        <x:v>2026-09-04</x:v>
      </x:c>
    </x:row>
    <x:row r="77">
      <x:c r="A77" t="str">
        <x:v>603799</x:v>
      </x:c>
      <x:c r="B77" t="str">
        <x:v>华友钴业</x:v>
      </x:c>
      <x:c r="C77" t="str">
        <x:v>主板</x:v>
      </x:c>
      <x:c r="D77" t="str">
        <x:v>待行业映射</x:v>
      </x:c>
      <x:c r="E77" t="n">
        <x:v>38.07</x:v>
      </x:c>
      <x:c r="F77" t="n">
        <x:v>10.44</x:v>
      </x:c>
      <x:c r="G77"/>
      <x:c r="H77" t="n">
        <x:v>720.87</x:v>
      </x:c>
      <x:c r="I77" t="n">
        <x:v>63.09</x:v>
      </x:c>
      <x:c r="J77" t="str">
        <x:v>initial_screen_pending_pb_financial_review</x:v>
      </x:c>
      <x:c r="K77" t="str">
        <x:v>AkShare / Tencent all-A market snapshot</x:v>
      </x:c>
      <x:c r="L77" t="str">
        <x:v>ProxyError: primary market source unavailable; see source_id for full audit.</x:v>
      </x:c>
      <x:c r="M77" t="str">
        <x:v>0</x:v>
      </x:c>
      <x:c r="N77" t="str">
        <x:v>0fd6ad2d-3389-4e70-8974-eb85ee223eeb</x:v>
      </x:c>
      <x:c r="O77" t="str">
        <x:v>2026-09-04</x:v>
      </x:c>
    </x:row>
    <x:row r="78">
      <x:c r="A78" t="str">
        <x:v>603993</x:v>
      </x:c>
      <x:c r="B78" t="str">
        <x:v>洛阳钼业</x:v>
      </x:c>
      <x:c r="C78" t="str">
        <x:v>主板</x:v>
      </x:c>
      <x:c r="D78" t="str">
        <x:v>待行业映射</x:v>
      </x:c>
      <x:c r="E78" t="n">
        <x:v>18.48</x:v>
      </x:c>
      <x:c r="F78" t="n">
        <x:v>14.21</x:v>
      </x:c>
      <x:c r="G78"/>
      <x:c r="H78" t="n">
        <x:v>3953.67</x:v>
      </x:c>
      <x:c r="I78" t="n">
        <x:v>63.05</x:v>
      </x:c>
      <x:c r="J78" t="str">
        <x:v>initial_screen_pending_pb_financial_review</x:v>
      </x:c>
      <x:c r="K78" t="str">
        <x:v>AkShare / Tencent all-A market snapshot</x:v>
      </x:c>
      <x:c r="L78" t="str">
        <x:v>ProxyError: primary market source unavailable; see source_id for full audit.</x:v>
      </x:c>
      <x:c r="M78" t="str">
        <x:v>0</x:v>
      </x:c>
      <x:c r="N78" t="str">
        <x:v>0fd6ad2d-3389-4e70-8974-eb85ee223eeb</x:v>
      </x:c>
      <x:c r="O78" t="str">
        <x:v>2026-09-04</x:v>
      </x:c>
    </x:row>
    <x:row r="79">
      <x:c r="A79" t="str">
        <x:v>601872</x:v>
      </x:c>
      <x:c r="B79" t="str">
        <x:v>招商轮船</x:v>
      </x:c>
      <x:c r="C79" t="str">
        <x:v>主板</x:v>
      </x:c>
      <x:c r="D79" t="str">
        <x:v>待行业映射</x:v>
      </x:c>
      <x:c r="E79" t="n">
        <x:v>19.2</x:v>
      </x:c>
      <x:c r="F79" t="n">
        <x:v>14.29</x:v>
      </x:c>
      <x:c r="G79"/>
      <x:c r="H79" t="n">
        <x:v>1550.31</x:v>
      </x:c>
      <x:c r="I79" t="n">
        <x:v>62.85</x:v>
      </x:c>
      <x:c r="J79" t="str">
        <x:v>initial_screen_pending_pb_financial_review</x:v>
      </x:c>
      <x:c r="K79" t="str">
        <x:v>AkShare / Tencent all-A market snapshot</x:v>
      </x:c>
      <x:c r="L79" t="str">
        <x:v>ProxyError: primary market source unavailable; see source_id for full audit.</x:v>
      </x:c>
      <x:c r="M79" t="str">
        <x:v>0</x:v>
      </x:c>
      <x:c r="N79" t="str">
        <x:v>0fd6ad2d-3389-4e70-8974-eb85ee223eeb</x:v>
      </x:c>
      <x:c r="O79" t="str">
        <x:v>2026-09-04</x:v>
      </x:c>
    </x:row>
    <x:row r="80">
      <x:c r="A80" t="str">
        <x:v>601117</x:v>
      </x:c>
      <x:c r="B80" t="str">
        <x:v>中国化学</x:v>
      </x:c>
      <x:c r="C80" t="str">
        <x:v>主板</x:v>
      </x:c>
      <x:c r="D80" t="str">
        <x:v>待行业映射</x:v>
      </x:c>
      <x:c r="E80" t="n">
        <x:v>7.42</x:v>
      </x:c>
      <x:c r="F80" t="n">
        <x:v>6.99</x:v>
      </x:c>
      <x:c r="G80"/>
      <x:c r="H80" t="n">
        <x:v>453.03</x:v>
      </x:c>
      <x:c r="I80" t="n">
        <x:v>62.68</x:v>
      </x:c>
      <x:c r="J80" t="str">
        <x:v>initial_screen_pending_pb_financial_review</x:v>
      </x:c>
      <x:c r="K80" t="str">
        <x:v>AkShare / Tencent all-A market snapshot</x:v>
      </x:c>
      <x:c r="L80" t="str">
        <x:v>ProxyError: primary market source unavailable; see source_id for full audit.</x:v>
      </x:c>
      <x:c r="M80" t="str">
        <x:v>0</x:v>
      </x:c>
      <x:c r="N80" t="str">
        <x:v>0fd6ad2d-3389-4e70-8974-eb85ee223eeb</x:v>
      </x:c>
      <x:c r="O80" t="str">
        <x:v>2026-09-04</x:v>
      </x:c>
    </x:row>
    <x:row r="81">
      <x:c r="A81" t="str">
        <x:v>001309</x:v>
      </x:c>
      <x:c r="B81" t="str">
        <x:v>德明利</x:v>
      </x:c>
      <x:c r="C81" t="str">
        <x:v>主板</x:v>
      </x:c>
      <x:c r="D81" t="str">
        <x:v>待行业映射</x:v>
      </x:c>
      <x:c r="E81" t="n">
        <x:v>391.3</x:v>
      </x:c>
      <x:c r="F81" t="n">
        <x:v>13.01</x:v>
      </x:c>
      <x:c r="G81"/>
      <x:c r="H81" t="n">
        <x:v>887.64</x:v>
      </x:c>
      <x:c r="I81" t="n">
        <x:v>62.24</x:v>
      </x:c>
      <x:c r="J81" t="str">
        <x:v>initial_screen_pending_pb_financial_review</x:v>
      </x:c>
      <x:c r="K81" t="str">
        <x:v>AkShare / Tencent all-A market snapshot</x:v>
      </x:c>
      <x:c r="L81" t="str">
        <x:v>ProxyError: primary market source unavailable; see source_id for full audit.</x:v>
      </x:c>
      <x:c r="M81" t="str">
        <x:v>0</x:v>
      </x:c>
      <x:c r="N81" t="str">
        <x:v>0fd6ad2d-3389-4e70-8974-eb85ee223eeb</x:v>
      </x:c>
      <x:c r="O81" t="str">
        <x:v>2026-09-04</x:v>
      </x:c>
    </x:row>
    <x:row r="82">
      <x:c r="A82" t="str">
        <x:v>600958</x:v>
      </x:c>
      <x:c r="B82" t="str">
        <x:v>东方证券</x:v>
      </x:c>
      <x:c r="C82" t="str">
        <x:v>主板</x:v>
      </x:c>
      <x:c r="D82" t="str">
        <x:v>待行业映射</x:v>
      </x:c>
      <x:c r="E82" t="n">
        <x:v>9.27</x:v>
      </x:c>
      <x:c r="F82" t="n">
        <x:v>11.78</x:v>
      </x:c>
      <x:c r="G82"/>
      <x:c r="H82" t="n">
        <x:v>787.64</x:v>
      </x:c>
      <x:c r="I82" t="n">
        <x:v>61.94</x:v>
      </x:c>
      <x:c r="J82" t="str">
        <x:v>initial_screen_pending_pb_financial_review</x:v>
      </x:c>
      <x:c r="K82" t="str">
        <x:v>AkShare / Tencent all-A market snapshot</x:v>
      </x:c>
      <x:c r="L82" t="str">
        <x:v>ProxyError: primary market source unavailable; see source_id for full audit.</x:v>
      </x:c>
      <x:c r="M82" t="str">
        <x:v>0</x:v>
      </x:c>
      <x:c r="N82" t="str">
        <x:v>0fd6ad2d-3389-4e70-8974-eb85ee223eeb</x:v>
      </x:c>
      <x:c r="O82" t="str">
        <x:v>2026-09-04</x:v>
      </x:c>
    </x:row>
    <x:row r="83">
      <x:c r="A83" t="str">
        <x:v>600809</x:v>
      </x:c>
      <x:c r="B83" t="str">
        <x:v>山西汾酒</x:v>
      </x:c>
      <x:c r="C83" t="str">
        <x:v>主板</x:v>
      </x:c>
      <x:c r="D83" t="str">
        <x:v>待行业映射</x:v>
      </x:c>
      <x:c r="E83" t="n">
        <x:v>122.56</x:v>
      </x:c>
      <x:c r="F83" t="n">
        <x:v>14.69</x:v>
      </x:c>
      <x:c r="G83"/>
      <x:c r="H83" t="n">
        <x:v>1495.19</x:v>
      </x:c>
      <x:c r="I83" t="n">
        <x:v>61.81</x:v>
      </x:c>
      <x:c r="J83" t="str">
        <x:v>initial_screen_pending_pb_financial_review</x:v>
      </x:c>
      <x:c r="K83" t="str">
        <x:v>AkShare / Tencent all-A market snapshot</x:v>
      </x:c>
      <x:c r="L83" t="str">
        <x:v>ProxyError: primary market source unavailable; see source_id for full audit.</x:v>
      </x:c>
      <x:c r="M83" t="str">
        <x:v>0</x:v>
      </x:c>
      <x:c r="N83" t="str">
        <x:v>0fd6ad2d-3389-4e70-8974-eb85ee223eeb</x:v>
      </x:c>
      <x:c r="O83" t="str">
        <x:v>2026-09-04</x:v>
      </x:c>
    </x:row>
    <x:row r="84">
      <x:c r="A84" t="str">
        <x:v>601997</x:v>
      </x:c>
      <x:c r="B84" t="str">
        <x:v>贵阳银行</x:v>
      </x:c>
      <x:c r="C84" t="str">
        <x:v>主板</x:v>
      </x:c>
      <x:c r="D84" t="str">
        <x:v>待行业映射</x:v>
      </x:c>
      <x:c r="E84" t="n">
        <x:v>5.62</x:v>
      </x:c>
      <x:c r="F84" t="n">
        <x:v>4</x:v>
      </x:c>
      <x:c r="G84"/>
      <x:c r="H84" t="n">
        <x:v>205.48</x:v>
      </x:c>
      <x:c r="I84" t="n">
        <x:v>61.79</x:v>
      </x:c>
      <x:c r="J84" t="str">
        <x:v>initial_screen_pending_pb_financial_review</x:v>
      </x:c>
      <x:c r="K84" t="str">
        <x:v>AkShare / Tencent all-A market snapshot</x:v>
      </x:c>
      <x:c r="L84" t="str">
        <x:v>ProxyError: primary market source unavailable; see source_id for full audit.</x:v>
      </x:c>
      <x:c r="M84" t="str">
        <x:v>0</x:v>
      </x:c>
      <x:c r="N84" t="str">
        <x:v>0fd6ad2d-3389-4e70-8974-eb85ee223eeb</x:v>
      </x:c>
      <x:c r="O84" t="str">
        <x:v>2026-09-04</x:v>
      </x:c>
    </x:row>
    <x:row r="85">
      <x:c r="A85" t="str">
        <x:v>601665</x:v>
      </x:c>
      <x:c r="B85" t="str">
        <x:v>齐鲁银行</x:v>
      </x:c>
      <x:c r="C85" t="str">
        <x:v>主板</x:v>
      </x:c>
      <x:c r="D85" t="str">
        <x:v>待行业映射</x:v>
      </x:c>
      <x:c r="E85" t="n">
        <x:v>7.21</x:v>
      </x:c>
      <x:c r="F85" t="n">
        <x:v>7.21</x:v>
      </x:c>
      <x:c r="G85"/>
      <x:c r="H85" t="n">
        <x:v>443.69</x:v>
      </x:c>
      <x:c r="I85" t="n">
        <x:v>61.78</x:v>
      </x:c>
      <x:c r="J85" t="str">
        <x:v>initial_screen_pending_pb_financial_review</x:v>
      </x:c>
      <x:c r="K85" t="str">
        <x:v>AkShare / Tencent all-A market snapshot</x:v>
      </x:c>
      <x:c r="L85" t="str">
        <x:v>ProxyError: primary market source unavailable; see source_id for full audit.</x:v>
      </x:c>
      <x:c r="M85" t="str">
        <x:v>0</x:v>
      </x:c>
      <x:c r="N85" t="str">
        <x:v>0fd6ad2d-3389-4e70-8974-eb85ee223eeb</x:v>
      </x:c>
      <x:c r="O85" t="str">
        <x:v>2026-09-04</x:v>
      </x:c>
    </x:row>
    <x:row r="86">
      <x:c r="A86" t="str">
        <x:v>600309</x:v>
      </x:c>
      <x:c r="B86" t="str">
        <x:v>万华化学</x:v>
      </x:c>
      <x:c r="C86" t="str">
        <x:v>主板</x:v>
      </x:c>
      <x:c r="D86" t="str">
        <x:v>待行业映射</x:v>
      </x:c>
      <x:c r="E86" t="n">
        <x:v>77.66</x:v>
      </x:c>
      <x:c r="F86" t="n">
        <x:v>14.76</x:v>
      </x:c>
      <x:c r="G86"/>
      <x:c r="H86" t="n">
        <x:v>2431.12</x:v>
      </x:c>
      <x:c r="I86" t="n">
        <x:v>61.62</x:v>
      </x:c>
      <x:c r="J86" t="str">
        <x:v>initial_screen_pending_pb_financial_review</x:v>
      </x:c>
      <x:c r="K86" t="str">
        <x:v>AkShare / Tencent all-A market snapshot</x:v>
      </x:c>
      <x:c r="L86" t="str">
        <x:v>ProxyError: primary market source unavailable; see source_id for full audit.</x:v>
      </x:c>
      <x:c r="M86" t="str">
        <x:v>0</x:v>
      </x:c>
      <x:c r="N86" t="str">
        <x:v>0fd6ad2d-3389-4e70-8974-eb85ee223eeb</x:v>
      </x:c>
      <x:c r="O86" t="str">
        <x:v>2026-09-04</x:v>
      </x:c>
    </x:row>
    <x:row r="87">
      <x:c r="A87" t="str">
        <x:v>601963</x:v>
      </x:c>
      <x:c r="B87" t="str">
        <x:v>重庆银行</x:v>
      </x:c>
      <x:c r="C87" t="str">
        <x:v>主板</x:v>
      </x:c>
      <x:c r="D87" t="str">
        <x:v>待行业映射</x:v>
      </x:c>
      <x:c r="E87" t="n">
        <x:v>11.34</x:v>
      </x:c>
      <x:c r="F87" t="n">
        <x:v>6.87</x:v>
      </x:c>
      <x:c r="G87"/>
      <x:c r="H87" t="n">
        <x:v>411.16</x:v>
      </x:c>
      <x:c r="I87" t="n">
        <x:v>61.53</x:v>
      </x:c>
      <x:c r="J87" t="str">
        <x:v>initial_screen_pending_pb_financial_review</x:v>
      </x:c>
      <x:c r="K87" t="str">
        <x:v>AkShare / Tencent all-A market snapshot</x:v>
      </x:c>
      <x:c r="L87" t="str">
        <x:v>ProxyError: primary market source unavailable; see source_id for full audit.</x:v>
      </x:c>
      <x:c r="M87" t="str">
        <x:v>0</x:v>
      </x:c>
      <x:c r="N87" t="str">
        <x:v>0fd6ad2d-3389-4e70-8974-eb85ee223eeb</x:v>
      </x:c>
      <x:c r="O87" t="str">
        <x:v>2026-09-04</x:v>
      </x:c>
    </x:row>
    <x:row r="88">
      <x:c r="A88" t="str">
        <x:v>600841</x:v>
      </x:c>
      <x:c r="B88" t="str">
        <x:v>动力新科</x:v>
      </x:c>
      <x:c r="C88" t="str">
        <x:v>主板</x:v>
      </x:c>
      <x:c r="D88" t="str">
        <x:v>待行业映射</x:v>
      </x:c>
      <x:c r="E88" t="n">
        <x:v>5.8</x:v>
      </x:c>
      <x:c r="F88" t="n">
        <x:v>2.48</x:v>
      </x:c>
      <x:c r="G88"/>
      <x:c r="H88" t="n">
        <x:v>80.49</x:v>
      </x:c>
      <x:c r="I88" t="n">
        <x:v>61.37</x:v>
      </x:c>
      <x:c r="J88" t="str">
        <x:v>initial_screen_pending_pb_financial_review</x:v>
      </x:c>
      <x:c r="K88" t="str">
        <x:v>AkShare / Tencent all-A market snapshot</x:v>
      </x:c>
      <x:c r="L88" t="str">
        <x:v>ProxyError: primary market source unavailable; see source_id for full audit.</x:v>
      </x:c>
      <x:c r="M88" t="str">
        <x:v>0</x:v>
      </x:c>
      <x:c r="N88" t="str">
        <x:v>0fd6ad2d-3389-4e70-8974-eb85ee223eeb</x:v>
      </x:c>
      <x:c r="O88" t="str">
        <x:v>2026-09-04</x:v>
      </x:c>
    </x:row>
    <x:row r="89">
      <x:c r="A89" t="str">
        <x:v>002948</x:v>
      </x:c>
      <x:c r="B89" t="str">
        <x:v>青岛银行</x:v>
      </x:c>
      <x:c r="C89" t="str">
        <x:v>主板</x:v>
      </x:c>
      <x:c r="D89" t="str">
        <x:v>待行业映射</x:v>
      </x:c>
      <x:c r="E89" t="n">
        <x:v>6.35</x:v>
      </x:c>
      <x:c r="F89" t="n">
        <x:v>6.44</x:v>
      </x:c>
      <x:c r="G89"/>
      <x:c r="H89" t="n">
        <x:v>369.59</x:v>
      </x:c>
      <x:c r="I89" t="n">
        <x:v>61.19</x:v>
      </x:c>
      <x:c r="J89" t="str">
        <x:v>initial_screen_pending_pb_financial_review</x:v>
      </x:c>
      <x:c r="K89" t="str">
        <x:v>AkShare / Tencent all-A market snapshot</x:v>
      </x:c>
      <x:c r="L89" t="str">
        <x:v>ProxyError: primary market source unavailable; see source_id for full audit.</x:v>
      </x:c>
      <x:c r="M89" t="str">
        <x:v>0</x:v>
      </x:c>
      <x:c r="N89" t="str">
        <x:v>0fd6ad2d-3389-4e70-8974-eb85ee223eeb</x:v>
      </x:c>
      <x:c r="O89" t="str">
        <x:v>2026-09-04</x:v>
      </x:c>
    </x:row>
    <x:row r="90">
      <x:c r="A90" t="str">
        <x:v>000333</x:v>
      </x:c>
      <x:c r="B90" t="str">
        <x:v>美的集团</x:v>
      </x:c>
      <x:c r="C90" t="str">
        <x:v>主板</x:v>
      </x:c>
      <x:c r="D90" t="str">
        <x:v>待行业映射</x:v>
      </x:c>
      <x:c r="E90" t="n">
        <x:v>87.57</x:v>
      </x:c>
      <x:c r="F90" t="n">
        <x:v>15.05</x:v>
      </x:c>
      <x:c r="G90"/>
      <x:c r="H90" t="n">
        <x:v>6680.74</x:v>
      </x:c>
      <x:c r="I90" t="n">
        <x:v>60.87</x:v>
      </x:c>
      <x:c r="J90" t="str">
        <x:v>initial_screen_pending_pb_financial_review</x:v>
      </x:c>
      <x:c r="K90" t="str">
        <x:v>AkShare / Tencent all-A market snapshot</x:v>
      </x:c>
      <x:c r="L90" t="str">
        <x:v>ProxyError: primary market source unavailable; see source_id for full audit.</x:v>
      </x:c>
      <x:c r="M90" t="str">
        <x:v>0</x:v>
      </x:c>
      <x:c r="N90" t="str">
        <x:v>0fd6ad2d-3389-4e70-8974-eb85ee223eeb</x:v>
      </x:c>
      <x:c r="O90" t="str">
        <x:v>2026-09-04</x:v>
      </x:c>
    </x:row>
    <x:row r="91">
      <x:c r="A91" t="str">
        <x:v>002966</x:v>
      </x:c>
      <x:c r="B91" t="str">
        <x:v>苏州银行</x:v>
      </x:c>
      <x:c r="C91" t="str">
        <x:v>主板</x:v>
      </x:c>
      <x:c r="D91" t="str">
        <x:v>待行业映射</x:v>
      </x:c>
      <x:c r="E91" t="n">
        <x:v>9.2</x:v>
      </x:c>
      <x:c r="F91" t="n">
        <x:v>7.33</x:v>
      </x:c>
      <x:c r="G91"/>
      <x:c r="H91" t="n">
        <x:v>411.3</x:v>
      </x:c>
      <x:c r="I91" t="n">
        <x:v>60.34</x:v>
      </x:c>
      <x:c r="J91" t="str">
        <x:v>initial_screen_pending_pb_financial_review</x:v>
      </x:c>
      <x:c r="K91" t="str">
        <x:v>AkShare / Tencent all-A market snapshot</x:v>
      </x:c>
      <x:c r="L91" t="str">
        <x:v>ProxyError: primary market source unavailable; see source_id for full audit.</x:v>
      </x:c>
      <x:c r="M91" t="str">
        <x:v>0</x:v>
      </x:c>
      <x:c r="N91" t="str">
        <x:v>0fd6ad2d-3389-4e70-8974-eb85ee223eeb</x:v>
      </x:c>
      <x:c r="O91" t="str">
        <x:v>2026-09-04</x:v>
      </x:c>
    </x:row>
    <x:row r="92">
      <x:c r="A92" t="str">
        <x:v>600795</x:v>
      </x:c>
      <x:c r="B92" t="str">
        <x:v>国电电力</x:v>
      </x:c>
      <x:c r="C92" t="str">
        <x:v>主板</x:v>
      </x:c>
      <x:c r="D92" t="str">
        <x:v>待行业映射</x:v>
      </x:c>
      <x:c r="E92" t="n">
        <x:v>5.37</x:v>
      </x:c>
      <x:c r="F92" t="n">
        <x:v>14.76</x:v>
      </x:c>
      <x:c r="G92"/>
      <x:c r="H92" t="n">
        <x:v>957.77</x:v>
      </x:c>
      <x:c r="I92" t="n">
        <x:v>60.15</x:v>
      </x:c>
      <x:c r="J92" t="str">
        <x:v>initial_screen_pending_pb_financial_review</x:v>
      </x:c>
      <x:c r="K92" t="str">
        <x:v>AkShare / Tencent all-A market snapshot</x:v>
      </x:c>
      <x:c r="L92" t="str">
        <x:v>ProxyError: primary market source unavailable; see source_id for full audit.</x:v>
      </x:c>
      <x:c r="M92" t="str">
        <x:v>0</x:v>
      </x:c>
      <x:c r="N92" t="str">
        <x:v>0fd6ad2d-3389-4e70-8974-eb85ee223eeb</x:v>
      </x:c>
      <x:c r="O92" t="str">
        <x:v>2026-09-04</x:v>
      </x:c>
    </x:row>
    <x:row r="93">
      <x:c r="A93" t="str">
        <x:v>002611</x:v>
      </x:c>
      <x:c r="B93" t="str">
        <x:v>东方精工</x:v>
      </x:c>
      <x:c r="C93" t="str">
        <x:v>主板</x:v>
      </x:c>
      <x:c r="D93" t="str">
        <x:v>待行业映射</x:v>
      </x:c>
      <x:c r="E93" t="n">
        <x:v>14.77</x:v>
      </x:c>
      <x:c r="F93" t="n">
        <x:v>4.31</x:v>
      </x:c>
      <x:c r="G93"/>
      <x:c r="H93" t="n">
        <x:v>179.79</x:v>
      </x:c>
      <x:c r="I93" t="n">
        <x:v>60.09</x:v>
      </x:c>
      <x:c r="J93" t="str">
        <x:v>initial_screen_pending_pb_financial_review</x:v>
      </x:c>
      <x:c r="K93" t="str">
        <x:v>AkShare / Tencent all-A market snapshot</x:v>
      </x:c>
      <x:c r="L93" t="str">
        <x:v>ProxyError: primary market source unavailable; see source_id for full audit.</x:v>
      </x:c>
      <x:c r="M93" t="str">
        <x:v>0</x:v>
      </x:c>
      <x:c r="N93" t="str">
        <x:v>0fd6ad2d-3389-4e70-8974-eb85ee223eeb</x:v>
      </x:c>
      <x:c r="O93" t="str">
        <x:v>2026-09-04</x:v>
      </x:c>
    </x:row>
    <x:row r="94">
      <x:c r="A94" t="str">
        <x:v>000708</x:v>
      </x:c>
      <x:c r="B94" t="str">
        <x:v>中信特钢</x:v>
      </x:c>
      <x:c r="C94" t="str">
        <x:v>主板</x:v>
      </x:c>
      <x:c r="D94" t="str">
        <x:v>待行业映射</x:v>
      </x:c>
      <x:c r="E94" t="n">
        <x:v>13.59</x:v>
      </x:c>
      <x:c r="F94" t="n">
        <x:v>11.21</x:v>
      </x:c>
      <x:c r="G94"/>
      <x:c r="H94" t="n">
        <x:v>685.91</x:v>
      </x:c>
      <x:c r="I94" t="n">
        <x:v>59.86</x:v>
      </x:c>
      <x:c r="J94" t="str">
        <x:v>initial_screen_pending_pb_financial_review</x:v>
      </x:c>
      <x:c r="K94" t="str">
        <x:v>AkShare / Tencent all-A market snapshot</x:v>
      </x:c>
      <x:c r="L94" t="str">
        <x:v>ProxyError: primary market source unavailable; see source_id for full audit.</x:v>
      </x:c>
      <x:c r="M94" t="str">
        <x:v>0</x:v>
      </x:c>
      <x:c r="N94" t="str">
        <x:v>0fd6ad2d-3389-4e70-8974-eb85ee223eeb</x:v>
      </x:c>
      <x:c r="O94" t="str">
        <x:v>2026-09-04</x:v>
      </x:c>
    </x:row>
    <x:row r="95">
      <x:c r="A95" t="str">
        <x:v>000415</x:v>
      </x:c>
      <x:c r="B95" t="str">
        <x:v>渤海租赁</x:v>
      </x:c>
      <x:c r="C95" t="str">
        <x:v>主板</x:v>
      </x:c>
      <x:c r="D95" t="str">
        <x:v>待行业映射</x:v>
      </x:c>
      <x:c r="E95" t="n">
        <x:v>4.56</x:v>
      </x:c>
      <x:c r="F95" t="n">
        <x:v>5.85</x:v>
      </x:c>
      <x:c r="G95"/>
      <x:c r="H95" t="n">
        <x:v>282.01</x:v>
      </x:c>
      <x:c r="I95" t="n">
        <x:v>59.66</x:v>
      </x:c>
      <x:c r="J95" t="str">
        <x:v>initial_screen_pending_pb_financial_review</x:v>
      </x:c>
      <x:c r="K95" t="str">
        <x:v>AkShare / Tencent all-A market snapshot</x:v>
      </x:c>
      <x:c r="L95" t="str">
        <x:v>ProxyError: primary market source unavailable; see source_id for full audit.</x:v>
      </x:c>
      <x:c r="M95" t="str">
        <x:v>0</x:v>
      </x:c>
      <x:c r="N95" t="str">
        <x:v>0fd6ad2d-3389-4e70-8974-eb85ee223eeb</x:v>
      </x:c>
      <x:c r="O95" t="str">
        <x:v>2026-09-04</x:v>
      </x:c>
    </x:row>
    <x:row r="96">
      <x:c r="A96" t="str">
        <x:v>002602</x:v>
      </x:c>
      <x:c r="B96" t="str">
        <x:v>世纪华通</x:v>
      </x:c>
      <x:c r="C96" t="str">
        <x:v>主板</x:v>
      </x:c>
      <x:c r="D96" t="str">
        <x:v>待行业映射</x:v>
      </x:c>
      <x:c r="E96" t="n">
        <x:v>15.73</x:v>
      </x:c>
      <x:c r="F96" t="n">
        <x:v>15.56</x:v>
      </x:c>
      <x:c r="G96"/>
      <x:c r="H96" t="n">
        <x:v>1159.41</x:v>
      </x:c>
      <x:c r="I96" t="n">
        <x:v>59.54</x:v>
      </x:c>
      <x:c r="J96" t="str">
        <x:v>initial_screen_pending_pb_financial_review</x:v>
      </x:c>
      <x:c r="K96" t="str">
        <x:v>AkShare / Tencent all-A market snapshot</x:v>
      </x:c>
      <x:c r="L96" t="str">
        <x:v>ProxyError: primary market source unavailable; see source_id for full audit.</x:v>
      </x:c>
      <x:c r="M96" t="str">
        <x:v>0</x:v>
      </x:c>
      <x:c r="N96" t="str">
        <x:v>0fd6ad2d-3389-4e70-8974-eb85ee223eeb</x:v>
      </x:c>
      <x:c r="O96" t="str">
        <x:v>2026-09-04</x:v>
      </x:c>
    </x:row>
    <x:row r="97">
      <x:c r="A97" t="str">
        <x:v>002352</x:v>
      </x:c>
      <x:c r="B97" t="str">
        <x:v>顺丰控股</x:v>
      </x:c>
      <x:c r="C97" t="str">
        <x:v>主板</x:v>
      </x:c>
      <x:c r="D97" t="str">
        <x:v>待行业映射</x:v>
      </x:c>
      <x:c r="E97" t="n">
        <x:v>32.22</x:v>
      </x:c>
      <x:c r="F97" t="n">
        <x:v>15.59</x:v>
      </x:c>
      <x:c r="G97"/>
      <x:c r="H97" t="n">
        <x:v>1696.48</x:v>
      </x:c>
      <x:c r="I97" t="n">
        <x:v>59.47</x:v>
      </x:c>
      <x:c r="J97" t="str">
        <x:v>initial_screen_pending_pb_financial_review</x:v>
      </x:c>
      <x:c r="K97" t="str">
        <x:v>AkShare / Tencent all-A market snapshot</x:v>
      </x:c>
      <x:c r="L97" t="str">
        <x:v>ProxyError: primary market source unavailable; see source_id for full audit.</x:v>
      </x:c>
      <x:c r="M97" t="str">
        <x:v>0</x:v>
      </x:c>
      <x:c r="N97" t="str">
        <x:v>0fd6ad2d-3389-4e70-8974-eb85ee223eeb</x:v>
      </x:c>
      <x:c r="O97" t="str">
        <x:v>2026-09-04</x:v>
      </x:c>
    </x:row>
    <x:row r="98">
      <x:c r="A98" t="str">
        <x:v>601066</x:v>
      </x:c>
      <x:c r="B98" t="str">
        <x:v>中信建投</x:v>
      </x:c>
      <x:c r="C98" t="str">
        <x:v>主板</x:v>
      </x:c>
      <x:c r="D98" t="str">
        <x:v>待行业映射</x:v>
      </x:c>
      <x:c r="E98" t="n">
        <x:v>25.28</x:v>
      </x:c>
      <x:c r="F98" t="n">
        <x:v>15.6</x:v>
      </x:c>
      <x:c r="G98"/>
      <x:c r="H98" t="n">
        <x:v>1960.89</x:v>
      </x:c>
      <x:c r="I98" t="n">
        <x:v>59.44</x:v>
      </x:c>
      <x:c r="J98" t="str">
        <x:v>initial_screen_pending_pb_financial_review</x:v>
      </x:c>
      <x:c r="K98" t="str">
        <x:v>AkShare / Tencent all-A market snapshot</x:v>
      </x:c>
      <x:c r="L98" t="str">
        <x:v>ProxyError: primary market source unavailable; see source_id for full audit.</x:v>
      </x:c>
      <x:c r="M98" t="str">
        <x:v>0</x:v>
      </x:c>
      <x:c r="N98" t="str">
        <x:v>0fd6ad2d-3389-4e70-8974-eb85ee223eeb</x:v>
      </x:c>
      <x:c r="O98" t="str">
        <x:v>2026-09-04</x:v>
      </x:c>
    </x:row>
    <x:row r="99">
      <x:c r="A99" t="str">
        <x:v>601128</x:v>
      </x:c>
      <x:c r="B99" t="str">
        <x:v>常熟银行</x:v>
      </x:c>
      <x:c r="C99" t="str">
        <x:v>主板</x:v>
      </x:c>
      <x:c r="D99" t="str">
        <x:v>待行业映射</x:v>
      </x:c>
      <x:c r="E99" t="n">
        <x:v>6.42</x:v>
      </x:c>
      <x:c r="F99" t="n">
        <x:v>5.29</x:v>
      </x:c>
      <x:c r="G99"/>
      <x:c r="H99" t="n">
        <x:v>234.21</x:v>
      </x:c>
      <x:c r="I99" t="n">
        <x:v>59.44</x:v>
      </x:c>
      <x:c r="J99" t="str">
        <x:v>initial_screen_pending_pb_financial_review</x:v>
      </x:c>
      <x:c r="K99" t="str">
        <x:v>AkShare / Tencent all-A market snapshot</x:v>
      </x:c>
      <x:c r="L99" t="str">
        <x:v>ProxyError: primary market source unavailable; see source_id for full audit.</x:v>
      </x:c>
      <x:c r="M99" t="str">
        <x:v>0</x:v>
      </x:c>
      <x:c r="N99" t="str">
        <x:v>0fd6ad2d-3389-4e70-8974-eb85ee223eeb</x:v>
      </x:c>
      <x:c r="O99" t="str">
        <x:v>2026-09-04</x:v>
      </x:c>
    </x:row>
    <x:row r="100">
      <x:c r="A100" t="str">
        <x:v>000568</x:v>
      </x:c>
      <x:c r="B100" t="str">
        <x:v>泸州老窖</x:v>
      </x:c>
      <x:c r="C100" t="str">
        <x:v>主板</x:v>
      </x:c>
      <x:c r="D100" t="str">
        <x:v>待行业映射</x:v>
      </x:c>
      <x:c r="E100" t="n">
        <x:v>79.92</x:v>
      </x:c>
      <x:c r="F100" t="n">
        <x:v>15.67</x:v>
      </x:c>
      <x:c r="G100"/>
      <x:c r="H100" t="n">
        <x:v>1176.34</x:v>
      </x:c>
      <x:c r="I100" t="n">
        <x:v>59.26</x:v>
      </x:c>
      <x:c r="J100" t="str">
        <x:v>initial_screen_pending_pb_financial_review</x:v>
      </x:c>
      <x:c r="K100" t="str">
        <x:v>AkShare / Tencent all-A market snapshot</x:v>
      </x:c>
      <x:c r="L100" t="str">
        <x:v>ProxyError: primary market source unavailable; see source_id for full audit.</x:v>
      </x:c>
      <x:c r="M100" t="str">
        <x:v>0</x:v>
      </x:c>
      <x:c r="N100" t="str">
        <x:v>0fd6ad2d-3389-4e70-8974-eb85ee223eeb</x:v>
      </x:c>
      <x:c r="O100" t="str">
        <x:v>2026-09-04</x:v>
      </x:c>
    </x:row>
    <x:row r="101">
      <x:c r="A101" t="str">
        <x:v>000703</x:v>
      </x:c>
      <x:c r="B101" t="str">
        <x:v>恒逸石化</x:v>
      </x:c>
      <x:c r="C101" t="str">
        <x:v>主板</x:v>
      </x:c>
      <x:c r="D101" t="str">
        <x:v>待行业映射</x:v>
      </x:c>
      <x:c r="E101" t="n">
        <x:v>17.93</x:v>
      </x:c>
      <x:c r="F101" t="n">
        <x:v>11.55</x:v>
      </x:c>
      <x:c r="G101"/>
      <x:c r="H101" t="n">
        <x:v>685.21</x:v>
      </x:c>
      <x:c r="I101" t="n">
        <x:v>58.95</x:v>
      </x:c>
      <x:c r="J101" t="str">
        <x:v>initial_screen_pending_pb_financial_review</x:v>
      </x:c>
      <x:c r="K101" t="str">
        <x:v>AkShare / Tencent all-A market snapshot</x:v>
      </x:c>
      <x:c r="L101" t="str">
        <x:v>ProxyError: primary market source unavailable; see source_id for full audit.</x:v>
      </x:c>
      <x:c r="M101" t="str">
        <x:v>0</x:v>
      </x:c>
      <x:c r="N101" t="str">
        <x:v>0fd6ad2d-3389-4e70-8974-eb85ee223eeb</x:v>
      </x:c>
      <x:c r="O101" t="str">
        <x:v>2026-09-04</x:v>
      </x:c>
    </x:row>
    <x:row r="102">
      <x:c r="A102" t="str">
        <x:v>600233</x:v>
      </x:c>
      <x:c r="B102" t="str">
        <x:v>圆通速递</x:v>
      </x:c>
      <x:c r="C102" t="str">
        <x:v>主板</x:v>
      </x:c>
      <x:c r="D102" t="str">
        <x:v>待行业映射</x:v>
      </x:c>
      <x:c r="E102" t="n">
        <x:v>16.98</x:v>
      </x:c>
      <x:c r="F102" t="n">
        <x:v>10.26</x:v>
      </x:c>
      <x:c r="G102"/>
      <x:c r="H102" t="n">
        <x:v>581.4</x:v>
      </x:c>
      <x:c r="I102" t="n">
        <x:v>58.67</x:v>
      </x:c>
      <x:c r="J102" t="str">
        <x:v>initial_screen_pending_pb_financial_review</x:v>
      </x:c>
      <x:c r="K102" t="str">
        <x:v>AkShare / Tencent all-A market snapshot</x:v>
      </x:c>
      <x:c r="L102" t="str">
        <x:v>ProxyError: primary market source unavailable; see source_id for full audit.</x:v>
      </x:c>
      <x:c r="M102" t="str">
        <x:v>0</x:v>
      </x:c>
      <x:c r="N102" t="str">
        <x:v>0fd6ad2d-3389-4e70-8974-eb85ee223eeb</x:v>
      </x:c>
      <x:c r="O102" t="str">
        <x:v>2026-09-04</x:v>
      </x:c>
    </x:row>
    <x:row r="103">
      <x:c r="A103" t="str">
        <x:v>600585</x:v>
      </x:c>
      <x:c r="B103" t="str">
        <x:v>海螺水泥</x:v>
      </x:c>
      <x:c r="C103" t="str">
        <x:v>主板</x:v>
      </x:c>
      <x:c r="D103" t="str">
        <x:v>待行业映射</x:v>
      </x:c>
      <x:c r="E103" t="n">
        <x:v>17.88</x:v>
      </x:c>
      <x:c r="F103" t="n">
        <x:v>15.16</x:v>
      </x:c>
      <x:c r="G103"/>
      <x:c r="H103" t="n">
        <x:v>943.54</x:v>
      </x:c>
      <x:c r="I103" t="n">
        <x:v>58.61</x:v>
      </x:c>
      <x:c r="J103" t="str">
        <x:v>initial_screen_pending_pb_financial_review</x:v>
      </x:c>
      <x:c r="K103" t="str">
        <x:v>AkShare / Tencent all-A market snapshot</x:v>
      </x:c>
      <x:c r="L103" t="str">
        <x:v>ProxyError: primary market source unavailable; see source_id for full audit.</x:v>
      </x:c>
      <x:c r="M103" t="str">
        <x:v>0</x:v>
      </x:c>
      <x:c r="N103" t="str">
        <x:v>0fd6ad2d-3389-4e70-8974-eb85ee223eeb</x:v>
      </x:c>
      <x:c r="O103" t="str">
        <x:v>2026-09-04</x:v>
      </x:c>
    </x:row>
    <x:row r="104">
      <x:c r="A104" t="str">
        <x:v>600886</x:v>
      </x:c>
      <x:c r="B104" t="str">
        <x:v>国投电力</x:v>
      </x:c>
      <x:c r="C104" t="str">
        <x:v>主板</x:v>
      </x:c>
      <x:c r="D104" t="str">
        <x:v>待行业映射</x:v>
      </x:c>
      <x:c r="E104" t="n">
        <x:v>14.25</x:v>
      </x:c>
      <x:c r="F104" t="n">
        <x:v>15.99</x:v>
      </x:c>
      <x:c r="G104"/>
      <x:c r="H104" t="n">
        <x:v>1140.64</x:v>
      </x:c>
      <x:c r="I104" t="n">
        <x:v>58.43</x:v>
      </x:c>
      <x:c r="J104" t="str">
        <x:v>initial_screen_pending_pb_financial_review</x:v>
      </x:c>
      <x:c r="K104" t="str">
        <x:v>AkShare / Tencent all-A market snapshot</x:v>
      </x:c>
      <x:c r="L104" t="str">
        <x:v>ProxyError: primary market source unavailable; see source_id for full audit.</x:v>
      </x:c>
      <x:c r="M104" t="str">
        <x:v>0</x:v>
      </x:c>
      <x:c r="N104" t="str">
        <x:v>0fd6ad2d-3389-4e70-8974-eb85ee223eeb</x:v>
      </x:c>
      <x:c r="O104" t="str">
        <x:v>2026-09-04</x:v>
      </x:c>
    </x:row>
    <x:row r="105">
      <x:c r="A105" t="str">
        <x:v>000425</x:v>
      </x:c>
      <x:c r="B105" t="str">
        <x:v>徐工机械</x:v>
      </x:c>
      <x:c r="C105" t="str">
        <x:v>主板</x:v>
      </x:c>
      <x:c r="D105" t="str">
        <x:v>待行业映射</x:v>
      </x:c>
      <x:c r="E105" t="n">
        <x:v>8.14</x:v>
      </x:c>
      <x:c r="F105" t="n">
        <x:v>15.44</x:v>
      </x:c>
      <x:c r="G105"/>
      <x:c r="H105" t="n">
        <x:v>953.29</x:v>
      </x:c>
      <x:c r="I105" t="n">
        <x:v>58.22</x:v>
      </x:c>
      <x:c r="J105" t="str">
        <x:v>initial_screen_pending_pb_financial_review</x:v>
      </x:c>
      <x:c r="K105" t="str">
        <x:v>AkShare / Tencent all-A market snapshot</x:v>
      </x:c>
      <x:c r="L105" t="str">
        <x:v>ProxyError: primary market source unavailable; see source_id for full audit.</x:v>
      </x:c>
      <x:c r="M105" t="str">
        <x:v>0</x:v>
      </x:c>
      <x:c r="N105" t="str">
        <x:v>0fd6ad2d-3389-4e70-8974-eb85ee223eeb</x:v>
      </x:c>
      <x:c r="O105" t="str">
        <x:v>2026-09-04</x:v>
      </x:c>
    </x:row>
    <x:row r="106">
      <x:c r="A106" t="str">
        <x:v>688331</x:v>
      </x:c>
      <x:c r="B106" t="str">
        <x:v>荣昌生物</x:v>
      </x:c>
      <x:c r="C106" t="str">
        <x:v>科创板</x:v>
      </x:c>
      <x:c r="D106" t="str">
        <x:v>待行业映射</x:v>
      </x:c>
      <x:c r="E106" t="n">
        <x:v>124.24</x:v>
      </x:c>
      <x:c r="F106" t="n">
        <x:v>12.05</x:v>
      </x:c>
      <x:c r="G106"/>
      <x:c r="H106" t="n">
        <x:v>701.31</x:v>
      </x:c>
      <x:c r="I106" t="n">
        <x:v>58.22</x:v>
      </x:c>
      <x:c r="J106" t="str">
        <x:v>initial_screen_pending_pb_financial_review</x:v>
      </x:c>
      <x:c r="K106" t="str">
        <x:v>AkShare / Tencent all-A market snapshot</x:v>
      </x:c>
      <x:c r="L106" t="str">
        <x:v>ProxyError: primary market source unavailable; see source_id for full audit.</x:v>
      </x:c>
      <x:c r="M106" t="str">
        <x:v>0</x:v>
      </x:c>
      <x:c r="N106" t="str">
        <x:v>0fd6ad2d-3389-4e70-8974-eb85ee223eeb</x:v>
      </x:c>
      <x:c r="O106" t="str">
        <x:v>2026-09-04</x:v>
      </x:c>
    </x:row>
    <x:row r="107">
      <x:c r="A107" t="str">
        <x:v>002460</x:v>
      </x:c>
      <x:c r="B107" t="str">
        <x:v>赣锋锂业</x:v>
      </x:c>
      <x:c r="C107" t="str">
        <x:v>主板</x:v>
      </x:c>
      <x:c r="D107" t="str">
        <x:v>待行业映射</x:v>
      </x:c>
      <x:c r="E107" t="n">
        <x:v>49.09</x:v>
      </x:c>
      <x:c r="F107" t="n">
        <x:v>16.08</x:v>
      </x:c>
      <x:c r="G107"/>
      <x:c r="H107" t="n">
        <x:v>1029.27</x:v>
      </x:c>
      <x:c r="I107" t="n">
        <x:v>58.19</x:v>
      </x:c>
      <x:c r="J107" t="str">
        <x:v>initial_screen_pending_pb_financial_review</x:v>
      </x:c>
      <x:c r="K107" t="str">
        <x:v>AkShare / Tencent all-A market snapshot</x:v>
      </x:c>
      <x:c r="L107" t="str">
        <x:v>ProxyError: primary market source unavailable; see source_id for full audit.</x:v>
      </x:c>
      <x:c r="M107" t="str">
        <x:v>0</x:v>
      </x:c>
      <x:c r="N107" t="str">
        <x:v>0fd6ad2d-3389-4e70-8974-eb85ee223eeb</x:v>
      </x:c>
      <x:c r="O107" t="str">
        <x:v>2026-09-04</x:v>
      </x:c>
    </x:row>
    <x:row r="108">
      <x:c r="A108" t="str">
        <x:v>000100</x:v>
      </x:c>
      <x:c r="B108" t="str">
        <x:v>TCL科技</x:v>
      </x:c>
      <x:c r="C108" t="str">
        <x:v>主板</x:v>
      </x:c>
      <x:c r="D108" t="str">
        <x:v>待行业映射</x:v>
      </x:c>
      <x:c r="E108" t="n">
        <x:v>4.8</x:v>
      </x:c>
      <x:c r="F108" t="n">
        <x:v>16.35</x:v>
      </x:c>
      <x:c r="G108"/>
      <x:c r="H108" t="n">
        <x:v>1053.43</x:v>
      </x:c>
      <x:c r="I108" t="n">
        <x:v>57.49</x:v>
      </x:c>
      <x:c r="J108" t="str">
        <x:v>initial_screen_pending_pb_financial_review</x:v>
      </x:c>
      <x:c r="K108" t="str">
        <x:v>AkShare / Tencent all-A market snapshot</x:v>
      </x:c>
      <x:c r="L108" t="str">
        <x:v>ProxyError: primary market source unavailable; see source_id for full audit.</x:v>
      </x:c>
      <x:c r="M108" t="str">
        <x:v>0</x:v>
      </x:c>
      <x:c r="N108" t="str">
        <x:v>0fd6ad2d-3389-4e70-8974-eb85ee223eeb</x:v>
      </x:c>
      <x:c r="O108" t="str">
        <x:v>2026-09-04</x:v>
      </x:c>
    </x:row>
    <x:row r="109">
      <x:c r="A109" t="str">
        <x:v>002432</x:v>
      </x:c>
      <x:c r="B109" t="str">
        <x:v>九安医疗</x:v>
      </x:c>
      <x:c r="C109" t="str">
        <x:v>主板</x:v>
      </x:c>
      <x:c r="D109" t="str">
        <x:v>待行业映射</x:v>
      </x:c>
      <x:c r="E109" t="n">
        <x:v>67.6</x:v>
      </x:c>
      <x:c r="F109" t="n">
        <x:v>7.13</x:v>
      </x:c>
      <x:c r="G109"/>
      <x:c r="H109" t="n">
        <x:v>315.04</x:v>
      </x:c>
      <x:c r="I109" t="n">
        <x:v>57.49</x:v>
      </x:c>
      <x:c r="J109" t="str">
        <x:v>initial_screen_pending_pb_financial_review</x:v>
      </x:c>
      <x:c r="K109" t="str">
        <x:v>AkShare / Tencent all-A market snapshot</x:v>
      </x:c>
      <x:c r="L109" t="str">
        <x:v>ProxyError: primary market source unavailable; see source_id for full audit.</x:v>
      </x:c>
      <x:c r="M109" t="str">
        <x:v>0</x:v>
      </x:c>
      <x:c r="N109" t="str">
        <x:v>0fd6ad2d-3389-4e70-8974-eb85ee223eeb</x:v>
      </x:c>
      <x:c r="O109" t="str">
        <x:v>2026-09-04</x:v>
      </x:c>
    </x:row>
    <x:row r="110">
      <x:c r="A110" t="str">
        <x:v>000987</x:v>
      </x:c>
      <x:c r="B110" t="str">
        <x:v>越秀资本</x:v>
      </x:c>
      <x:c r="C110" t="str">
        <x:v>主板</x:v>
      </x:c>
      <x:c r="D110" t="str">
        <x:v>待行业映射</x:v>
      </x:c>
      <x:c r="E110" t="n">
        <x:v>7.69</x:v>
      </x:c>
      <x:c r="F110" t="n">
        <x:v>8.09</x:v>
      </x:c>
      <x:c r="G110"/>
      <x:c r="H110" t="n">
        <x:v>385.82</x:v>
      </x:c>
      <x:c r="I110" t="n">
        <x:v>57.47</x:v>
      </x:c>
      <x:c r="J110" t="str">
        <x:v>initial_screen_pending_pb_financial_review</x:v>
      </x:c>
      <x:c r="K110" t="str">
        <x:v>AkShare / Tencent all-A market snapshot</x:v>
      </x:c>
      <x:c r="L110" t="str">
        <x:v>ProxyError: primary market source unavailable; see source_id for full audit.</x:v>
      </x:c>
      <x:c r="M110" t="str">
        <x:v>0</x:v>
      </x:c>
      <x:c r="N110" t="str">
        <x:v>0fd6ad2d-3389-4e70-8974-eb85ee223eeb</x:v>
      </x:c>
      <x:c r="O110" t="str">
        <x:v>2026-09-04</x:v>
      </x:c>
    </x:row>
    <x:row r="111">
      <x:c r="A111" t="str">
        <x:v>300456</x:v>
      </x:c>
      <x:c r="B111" t="str">
        <x:v>赛微电子</x:v>
      </x:c>
      <x:c r="C111" t="str">
        <x:v>创业板</x:v>
      </x:c>
      <x:c r="D111" t="str">
        <x:v>待行业映射</x:v>
      </x:c>
      <x:c r="E111" t="n">
        <x:v>38.26</x:v>
      </x:c>
      <x:c r="F111" t="n">
        <x:v>6.71</x:v>
      </x:c>
      <x:c r="G111"/>
      <x:c r="H111" t="n">
        <x:v>280.14</x:v>
      </x:c>
      <x:c r="I111" t="n">
        <x:v>57.36</x:v>
      </x:c>
      <x:c r="J111" t="str">
        <x:v>initial_screen_pending_pb_financial_review</x:v>
      </x:c>
      <x:c r="K111" t="str">
        <x:v>AkShare / Tencent all-A market snapshot</x:v>
      </x:c>
      <x:c r="L111" t="str">
        <x:v>ProxyError: primary market source unavailable; see source_id for full audit.</x:v>
      </x:c>
      <x:c r="M111" t="str">
        <x:v>0</x:v>
      </x:c>
      <x:c r="N111" t="str">
        <x:v>0fd6ad2d-3389-4e70-8974-eb85ee223eeb</x:v>
      </x:c>
      <x:c r="O111" t="str">
        <x:v>2026-09-04</x:v>
      </x:c>
    </x:row>
    <x:row r="112">
      <x:c r="A112" t="str">
        <x:v>000498</x:v>
      </x:c>
      <x:c r="B112" t="str">
        <x:v>山东路桥</x:v>
      </x:c>
      <x:c r="C112" t="str">
        <x:v>主板</x:v>
      </x:c>
      <x:c r="D112" t="str">
        <x:v>待行业映射</x:v>
      </x:c>
      <x:c r="E112" t="n">
        <x:v>4.97</x:v>
      </x:c>
      <x:c r="F112" t="n">
        <x:v>4</x:v>
      </x:c>
      <x:c r="G112"/>
      <x:c r="H112" t="n">
        <x:v>77.16</x:v>
      </x:c>
      <x:c r="I112" t="n">
        <x:v>57.3</x:v>
      </x:c>
      <x:c r="J112" t="str">
        <x:v>initial_screen_pending_pb_financial_review</x:v>
      </x:c>
      <x:c r="K112" t="str">
        <x:v>AkShare / Tencent all-A market snapshot</x:v>
      </x:c>
      <x:c r="L112" t="str">
        <x:v>ProxyError: primary market source unavailable; see source_id for full audit.</x:v>
      </x:c>
      <x:c r="M112" t="str">
        <x:v>0</x:v>
      </x:c>
      <x:c r="N112" t="str">
        <x:v>0fd6ad2d-3389-4e70-8974-eb85ee223eeb</x:v>
      </x:c>
      <x:c r="O112" t="str">
        <x:v>2026-09-04</x:v>
      </x:c>
    </x:row>
    <x:row r="113">
      <x:c r="A113" t="str">
        <x:v>601006</x:v>
      </x:c>
      <x:c r="B113" t="str">
        <x:v>大秦铁路</x:v>
      </x:c>
      <x:c r="C113" t="str">
        <x:v>主板</x:v>
      </x:c>
      <x:c r="D113" t="str">
        <x:v>待行业映射</x:v>
      </x:c>
      <x:c r="E113" t="n">
        <x:v>4.83</x:v>
      </x:c>
      <x:c r="F113" t="n">
        <x:v>15.88</x:v>
      </x:c>
      <x:c r="G113"/>
      <x:c r="H113" t="n">
        <x:v>959.38</x:v>
      </x:c>
      <x:c r="I113" t="n">
        <x:v>57.29</x:v>
      </x:c>
      <x:c r="J113" t="str">
        <x:v>initial_screen_pending_pb_financial_review</x:v>
      </x:c>
      <x:c r="K113" t="str">
        <x:v>AkShare / Tencent all-A market snapshot</x:v>
      </x:c>
      <x:c r="L113" t="str">
        <x:v>ProxyError: primary market source unavailable; see source_id for full audit.</x:v>
      </x:c>
      <x:c r="M113" t="str">
        <x:v>0</x:v>
      </x:c>
      <x:c r="N113" t="str">
        <x:v>0fd6ad2d-3389-4e70-8974-eb85ee223eeb</x:v>
      </x:c>
      <x:c r="O113" t="str">
        <x:v>2026-09-04</x:v>
      </x:c>
    </x:row>
    <x:row r="114">
      <x:c r="A114" t="str">
        <x:v>600096</x:v>
      </x:c>
      <x:c r="B114" t="str">
        <x:v>云天化</x:v>
      </x:c>
      <x:c r="C114" t="str">
        <x:v>主板</x:v>
      </x:c>
      <x:c r="D114" t="str">
        <x:v>待行业映射</x:v>
      </x:c>
      <x:c r="E114" t="n">
        <x:v>30.8</x:v>
      </x:c>
      <x:c r="F114" t="n">
        <x:v>10.54</x:v>
      </x:c>
      <x:c r="G114"/>
      <x:c r="H114" t="n">
        <x:v>561.48</x:v>
      </x:c>
      <x:c r="I114" t="n">
        <x:v>57.25</x:v>
      </x:c>
      <x:c r="J114" t="str">
        <x:v>initial_screen_pending_pb_financial_review</x:v>
      </x:c>
      <x:c r="K114" t="str">
        <x:v>AkShare / Tencent all-A market snapshot</x:v>
      </x:c>
      <x:c r="L114" t="str">
        <x:v>ProxyError: primary market source unavailable; see source_id for full audit.</x:v>
      </x:c>
      <x:c r="M114" t="str">
        <x:v>0</x:v>
      </x:c>
      <x:c r="N114" t="str">
        <x:v>0fd6ad2d-3389-4e70-8974-eb85ee223eeb</x:v>
      </x:c>
      <x:c r="O114" t="str">
        <x:v>2026-09-04</x:v>
      </x:c>
    </x:row>
    <x:row r="115">
      <x:c r="A115" t="str">
        <x:v>002958</x:v>
      </x:c>
      <x:c r="B115" t="str">
        <x:v>青农商行</x:v>
      </x:c>
      <x:c r="C115" t="str">
        <x:v>主板</x:v>
      </x:c>
      <x:c r="D115" t="str">
        <x:v>待行业映射</x:v>
      </x:c>
      <x:c r="E115" t="n">
        <x:v>3.01</x:v>
      </x:c>
      <x:c r="F115" t="n">
        <x:v>5.24</x:v>
      </x:c>
      <x:c r="G115"/>
      <x:c r="H115" t="n">
        <x:v>167.23</x:v>
      </x:c>
      <x:c r="I115" t="n">
        <x:v>57.23</x:v>
      </x:c>
      <x:c r="J115" t="str">
        <x:v>initial_screen_pending_pb_financial_review</x:v>
      </x:c>
      <x:c r="K115" t="str">
        <x:v>AkShare / Tencent all-A market snapshot</x:v>
      </x:c>
      <x:c r="L115" t="str">
        <x:v>ProxyError: primary market source unavailable; see source_id for full audit.</x:v>
      </x:c>
      <x:c r="M115" t="str">
        <x:v>0</x:v>
      </x:c>
      <x:c r="N115" t="str">
        <x:v>0fd6ad2d-3389-4e70-8974-eb85ee223eeb</x:v>
      </x:c>
      <x:c r="O115" t="str">
        <x:v>2026-09-04</x:v>
      </x:c>
    </x:row>
    <x:row r="116">
      <x:c r="A116" t="str">
        <x:v>600066</x:v>
      </x:c>
      <x:c r="B116" t="str">
        <x:v>宇通客车</x:v>
      </x:c>
      <x:c r="C116" t="str">
        <x:v>主板</x:v>
      </x:c>
      <x:c r="D116" t="str">
        <x:v>待行业映射</x:v>
      </x:c>
      <x:c r="E116" t="n">
        <x:v>28.68</x:v>
      </x:c>
      <x:c r="F116" t="n">
        <x:v>11.57</x:v>
      </x:c>
      <x:c r="G116"/>
      <x:c r="H116" t="n">
        <x:v>634.96</x:v>
      </x:c>
      <x:c r="I116" t="n">
        <x:v>57.14</x:v>
      </x:c>
      <x:c r="J116" t="str">
        <x:v>initial_screen_pending_pb_financial_review</x:v>
      </x:c>
      <x:c r="K116" t="str">
        <x:v>AkShare / Tencent all-A market snapshot</x:v>
      </x:c>
      <x:c r="L116" t="str">
        <x:v>ProxyError: primary market source unavailable; see source_id for full audit.</x:v>
      </x:c>
      <x:c r="M116" t="str">
        <x:v>0</x:v>
      </x:c>
      <x:c r="N116" t="str">
        <x:v>0fd6ad2d-3389-4e70-8974-eb85ee223eeb</x:v>
      </x:c>
      <x:c r="O116" t="str">
        <x:v>2026-09-04</x:v>
      </x:c>
    </x:row>
    <x:row r="117">
      <x:c r="A117" t="str">
        <x:v>000783</x:v>
      </x:c>
      <x:c r="B117" t="str">
        <x:v>长江证券</x:v>
      </x:c>
      <x:c r="C117" t="str">
        <x:v>主板</x:v>
      </x:c>
      <x:c r="D117" t="str">
        <x:v>待行业映射</x:v>
      </x:c>
      <x:c r="E117" t="n">
        <x:v>9.26</x:v>
      </x:c>
      <x:c r="F117" t="n">
        <x:v>9.94</x:v>
      </x:c>
      <x:c r="G117"/>
      <x:c r="H117" t="n">
        <x:v>512.08</x:v>
      </x:c>
      <x:c r="I117" t="n">
        <x:v>57.08</x:v>
      </x:c>
      <x:c r="J117" t="str">
        <x:v>initial_screen_pending_pb_financial_review</x:v>
      </x:c>
      <x:c r="K117" t="str">
        <x:v>AkShare / Tencent all-A market snapshot</x:v>
      </x:c>
      <x:c r="L117" t="str">
        <x:v>ProxyError: primary market source unavailable; see source_id for full audit.</x:v>
      </x:c>
      <x:c r="M117" t="str">
        <x:v>0</x:v>
      </x:c>
      <x:c r="N117" t="str">
        <x:v>0fd6ad2d-3389-4e70-8974-eb85ee223eeb</x:v>
      </x:c>
      <x:c r="O117" t="str">
        <x:v>2026-09-04</x:v>
      </x:c>
    </x:row>
    <x:row r="118">
      <x:c r="A118" t="str">
        <x:v>600023</x:v>
      </x:c>
      <x:c r="B118" t="str">
        <x:v>浙能电力</x:v>
      </x:c>
      <x:c r="C118" t="str">
        <x:v>主板</x:v>
      </x:c>
      <x:c r="D118" t="str">
        <x:v>待行业映射</x:v>
      </x:c>
      <x:c r="E118" t="n">
        <x:v>4.88</x:v>
      </x:c>
      <x:c r="F118" t="n">
        <x:v>11.86</x:v>
      </x:c>
      <x:c r="G118"/>
      <x:c r="H118" t="n">
        <x:v>654.35</x:v>
      </x:c>
      <x:c r="I118" t="n">
        <x:v>57.07</x:v>
      </x:c>
      <x:c r="J118" t="str">
        <x:v>initial_screen_pending_pb_financial_review</x:v>
      </x:c>
      <x:c r="K118" t="str">
        <x:v>AkShare / Tencent all-A market snapshot</x:v>
      </x:c>
      <x:c r="L118" t="str">
        <x:v>ProxyError: primary market source unavailable; see source_id for full audit.</x:v>
      </x:c>
      <x:c r="M118" t="str">
        <x:v>0</x:v>
      </x:c>
      <x:c r="N118" t="str">
        <x:v>0fd6ad2d-3389-4e70-8974-eb85ee223eeb</x:v>
      </x:c>
      <x:c r="O118" t="str">
        <x:v>2026-09-04</x:v>
      </x:c>
    </x:row>
    <x:row r="119">
      <x:c r="A119" t="str">
        <x:v>600941</x:v>
      </x:c>
      <x:c r="B119" t="str">
        <x:v>中国移动</x:v>
      </x:c>
      <x:c r="C119" t="str">
        <x:v>主板</x:v>
      </x:c>
      <x:c r="D119" t="str">
        <x:v>待行业映射</x:v>
      </x:c>
      <x:c r="E119" t="n">
        <x:v>100.3</x:v>
      </x:c>
      <x:c r="F119" t="n">
        <x:v>16.51</x:v>
      </x:c>
      <x:c r="G119"/>
      <x:c r="H119" t="n">
        <x:v>21756.01</x:v>
      </x:c>
      <x:c r="I119" t="n">
        <x:v>57.07</x:v>
      </x:c>
      <x:c r="J119" t="str">
        <x:v>initial_screen_pending_pb_financial_review</x:v>
      </x:c>
      <x:c r="K119" t="str">
        <x:v>AkShare / Tencent all-A market snapshot</x:v>
      </x:c>
      <x:c r="L119" t="str">
        <x:v>ProxyError: primary market source unavailable; see source_id for full audit.</x:v>
      </x:c>
      <x:c r="M119" t="str">
        <x:v>0</x:v>
      </x:c>
      <x:c r="N119" t="str">
        <x:v>0fd6ad2d-3389-4e70-8974-eb85ee223eeb</x:v>
      </x:c>
      <x:c r="O119" t="str">
        <x:v>2026-09-04</x:v>
      </x:c>
    </x:row>
    <x:row r="120">
      <x:c r="A120" t="str">
        <x:v>600027</x:v>
      </x:c>
      <x:c r="B120" t="str">
        <x:v>华电国际</x:v>
      </x:c>
      <x:c r="C120" t="str">
        <x:v>主板</x:v>
      </x:c>
      <x:c r="D120" t="str">
        <x:v>待行业映射</x:v>
      </x:c>
      <x:c r="E120" t="n">
        <x:v>4.84</x:v>
      </x:c>
      <x:c r="F120" t="n">
        <x:v>10.66</x:v>
      </x:c>
      <x:c r="G120"/>
      <x:c r="H120" t="n">
        <x:v>562.01</x:v>
      </x:c>
      <x:c r="I120" t="n">
        <x:v>56.95</x:v>
      </x:c>
      <x:c r="J120" t="str">
        <x:v>initial_screen_pending_pb_financial_review</x:v>
      </x:c>
      <x:c r="K120" t="str">
        <x:v>AkShare / Tencent all-A market snapshot</x:v>
      </x:c>
      <x:c r="L120" t="str">
        <x:v>ProxyError: primary market source unavailable; see source_id for full audit.</x:v>
      </x:c>
      <x:c r="M120" t="str">
        <x:v>0</x:v>
      </x:c>
      <x:c r="N120" t="str">
        <x:v>0fd6ad2d-3389-4e70-8974-eb85ee223eeb</x:v>
      </x:c>
      <x:c r="O120" t="str">
        <x:v>2026-09-04</x:v>
      </x:c>
    </x:row>
    <x:row r="121">
      <x:c r="A121" t="str">
        <x:v>601168</x:v>
      </x:c>
      <x:c r="B121" t="str">
        <x:v>西部矿业</x:v>
      </x:c>
      <x:c r="C121" t="str">
        <x:v>主板</x:v>
      </x:c>
      <x:c r="D121" t="str">
        <x:v>待行业映射</x:v>
      </x:c>
      <x:c r="E121" t="n">
        <x:v>38.79</x:v>
      </x:c>
      <x:c r="F121" t="n">
        <x:v>15.55</x:v>
      </x:c>
      <x:c r="G121"/>
      <x:c r="H121" t="n">
        <x:v>924.37</x:v>
      </x:c>
      <x:c r="I121" t="n">
        <x:v>56.92</x:v>
      </x:c>
      <x:c r="J121" t="str">
        <x:v>initial_screen_pending_pb_financial_review</x:v>
      </x:c>
      <x:c r="K121" t="str">
        <x:v>AkShare / Tencent all-A market snapshot</x:v>
      </x:c>
      <x:c r="L121" t="str">
        <x:v>ProxyError: primary market source unavailable; see source_id for full audit.</x:v>
      </x:c>
      <x:c r="M121" t="str">
        <x:v>0</x:v>
      </x:c>
      <x:c r="N121" t="str">
        <x:v>0fd6ad2d-3389-4e70-8974-eb85ee223eeb</x:v>
      </x:c>
      <x:c r="O121" t="str">
        <x:v>2026-09-04</x:v>
      </x:c>
    </x:row>
    <x:row r="122">
      <x:c r="A122" t="str">
        <x:v>600026</x:v>
      </x:c>
      <x:c r="B122" t="str">
        <x:v>中远海能</x:v>
      </x:c>
      <x:c r="C122" t="str">
        <x:v>主板</x:v>
      </x:c>
      <x:c r="D122" t="str">
        <x:v>待行业映射</x:v>
      </x:c>
      <x:c r="E122" t="n">
        <x:v>20.34</x:v>
      </x:c>
      <x:c r="F122" t="n">
        <x:v>16.58</x:v>
      </x:c>
      <x:c r="G122"/>
      <x:c r="H122" t="n">
        <x:v>1112.84</x:v>
      </x:c>
      <x:c r="I122" t="n">
        <x:v>56.89</x:v>
      </x:c>
      <x:c r="J122" t="str">
        <x:v>initial_screen_pending_pb_financial_review</x:v>
      </x:c>
      <x:c r="K122" t="str">
        <x:v>AkShare / Tencent all-A market snapshot</x:v>
      </x:c>
      <x:c r="L122" t="str">
        <x:v>ProxyError: primary market source unavailable; see source_id for full audit.</x:v>
      </x:c>
      <x:c r="M122" t="str">
        <x:v>0</x:v>
      </x:c>
      <x:c r="N122" t="str">
        <x:v>0fd6ad2d-3389-4e70-8974-eb85ee223eeb</x:v>
      </x:c>
      <x:c r="O122" t="str">
        <x:v>2026-09-04</x:v>
      </x:c>
    </x:row>
    <x:row r="123">
      <x:c r="A123" t="str">
        <x:v>300274</x:v>
      </x:c>
      <x:c r="B123" t="str">
        <x:v>阳光电源</x:v>
      </x:c>
      <x:c r="C123" t="str">
        <x:v>创业板</x:v>
      </x:c>
      <x:c r="D123" t="str">
        <x:v>待行业映射</x:v>
      </x:c>
      <x:c r="E123" t="n">
        <x:v>88.43</x:v>
      </x:c>
      <x:c r="F123" t="n">
        <x:v>16.69</x:v>
      </x:c>
      <x:c r="G123"/>
      <x:c r="H123" t="n">
        <x:v>1833.34</x:v>
      </x:c>
      <x:c r="I123" t="n">
        <x:v>56.61</x:v>
      </x:c>
      <x:c r="J123" t="str">
        <x:v>initial_screen_pending_pb_financial_review</x:v>
      </x:c>
      <x:c r="K123" t="str">
        <x:v>AkShare / Tencent all-A market snapshot</x:v>
      </x:c>
      <x:c r="L123" t="str">
        <x:v>ProxyError: primary market source unavailable; see source_id for full audit.</x:v>
      </x:c>
      <x:c r="M123" t="str">
        <x:v>0</x:v>
      </x:c>
      <x:c r="N123" t="str">
        <x:v>0fd6ad2d-3389-4e70-8974-eb85ee223eeb</x:v>
      </x:c>
      <x:c r="O123" t="str">
        <x:v>2026-09-04</x:v>
      </x:c>
    </x:row>
    <x:row r="124">
      <x:c r="A124" t="str">
        <x:v>600887</x:v>
      </x:c>
      <x:c r="B124" t="str">
        <x:v>伊利股份</x:v>
      </x:c>
      <x:c r="C124" t="str">
        <x:v>主板</x:v>
      </x:c>
      <x:c r="D124" t="str">
        <x:v>待行业映射</x:v>
      </x:c>
      <x:c r="E124" t="n">
        <x:v>26.86</x:v>
      </x:c>
      <x:c r="F124" t="n">
        <x:v>16.78</x:v>
      </x:c>
      <x:c r="G124"/>
      <x:c r="H124" t="n">
        <x:v>1698.99</x:v>
      </x:c>
      <x:c r="I124" t="n">
        <x:v>56.37</x:v>
      </x:c>
      <x:c r="J124" t="str">
        <x:v>initial_screen_pending_pb_financial_review</x:v>
      </x:c>
      <x:c r="K124" t="str">
        <x:v>AkShare / Tencent all-A market snapshot</x:v>
      </x:c>
      <x:c r="L124" t="str">
        <x:v>ProxyError: primary market source unavailable; see source_id for full audit.</x:v>
      </x:c>
      <x:c r="M124" t="str">
        <x:v>0</x:v>
      </x:c>
      <x:c r="N124" t="str">
        <x:v>0fd6ad2d-3389-4e70-8974-eb85ee223eeb</x:v>
      </x:c>
      <x:c r="O124" t="str">
        <x:v>2026-09-04</x:v>
      </x:c>
    </x:row>
    <x:row r="125">
      <x:c r="A125" t="str">
        <x:v>601298</x:v>
      </x:c>
      <x:c r="B125" t="str">
        <x:v>青岛港</x:v>
      </x:c>
      <x:c r="C125" t="str">
        <x:v>主板</x:v>
      </x:c>
      <x:c r="D125" t="str">
        <x:v>待行业映射</x:v>
      </x:c>
      <x:c r="E125" t="n">
        <x:v>9.21</x:v>
      </x:c>
      <x:c r="F125" t="n">
        <x:v>11.51</x:v>
      </x:c>
      <x:c r="G125"/>
      <x:c r="H125" t="n">
        <x:v>597.83</x:v>
      </x:c>
      <x:c r="I125" t="n">
        <x:v>56</x:v>
      </x:c>
      <x:c r="J125" t="str">
        <x:v>initial_screen_pending_pb_financial_review</x:v>
      </x:c>
      <x:c r="K125" t="str">
        <x:v>AkShare / Tencent all-A market snapshot</x:v>
      </x:c>
      <x:c r="L125" t="str">
        <x:v>ProxyError: primary market source unavailable; see source_id for full audit.</x:v>
      </x:c>
      <x:c r="M125" t="str">
        <x:v>0</x:v>
      </x:c>
      <x:c r="N125" t="str">
        <x:v>0fd6ad2d-3389-4e70-8974-eb85ee223eeb</x:v>
      </x:c>
      <x:c r="O125" t="str">
        <x:v>2026-09-04</x:v>
      </x:c>
    </x:row>
    <x:row r="126">
      <x:c r="A126" t="str">
        <x:v>601877</x:v>
      </x:c>
      <x:c r="B126" t="str">
        <x:v>正泰电器</x:v>
      </x:c>
      <x:c r="C126" t="str">
        <x:v>主板</x:v>
      </x:c>
      <x:c r="D126" t="str">
        <x:v>待行业映射</x:v>
      </x:c>
      <x:c r="E126" t="n">
        <x:v>25.87</x:v>
      </x:c>
      <x:c r="F126" t="n">
        <x:v>10.96</x:v>
      </x:c>
      <x:c r="G126"/>
      <x:c r="H126" t="n">
        <x:v>555.94</x:v>
      </x:c>
      <x:c r="I126" t="n">
        <x:v>55.96</x:v>
      </x:c>
      <x:c r="J126" t="str">
        <x:v>initial_screen_pending_pb_financial_review</x:v>
      </x:c>
      <x:c r="K126" t="str">
        <x:v>AkShare / Tencent all-A market snapshot</x:v>
      </x:c>
      <x:c r="L126" t="str">
        <x:v>ProxyError: primary market source unavailable; see source_id for full audit.</x:v>
      </x:c>
      <x:c r="M126" t="str">
        <x:v>0</x:v>
      </x:c>
      <x:c r="N126" t="str">
        <x:v>0fd6ad2d-3389-4e70-8974-eb85ee223eeb</x:v>
      </x:c>
      <x:c r="O126" t="str">
        <x:v>2026-09-04</x:v>
      </x:c>
    </x:row>
    <x:row r="127">
      <x:c r="A127" t="str">
        <x:v>603323</x:v>
      </x:c>
      <x:c r="B127" t="str">
        <x:v>苏农银行</x:v>
      </x:c>
      <x:c r="C127" t="str">
        <x:v>主板</x:v>
      </x:c>
      <x:c r="D127" t="str">
        <x:v>待行业映射</x:v>
      </x:c>
      <x:c r="E127" t="n">
        <x:v>4.53</x:v>
      </x:c>
      <x:c r="F127" t="n">
        <x:v>4.84</x:v>
      </x:c>
      <x:c r="G127"/>
      <x:c r="H127" t="n">
        <x:v>100.58</x:v>
      </x:c>
      <x:c r="I127" t="n">
        <x:v>55.94</x:v>
      </x:c>
      <x:c r="J127" t="str">
        <x:v>initial_screen_pending_pb_financial_review</x:v>
      </x:c>
      <x:c r="K127" t="str">
        <x:v>AkShare / Tencent all-A market snapshot</x:v>
      </x:c>
      <x:c r="L127" t="str">
        <x:v>ProxyError: primary market source unavailable; see source_id for full audit.</x:v>
      </x:c>
      <x:c r="M127" t="str">
        <x:v>0</x:v>
      </x:c>
      <x:c r="N127" t="str">
        <x:v>0fd6ad2d-3389-4e70-8974-eb85ee223eeb</x:v>
      </x:c>
      <x:c r="O127" t="str">
        <x:v>2026-09-04</x:v>
      </x:c>
    </x:row>
    <x:row r="128">
      <x:c r="A128" t="str">
        <x:v>601233</x:v>
      </x:c>
      <x:c r="B128" t="str">
        <x:v>桐昆股份</x:v>
      </x:c>
      <x:c r="C128" t="str">
        <x:v>主板</x:v>
      </x:c>
      <x:c r="D128" t="str">
        <x:v>待行业映射</x:v>
      </x:c>
      <x:c r="E128" t="n">
        <x:v>26</x:v>
      </x:c>
      <x:c r="F128" t="n">
        <x:v>11.99</x:v>
      </x:c>
      <x:c r="G128"/>
      <x:c r="H128" t="n">
        <x:v>618.54</x:v>
      </x:c>
      <x:c r="I128" t="n">
        <x:v>55.47</x:v>
      </x:c>
      <x:c r="J128" t="str">
        <x:v>initial_screen_pending_pb_financial_review</x:v>
      </x:c>
      <x:c r="K128" t="str">
        <x:v>AkShare / Tencent all-A market snapshot</x:v>
      </x:c>
      <x:c r="L128" t="str">
        <x:v>ProxyError: primary market source unavailable; see source_id for full audit.</x:v>
      </x:c>
      <x:c r="M128" t="str">
        <x:v>0</x:v>
      </x:c>
      <x:c r="N128" t="str">
        <x:v>0fd6ad2d-3389-4e70-8974-eb85ee223eeb</x:v>
      </x:c>
      <x:c r="O128" t="str">
        <x:v>2026-09-04</x:v>
      </x:c>
    </x:row>
    <x:row r="129">
      <x:c r="A129" t="str">
        <x:v>600908</x:v>
      </x:c>
      <x:c r="B129" t="str">
        <x:v>无锡银行</x:v>
      </x:c>
      <x:c r="C129" t="str">
        <x:v>主板</x:v>
      </x:c>
      <x:c r="D129" t="str">
        <x:v>待行业映射</x:v>
      </x:c>
      <x:c r="E129" t="n">
        <x:v>5.81</x:v>
      </x:c>
      <x:c r="F129" t="n">
        <x:v>5.43</x:v>
      </x:c>
      <x:c r="G129"/>
      <x:c r="H129" t="n">
        <x:v>127.51</x:v>
      </x:c>
      <x:c r="I129" t="n">
        <x:v>55.34</x:v>
      </x:c>
      <x:c r="J129" t="str">
        <x:v>initial_screen_pending_pb_financial_review</x:v>
      </x:c>
      <x:c r="K129" t="str">
        <x:v>AkShare / Tencent all-A market snapshot</x:v>
      </x:c>
      <x:c r="L129" t="str">
        <x:v>ProxyError: primary market source unavailable; see source_id for full audit.</x:v>
      </x:c>
      <x:c r="M129" t="str">
        <x:v>0</x:v>
      </x:c>
      <x:c r="N129" t="str">
        <x:v>0fd6ad2d-3389-4e70-8974-eb85ee223eeb</x:v>
      </x:c>
      <x:c r="O129" t="str">
        <x:v>2026-09-04</x:v>
      </x:c>
    </x:row>
    <x:row r="130">
      <x:c r="A130" t="str">
        <x:v>600704</x:v>
      </x:c>
      <x:c r="B130" t="str">
        <x:v>物产中大</x:v>
      </x:c>
      <x:c r="C130" t="str">
        <x:v>主板</x:v>
      </x:c>
      <x:c r="D130" t="str">
        <x:v>待行业映射</x:v>
      </x:c>
      <x:c r="E130" t="n">
        <x:v>4.95</x:v>
      </x:c>
      <x:c r="F130" t="n">
        <x:v>7.17</x:v>
      </x:c>
      <x:c r="G130"/>
      <x:c r="H130" t="n">
        <x:v>255.97</x:v>
      </x:c>
      <x:c r="I130" t="n">
        <x:v>55.32</x:v>
      </x:c>
      <x:c r="J130" t="str">
        <x:v>initial_screen_pending_pb_financial_review</x:v>
      </x:c>
      <x:c r="K130" t="str">
        <x:v>AkShare / Tencent all-A market snapshot</x:v>
      </x:c>
      <x:c r="L130" t="str">
        <x:v>ProxyError: primary market source unavailable; see source_id for full audit.</x:v>
      </x:c>
      <x:c r="M130" t="str">
        <x:v>0</x:v>
      </x:c>
      <x:c r="N130" t="str">
        <x:v>0fd6ad2d-3389-4e70-8974-eb85ee223eeb</x:v>
      </x:c>
      <x:c r="O130" t="str">
        <x:v>2026-09-04</x:v>
      </x:c>
    </x:row>
    <x:row r="131">
      <x:c r="A131" t="str">
        <x:v>601528</x:v>
      </x:c>
      <x:c r="B131" t="str">
        <x:v>瑞丰银行</x:v>
      </x:c>
      <x:c r="C131" t="str">
        <x:v>主板</x:v>
      </x:c>
      <x:c r="D131" t="str">
        <x:v>待行业映射</x:v>
      </x:c>
      <x:c r="E131" t="n">
        <x:v>5.18</x:v>
      </x:c>
      <x:c r="F131" t="n">
        <x:v>5.15</x:v>
      </x:c>
      <x:c r="G131"/>
      <x:c r="H131" t="n">
        <x:v>101.64</x:v>
      </x:c>
      <x:c r="I131" t="n">
        <x:v>55.17</x:v>
      </x:c>
      <x:c r="J131" t="str">
        <x:v>initial_screen_pending_pb_financial_review</x:v>
      </x:c>
      <x:c r="K131" t="str">
        <x:v>AkShare / Tencent all-A market snapshot</x:v>
      </x:c>
      <x:c r="L131" t="str">
        <x:v>ProxyError: primary market source unavailable; see source_id for full audit.</x:v>
      </x:c>
      <x:c r="M131" t="str">
        <x:v>0</x:v>
      </x:c>
      <x:c r="N131" t="str">
        <x:v>0fd6ad2d-3389-4e70-8974-eb85ee223eeb</x:v>
      </x:c>
      <x:c r="O131" t="str">
        <x:v>2026-09-04</x:v>
      </x:c>
    </x:row>
    <x:row r="132">
      <x:c r="A132" t="str">
        <x:v>600928</x:v>
      </x:c>
      <x:c r="B132" t="str">
        <x:v>西安银行</x:v>
      </x:c>
      <x:c r="C132" t="str">
        <x:v>主板</x:v>
      </x:c>
      <x:c r="D132" t="str">
        <x:v>待行业映射</x:v>
      </x:c>
      <x:c r="E132" t="n">
        <x:v>3.58</x:v>
      </x:c>
      <x:c r="F132" t="n">
        <x:v>5.93</x:v>
      </x:c>
      <x:c r="G132"/>
      <x:c r="H132" t="n">
        <x:v>159.11</x:v>
      </x:c>
      <x:c r="I132" t="n">
        <x:v>55.15</x:v>
      </x:c>
      <x:c r="J132" t="str">
        <x:v>initial_screen_pending_pb_financial_review</x:v>
      </x:c>
      <x:c r="K132" t="str">
        <x:v>AkShare / Tencent all-A market snapshot</x:v>
      </x:c>
      <x:c r="L132" t="str">
        <x:v>ProxyError: primary market source unavailable; see source_id for full audit.</x:v>
      </x:c>
      <x:c r="M132" t="str">
        <x:v>0</x:v>
      </x:c>
      <x:c r="N132" t="str">
        <x:v>0fd6ad2d-3389-4e70-8974-eb85ee223eeb</x:v>
      </x:c>
      <x:c r="O132" t="str">
        <x:v>2026-09-04</x:v>
      </x:c>
    </x:row>
    <x:row r="133">
      <x:c r="A133" t="str">
        <x:v>002839</x:v>
      </x:c>
      <x:c r="B133" t="str">
        <x:v>张家港行</x:v>
      </x:c>
      <x:c r="C133" t="str">
        <x:v>主板</x:v>
      </x:c>
      <x:c r="D133" t="str">
        <x:v>待行业映射</x:v>
      </x:c>
      <x:c r="E133" t="n">
        <x:v>4.41</x:v>
      </x:c>
      <x:c r="F133" t="n">
        <x:v>5.37</x:v>
      </x:c>
      <x:c r="G133"/>
      <x:c r="H133" t="n">
        <x:v>107.8</x:v>
      </x:c>
      <x:c r="I133" t="n">
        <x:v>54.81</x:v>
      </x:c>
      <x:c r="J133" t="str">
        <x:v>initial_screen_pending_pb_financial_review</x:v>
      </x:c>
      <x:c r="K133" t="str">
        <x:v>AkShare / Tencent all-A market snapshot</x:v>
      </x:c>
      <x:c r="L133" t="str">
        <x:v>ProxyError: primary market source unavailable; see source_id for full audit.</x:v>
      </x:c>
      <x:c r="M133" t="str">
        <x:v>0</x:v>
      </x:c>
      <x:c r="N133" t="str">
        <x:v>0fd6ad2d-3389-4e70-8974-eb85ee223eeb</x:v>
      </x:c>
      <x:c r="O133" t="str">
        <x:v>2026-09-04</x:v>
      </x:c>
    </x:row>
    <x:row r="134">
      <x:c r="A134" t="str">
        <x:v>600502</x:v>
      </x:c>
      <x:c r="B134" t="str">
        <x:v>安徽建工</x:v>
      </x:c>
      <x:c r="C134" t="str">
        <x:v>主板</x:v>
      </x:c>
      <x:c r="D134" t="str">
        <x:v>待行业映射</x:v>
      </x:c>
      <x:c r="E134" t="n">
        <x:v>4.46</x:v>
      </x:c>
      <x:c r="F134" t="n">
        <x:v>4.98</x:v>
      </x:c>
      <x:c r="G134"/>
      <x:c r="H134" t="n">
        <x:v>76.56</x:v>
      </x:c>
      <x:c r="I134" t="n">
        <x:v>54.73</x:v>
      </x:c>
      <x:c r="J134" t="str">
        <x:v>initial_screen_pending_pb_financial_review</x:v>
      </x:c>
      <x:c r="K134" t="str">
        <x:v>AkShare / Tencent all-A market snapshot</x:v>
      </x:c>
      <x:c r="L134" t="str">
        <x:v>ProxyError: primary market source unavailable; see source_id for full audit.</x:v>
      </x:c>
      <x:c r="M134" t="str">
        <x:v>0</x:v>
      </x:c>
      <x:c r="N134" t="str">
        <x:v>0fd6ad2d-3389-4e70-8974-eb85ee223eeb</x:v>
      </x:c>
      <x:c r="O134" t="str">
        <x:v>2026-09-04</x:v>
      </x:c>
    </x:row>
    <x:row r="135">
      <x:c r="A135" t="str">
        <x:v>002807</x:v>
      </x:c>
      <x:c r="B135" t="str">
        <x:v>江阴银行</x:v>
      </x:c>
      <x:c r="C135" t="str">
        <x:v>主板</x:v>
      </x:c>
      <x:c r="D135" t="str">
        <x:v>待行业映射</x:v>
      </x:c>
      <x:c r="E135" t="n">
        <x:v>4.22</x:v>
      </x:c>
      <x:c r="F135" t="n">
        <x:v>5.52</x:v>
      </x:c>
      <x:c r="G135"/>
      <x:c r="H135" t="n">
        <x:v>114.26</x:v>
      </x:c>
      <x:c r="I135" t="n">
        <x:v>54.65</x:v>
      </x:c>
      <x:c r="J135" t="str">
        <x:v>initial_screen_pending_pb_financial_review</x:v>
      </x:c>
      <x:c r="K135" t="str">
        <x:v>AkShare / Tencent all-A market snapshot</x:v>
      </x:c>
      <x:c r="L135" t="str">
        <x:v>ProxyError: primary market source unavailable; see source_id for full audit.</x:v>
      </x:c>
      <x:c r="M135" t="str">
        <x:v>0</x:v>
      </x:c>
      <x:c r="N135" t="str">
        <x:v>0fd6ad2d-3389-4e70-8974-eb85ee223eeb</x:v>
      </x:c>
      <x:c r="O135" t="str">
        <x:v>2026-09-04</x:v>
      </x:c>
    </x:row>
    <x:row r="136">
      <x:c r="A136" t="str">
        <x:v>000623</x:v>
      </x:c>
      <x:c r="B136" t="str">
        <x:v>吉林敖东</x:v>
      </x:c>
      <x:c r="C136" t="str">
        <x:v>主板</x:v>
      </x:c>
      <x:c r="D136" t="str">
        <x:v>待行业映射</x:v>
      </x:c>
      <x:c r="E136" t="n">
        <x:v>18.49</x:v>
      </x:c>
      <x:c r="F136" t="n">
        <x:v>6.99</x:v>
      </x:c>
      <x:c r="G136"/>
      <x:c r="H136" t="n">
        <x:v>221.12</x:v>
      </x:c>
      <x:c r="I136" t="n">
        <x:v>54.57</x:v>
      </x:c>
      <x:c r="J136" t="str">
        <x:v>initial_screen_pending_pb_financial_review</x:v>
      </x:c>
      <x:c r="K136" t="str">
        <x:v>AkShare / Tencent all-A market snapshot</x:v>
      </x:c>
      <x:c r="L136" t="str">
        <x:v>ProxyError: primary market source unavailable; see source_id for full audit.</x:v>
      </x:c>
      <x:c r="M136" t="str">
        <x:v>0</x:v>
      </x:c>
      <x:c r="N136" t="str">
        <x:v>0fd6ad2d-3389-4e70-8974-eb85ee223eeb</x:v>
      </x:c>
      <x:c r="O136" t="str">
        <x:v>2026-09-04</x:v>
      </x:c>
    </x:row>
    <x:row r="137">
      <x:c r="A137" t="str">
        <x:v>601018</x:v>
      </x:c>
      <x:c r="B137" t="str">
        <x:v>宁波港</x:v>
      </x:c>
      <x:c r="C137" t="str">
        <x:v>主板</x:v>
      </x:c>
      <x:c r="D137" t="str">
        <x:v>待行业映射</x:v>
      </x:c>
      <x:c r="E137" t="n">
        <x:v>3.47</x:v>
      </x:c>
      <x:c r="F137" t="n">
        <x:v>13.2</x:v>
      </x:c>
      <x:c r="G137"/>
      <x:c r="H137" t="n">
        <x:v>675.07</x:v>
      </x:c>
      <x:c r="I137" t="n">
        <x:v>54.31</x:v>
      </x:c>
      <x:c r="J137" t="str">
        <x:v>initial_screen_pending_pb_financial_review</x:v>
      </x:c>
      <x:c r="K137" t="str">
        <x:v>AkShare / Tencent all-A market snapshot</x:v>
      </x:c>
      <x:c r="L137" t="str">
        <x:v>ProxyError: primary market source unavailable; see source_id for full audit.</x:v>
      </x:c>
      <x:c r="M137" t="str">
        <x:v>0</x:v>
      </x:c>
      <x:c r="N137" t="str">
        <x:v>0fd6ad2d-3389-4e70-8974-eb85ee223eeb</x:v>
      </x:c>
      <x:c r="O137" t="str">
        <x:v>2026-09-04</x:v>
      </x:c>
    </x:row>
    <x:row r="138">
      <x:c r="A138" t="str">
        <x:v>000685</x:v>
      </x:c>
      <x:c r="B138" t="str">
        <x:v>中山公用</x:v>
      </x:c>
      <x:c r="C138" t="str">
        <x:v>主板</x:v>
      </x:c>
      <x:c r="D138" t="str">
        <x:v>待行业映射</x:v>
      </x:c>
      <x:c r="E138" t="n">
        <x:v>11.43</x:v>
      </x:c>
      <x:c r="F138" t="n">
        <x:v>6.38</x:v>
      </x:c>
      <x:c r="G138"/>
      <x:c r="H138" t="n">
        <x:v>167.76</x:v>
      </x:c>
      <x:c r="I138" t="n">
        <x:v>54.28</x:v>
      </x:c>
      <x:c r="J138" t="str">
        <x:v>initial_screen_pending_pb_financial_review</x:v>
      </x:c>
      <x:c r="K138" t="str">
        <x:v>AkShare / Tencent all-A market snapshot</x:v>
      </x:c>
      <x:c r="L138" t="str">
        <x:v>ProxyError: primary market source unavailable; see source_id for full audit.</x:v>
      </x:c>
      <x:c r="M138" t="str">
        <x:v>0</x:v>
      </x:c>
      <x:c r="N138" t="str">
        <x:v>0fd6ad2d-3389-4e70-8974-eb85ee223eeb</x:v>
      </x:c>
      <x:c r="O138" t="str">
        <x:v>2026-09-04</x:v>
      </x:c>
    </x:row>
    <x:row r="139">
      <x:c r="A139" t="str">
        <x:v>601816</x:v>
      </x:c>
      <x:c r="B139" t="str">
        <x:v>京沪高铁</x:v>
      </x:c>
      <x:c r="C139" t="str">
        <x:v>主板</x:v>
      </x:c>
      <x:c r="D139" t="str">
        <x:v>待行业映射</x:v>
      </x:c>
      <x:c r="E139" t="n">
        <x:v>4.9</x:v>
      </x:c>
      <x:c r="F139" t="n">
        <x:v>17.59</x:v>
      </x:c>
      <x:c r="G139"/>
      <x:c r="H139" t="n">
        <x:v>2397.36</x:v>
      </x:c>
      <x:c r="I139" t="n">
        <x:v>54.27</x:v>
      </x:c>
      <x:c r="J139" t="str">
        <x:v>initial_screen_pending_pb_financial_review</x:v>
      </x:c>
      <x:c r="K139" t="str">
        <x:v>AkShare / Tencent all-A market snapshot</x:v>
      </x:c>
      <x:c r="L139" t="str">
        <x:v>ProxyError: primary market source unavailable; see source_id for full audit.</x:v>
      </x:c>
      <x:c r="M139" t="str">
        <x:v>0</x:v>
      </x:c>
      <x:c r="N139" t="str">
        <x:v>0fd6ad2d-3389-4e70-8974-eb85ee223eeb</x:v>
      </x:c>
      <x:c r="O139" t="str">
        <x:v>2026-09-04</x:v>
      </x:c>
    </x:row>
    <x:row r="140">
      <x:c r="A140" t="str">
        <x:v>601717</x:v>
      </x:c>
      <x:c r="B140" t="str">
        <x:v>中创智领</x:v>
      </x:c>
      <x:c r="C140" t="str">
        <x:v>主板</x:v>
      </x:c>
      <x:c r="D140" t="str">
        <x:v>待行业映射</x:v>
      </x:c>
      <x:c r="E140" t="n">
        <x:v>14.47</x:v>
      </x:c>
      <x:c r="F140" t="n">
        <x:v>7.64</x:v>
      </x:c>
      <x:c r="G140"/>
      <x:c r="H140" t="n">
        <x:v>258.35</x:v>
      </x:c>
      <x:c r="I140" t="n">
        <x:v>54.18</x:v>
      </x:c>
      <x:c r="J140" t="str">
        <x:v>initial_screen_pending_pb_financial_review</x:v>
      </x:c>
      <x:c r="K140" t="str">
        <x:v>AkShare / Tencent all-A market snapshot</x:v>
      </x:c>
      <x:c r="L140" t="str">
        <x:v>ProxyError: primary market source unavailable; see source_id for full audit.</x:v>
      </x:c>
      <x:c r="M140" t="str">
        <x:v>0</x:v>
      </x:c>
      <x:c r="N140" t="str">
        <x:v>0fd6ad2d-3389-4e70-8974-eb85ee223eeb</x:v>
      </x:c>
      <x:c r="O140" t="str">
        <x:v>2026-09-04</x:v>
      </x:c>
    </x:row>
    <x:row r="141">
      <x:c r="A141" t="str">
        <x:v>600660</x:v>
      </x:c>
      <x:c r="B141" t="str">
        <x:v>福耀玻璃</x:v>
      </x:c>
      <x:c r="C141" t="str">
        <x:v>主板</x:v>
      </x:c>
      <x:c r="D141" t="str">
        <x:v>待行业映射</x:v>
      </x:c>
      <x:c r="E141" t="n">
        <x:v>57.33</x:v>
      </x:c>
      <x:c r="F141" t="n">
        <x:v>17.65</x:v>
      </x:c>
      <x:c r="G141"/>
      <x:c r="H141" t="n">
        <x:v>1496.17</x:v>
      </x:c>
      <x:c r="I141" t="n">
        <x:v>54.11</x:v>
      </x:c>
      <x:c r="J141" t="str">
        <x:v>initial_screen_pending_pb_financial_review</x:v>
      </x:c>
      <x:c r="K141" t="str">
        <x:v>AkShare / Tencent all-A market snapshot</x:v>
      </x:c>
      <x:c r="L141" t="str">
        <x:v>ProxyError: primary market source unavailable; see source_id for full audit.</x:v>
      </x:c>
      <x:c r="M141" t="str">
        <x:v>0</x:v>
      </x:c>
      <x:c r="N141" t="str">
        <x:v>0fd6ad2d-3389-4e70-8974-eb85ee223eeb</x:v>
      </x:c>
      <x:c r="O141" t="str">
        <x:v>2026-09-04</x:v>
      </x:c>
    </x:row>
    <x:row r="142">
      <x:c r="A142" t="str">
        <x:v>920186</x:v>
      </x:c>
      <x:c r="B142" t="str">
        <x:v>中科仪</x:v>
      </x:c>
      <x:c r="C142" t="str">
        <x:v>北交所</x:v>
      </x:c>
      <x:c r="D142" t="str">
        <x:v>待行业映射</x:v>
      </x:c>
      <x:c r="E142" t="n">
        <x:v>74.18</x:v>
      </x:c>
      <x:c r="F142" t="n">
        <x:v>6.53</x:v>
      </x:c>
      <x:c r="G142"/>
      <x:c r="H142" t="n">
        <x:v>166.04</x:v>
      </x:c>
      <x:c r="I142" t="n">
        <x:v>53.83</x:v>
      </x:c>
      <x:c r="J142" t="str">
        <x:v>initial_screen_pending_pb_financial_review</x:v>
      </x:c>
      <x:c r="K142" t="str">
        <x:v>AkShare / Tencent all-A market snapshot</x:v>
      </x:c>
      <x:c r="L142" t="str">
        <x:v>ProxyError: primary market source unavailable; see source_id for full audit.</x:v>
      </x:c>
      <x:c r="M142" t="str">
        <x:v>0</x:v>
      </x:c>
      <x:c r="N142" t="str">
        <x:v>0fd6ad2d-3389-4e70-8974-eb85ee223eeb</x:v>
      </x:c>
      <x:c r="O142" t="str">
        <x:v>2026-09-04</x:v>
      </x:c>
    </x:row>
    <x:row r="143">
      <x:c r="A143" t="str">
        <x:v>603049</x:v>
      </x:c>
      <x:c r="B143" t="str">
        <x:v>中策橡胶</x:v>
      </x:c>
      <x:c r="C143" t="str">
        <x:v>主板</x:v>
      </x:c>
      <x:c r="D143" t="str">
        <x:v>待行业映射</x:v>
      </x:c>
      <x:c r="E143" t="n">
        <x:v>50.17</x:v>
      </x:c>
      <x:c r="F143" t="n">
        <x:v>10.29</x:v>
      </x:c>
      <x:c r="G143"/>
      <x:c r="H143" t="n">
        <x:v>438.73</x:v>
      </x:c>
      <x:c r="I143" t="n">
        <x:v>53.6</x:v>
      </x:c>
      <x:c r="J143" t="str">
        <x:v>initial_screen_pending_pb_financial_review</x:v>
      </x:c>
      <x:c r="K143" t="str">
        <x:v>AkShare / Tencent all-A market snapshot</x:v>
      </x:c>
      <x:c r="L143" t="str">
        <x:v>ProxyError: primary market source unavailable; see source_id for full audit.</x:v>
      </x:c>
      <x:c r="M143" t="str">
        <x:v>0</x:v>
      </x:c>
      <x:c r="N143" t="str">
        <x:v>0fd6ad2d-3389-4e70-8974-eb85ee223eeb</x:v>
      </x:c>
      <x:c r="O143" t="str">
        <x:v>2026-09-04</x:v>
      </x:c>
    </x:row>
    <x:row r="144">
      <x:c r="A144" t="str">
        <x:v>000338</x:v>
      </x:c>
      <x:c r="B144" t="str">
        <x:v>潍柴动力</x:v>
      </x:c>
      <x:c r="C144" t="str">
        <x:v>主板</x:v>
      </x:c>
      <x:c r="D144" t="str">
        <x:v>待行业映射</x:v>
      </x:c>
      <x:c r="E144" t="n">
        <x:v>26.85</x:v>
      </x:c>
      <x:c r="F144" t="n">
        <x:v>17.86</x:v>
      </x:c>
      <x:c r="G144"/>
      <x:c r="H144" t="n">
        <x:v>2319.9</x:v>
      </x:c>
      <x:c r="I144" t="n">
        <x:v>53.56</x:v>
      </x:c>
      <x:c r="J144" t="str">
        <x:v>initial_screen_pending_pb_financial_review</x:v>
      </x:c>
      <x:c r="K144" t="str">
        <x:v>AkShare / Tencent all-A market snapshot</x:v>
      </x:c>
      <x:c r="L144" t="str">
        <x:v>ProxyError: primary market source unavailable; see source_id for full audit.</x:v>
      </x:c>
      <x:c r="M144" t="str">
        <x:v>0</x:v>
      </x:c>
      <x:c r="N144" t="str">
        <x:v>0fd6ad2d-3389-4e70-8974-eb85ee223eeb</x:v>
      </x:c>
      <x:c r="O144" t="str">
        <x:v>2026-09-04</x:v>
      </x:c>
    </x:row>
    <x:row r="145">
      <x:c r="A145" t="str">
        <x:v>601187</x:v>
      </x:c>
      <x:c r="B145" t="str">
        <x:v>厦门银行</x:v>
      </x:c>
      <x:c r="C145" t="str">
        <x:v>主板</x:v>
      </x:c>
      <x:c r="D145" t="str">
        <x:v>待行业映射</x:v>
      </x:c>
      <x:c r="E145" t="n">
        <x:v>7.2</x:v>
      </x:c>
      <x:c r="F145" t="n">
        <x:v>6.99</x:v>
      </x:c>
      <x:c r="G145"/>
      <x:c r="H145" t="n">
        <x:v>190.02</x:v>
      </x:c>
      <x:c r="I145" t="n">
        <x:v>53.48</x:v>
      </x:c>
      <x:c r="J145" t="str">
        <x:v>initial_screen_pending_pb_financial_review</x:v>
      </x:c>
      <x:c r="K145" t="str">
        <x:v>AkShare / Tencent all-A market snapshot</x:v>
      </x:c>
      <x:c r="L145" t="str">
        <x:v>ProxyError: primary market source unavailable; see source_id for full audit.</x:v>
      </x:c>
      <x:c r="M145" t="str">
        <x:v>0</x:v>
      </x:c>
      <x:c r="N145" t="str">
        <x:v>0fd6ad2d-3389-4e70-8974-eb85ee223eeb</x:v>
      </x:c>
      <x:c r="O145" t="str">
        <x:v>2026-09-04</x:v>
      </x:c>
    </x:row>
    <x:row r="146">
      <x:c r="A146" t="str">
        <x:v>001872</x:v>
      </x:c>
      <x:c r="B146" t="str">
        <x:v>招商港口</x:v>
      </x:c>
      <x:c r="C146" t="str">
        <x:v>主板</x:v>
      </x:c>
      <x:c r="D146" t="str">
        <x:v>待行业映射</x:v>
      </x:c>
      <x:c r="E146" t="n">
        <x:v>23.77</x:v>
      </x:c>
      <x:c r="F146" t="n">
        <x:v>12.38</x:v>
      </x:c>
      <x:c r="G146"/>
      <x:c r="H146" t="n">
        <x:v>590.01</x:v>
      </x:c>
      <x:c r="I146" t="n">
        <x:v>53.46</x:v>
      </x:c>
      <x:c r="J146" t="str">
        <x:v>initial_screen_pending_pb_financial_review</x:v>
      </x:c>
      <x:c r="K146" t="str">
        <x:v>AkShare / Tencent all-A market snapshot</x:v>
      </x:c>
      <x:c r="L146" t="str">
        <x:v>ProxyError: primary market source unavailable; see source_id for full audit.</x:v>
      </x:c>
      <x:c r="M146" t="str">
        <x:v>0</x:v>
      </x:c>
      <x:c r="N146" t="str">
        <x:v>0fd6ad2d-3389-4e70-8974-eb85ee223eeb</x:v>
      </x:c>
      <x:c r="O146" t="str">
        <x:v>2026-09-04</x:v>
      </x:c>
    </x:row>
    <x:row r="147">
      <x:c r="A147" t="str">
        <x:v>601607</x:v>
      </x:c>
      <x:c r="B147" t="str">
        <x:v>上海医药</x:v>
      </x:c>
      <x:c r="C147" t="str">
        <x:v>主板</x:v>
      </x:c>
      <x:c r="D147" t="str">
        <x:v>待行业映射</x:v>
      </x:c>
      <x:c r="E147" t="n">
        <x:v>16.62</x:v>
      </x:c>
      <x:c r="F147" t="n">
        <x:v>12.92</x:v>
      </x:c>
      <x:c r="G147"/>
      <x:c r="H147" t="n">
        <x:v>616.33</x:v>
      </x:c>
      <x:c r="I147" t="n">
        <x:v>52.98</x:v>
      </x:c>
      <x:c r="J147" t="str">
        <x:v>initial_screen_pending_pb_financial_review</x:v>
      </x:c>
      <x:c r="K147" t="str">
        <x:v>AkShare / Tencent all-A market snapshot</x:v>
      </x:c>
      <x:c r="L147" t="str">
        <x:v>ProxyError: primary market source unavailable; see source_id for full audit.</x:v>
      </x:c>
      <x:c r="M147" t="str">
        <x:v>0</x:v>
      </x:c>
      <x:c r="N147" t="str">
        <x:v>0fd6ad2d-3389-4e70-8974-eb85ee223eeb</x:v>
      </x:c>
      <x:c r="O147" t="str">
        <x:v>2026-09-04</x:v>
      </x:c>
    </x:row>
    <x:row r="148">
      <x:c r="A148" t="str">
        <x:v>601555</x:v>
      </x:c>
      <x:c r="B148" t="str">
        <x:v>东吴证券</x:v>
      </x:c>
      <x:c r="C148" t="str">
        <x:v>主板</x:v>
      </x:c>
      <x:c r="D148" t="str">
        <x:v>待行业映射</x:v>
      </x:c>
      <x:c r="E148" t="n">
        <x:v>8.47</x:v>
      </x:c>
      <x:c r="F148" t="n">
        <x:v>10.41</x:v>
      </x:c>
      <x:c r="G148"/>
      <x:c r="H148" t="n">
        <x:v>420.85</x:v>
      </x:c>
      <x:c r="I148" t="n">
        <x:v>52.66</x:v>
      </x:c>
      <x:c r="J148" t="str">
        <x:v>initial_screen_pending_pb_financial_review</x:v>
      </x:c>
      <x:c r="K148" t="str">
        <x:v>AkShare / Tencent all-A market snapshot</x:v>
      </x:c>
      <x:c r="L148" t="str">
        <x:v>ProxyError: primary market source unavailable; see source_id for full audit.</x:v>
      </x:c>
      <x:c r="M148" t="str">
        <x:v>0</x:v>
      </x:c>
      <x:c r="N148" t="str">
        <x:v>0fd6ad2d-3389-4e70-8974-eb85ee223eeb</x:v>
      </x:c>
      <x:c r="O148" t="str">
        <x:v>2026-09-04</x:v>
      </x:c>
    </x:row>
    <x:row r="149">
      <x:c r="A149" t="str">
        <x:v>600968</x:v>
      </x:c>
      <x:c r="B149" t="str">
        <x:v>海油发展</x:v>
      </x:c>
      <x:c r="C149" t="str">
        <x:v>主板</x:v>
      </x:c>
      <x:c r="D149" t="str">
        <x:v>待行业映射</x:v>
      </x:c>
      <x:c r="E149" t="n">
        <x:v>3.95</x:v>
      </x:c>
      <x:c r="F149" t="n">
        <x:v>10.24</x:v>
      </x:c>
      <x:c r="G149"/>
      <x:c r="H149" t="n">
        <x:v>401.52</x:v>
      </x:c>
      <x:c r="I149" t="n">
        <x:v>52.43</x:v>
      </x:c>
      <x:c r="J149" t="str">
        <x:v>initial_screen_pending_pb_financial_review</x:v>
      </x:c>
      <x:c r="K149" t="str">
        <x:v>AkShare / Tencent all-A market snapshot</x:v>
      </x:c>
      <x:c r="L149" t="str">
        <x:v>ProxyError: primary market source unavailable; see source_id for full audit.</x:v>
      </x:c>
      <x:c r="M149" t="str">
        <x:v>0</x:v>
      </x:c>
      <x:c r="N149" t="str">
        <x:v>0fd6ad2d-3389-4e70-8974-eb85ee223eeb</x:v>
      </x:c>
      <x:c r="O149" t="str">
        <x:v>2026-09-04</x:v>
      </x:c>
    </x:row>
    <x:row r="150">
      <x:c r="A150" t="str">
        <x:v>601901</x:v>
      </x:c>
      <x:c r="B150" t="str">
        <x:v>方正证券</x:v>
      </x:c>
      <x:c r="C150" t="str">
        <x:v>主板</x:v>
      </x:c>
      <x:c r="D150" t="str">
        <x:v>待行业映射</x:v>
      </x:c>
      <x:c r="E150" t="n">
        <x:v>6.92</x:v>
      </x:c>
      <x:c r="F150" t="n">
        <x:v>12.54</x:v>
      </x:c>
      <x:c r="G150"/>
      <x:c r="H150" t="n">
        <x:v>569.66</x:v>
      </x:c>
      <x:c r="I150" t="n">
        <x:v>52.33</x:v>
      </x:c>
      <x:c r="J150" t="str">
        <x:v>initial_screen_pending_pb_financial_review</x:v>
      </x:c>
      <x:c r="K150" t="str">
        <x:v>AkShare / Tencent all-A market snapshot</x:v>
      </x:c>
      <x:c r="L150" t="str">
        <x:v>ProxyError: primary market source unavailable; see source_id for full audit.</x:v>
      </x:c>
      <x:c r="M150" t="str">
        <x:v>0</x:v>
      </x:c>
      <x:c r="N150" t="str">
        <x:v>0fd6ad2d-3389-4e70-8974-eb85ee223eeb</x:v>
      </x:c>
      <x:c r="O150" t="str">
        <x:v>2026-09-04</x:v>
      </x:c>
    </x:row>
    <x:row r="151">
      <x:c r="A151" t="str">
        <x:v>600377</x:v>
      </x:c>
      <x:c r="B151" t="str">
        <x:v>宁沪高速</x:v>
      </x:c>
      <x:c r="C151" t="str">
        <x:v>主板</x:v>
      </x:c>
      <x:c r="D151" t="str">
        <x:v>待行业映射</x:v>
      </x:c>
      <x:c r="E151" t="n">
        <x:v>12.42</x:v>
      </x:c>
      <x:c r="F151" t="n">
        <x:v>13.39</x:v>
      </x:c>
      <x:c r="G151"/>
      <x:c r="H151" t="n">
        <x:v>625.69</x:v>
      </x:c>
      <x:c r="I151" t="n">
        <x:v>52.09</x:v>
      </x:c>
      <x:c r="J151" t="str">
        <x:v>initial_screen_pending_pb_financial_review</x:v>
      </x:c>
      <x:c r="K151" t="str">
        <x:v>AkShare / Tencent all-A market snapshot</x:v>
      </x:c>
      <x:c r="L151" t="str">
        <x:v>ProxyError: primary market source unavailable; see source_id for full audit.</x:v>
      </x:c>
      <x:c r="M151" t="str">
        <x:v>0</x:v>
      </x:c>
      <x:c r="N151" t="str">
        <x:v>0fd6ad2d-3389-4e70-8974-eb85ee223eeb</x:v>
      </x:c>
      <x:c r="O151" t="str">
        <x:v>2026-09-04</x:v>
      </x:c>
    </x:row>
    <x:row r="152">
      <x:c r="A152" t="str">
        <x:v>600028</x:v>
      </x:c>
      <x:c r="B152" t="str">
        <x:v>中国石化</x:v>
      </x:c>
      <x:c r="C152" t="str">
        <x:v>主板</x:v>
      </x:c>
      <x:c r="D152" t="str">
        <x:v>待行业映射</x:v>
      </x:c>
      <x:c r="E152" t="n">
        <x:v>5.48</x:v>
      </x:c>
      <x:c r="F152" t="n">
        <x:v>18.43</x:v>
      </x:c>
      <x:c r="G152"/>
      <x:c r="H152" t="n">
        <x:v>6626.72</x:v>
      </x:c>
      <x:c r="I152" t="n">
        <x:v>52.08</x:v>
      </x:c>
      <x:c r="J152" t="str">
        <x:v>initial_screen_pending_pb_financial_review</x:v>
      </x:c>
      <x:c r="K152" t="str">
        <x:v>AkShare / Tencent all-A market snapshot</x:v>
      </x:c>
      <x:c r="L152" t="str">
        <x:v>ProxyError: primary market source unavailable; see source_id for full audit.</x:v>
      </x:c>
      <x:c r="M152" t="str">
        <x:v>0</x:v>
      </x:c>
      <x:c r="N152" t="str">
        <x:v>0fd6ad2d-3389-4e70-8974-eb85ee223eeb</x:v>
      </x:c>
      <x:c r="O152" t="str">
        <x:v>2026-09-04</x:v>
      </x:c>
    </x:row>
    <x:row r="153">
      <x:c r="A153" t="str">
        <x:v>600089</x:v>
      </x:c>
      <x:c r="B153" t="str">
        <x:v>特变电工</x:v>
      </x:c>
      <x:c r="C153" t="str">
        <x:v>主板</x:v>
      </x:c>
      <x:c r="D153" t="str">
        <x:v>待行业映射</x:v>
      </x:c>
      <x:c r="E153" t="n">
        <x:v>18.88</x:v>
      </x:c>
      <x:c r="F153" t="n">
        <x:v>17.92</x:v>
      </x:c>
      <x:c r="G153"/>
      <x:c r="H153" t="n">
        <x:v>953.97</x:v>
      </x:c>
      <x:c r="I153" t="n">
        <x:v>51.8</x:v>
      </x:c>
      <x:c r="J153" t="str">
        <x:v>initial_screen_pending_pb_financial_review</x:v>
      </x:c>
      <x:c r="K153" t="str">
        <x:v>AkShare / Tencent all-A market snapshot</x:v>
      </x:c>
      <x:c r="L153" t="str">
        <x:v>ProxyError: primary market source unavailable; see source_id for full audit.</x:v>
      </x:c>
      <x:c r="M153" t="str">
        <x:v>0</x:v>
      </x:c>
      <x:c r="N153" t="str">
        <x:v>0fd6ad2d-3389-4e70-8974-eb85ee223eeb</x:v>
      </x:c>
      <x:c r="O153" t="str">
        <x:v>2026-09-04</x:v>
      </x:c>
    </x:row>
    <x:row r="154">
      <x:c r="A154" t="str">
        <x:v>001965</x:v>
      </x:c>
      <x:c r="B154" t="str">
        <x:v>招商公路</x:v>
      </x:c>
      <x:c r="C154" t="str">
        <x:v>主板</x:v>
      </x:c>
      <x:c r="D154" t="str">
        <x:v>待行业映射</x:v>
      </x:c>
      <x:c r="E154" t="n">
        <x:v>9.8</x:v>
      </x:c>
      <x:c r="F154" t="n">
        <x:v>14.13</x:v>
      </x:c>
      <x:c r="G154"/>
      <x:c r="H154" t="n">
        <x:v>665.92</x:v>
      </x:c>
      <x:c r="I154" t="n">
        <x:v>51.57</x:v>
      </x:c>
      <x:c r="J154" t="str">
        <x:v>initial_screen_pending_pb_financial_review</x:v>
      </x:c>
      <x:c r="K154" t="str">
        <x:v>AkShare / Tencent all-A market snapshot</x:v>
      </x:c>
      <x:c r="L154" t="str">
        <x:v>ProxyError: primary market source unavailable; see source_id for full audit.</x:v>
      </x:c>
      <x:c r="M154" t="str">
        <x:v>0</x:v>
      </x:c>
      <x:c r="N154" t="str">
        <x:v>0fd6ad2d-3389-4e70-8974-eb85ee223eeb</x:v>
      </x:c>
      <x:c r="O154" t="str">
        <x:v>2026-09-04</x:v>
      </x:c>
    </x:row>
    <x:row r="155">
      <x:c r="A155" t="str">
        <x:v>000538</x:v>
      </x:c>
      <x:c r="B155" t="str">
        <x:v>云南白药</x:v>
      </x:c>
      <x:c r="C155" t="str">
        <x:v>主板</x:v>
      </x:c>
      <x:c r="D155" t="str">
        <x:v>待行业映射</x:v>
      </x:c>
      <x:c r="E155" t="n">
        <x:v>51.02</x:v>
      </x:c>
      <x:c r="F155" t="n">
        <x:v>17.43</x:v>
      </x:c>
      <x:c r="G155"/>
      <x:c r="H155" t="n">
        <x:v>910.33</x:v>
      </x:c>
      <x:c r="I155" t="n">
        <x:v>51.54</x:v>
      </x:c>
      <x:c r="J155" t="str">
        <x:v>initial_screen_pending_pb_financial_review</x:v>
      </x:c>
      <x:c r="K155" t="str">
        <x:v>AkShare / Tencent all-A market snapshot</x:v>
      </x:c>
      <x:c r="L155" t="str">
        <x:v>ProxyError: primary market source unavailable; see source_id for full audit.</x:v>
      </x:c>
      <x:c r="M155" t="str">
        <x:v>0</x:v>
      </x:c>
      <x:c r="N155" t="str">
        <x:v>0fd6ad2d-3389-4e70-8974-eb85ee223eeb</x:v>
      </x:c>
      <x:c r="O155" t="str">
        <x:v>2026-09-04</x:v>
      </x:c>
    </x:row>
    <x:row r="156">
      <x:c r="A156" t="str">
        <x:v>000895</x:v>
      </x:c>
      <x:c r="B156" t="str">
        <x:v>双汇发展</x:v>
      </x:c>
      <x:c r="C156" t="str">
        <x:v>主板</x:v>
      </x:c>
      <x:c r="D156" t="str">
        <x:v>待行业映射</x:v>
      </x:c>
      <x:c r="E156" t="n">
        <x:v>24.17</x:v>
      </x:c>
      <x:c r="F156" t="n">
        <x:v>16.46</x:v>
      </x:c>
      <x:c r="G156"/>
      <x:c r="H156" t="n">
        <x:v>837.41</x:v>
      </x:c>
      <x:c r="I156" t="n">
        <x:v>51.51</x:v>
      </x:c>
      <x:c r="J156" t="str">
        <x:v>initial_screen_pending_pb_financial_review</x:v>
      </x:c>
      <x:c r="K156" t="str">
        <x:v>AkShare / Tencent all-A market snapshot</x:v>
      </x:c>
      <x:c r="L156" t="str">
        <x:v>ProxyError: primary market source unavailable; see source_id for full audit.</x:v>
      </x:c>
      <x:c r="M156" t="str">
        <x:v>0</x:v>
      </x:c>
      <x:c r="N156" t="str">
        <x:v>0fd6ad2d-3389-4e70-8974-eb85ee223eeb</x:v>
      </x:c>
      <x:c r="O156" t="str">
        <x:v>2026-09-04</x:v>
      </x:c>
    </x:row>
    <x:row r="157">
      <x:c r="A157" t="str">
        <x:v>001227</x:v>
      </x:c>
      <x:c r="B157" t="str">
        <x:v>兰州银行</x:v>
      </x:c>
      <x:c r="C157" t="str">
        <x:v>主板</x:v>
      </x:c>
      <x:c r="D157" t="str">
        <x:v>待行业映射</x:v>
      </x:c>
      <x:c r="E157" t="n">
        <x:v>2.16</x:v>
      </x:c>
      <x:c r="F157" t="n">
        <x:v>6.91</x:v>
      </x:c>
      <x:c r="G157"/>
      <x:c r="H157" t="n">
        <x:v>123.03</x:v>
      </x:c>
      <x:c r="I157" t="n">
        <x:v>51.34</x:v>
      </x:c>
      <x:c r="J157" t="str">
        <x:v>initial_screen_pending_pb_financial_review</x:v>
      </x:c>
      <x:c r="K157" t="str">
        <x:v>AkShare / Tencent all-A market snapshot</x:v>
      </x:c>
      <x:c r="L157" t="str">
        <x:v>ProxyError: primary market source unavailable; see source_id for full audit.</x:v>
      </x:c>
      <x:c r="M157" t="str">
        <x:v>0</x:v>
      </x:c>
      <x:c r="N157" t="str">
        <x:v>0fd6ad2d-3389-4e70-8974-eb85ee223eeb</x:v>
      </x:c>
      <x:c r="O157" t="str">
        <x:v>2026-09-04</x:v>
      </x:c>
    </x:row>
    <x:row r="158">
      <x:c r="A158" t="str">
        <x:v>600489</x:v>
      </x:c>
      <x:c r="B158" t="str">
        <x:v>中金黄金</x:v>
      </x:c>
      <x:c r="C158" t="str">
        <x:v>主板</x:v>
      </x:c>
      <x:c r="D158" t="str">
        <x:v>待行业映射</x:v>
      </x:c>
      <x:c r="E158" t="n">
        <x:v>25.6</x:v>
      </x:c>
      <x:c r="F158" t="n">
        <x:v>18.81</x:v>
      </x:c>
      <x:c r="G158"/>
      <x:c r="H158" t="n">
        <x:v>1240.91</x:v>
      </x:c>
      <x:c r="I158" t="n">
        <x:v>51.09</x:v>
      </x:c>
      <x:c r="J158" t="str">
        <x:v>initial_screen_pending_pb_financial_review</x:v>
      </x:c>
      <x:c r="K158" t="str">
        <x:v>AkShare / Tencent all-A market snapshot</x:v>
      </x:c>
      <x:c r="L158" t="str">
        <x:v>ProxyError: primary market source unavailable; see source_id for full audit.</x:v>
      </x:c>
      <x:c r="M158" t="str">
        <x:v>0</x:v>
      </x:c>
      <x:c r="N158" t="str">
        <x:v>0fd6ad2d-3389-4e70-8974-eb85ee223eeb</x:v>
      </x:c>
      <x:c r="O158" t="str">
        <x:v>2026-09-04</x:v>
      </x:c>
    </x:row>
    <x:row r="159">
      <x:c r="A159" t="str">
        <x:v>000885</x:v>
      </x:c>
      <x:c r="B159" t="str">
        <x:v>城发环境</x:v>
      </x:c>
      <x:c r="C159" t="str">
        <x:v>主板</x:v>
      </x:c>
      <x:c r="D159" t="str">
        <x:v>待行业映射</x:v>
      </x:c>
      <x:c r="E159" t="n">
        <x:v>12.16</x:v>
      </x:c>
      <x:c r="F159" t="n">
        <x:v>6.41</x:v>
      </x:c>
      <x:c r="G159"/>
      <x:c r="H159" t="n">
        <x:v>78.08</x:v>
      </x:c>
      <x:c r="I159" t="n">
        <x:v>51.07</x:v>
      </x:c>
      <x:c r="J159" t="str">
        <x:v>initial_screen_pending_pb_financial_review</x:v>
      </x:c>
      <x:c r="K159" t="str">
        <x:v>AkShare / Tencent all-A market snapshot</x:v>
      </x:c>
      <x:c r="L159" t="str">
        <x:v>ProxyError: primary market source unavailable; see source_id for full audit.</x:v>
      </x:c>
      <x:c r="M159" t="str">
        <x:v>0</x:v>
      </x:c>
      <x:c r="N159" t="str">
        <x:v>0fd6ad2d-3389-4e70-8974-eb85ee223eeb</x:v>
      </x:c>
      <x:c r="O159" t="str">
        <x:v>2026-09-04</x:v>
      </x:c>
    </x:row>
    <x:row r="160">
      <x:c r="A160" t="str">
        <x:v>600219</x:v>
      </x:c>
      <x:c r="B160" t="str">
        <x:v>南山铝业</x:v>
      </x:c>
      <x:c r="C160" t="str">
        <x:v>主板</x:v>
      </x:c>
      <x:c r="D160" t="str">
        <x:v>待行业映射</x:v>
      </x:c>
      <x:c r="E160" t="n">
        <x:v>4.92</x:v>
      </x:c>
      <x:c r="F160" t="n">
        <x:v>12.97</x:v>
      </x:c>
      <x:c r="G160"/>
      <x:c r="H160" t="n">
        <x:v>565</x:v>
      </x:c>
      <x:c r="I160" t="n">
        <x:v>51.05</x:v>
      </x:c>
      <x:c r="J160" t="str">
        <x:v>initial_screen_pending_pb_financial_review</x:v>
      </x:c>
      <x:c r="K160" t="str">
        <x:v>AkShare / Tencent all-A market snapshot</x:v>
      </x:c>
      <x:c r="L160" t="str">
        <x:v>ProxyError: primary market source unavailable; see source_id for full audit.</x:v>
      </x:c>
      <x:c r="M160" t="str">
        <x:v>0</x:v>
      </x:c>
      <x:c r="N160" t="str">
        <x:v>0fd6ad2d-3389-4e70-8974-eb85ee223eeb</x:v>
      </x:c>
      <x:c r="O160" t="str">
        <x:v>2026-09-04</x:v>
      </x:c>
    </x:row>
    <x:row r="161">
      <x:c r="A161" t="str">
        <x:v>600578</x:v>
      </x:c>
      <x:c r="B161" t="str">
        <x:v>京能电力</x:v>
      </x:c>
      <x:c r="C161" t="str">
        <x:v>主板</x:v>
      </x:c>
      <x:c r="D161" t="str">
        <x:v>待行业映射</x:v>
      </x:c>
      <x:c r="E161" t="n">
        <x:v>5.41</x:v>
      </x:c>
      <x:c r="F161" t="n">
        <x:v>10.25</x:v>
      </x:c>
      <x:c r="G161"/>
      <x:c r="H161" t="n">
        <x:v>362.18</x:v>
      </x:c>
      <x:c r="I161" t="n">
        <x:v>51.03</x:v>
      </x:c>
      <x:c r="J161" t="str">
        <x:v>initial_screen_pending_pb_financial_review</x:v>
      </x:c>
      <x:c r="K161" t="str">
        <x:v>AkShare / Tencent all-A market snapshot</x:v>
      </x:c>
      <x:c r="L161" t="str">
        <x:v>ProxyError: primary market source unavailable; see source_id for full audit.</x:v>
      </x:c>
      <x:c r="M161" t="str">
        <x:v>0</x:v>
      </x:c>
      <x:c r="N161" t="str">
        <x:v>0fd6ad2d-3389-4e70-8974-eb85ee223eeb</x:v>
      </x:c>
      <x:c r="O161" t="str">
        <x:v>2026-09-04</x:v>
      </x:c>
    </x:row>
    <x:row r="162">
      <x:c r="A162" t="str">
        <x:v>600061</x:v>
      </x:c>
      <x:c r="B162" t="str">
        <x:v>国投资本</x:v>
      </x:c>
      <x:c r="C162" t="str">
        <x:v>主板</x:v>
      </x:c>
      <x:c r="D162" t="str">
        <x:v>待行业映射</x:v>
      </x:c>
      <x:c r="E162" t="n">
        <x:v>6.53</x:v>
      </x:c>
      <x:c r="F162" t="n">
        <x:v>11.05</x:v>
      </x:c>
      <x:c r="G162"/>
      <x:c r="H162" t="n">
        <x:v>417.53</x:v>
      </x:c>
      <x:c r="I162" t="n">
        <x:v>50.88</x:v>
      </x:c>
      <x:c r="J162" t="str">
        <x:v>initial_screen_pending_pb_financial_review</x:v>
      </x:c>
      <x:c r="K162" t="str">
        <x:v>AkShare / Tencent all-A market snapshot</x:v>
      </x:c>
      <x:c r="L162" t="str">
        <x:v>ProxyError: primary market source unavailable; see source_id for full audit.</x:v>
      </x:c>
      <x:c r="M162" t="str">
        <x:v>0</x:v>
      </x:c>
      <x:c r="N162" t="str">
        <x:v>0fd6ad2d-3389-4e70-8974-eb85ee223eeb</x:v>
      </x:c>
      <x:c r="O162" t="str">
        <x:v>2026-09-04</x:v>
      </x:c>
    </x:row>
    <x:row r="163">
      <x:c r="A163" t="str">
        <x:v>688330</x:v>
      </x:c>
      <x:c r="B163" t="str">
        <x:v>宏力达</x:v>
      </x:c>
      <x:c r="C163" t="str">
        <x:v>科创板</x:v>
      </x:c>
      <x:c r="D163" t="str">
        <x:v>待行业映射</x:v>
      </x:c>
      <x:c r="E163" t="n">
        <x:v>36.78</x:v>
      </x:c>
      <x:c r="F163" t="n">
        <x:v>6.21</x:v>
      </x:c>
      <x:c r="G163"/>
      <x:c r="H163" t="n">
        <x:v>51.49</x:v>
      </x:c>
      <x:c r="I163" t="n">
        <x:v>50.66</x:v>
      </x:c>
      <x:c r="J163" t="str">
        <x:v>initial_screen_pending_pb_financial_review</x:v>
      </x:c>
      <x:c r="K163" t="str">
        <x:v>AkShare / Tencent all-A market snapshot</x:v>
      </x:c>
      <x:c r="L163" t="str">
        <x:v>ProxyError: primary market source unavailable; see source_id for full audit.</x:v>
      </x:c>
      <x:c r="M163" t="str">
        <x:v>0</x:v>
      </x:c>
      <x:c r="N163" t="str">
        <x:v>0fd6ad2d-3389-4e70-8974-eb85ee223eeb</x:v>
      </x:c>
      <x:c r="O163" t="str">
        <x:v>2026-09-04</x:v>
      </x:c>
    </x:row>
    <x:row r="164">
      <x:c r="A164" t="str">
        <x:v>300014</x:v>
      </x:c>
      <x:c r="B164" t="str">
        <x:v>亿纬锂能</x:v>
      </x:c>
      <x:c r="C164" t="str">
        <x:v>创业板</x:v>
      </x:c>
      <x:c r="D164" t="str">
        <x:v>待行业映射</x:v>
      </x:c>
      <x:c r="E164" t="n">
        <x:v>51.04</x:v>
      </x:c>
      <x:c r="F164" t="n">
        <x:v>19.03</x:v>
      </x:c>
      <x:c r="G164"/>
      <x:c r="H164" t="n">
        <x:v>1109.25</x:v>
      </x:c>
      <x:c r="I164" t="n">
        <x:v>50.52</x:v>
      </x:c>
      <x:c r="J164" t="str">
        <x:v>initial_screen_pending_pb_financial_review</x:v>
      </x:c>
      <x:c r="K164" t="str">
        <x:v>AkShare / Tencent all-A market snapshot</x:v>
      </x:c>
      <x:c r="L164" t="str">
        <x:v>ProxyError: primary market source unavailable; see source_id for full audit.</x:v>
      </x:c>
      <x:c r="M164" t="str">
        <x:v>0</x:v>
      </x:c>
      <x:c r="N164" t="str">
        <x:v>0fd6ad2d-3389-4e70-8974-eb85ee223eeb</x:v>
      </x:c>
      <x:c r="O164" t="str">
        <x:v>2026-09-04</x:v>
      </x:c>
    </x:row>
    <x:row r="165">
      <x:c r="A165" t="str">
        <x:v>600188</x:v>
      </x:c>
      <x:c r="B165" t="str">
        <x:v>兖矿能源</x:v>
      </x:c>
      <x:c r="C165" t="str">
        <x:v>主板</x:v>
      </x:c>
      <x:c r="D165" t="str">
        <x:v>待行业映射</x:v>
      </x:c>
      <x:c r="E165" t="n">
        <x:v>21.56</x:v>
      </x:c>
      <x:c r="F165" t="n">
        <x:v>19.1</x:v>
      </x:c>
      <x:c r="G165"/>
      <x:c r="H165" t="n">
        <x:v>2163.95</x:v>
      </x:c>
      <x:c r="I165" t="n">
        <x:v>50.34</x:v>
      </x:c>
      <x:c r="J165" t="str">
        <x:v>initial_screen_pending_pb_financial_review</x:v>
      </x:c>
      <x:c r="K165" t="str">
        <x:v>AkShare / Tencent all-A market snapshot</x:v>
      </x:c>
      <x:c r="L165" t="str">
        <x:v>ProxyError: primary market source unavailable; see source_id for full audit.</x:v>
      </x:c>
      <x:c r="M165" t="str">
        <x:v>0</x:v>
      </x:c>
      <x:c r="N165" t="str">
        <x:v>0fd6ad2d-3389-4e70-8974-eb85ee223eeb</x:v>
      </x:c>
      <x:c r="O165" t="str">
        <x:v>2026-09-04</x:v>
      </x:c>
    </x:row>
    <x:row r="166">
      <x:c r="A166" t="str">
        <x:v>600803</x:v>
      </x:c>
      <x:c r="B166" t="str">
        <x:v>新奥股份</x:v>
      </x:c>
      <x:c r="C166" t="str">
        <x:v>主板</x:v>
      </x:c>
      <x:c r="D166" t="str">
        <x:v>待行业映射</x:v>
      </x:c>
      <x:c r="E166" t="n">
        <x:v>19.26</x:v>
      </x:c>
      <x:c r="F166" t="n">
        <x:v>13.67</x:v>
      </x:c>
      <x:c r="G166"/>
      <x:c r="H166" t="n">
        <x:v>596.13</x:v>
      </x:c>
      <x:c r="I166" t="n">
        <x:v>50.32</x:v>
      </x:c>
      <x:c r="J166" t="str">
        <x:v>initial_screen_pending_pb_financial_review</x:v>
      </x:c>
      <x:c r="K166" t="str">
        <x:v>AkShare / Tencent all-A market snapshot</x:v>
      </x:c>
      <x:c r="L166" t="str">
        <x:v>ProxyError: primary market source unavailable; see source_id for full audit.</x:v>
      </x:c>
      <x:c r="M166" t="str">
        <x:v>0</x:v>
      </x:c>
      <x:c r="N166" t="str">
        <x:v>0fd6ad2d-3389-4e70-8974-eb85ee223eeb</x:v>
      </x:c>
      <x:c r="O166" t="str">
        <x:v>2026-09-04</x:v>
      </x:c>
    </x:row>
    <x:row r="167">
      <x:c r="A167" t="str">
        <x:v>300750</x:v>
      </x:c>
      <x:c r="B167" t="str">
        <x:v>宁德时代</x:v>
      </x:c>
      <x:c r="C167" t="str">
        <x:v>创业板</x:v>
      </x:c>
      <x:c r="D167" t="str">
        <x:v>待行业映射</x:v>
      </x:c>
      <x:c r="E167" t="n">
        <x:v>351</x:v>
      </x:c>
      <x:c r="F167" t="n">
        <x:v>19.11</x:v>
      </x:c>
      <x:c r="G167"/>
      <x:c r="H167" t="n">
        <x:v>16239.96</x:v>
      </x:c>
      <x:c r="I167" t="n">
        <x:v>50.31</x:v>
      </x:c>
      <x:c r="J167" t="str">
        <x:v>initial_screen_pending_pb_financial_review</x:v>
      </x:c>
      <x:c r="K167" t="str">
        <x:v>AkShare / Tencent all-A market snapshot</x:v>
      </x:c>
      <x:c r="L167" t="str">
        <x:v>ProxyError: primary market source unavailable; see source_id for full audit.</x:v>
      </x:c>
      <x:c r="M167" t="str">
        <x:v>0</x:v>
      </x:c>
      <x:c r="N167" t="str">
        <x:v>0fd6ad2d-3389-4e70-8974-eb85ee223eeb</x:v>
      </x:c>
      <x:c r="O167" t="str">
        <x:v>2026-09-04</x:v>
      </x:c>
    </x:row>
    <x:row r="168">
      <x:c r="A168" t="str">
        <x:v>601088</x:v>
      </x:c>
      <x:c r="B168" t="str">
        <x:v>中国神华</x:v>
      </x:c>
      <x:c r="C168" t="str">
        <x:v>主板</x:v>
      </x:c>
      <x:c r="D168" t="str">
        <x:v>待行业映射</x:v>
      </x:c>
      <x:c r="E168" t="n">
        <x:v>47.61</x:v>
      </x:c>
      <x:c r="F168" t="n">
        <x:v>19.13</x:v>
      </x:c>
      <x:c r="G168"/>
      <x:c r="H168" t="n">
        <x:v>10326.34</x:v>
      </x:c>
      <x:c r="I168" t="n">
        <x:v>50.26</x:v>
      </x:c>
      <x:c r="J168" t="str">
        <x:v>initial_screen_pending_pb_financial_review</x:v>
      </x:c>
      <x:c r="K168" t="str">
        <x:v>AkShare / Tencent all-A market snapshot</x:v>
      </x:c>
      <x:c r="L168" t="str">
        <x:v>ProxyError: primary market source unavailable; see source_id for full audit.</x:v>
      </x:c>
      <x:c r="M168" t="str">
        <x:v>0</x:v>
      </x:c>
      <x:c r="N168" t="str">
        <x:v>0fd6ad2d-3389-4e70-8974-eb85ee223eeb</x:v>
      </x:c>
      <x:c r="O168" t="str">
        <x:v>2026-09-04</x:v>
      </x:c>
    </x:row>
    <x:row r="169">
      <x:c r="A169" t="str">
        <x:v>000612</x:v>
      </x:c>
      <x:c r="B169" t="str">
        <x:v>焦作万方</x:v>
      </x:c>
      <x:c r="C169" t="str">
        <x:v>主板</x:v>
      </x:c>
      <x:c r="D169" t="str">
        <x:v>待行业映射</x:v>
      </x:c>
      <x:c r="E169" t="n">
        <x:v>11.03</x:v>
      </x:c>
      <x:c r="F169" t="n">
        <x:v>7.45</x:v>
      </x:c>
      <x:c r="G169"/>
      <x:c r="H169" t="n">
        <x:v>131.5</x:v>
      </x:c>
      <x:c r="I169" t="n">
        <x:v>50.23</x:v>
      </x:c>
      <x:c r="J169" t="str">
        <x:v>initial_screen_pending_pb_financial_review</x:v>
      </x:c>
      <x:c r="K169" t="str">
        <x:v>AkShare / Tencent all-A market snapshot</x:v>
      </x:c>
      <x:c r="L169" t="str">
        <x:v>ProxyError: primary market source unavailable; see source_id for full audit.</x:v>
      </x:c>
      <x:c r="M169" t="str">
        <x:v>0</x:v>
      </x:c>
      <x:c r="N169" t="str">
        <x:v>0fd6ad2d-3389-4e70-8974-eb85ee223eeb</x:v>
      </x:c>
      <x:c r="O169" t="str">
        <x:v>2026-09-04</x:v>
      </x:c>
    </x:row>
    <x:row r="170">
      <x:c r="A170" t="str">
        <x:v>600595</x:v>
      </x:c>
      <x:c r="B170" t="str">
        <x:v>中孚实业</x:v>
      </x:c>
      <x:c r="C170" t="str">
        <x:v>主板</x:v>
      </x:c>
      <x:c r="D170" t="str">
        <x:v>待行业映射</x:v>
      </x:c>
      <x:c r="E170" t="n">
        <x:v>6.36</x:v>
      </x:c>
      <x:c r="F170" t="n">
        <x:v>9.13</x:v>
      </x:c>
      <x:c r="G170"/>
      <x:c r="H170" t="n">
        <x:v>254.9</x:v>
      </x:c>
      <x:c r="I170" t="n">
        <x:v>50.18</x:v>
      </x:c>
      <x:c r="J170" t="str">
        <x:v>initial_screen_pending_pb_financial_review</x:v>
      </x:c>
      <x:c r="K170" t="str">
        <x:v>AkShare / Tencent all-A market snapshot</x:v>
      </x:c>
      <x:c r="L170" t="str">
        <x:v>ProxyError: primary market source unavailable; see source_id for full audit.</x:v>
      </x:c>
      <x:c r="M170" t="str">
        <x:v>0</x:v>
      </x:c>
      <x:c r="N170" t="str">
        <x:v>0fd6ad2d-3389-4e70-8974-eb85ee223eeb</x:v>
      </x:c>
      <x:c r="O170" t="str">
        <x:v>2026-09-04</x:v>
      </x:c>
    </x:row>
    <x:row r="171">
      <x:c r="A171" t="str">
        <x:v>601677</x:v>
      </x:c>
      <x:c r="B171" t="str">
        <x:v>明泰铝业</x:v>
      </x:c>
      <x:c r="C171" t="str">
        <x:v>主板</x:v>
      </x:c>
      <x:c r="D171" t="str">
        <x:v>待行业映射</x:v>
      </x:c>
      <x:c r="E171" t="n">
        <x:v>16.65</x:v>
      </x:c>
      <x:c r="F171" t="n">
        <x:v>8.53</x:v>
      </x:c>
      <x:c r="G171"/>
      <x:c r="H171" t="n">
        <x:v>207.01</x:v>
      </x:c>
      <x:c r="I171" t="n">
        <x:v>50.07</x:v>
      </x:c>
      <x:c r="J171" t="str">
        <x:v>initial_screen_pending_pb_financial_review</x:v>
      </x:c>
      <x:c r="K171" t="str">
        <x:v>AkShare / Tencent all-A market snapshot</x:v>
      </x:c>
      <x:c r="L171" t="str">
        <x:v>ProxyError: primary market source unavailable; see source_id for full audit.</x:v>
      </x:c>
      <x:c r="M171" t="str">
        <x:v>0</x:v>
      </x:c>
      <x:c r="N171" t="str">
        <x:v>0fd6ad2d-3389-4e70-8974-eb85ee223eeb</x:v>
      </x:c>
      <x:c r="O171" t="str">
        <x:v>2026-09-04</x:v>
      </x:c>
    </x:row>
    <x:row r="172">
      <x:c r="A172" t="str">
        <x:v>002608</x:v>
      </x:c>
      <x:c r="B172" t="str">
        <x:v>江苏国信</x:v>
      </x:c>
      <x:c r="C172" t="str">
        <x:v>主板</x:v>
      </x:c>
      <x:c r="D172" t="str">
        <x:v>待行业映射</x:v>
      </x:c>
      <x:c r="E172" t="n">
        <x:v>7.38</x:v>
      </x:c>
      <x:c r="F172" t="n">
        <x:v>9.5</x:v>
      </x:c>
      <x:c r="G172"/>
      <x:c r="H172" t="n">
        <x:v>278.82</x:v>
      </x:c>
      <x:c r="I172" t="n">
        <x:v>50.06</x:v>
      </x:c>
      <x:c r="J172" t="str">
        <x:v>initial_screen_pending_pb_financial_review</x:v>
      </x:c>
      <x:c r="K172" t="str">
        <x:v>AkShare / Tencent all-A market snapshot</x:v>
      </x:c>
      <x:c r="L172" t="str">
        <x:v>ProxyError: primary market source unavailable; see source_id for full audit.</x:v>
      </x:c>
      <x:c r="M172" t="str">
        <x:v>0</x:v>
      </x:c>
      <x:c r="N172" t="str">
        <x:v>0fd6ad2d-3389-4e70-8974-eb85ee223eeb</x:v>
      </x:c>
      <x:c r="O172" t="str">
        <x:v>2026-09-04</x:v>
      </x:c>
    </x:row>
    <x:row r="173">
      <x:c r="A173" t="str">
        <x:v>600050</x:v>
      </x:c>
      <x:c r="B173" t="str">
        <x:v>中国联通</x:v>
      </x:c>
      <x:c r="C173" t="str">
        <x:v>主板</x:v>
      </x:c>
      <x:c r="D173" t="str">
        <x:v>待行业映射</x:v>
      </x:c>
      <x:c r="E173" t="n">
        <x:v>4.25</x:v>
      </x:c>
      <x:c r="F173" t="n">
        <x:v>19.21</x:v>
      </x:c>
      <x:c r="G173"/>
      <x:c r="H173" t="n">
        <x:v>1328.74</x:v>
      </x:c>
      <x:c r="I173" t="n">
        <x:v>50.05</x:v>
      </x:c>
      <x:c r="J173" t="str">
        <x:v>initial_screen_pending_pb_financial_review</x:v>
      </x:c>
      <x:c r="K173" t="str">
        <x:v>AkShare / Tencent all-A market snapshot</x:v>
      </x:c>
      <x:c r="L173" t="str">
        <x:v>ProxyError: primary market source unavailable; see source_id for full audit.</x:v>
      </x:c>
      <x:c r="M173" t="str">
        <x:v>0</x:v>
      </x:c>
      <x:c r="N173" t="str">
        <x:v>0fd6ad2d-3389-4e70-8974-eb85ee223eeb</x:v>
      </x:c>
      <x:c r="O173" t="str">
        <x:v>2026-09-04</x:v>
      </x:c>
    </x:row>
    <x:row r="174">
      <x:c r="A174" t="str">
        <x:v>600900</x:v>
      </x:c>
      <x:c r="B174" t="str">
        <x:v>长江电力</x:v>
      </x:c>
      <x:c r="C174" t="str">
        <x:v>主板</x:v>
      </x:c>
      <x:c r="D174" t="str">
        <x:v>待行业映射</x:v>
      </x:c>
      <x:c r="E174" t="n">
        <x:v>28.42</x:v>
      </x:c>
      <x:c r="F174" t="n">
        <x:v>19.21</x:v>
      </x:c>
      <x:c r="G174"/>
      <x:c r="H174" t="n">
        <x:v>6953.87</x:v>
      </x:c>
      <x:c r="I174" t="n">
        <x:v>50.05</x:v>
      </x:c>
      <x:c r="J174" t="str">
        <x:v>initial_screen_pending_pb_financial_review</x:v>
      </x:c>
      <x:c r="K174" t="str">
        <x:v>AkShare / Tencent all-A market snapshot</x:v>
      </x:c>
      <x:c r="L174" t="str">
        <x:v>ProxyError: primary market source unavailable; see source_id for full audit.</x:v>
      </x:c>
      <x:c r="M174" t="str">
        <x:v>0</x:v>
      </x:c>
      <x:c r="N174" t="str">
        <x:v>0fd6ad2d-3389-4e70-8974-eb85ee223eeb</x:v>
      </x:c>
      <x:c r="O174" t="str">
        <x:v>2026-09-04</x:v>
      </x:c>
    </x:row>
    <x:row r="175">
      <x:c r="A175" t="str">
        <x:v>300442</x:v>
      </x:c>
      <x:c r="B175" t="str">
        <x:v>润泽科技</x:v>
      </x:c>
      <x:c r="C175" t="str">
        <x:v>创业板</x:v>
      </x:c>
      <x:c r="D175" t="str">
        <x:v>待行业映射</x:v>
      </x:c>
      <x:c r="E175" t="n">
        <x:v>62.93</x:v>
      </x:c>
      <x:c r="F175" t="n">
        <x:v>19.23</x:v>
      </x:c>
      <x:c r="G175"/>
      <x:c r="H175" t="n">
        <x:v>1032.71</x:v>
      </x:c>
      <x:c r="I175" t="n">
        <x:v>50</x:v>
      </x:c>
      <x:c r="J175" t="str">
        <x:v>initial_screen_pending_pb_financial_review</x:v>
      </x:c>
      <x:c r="K175" t="str">
        <x:v>AkShare / Tencent all-A market snapshot</x:v>
      </x:c>
      <x:c r="L175" t="str">
        <x:v>ProxyError: primary market source unavailable; see source_id for full audit.</x:v>
      </x:c>
      <x:c r="M175" t="str">
        <x:v>0</x:v>
      </x:c>
      <x:c r="N175" t="str">
        <x:v>0fd6ad2d-3389-4e70-8974-eb85ee223eeb</x:v>
      </x:c>
      <x:c r="O175" t="str">
        <x:v>2026-09-04</x:v>
      </x:c>
    </x:row>
    <x:row r="176">
      <x:c r="A176" t="str">
        <x:v>600600</x:v>
      </x:c>
      <x:c r="B176" t="str">
        <x:v>青岛啤酒</x:v>
      </x:c>
      <x:c r="C176" t="str">
        <x:v>主板</x:v>
      </x:c>
      <x:c r="D176" t="str">
        <x:v>待行业映射</x:v>
      </x:c>
      <x:c r="E176" t="n">
        <x:v>51.49</x:v>
      </x:c>
      <x:c r="F176" t="n">
        <x:v>15.26</x:v>
      </x:c>
      <x:c r="G176"/>
      <x:c r="H176" t="n">
        <x:v>702.42</x:v>
      </x:c>
      <x:c r="I176" t="n">
        <x:v>49.91</x:v>
      </x:c>
      <x:c r="J176" t="str">
        <x:v>initial_screen_pending_pb_financial_review</x:v>
      </x:c>
      <x:c r="K176" t="str">
        <x:v>AkShare / Tencent all-A market snapshot</x:v>
      </x:c>
      <x:c r="L176" t="str">
        <x:v>ProxyError: primary market source unavailable; see source_id for full audit.</x:v>
      </x:c>
      <x:c r="M176" t="str">
        <x:v>0</x:v>
      </x:c>
      <x:c r="N176" t="str">
        <x:v>0fd6ad2d-3389-4e70-8974-eb85ee223eeb</x:v>
      </x:c>
      <x:c r="O176" t="str">
        <x:v>2026-09-04</x:v>
      </x:c>
    </x:row>
    <x:row r="177">
      <x:c r="A177" t="str">
        <x:v>301358</x:v>
      </x:c>
      <x:c r="B177" t="str">
        <x:v>湖南裕能</x:v>
      </x:c>
      <x:c r="C177" t="str">
        <x:v>创业板</x:v>
      </x:c>
      <x:c r="D177" t="str">
        <x:v>待行业映射</x:v>
      </x:c>
      <x:c r="E177" t="n">
        <x:v>55.82</x:v>
      </x:c>
      <x:c r="F177" t="n">
        <x:v>12.19</x:v>
      </x:c>
      <x:c r="G177"/>
      <x:c r="H177" t="n">
        <x:v>473.2</x:v>
      </x:c>
      <x:c r="I177" t="n">
        <x:v>49.87</x:v>
      </x:c>
      <x:c r="J177" t="str">
        <x:v>initial_screen_pending_pb_financial_review</x:v>
      </x:c>
      <x:c r="K177" t="str">
        <x:v>AkShare / Tencent all-A market snapshot</x:v>
      </x:c>
      <x:c r="L177" t="str">
        <x:v>ProxyError: primary market source unavailable; see source_id for full audit.</x:v>
      </x:c>
      <x:c r="M177" t="str">
        <x:v>0</x:v>
      </x:c>
      <x:c r="N177" t="str">
        <x:v>0fd6ad2d-3389-4e70-8974-eb85ee223eeb</x:v>
      </x:c>
      <x:c r="O177" t="str">
        <x:v>2026-09-04</x:v>
      </x:c>
    </x:row>
    <x:row r="178">
      <x:c r="A178" t="str">
        <x:v>000600</x:v>
      </x:c>
      <x:c r="B178" t="str">
        <x:v>建投能源</x:v>
      </x:c>
      <x:c r="C178" t="str">
        <x:v>主板</x:v>
      </x:c>
      <x:c r="D178" t="str">
        <x:v>待行业映射</x:v>
      </x:c>
      <x:c r="E178" t="n">
        <x:v>7.46</x:v>
      </x:c>
      <x:c r="F178" t="n">
        <x:v>7.65</x:v>
      </x:c>
      <x:c r="G178"/>
      <x:c r="H178" t="n">
        <x:v>134.52</x:v>
      </x:c>
      <x:c r="I178" t="n">
        <x:v>49.82</x:v>
      </x:c>
      <x:c r="J178" t="str">
        <x:v>initial_screen_pending_pb_financial_review</x:v>
      </x:c>
      <x:c r="K178" t="str">
        <x:v>AkShare / Tencent all-A market snapshot</x:v>
      </x:c>
      <x:c r="L178" t="str">
        <x:v>ProxyError: primary market source unavailable; see source_id for full audit.</x:v>
      </x:c>
      <x:c r="M178" t="str">
        <x:v>0</x:v>
      </x:c>
      <x:c r="N178" t="str">
        <x:v>0fd6ad2d-3389-4e70-8974-eb85ee223eeb</x:v>
      </x:c>
      <x:c r="O178" t="str">
        <x:v>2026-09-04</x:v>
      </x:c>
    </x:row>
    <x:row r="179">
      <x:c r="A179" t="str">
        <x:v>000617</x:v>
      </x:c>
      <x:c r="B179" t="str">
        <x:v>中油资本</x:v>
      </x:c>
      <x:c r="C179" t="str">
        <x:v>主板</x:v>
      </x:c>
      <x:c r="D179" t="str">
        <x:v>待行业映射</x:v>
      </x:c>
      <x:c r="E179" t="n">
        <x:v>7.34</x:v>
      </x:c>
      <x:c r="F179" t="n">
        <x:v>18.33</x:v>
      </x:c>
      <x:c r="G179"/>
      <x:c r="H179" t="n">
        <x:v>927.93</x:v>
      </x:c>
      <x:c r="I179" t="n">
        <x:v>49.82</x:v>
      </x:c>
      <x:c r="J179" t="str">
        <x:v>initial_screen_pending_pb_financial_review</x:v>
      </x:c>
      <x:c r="K179" t="str">
        <x:v>AkShare / Tencent all-A market snapshot</x:v>
      </x:c>
      <x:c r="L179" t="str">
        <x:v>ProxyError: primary market source unavailable; see source_id for full audit.</x:v>
      </x:c>
      <x:c r="M179" t="str">
        <x:v>0</x:v>
      </x:c>
      <x:c r="N179" t="str">
        <x:v>0fd6ad2d-3389-4e70-8974-eb85ee223eeb</x:v>
      </x:c>
      <x:c r="O179" t="str">
        <x:v>2026-09-04</x:v>
      </x:c>
    </x:row>
    <x:row r="180">
      <x:c r="A180" t="str">
        <x:v>600970</x:v>
      </x:c>
      <x:c r="B180" t="str">
        <x:v>中材国际</x:v>
      </x:c>
      <x:c r="C180" t="str">
        <x:v>主板</x:v>
      </x:c>
      <x:c r="D180" t="str">
        <x:v>待行业映射</x:v>
      </x:c>
      <x:c r="E180" t="n">
        <x:v>7.8</x:v>
      </x:c>
      <x:c r="F180" t="n">
        <x:v>8.61</x:v>
      </x:c>
      <x:c r="G180"/>
      <x:c r="H180" t="n">
        <x:v>204.5</x:v>
      </x:c>
      <x:c r="I180" t="n">
        <x:v>49.77</x:v>
      </x:c>
      <x:c r="J180" t="str">
        <x:v>initial_screen_pending_pb_financial_review</x:v>
      </x:c>
      <x:c r="K180" t="str">
        <x:v>AkShare / Tencent all-A market snapshot</x:v>
      </x:c>
      <x:c r="L180" t="str">
        <x:v>ProxyError: primary market source unavailable; see source_id for full audit.</x:v>
      </x:c>
      <x:c r="M180" t="str">
        <x:v>0</x:v>
      </x:c>
      <x:c r="N180" t="str">
        <x:v>0fd6ad2d-3389-4e70-8974-eb85ee223eeb</x:v>
      </x:c>
      <x:c r="O180" t="str">
        <x:v>2026-09-04</x:v>
      </x:c>
    </x:row>
    <x:row r="181">
      <x:c r="A181" t="str">
        <x:v>000157</x:v>
      </x:c>
      <x:c r="B181" t="str">
        <x:v>中联重科</x:v>
      </x:c>
      <x:c r="C181" t="str">
        <x:v>主板</x:v>
      </x:c>
      <x:c r="D181" t="str">
        <x:v>待行业映射</x:v>
      </x:c>
      <x:c r="E181" t="n">
        <x:v>6.62</x:v>
      </x:c>
      <x:c r="F181" t="n">
        <x:v>13.65</x:v>
      </x:c>
      <x:c r="G181"/>
      <x:c r="H181" t="n">
        <x:v>572.53</x:v>
      </x:c>
      <x:c r="I181" t="n">
        <x:v>49.55</x:v>
      </x:c>
      <x:c r="J181" t="str">
        <x:v>initial_screen_pending_pb_financial_review</x:v>
      </x:c>
      <x:c r="K181" t="str">
        <x:v>AkShare / Tencent all-A market snapshot</x:v>
      </x:c>
      <x:c r="L181" t="str">
        <x:v>ProxyError: primary market source unavailable; see source_id for full audit.</x:v>
      </x:c>
      <x:c r="M181" t="str">
        <x:v>0</x:v>
      </x:c>
      <x:c r="N181" t="str">
        <x:v>0fd6ad2d-3389-4e70-8974-eb85ee223eeb</x:v>
      </x:c>
      <x:c r="O181" t="str">
        <x:v>2026-09-04</x:v>
      </x:c>
    </x:row>
    <x:row r="182">
      <x:c r="A182" t="str">
        <x:v>600642</x:v>
      </x:c>
      <x:c r="B182" t="str">
        <x:v>申能股份</x:v>
      </x:c>
      <x:c r="C182" t="str">
        <x:v>主板</x:v>
      </x:c>
      <x:c r="D182" t="str">
        <x:v>待行业映射</x:v>
      </x:c>
      <x:c r="E182" t="n">
        <x:v>8.57</x:v>
      </x:c>
      <x:c r="F182" t="n">
        <x:v>11.59</x:v>
      </x:c>
      <x:c r="G182"/>
      <x:c r="H182" t="n">
        <x:v>419.42</x:v>
      </x:c>
      <x:c r="I182" t="n">
        <x:v>49.55</x:v>
      </x:c>
      <x:c r="J182" t="str">
        <x:v>initial_screen_pending_pb_financial_review</x:v>
      </x:c>
      <x:c r="K182" t="str">
        <x:v>AkShare / Tencent all-A market snapshot</x:v>
      </x:c>
      <x:c r="L182" t="str">
        <x:v>ProxyError: primary market source unavailable; see source_id for full audit.</x:v>
      </x:c>
      <x:c r="M182" t="str">
        <x:v>0</x:v>
      </x:c>
      <x:c r="N182" t="str">
        <x:v>0fd6ad2d-3389-4e70-8974-eb85ee223eeb</x:v>
      </x:c>
      <x:c r="O182" t="str">
        <x:v>2026-09-04</x:v>
      </x:c>
    </x:row>
    <x:row r="183">
      <x:c r="A183" t="str">
        <x:v>002415</x:v>
      </x:c>
      <x:c r="B183" t="str">
        <x:v>海康威视</x:v>
      </x:c>
      <x:c r="C183" t="str">
        <x:v>主板</x:v>
      </x:c>
      <x:c r="D183" t="str">
        <x:v>待行业映射</x:v>
      </x:c>
      <x:c r="E183" t="n">
        <x:v>34.87</x:v>
      </x:c>
      <x:c r="F183" t="n">
        <x:v>19.45</x:v>
      </x:c>
      <x:c r="G183"/>
      <x:c r="H183" t="n">
        <x:v>3195.79</x:v>
      </x:c>
      <x:c r="I183" t="n">
        <x:v>49.43</x:v>
      </x:c>
      <x:c r="J183" t="str">
        <x:v>initial_screen_pending_pb_financial_review</x:v>
      </x:c>
      <x:c r="K183" t="str">
        <x:v>AkShare / Tencent all-A market snapshot</x:v>
      </x:c>
      <x:c r="L183" t="str">
        <x:v>ProxyError: primary market source unavailable; see source_id for full audit.</x:v>
      </x:c>
      <x:c r="M183" t="str">
        <x:v>0</x:v>
      </x:c>
      <x:c r="N183" t="str">
        <x:v>0fd6ad2d-3389-4e70-8974-eb85ee223eeb</x:v>
      </x:c>
      <x:c r="O183" t="str">
        <x:v>2026-09-04</x:v>
      </x:c>
    </x:row>
    <x:row r="184">
      <x:c r="A184" t="str">
        <x:v>600064</x:v>
      </x:c>
      <x:c r="B184" t="str">
        <x:v>南京高科</x:v>
      </x:c>
      <x:c r="C184" t="str">
        <x:v>主板</x:v>
      </x:c>
      <x:c r="D184" t="str">
        <x:v>待行业映射</x:v>
      </x:c>
      <x:c r="E184" t="n">
        <x:v>7.67</x:v>
      </x:c>
      <x:c r="F184" t="n">
        <x:v>7.78</x:v>
      </x:c>
      <x:c r="G184"/>
      <x:c r="H184" t="n">
        <x:v>132.72</x:v>
      </x:c>
      <x:c r="I184" t="n">
        <x:v>49.42</x:v>
      </x:c>
      <x:c r="J184" t="str">
        <x:v>initial_screen_pending_pb_financial_review</x:v>
      </x:c>
      <x:c r="K184" t="str">
        <x:v>AkShare / Tencent all-A market snapshot</x:v>
      </x:c>
      <x:c r="L184" t="str">
        <x:v>ProxyError: primary market source unavailable; see source_id for full audit.</x:v>
      </x:c>
      <x:c r="M184" t="str">
        <x:v>0</x:v>
      </x:c>
      <x:c r="N184" t="str">
        <x:v>0fd6ad2d-3389-4e70-8974-eb85ee223eeb</x:v>
      </x:c>
      <x:c r="O184" t="str">
        <x:v>2026-09-04</x:v>
      </x:c>
    </x:row>
    <x:row r="185">
      <x:c r="A185" t="str">
        <x:v>601598</x:v>
      </x:c>
      <x:c r="B185" t="str">
        <x:v>中国外运</x:v>
      </x:c>
      <x:c r="C185" t="str">
        <x:v>主板</x:v>
      </x:c>
      <x:c r="D185" t="str">
        <x:v>待行业映射</x:v>
      </x:c>
      <x:c r="E185" t="n">
        <x:v>6.51</x:v>
      </x:c>
      <x:c r="F185" t="n">
        <x:v>12.29</x:v>
      </x:c>
      <x:c r="G185"/>
      <x:c r="H185" t="n">
        <x:v>467.01</x:v>
      </x:c>
      <x:c r="I185" t="n">
        <x:v>49.39</x:v>
      </x:c>
      <x:c r="J185" t="str">
        <x:v>initial_screen_pending_pb_financial_review</x:v>
      </x:c>
      <x:c r="K185" t="str">
        <x:v>AkShare / Tencent all-A market snapshot</x:v>
      </x:c>
      <x:c r="L185" t="str">
        <x:v>ProxyError: primary market source unavailable; see source_id for full audit.</x:v>
      </x:c>
      <x:c r="M185" t="str">
        <x:v>0</x:v>
      </x:c>
      <x:c r="N185" t="str">
        <x:v>0fd6ad2d-3389-4e70-8974-eb85ee223eeb</x:v>
      </x:c>
      <x:c r="O185" t="str">
        <x:v>2026-09-04</x:v>
      </x:c>
    </x:row>
    <x:row r="186">
      <x:c r="A186" t="str">
        <x:v>000544</x:v>
      </x:c>
      <x:c r="B186" t="str">
        <x:v>中原环保</x:v>
      </x:c>
      <x:c r="C186" t="str">
        <x:v>主板</x:v>
      </x:c>
      <x:c r="D186" t="str">
        <x:v>待行业映射</x:v>
      </x:c>
      <x:c r="E186" t="n">
        <x:v>7.38</x:v>
      </x:c>
      <x:c r="F186" t="n">
        <x:v>6.99</x:v>
      </x:c>
      <x:c r="G186"/>
      <x:c r="H186" t="n">
        <x:v>71.93</x:v>
      </x:c>
      <x:c r="I186" t="n">
        <x:v>49.34</x:v>
      </x:c>
      <x:c r="J186" t="str">
        <x:v>initial_screen_pending_pb_financial_review</x:v>
      </x:c>
      <x:c r="K186" t="str">
        <x:v>AkShare / Tencent all-A market snapshot</x:v>
      </x:c>
      <x:c r="L186" t="str">
        <x:v>ProxyError: primary market source unavailable; see source_id for full audit.</x:v>
      </x:c>
      <x:c r="M186" t="str">
        <x:v>0</x:v>
      </x:c>
      <x:c r="N186" t="str">
        <x:v>0fd6ad2d-3389-4e70-8974-eb85ee223eeb</x:v>
      </x:c>
      <x:c r="O186" t="str">
        <x:v>2026-09-04</x:v>
      </x:c>
    </x:row>
    <x:row r="187">
      <x:c r="A187" t="str">
        <x:v>600820</x:v>
      </x:c>
      <x:c r="B187" t="str">
        <x:v>隧道股份</x:v>
      </x:c>
      <x:c r="C187" t="str">
        <x:v>主板</x:v>
      </x:c>
      <x:c r="D187" t="str">
        <x:v>待行业映射</x:v>
      </x:c>
      <x:c r="E187" t="n">
        <x:v>5.45</x:v>
      </x:c>
      <x:c r="F187" t="n">
        <x:v>8.38</x:v>
      </x:c>
      <x:c r="G187"/>
      <x:c r="H187" t="n">
        <x:v>171.35</x:v>
      </x:c>
      <x:c r="I187" t="n">
        <x:v>49.21</x:v>
      </x:c>
      <x:c r="J187" t="str">
        <x:v>initial_screen_pending_pb_financial_review</x:v>
      </x:c>
      <x:c r="K187" t="str">
        <x:v>AkShare / Tencent all-A market snapshot</x:v>
      </x:c>
      <x:c r="L187" t="str">
        <x:v>ProxyError: primary market source unavailable; see source_id for full audit.</x:v>
      </x:c>
      <x:c r="M187" t="str">
        <x:v>0</x:v>
      </x:c>
      <x:c r="N187" t="str">
        <x:v>0fd6ad2d-3389-4e70-8974-eb85ee223eeb</x:v>
      </x:c>
      <x:c r="O187" t="str">
        <x:v>2026-09-04</x:v>
      </x:c>
    </x:row>
    <x:row r="188">
      <x:c r="A188" t="str">
        <x:v>605499</x:v>
      </x:c>
      <x:c r="B188" t="str">
        <x:v>东鹏饮料</x:v>
      </x:c>
      <x:c r="C188" t="str">
        <x:v>主板</x:v>
      </x:c>
      <x:c r="D188" t="str">
        <x:v>待行业映射</x:v>
      </x:c>
      <x:c r="E188" t="n">
        <x:v>120.41</x:v>
      </x:c>
      <x:c r="F188" t="n">
        <x:v>18.01</x:v>
      </x:c>
      <x:c r="G188"/>
      <x:c r="H188" t="n">
        <x:v>884.05</x:v>
      </x:c>
      <x:c r="I188" t="n">
        <x:v>49.12</x:v>
      </x:c>
      <x:c r="J188" t="str">
        <x:v>initial_screen_pending_pb_financial_review</x:v>
      </x:c>
      <x:c r="K188" t="str">
        <x:v>AkShare / Tencent all-A market snapshot</x:v>
      </x:c>
      <x:c r="L188" t="str">
        <x:v>ProxyError: primary market source unavailable; see source_id for full audit.</x:v>
      </x:c>
      <x:c r="M188" t="str">
        <x:v>0</x:v>
      </x:c>
      <x:c r="N188" t="str">
        <x:v>0fd6ad2d-3389-4e70-8974-eb85ee223eeb</x:v>
      </x:c>
      <x:c r="O188" t="str">
        <x:v>2026-09-04</x:v>
      </x:c>
    </x:row>
    <x:row r="189">
      <x:c r="A189" t="str">
        <x:v>601728</x:v>
      </x:c>
      <x:c r="B189" t="str">
        <x:v>中国电信</x:v>
      </x:c>
      <x:c r="C189" t="str">
        <x:v>主板</x:v>
      </x:c>
      <x:c r="D189" t="str">
        <x:v>待行业映射</x:v>
      </x:c>
      <x:c r="E189" t="n">
        <x:v>6.38</x:v>
      </x:c>
      <x:c r="F189" t="n">
        <x:v>19.62</x:v>
      </x:c>
      <x:c r="G189"/>
      <x:c r="H189" t="n">
        <x:v>5838.16</x:v>
      </x:c>
      <x:c r="I189" t="n">
        <x:v>48.99</x:v>
      </x:c>
      <x:c r="J189" t="str">
        <x:v>initial_screen_pending_pb_financial_review</x:v>
      </x:c>
      <x:c r="K189" t="str">
        <x:v>AkShare / Tencent all-A market snapshot</x:v>
      </x:c>
      <x:c r="L189" t="str">
        <x:v>ProxyError: primary market source unavailable; see source_id for full audit.</x:v>
      </x:c>
      <x:c r="M189" t="str">
        <x:v>0</x:v>
      </x:c>
      <x:c r="N189" t="str">
        <x:v>0fd6ad2d-3389-4e70-8974-eb85ee223eeb</x:v>
      </x:c>
      <x:c r="O189" t="str">
        <x:v>2026-09-04</x:v>
      </x:c>
    </x:row>
    <x:row r="190">
      <x:c r="A190" t="str">
        <x:v>002936</x:v>
      </x:c>
      <x:c r="B190" t="str">
        <x:v>郑州银行</x:v>
      </x:c>
      <x:c r="C190" t="str">
        <x:v>主板</x:v>
      </x:c>
      <x:c r="D190" t="str">
        <x:v>待行业映射</x:v>
      </x:c>
      <x:c r="E190" t="n">
        <x:v>1.8</x:v>
      </x:c>
      <x:c r="F190" t="n">
        <x:v>8.42</x:v>
      </x:c>
      <x:c r="G190"/>
      <x:c r="H190" t="n">
        <x:v>163.66</x:v>
      </x:c>
      <x:c r="I190" t="n">
        <x:v>48.84</x:v>
      </x:c>
      <x:c r="J190" t="str">
        <x:v>initial_screen_pending_pb_financial_review</x:v>
      </x:c>
      <x:c r="K190" t="str">
        <x:v>AkShare / Tencent all-A market snapshot</x:v>
      </x:c>
      <x:c r="L190" t="str">
        <x:v>ProxyError: primary market source unavailable; see source_id for full audit.</x:v>
      </x:c>
      <x:c r="M190" t="str">
        <x:v>0</x:v>
      </x:c>
      <x:c r="N190" t="str">
        <x:v>0fd6ad2d-3389-4e70-8974-eb85ee223eeb</x:v>
      </x:c>
      <x:c r="O190" t="str">
        <x:v>2026-09-04</x:v>
      </x:c>
    </x:row>
    <x:row r="191">
      <x:c r="A191" t="str">
        <x:v>600426</x:v>
      </x:c>
      <x:c r="B191" t="str">
        <x:v>华鲁恒升</x:v>
      </x:c>
      <x:c r="C191" t="str">
        <x:v>主板</x:v>
      </x:c>
      <x:c r="D191" t="str">
        <x:v>待行业映射</x:v>
      </x:c>
      <x:c r="E191" t="n">
        <x:v>20.83</x:v>
      </x:c>
      <x:c r="F191" t="n">
        <x:v>13.97</x:v>
      </x:c>
      <x:c r="G191"/>
      <x:c r="H191" t="n">
        <x:v>572.81</x:v>
      </x:c>
      <x:c r="I191" t="n">
        <x:v>48.73</x:v>
      </x:c>
      <x:c r="J191" t="str">
        <x:v>initial_screen_pending_pb_financial_review</x:v>
      </x:c>
      <x:c r="K191" t="str">
        <x:v>AkShare / Tencent all-A market snapshot</x:v>
      </x:c>
      <x:c r="L191" t="str">
        <x:v>ProxyError: primary market source unavailable; see source_id for full audit.</x:v>
      </x:c>
      <x:c r="M191" t="str">
        <x:v>0</x:v>
      </x:c>
      <x:c r="N191" t="str">
        <x:v>0fd6ad2d-3389-4e70-8974-eb85ee223eeb</x:v>
      </x:c>
      <x:c r="O191" t="str">
        <x:v>2026-09-04</x:v>
      </x:c>
    </x:row>
    <x:row r="192">
      <x:c r="A192" t="str">
        <x:v>600674</x:v>
      </x:c>
      <x:c r="B192" t="str">
        <x:v>川投能源</x:v>
      </x:c>
      <x:c r="C192" t="str">
        <x:v>主板</x:v>
      </x:c>
      <x:c r="D192" t="str">
        <x:v>待行业映射</x:v>
      </x:c>
      <x:c r="E192" t="n">
        <x:v>15.76</x:v>
      </x:c>
      <x:c r="F192" t="n">
        <x:v>16.62</x:v>
      </x:c>
      <x:c r="G192"/>
      <x:c r="H192" t="n">
        <x:v>768.24</x:v>
      </x:c>
      <x:c r="I192" t="n">
        <x:v>48.68</x:v>
      </x:c>
      <x:c r="J192" t="str">
        <x:v>initial_screen_pending_pb_financial_review</x:v>
      </x:c>
      <x:c r="K192" t="str">
        <x:v>AkShare / Tencent all-A market snapshot</x:v>
      </x:c>
      <x:c r="L192" t="str">
        <x:v>ProxyError: primary market source unavailable; see source_id for full audit.</x:v>
      </x:c>
      <x:c r="M192" t="str">
        <x:v>0</x:v>
      </x:c>
      <x:c r="N192" t="str">
        <x:v>0fd6ad2d-3389-4e70-8974-eb85ee223eeb</x:v>
      </x:c>
      <x:c r="O192" t="str">
        <x:v>2026-09-04</x:v>
      </x:c>
    </x:row>
    <x:row r="193">
      <x:c r="A193" t="str">
        <x:v>600901</x:v>
      </x:c>
      <x:c r="B193" t="str">
        <x:v>江苏金租</x:v>
      </x:c>
      <x:c r="C193" t="str">
        <x:v>主板</x:v>
      </x:c>
      <x:c r="D193" t="str">
        <x:v>待行业映射</x:v>
      </x:c>
      <x:c r="E193" t="n">
        <x:v>6.74</x:v>
      </x:c>
      <x:c r="F193" t="n">
        <x:v>11.53</x:v>
      </x:c>
      <x:c r="G193"/>
      <x:c r="H193" t="n">
        <x:v>390.37</x:v>
      </x:c>
      <x:c r="I193" t="n">
        <x:v>48.68</x:v>
      </x:c>
      <x:c r="J193" t="str">
        <x:v>initial_screen_pending_pb_financial_review</x:v>
      </x:c>
      <x:c r="K193" t="str">
        <x:v>AkShare / Tencent all-A market snapshot</x:v>
      </x:c>
      <x:c r="L193" t="str">
        <x:v>ProxyError: primary market source unavailable; see source_id for full audit.</x:v>
      </x:c>
      <x:c r="M193" t="str">
        <x:v>0</x:v>
      </x:c>
      <x:c r="N193" t="str">
        <x:v>0fd6ad2d-3389-4e70-8974-eb85ee223eeb</x:v>
      </x:c>
      <x:c r="O193" t="str">
        <x:v>2026-09-04</x:v>
      </x:c>
    </x:row>
    <x:row r="194">
      <x:c r="A194" t="str">
        <x:v>601860</x:v>
      </x:c>
      <x:c r="B194" t="str">
        <x:v>紫金银行</x:v>
      </x:c>
      <x:c r="C194" t="str">
        <x:v>主板</x:v>
      </x:c>
      <x:c r="D194" t="str">
        <x:v>待行业映射</x:v>
      </x:c>
      <x:c r="E194" t="n">
        <x:v>2.64</x:v>
      </x:c>
      <x:c r="F194" t="n">
        <x:v>7.58</x:v>
      </x:c>
      <x:c r="G194"/>
      <x:c r="H194" t="n">
        <x:v>96.65</x:v>
      </x:c>
      <x:c r="I194" t="n">
        <x:v>48.67</x:v>
      </x:c>
      <x:c r="J194" t="str">
        <x:v>initial_screen_pending_pb_financial_review</x:v>
      </x:c>
      <x:c r="K194" t="str">
        <x:v>AkShare / Tencent all-A market snapshot</x:v>
      </x:c>
      <x:c r="L194" t="str">
        <x:v>ProxyError: primary market source unavailable; see source_id for full audit.</x:v>
      </x:c>
      <x:c r="M194" t="str">
        <x:v>0</x:v>
      </x:c>
      <x:c r="N194" t="str">
        <x:v>0fd6ad2d-3389-4e70-8974-eb85ee223eeb</x:v>
      </x:c>
      <x:c r="O194" t="str">
        <x:v>2026-09-04</x:v>
      </x:c>
    </x:row>
    <x:row r="195">
      <x:c r="A195" t="str">
        <x:v>000672</x:v>
      </x:c>
      <x:c r="B195" t="str">
        <x:v>上峰材料</x:v>
      </x:c>
      <x:c r="C195" t="str">
        <x:v>主板</x:v>
      </x:c>
      <x:c r="D195" t="str">
        <x:v>待行业映射</x:v>
      </x:c>
      <x:c r="E195" t="n">
        <x:v>14.89</x:v>
      </x:c>
      <x:c r="F195" t="n">
        <x:v>8.23</x:v>
      </x:c>
      <x:c r="G195"/>
      <x:c r="H195" t="n">
        <x:v>144.34</x:v>
      </x:c>
      <x:c r="I195" t="n">
        <x:v>48.65</x:v>
      </x:c>
      <x:c r="J195" t="str">
        <x:v>initial_screen_pending_pb_financial_review</x:v>
      </x:c>
      <x:c r="K195" t="str">
        <x:v>AkShare / Tencent all-A market snapshot</x:v>
      </x:c>
      <x:c r="L195" t="str">
        <x:v>ProxyError: primary market source unavailable; see source_id for full audit.</x:v>
      </x:c>
      <x:c r="M195" t="str">
        <x:v>0</x:v>
      </x:c>
      <x:c r="N195" t="str">
        <x:v>0fd6ad2d-3389-4e70-8974-eb85ee223eeb</x:v>
      </x:c>
      <x:c r="O195" t="str">
        <x:v>2026-09-04</x:v>
      </x:c>
    </x:row>
    <x:row r="196">
      <x:c r="A196" t="str">
        <x:v>601058</x:v>
      </x:c>
      <x:c r="B196" t="str">
        <x:v>赛轮轮胎</x:v>
      </x:c>
      <x:c r="C196" t="str">
        <x:v>主板</x:v>
      </x:c>
      <x:c r="D196" t="str">
        <x:v>待行业映射</x:v>
      </x:c>
      <x:c r="E196" t="n">
        <x:v>15.36</x:v>
      </x:c>
      <x:c r="F196" t="n">
        <x:v>13.11</x:v>
      </x:c>
      <x:c r="G196"/>
      <x:c r="H196" t="n">
        <x:v>505.05</x:v>
      </x:c>
      <x:c r="I196" t="n">
        <x:v>48.59</x:v>
      </x:c>
      <x:c r="J196" t="str">
        <x:v>initial_screen_pending_pb_financial_review</x:v>
      </x:c>
      <x:c r="K196" t="str">
        <x:v>AkShare / Tencent all-A market snapshot</x:v>
      </x:c>
      <x:c r="L196" t="str">
        <x:v>ProxyError: primary market source unavailable; see source_id for full audit.</x:v>
      </x:c>
      <x:c r="M196" t="str">
        <x:v>0</x:v>
      </x:c>
      <x:c r="N196" t="str">
        <x:v>0fd6ad2d-3389-4e70-8974-eb85ee223eeb</x:v>
      </x:c>
      <x:c r="O196" t="str">
        <x:v>2026-09-04</x:v>
      </x:c>
    </x:row>
    <x:row r="197">
      <x:c r="A197" t="str">
        <x:v>601108</x:v>
      </x:c>
      <x:c r="B197" t="str">
        <x:v>财通证券</x:v>
      </x:c>
      <x:c r="C197" t="str">
        <x:v>主板</x:v>
      </x:c>
      <x:c r="D197" t="str">
        <x:v>待行业映射</x:v>
      </x:c>
      <x:c r="E197" t="n">
        <x:v>8.75</x:v>
      </x:c>
      <x:c r="F197" t="n">
        <x:v>11.78</x:v>
      </x:c>
      <x:c r="G197"/>
      <x:c r="H197" t="n">
        <x:v>406.33</x:v>
      </x:c>
      <x:c r="I197" t="n">
        <x:v>48.59</x:v>
      </x:c>
      <x:c r="J197" t="str">
        <x:v>initial_screen_pending_pb_financial_review</x:v>
      </x:c>
      <x:c r="K197" t="str">
        <x:v>AkShare / Tencent all-A market snapshot</x:v>
      </x:c>
      <x:c r="L197" t="str">
        <x:v>ProxyError: primary market source unavailable; see source_id for full audit.</x:v>
      </x:c>
      <x:c r="M197" t="str">
        <x:v>0</x:v>
      </x:c>
      <x:c r="N197" t="str">
        <x:v>0fd6ad2d-3389-4e70-8974-eb85ee223eeb</x:v>
      </x:c>
      <x:c r="O197" t="str">
        <x:v>2026-09-04</x:v>
      </x:c>
    </x:row>
    <x:row r="198">
      <x:c r="A198" t="str">
        <x:v>600483</x:v>
      </x:c>
      <x:c r="B198" t="str">
        <x:v>福能股份</x:v>
      </x:c>
      <x:c r="C198" t="str">
        <x:v>主板</x:v>
      </x:c>
      <x:c r="D198" t="str">
        <x:v>待行业映射</x:v>
      </x:c>
      <x:c r="E198" t="n">
        <x:v>11.12</x:v>
      </x:c>
      <x:c r="F198" t="n">
        <x:v>10.48</x:v>
      </x:c>
      <x:c r="G198"/>
      <x:c r="H198" t="n">
        <x:v>309.15</x:v>
      </x:c>
      <x:c r="I198" t="n">
        <x:v>48.57</x:v>
      </x:c>
      <x:c r="J198" t="str">
        <x:v>initial_screen_pending_pb_financial_review</x:v>
      </x:c>
      <x:c r="K198" t="str">
        <x:v>AkShare / Tencent all-A market snapshot</x:v>
      </x:c>
      <x:c r="L198" t="str">
        <x:v>ProxyError: primary market source unavailable; see source_id for full audit.</x:v>
      </x:c>
      <x:c r="M198" t="str">
        <x:v>0</x:v>
      </x:c>
      <x:c r="N198" t="str">
        <x:v>0fd6ad2d-3389-4e70-8974-eb85ee223eeb</x:v>
      </x:c>
      <x:c r="O198" t="str">
        <x:v>2026-09-04</x:v>
      </x:c>
    </x:row>
    <x:row r="199">
      <x:c r="A199" t="str">
        <x:v>600415</x:v>
      </x:c>
      <x:c r="B199" t="str">
        <x:v>小商品城</x:v>
      </x:c>
      <x:c r="C199" t="str">
        <x:v>主板</x:v>
      </x:c>
      <x:c r="D199" t="str">
        <x:v>待行业映射</x:v>
      </x:c>
      <x:c r="E199" t="n">
        <x:v>13.12</x:v>
      </x:c>
      <x:c r="F199" t="n">
        <x:v>16.02</x:v>
      </x:c>
      <x:c r="G199"/>
      <x:c r="H199" t="n">
        <x:v>719.44</x:v>
      </x:c>
      <x:c r="I199" t="n">
        <x:v>48.53</x:v>
      </x:c>
      <x:c r="J199" t="str">
        <x:v>initial_screen_pending_pb_financial_review</x:v>
      </x:c>
      <x:c r="K199" t="str">
        <x:v>AkShare / Tencent all-A market snapshot</x:v>
      </x:c>
      <x:c r="L199" t="str">
        <x:v>ProxyError: primary market source unavailable; see source_id for full audit.</x:v>
      </x:c>
      <x:c r="M199" t="str">
        <x:v>0</x:v>
      </x:c>
      <x:c r="N199" t="str">
        <x:v>0fd6ad2d-3389-4e70-8974-eb85ee223eeb</x:v>
      </x:c>
      <x:c r="O199" t="str">
        <x:v>2026-09-04</x:v>
      </x:c>
    </x:row>
    <x:row r="200">
      <x:c r="A200" t="str">
        <x:v>002466</x:v>
      </x:c>
      <x:c r="B200" t="str">
        <x:v>天齐锂业</x:v>
      </x:c>
      <x:c r="C200" t="str">
        <x:v>主板</x:v>
      </x:c>
      <x:c r="D200" t="str">
        <x:v>待行业映射</x:v>
      </x:c>
      <x:c r="E200" t="n">
        <x:v>45.35</x:v>
      </x:c>
      <x:c r="F200" t="n">
        <x:v>16.82</x:v>
      </x:c>
      <x:c r="G200"/>
      <x:c r="H200" t="n">
        <x:v>776.89</x:v>
      </x:c>
      <x:c r="I200" t="n">
        <x:v>48.46</x:v>
      </x:c>
      <x:c r="J200" t="str">
        <x:v>initial_screen_pending_pb_financial_review</x:v>
      </x:c>
      <x:c r="K200" t="str">
        <x:v>AkShare / Tencent all-A market snapshot</x:v>
      </x:c>
      <x:c r="L200" t="str">
        <x:v>ProxyError: primary market source unavailable; see source_id for full audit.</x:v>
      </x:c>
      <x:c r="M200" t="str">
        <x:v>0</x:v>
      </x:c>
      <x:c r="N200" t="str">
        <x:v>0fd6ad2d-3389-4e70-8974-eb85ee223eeb</x:v>
      </x:c>
      <x:c r="O200" t="str">
        <x:v>2026-09-04</x:v>
      </x:c>
    </x:row>
    <x:row r="201">
      <x:c r="A201" t="str">
        <x:v>000913</x:v>
      </x:c>
      <x:c r="B201" t="str">
        <x:v>钱江摩托</x:v>
      </x:c>
      <x:c r="C201" t="str">
        <x:v>主板</x:v>
      </x:c>
      <x:c r="D201" t="str">
        <x:v>待行业映射</x:v>
      </x:c>
      <x:c r="E201" t="n">
        <x:v>11.2</x:v>
      </x:c>
      <x:c r="F201" t="n">
        <x:v>7.29</x:v>
      </x:c>
      <x:c r="G201"/>
      <x:c r="H201" t="n">
        <x:v>58.96</x:v>
      </x:c>
      <x:c r="I201" t="n">
        <x:v>48.11</x:v>
      </x:c>
      <x:c r="J201" t="str">
        <x:v>initial_screen_pending_pb_financial_review</x:v>
      </x:c>
      <x:c r="K201" t="str">
        <x:v>AkShare / Tencent all-A market snapshot</x:v>
      </x:c>
      <x:c r="L201" t="str">
        <x:v>ProxyError: primary market source unavailable; see source_id for full audit.</x:v>
      </x:c>
      <x:c r="M201" t="str">
        <x:v>0</x:v>
      </x:c>
      <x:c r="N201" t="str">
        <x:v>0fd6ad2d-3389-4e70-8974-eb85ee223eeb</x:v>
      </x:c>
      <x:c r="O201" t="str">
        <x:v>2026-09-04</x:v>
      </x:c>
    </x:row>
    <x:row r="202">
      <x:c r="A202" t="str">
        <x:v>000567</x:v>
      </x:c>
      <x:c r="B202" t="str">
        <x:v>海德股份</x:v>
      </x:c>
      <x:c r="C202" t="str">
        <x:v>主板</x:v>
      </x:c>
      <x:c r="D202" t="str">
        <x:v>待行业映射</x:v>
      </x:c>
      <x:c r="E202" t="n">
        <x:v>6.72</x:v>
      </x:c>
      <x:c r="F202" t="n">
        <x:v>8.29</x:v>
      </x:c>
      <x:c r="G202"/>
      <x:c r="H202" t="n">
        <x:v>131.35</x:v>
      </x:c>
      <x:c r="I202" t="n">
        <x:v>48.04</x:v>
      </x:c>
      <x:c r="J202" t="str">
        <x:v>initial_screen_pending_pb_financial_review</x:v>
      </x:c>
      <x:c r="K202" t="str">
        <x:v>AkShare / Tencent all-A market snapshot</x:v>
      </x:c>
      <x:c r="L202" t="str">
        <x:v>ProxyError: primary market source unavailable; see source_id for full audit.</x:v>
      </x:c>
      <x:c r="M202" t="str">
        <x:v>0</x:v>
      </x:c>
      <x:c r="N202" t="str">
        <x:v>0fd6ad2d-3389-4e70-8974-eb85ee223eeb</x:v>
      </x:c>
      <x:c r="O202" t="str">
        <x:v>2026-09-04</x:v>
      </x:c>
    </x:row>
    <x:row r="203">
      <x:c r="A203" t="str">
        <x:v>688187</x:v>
      </x:c>
      <x:c r="B203" t="str">
        <x:v>时代电气</x:v>
      </x:c>
      <x:c r="C203" t="str">
        <x:v>科创板</x:v>
      </x:c>
      <x:c r="D203" t="str">
        <x:v>待行业映射</x:v>
      </x:c>
      <x:c r="E203" t="n">
        <x:v>46.33</x:v>
      </x:c>
      <x:c r="F203" t="n">
        <x:v>14.9</x:v>
      </x:c>
      <x:c r="G203"/>
      <x:c r="H203" t="n">
        <x:v>616.51</x:v>
      </x:c>
      <x:c r="I203" t="n">
        <x:v>47.84</x:v>
      </x:c>
      <x:c r="J203" t="str">
        <x:v>initial_screen_pending_pb_financial_review</x:v>
      </x:c>
      <x:c r="K203" t="str">
        <x:v>AkShare / Tencent all-A market snapshot</x:v>
      </x:c>
      <x:c r="L203" t="str">
        <x:v>ProxyError: primary market source unavailable; see source_id for full audit.</x:v>
      </x:c>
      <x:c r="M203" t="str">
        <x:v>0</x:v>
      </x:c>
      <x:c r="N203" t="str">
        <x:v>0fd6ad2d-3389-4e70-8974-eb85ee223eeb</x:v>
      </x:c>
      <x:c r="O203" t="str">
        <x:v>2026-09-04</x:v>
      </x:c>
    </x:row>
    <x:row r="204">
      <x:c r="A204" t="str">
        <x:v>002078</x:v>
      </x:c>
      <x:c r="B204" t="str">
        <x:v>太阳纸业</x:v>
      </x:c>
      <x:c r="C204" t="str">
        <x:v>主板</x:v>
      </x:c>
      <x:c r="D204" t="str">
        <x:v>待行业映射</x:v>
      </x:c>
      <x:c r="E204" t="n">
        <x:v>14.78</x:v>
      </x:c>
      <x:c r="F204" t="n">
        <x:v>12.33</x:v>
      </x:c>
      <x:c r="G204"/>
      <x:c r="H204" t="n">
        <x:v>421.85</x:v>
      </x:c>
      <x:c r="I204" t="n">
        <x:v>47.71</x:v>
      </x:c>
      <x:c r="J204" t="str">
        <x:v>initial_screen_pending_pb_financial_review</x:v>
      </x:c>
      <x:c r="K204" t="str">
        <x:v>AkShare / Tencent all-A market snapshot</x:v>
      </x:c>
      <x:c r="L204" t="str">
        <x:v>ProxyError: primary market source unavailable; see source_id for full audit.</x:v>
      </x:c>
      <x:c r="M204" t="str">
        <x:v>0</x:v>
      </x:c>
      <x:c r="N204" t="str">
        <x:v>0fd6ad2d-3389-4e70-8974-eb85ee223eeb</x:v>
      </x:c>
      <x:c r="O204" t="str">
        <x:v>2026-09-04</x:v>
      </x:c>
    </x:row>
    <x:row r="205">
      <x:c r="A205" t="str">
        <x:v>600150</x:v>
      </x:c>
      <x:c r="B205" t="str">
        <x:v>中国船舶</x:v>
      </x:c>
      <x:c r="C205" t="str">
        <x:v>主板</x:v>
      </x:c>
      <x:c r="D205" t="str">
        <x:v>待行业映射</x:v>
      </x:c>
      <x:c r="E205" t="n">
        <x:v>37.47</x:v>
      </x:c>
      <x:c r="F205" t="n">
        <x:v>20.11</x:v>
      </x:c>
      <x:c r="G205"/>
      <x:c r="H205" t="n">
        <x:v>2819.85</x:v>
      </x:c>
      <x:c r="I205" t="n">
        <x:v>47.71</x:v>
      </x:c>
      <x:c r="J205" t="str">
        <x:v>initial_screen_pending_pb_financial_review</x:v>
      </x:c>
      <x:c r="K205" t="str">
        <x:v>AkShare / Tencent all-A market snapshot</x:v>
      </x:c>
      <x:c r="L205" t="str">
        <x:v>ProxyError: primary market source unavailable; see source_id for full audit.</x:v>
      </x:c>
      <x:c r="M205" t="str">
        <x:v>0</x:v>
      </x:c>
      <x:c r="N205" t="str">
        <x:v>0fd6ad2d-3389-4e70-8974-eb85ee223eeb</x:v>
      </x:c>
      <x:c r="O205" t="str">
        <x:v>2026-09-04</x:v>
      </x:c>
    </x:row>
    <x:row r="206">
      <x:c r="A206" t="str">
        <x:v>601788</x:v>
      </x:c>
      <x:c r="B206" t="str">
        <x:v>光大证券</x:v>
      </x:c>
      <x:c r="C206" t="str">
        <x:v>主板</x:v>
      </x:c>
      <x:c r="D206" t="str">
        <x:v>待行业映射</x:v>
      </x:c>
      <x:c r="E206" t="n">
        <x:v>14.65</x:v>
      </x:c>
      <x:c r="F206" t="n">
        <x:v>15.82</x:v>
      </x:c>
      <x:c r="G206"/>
      <x:c r="H206" t="n">
        <x:v>675.48</x:v>
      </x:c>
      <x:c r="I206" t="n">
        <x:v>47.51</x:v>
      </x:c>
      <x:c r="J206" t="str">
        <x:v>initial_screen_pending_pb_financial_review</x:v>
      </x:c>
      <x:c r="K206" t="str">
        <x:v>AkShare / Tencent all-A market snapshot</x:v>
      </x:c>
      <x:c r="L206" t="str">
        <x:v>ProxyError: primary market source unavailable; see source_id for full audit.</x:v>
      </x:c>
      <x:c r="M206" t="str">
        <x:v>0</x:v>
      </x:c>
      <x:c r="N206" t="str">
        <x:v>0fd6ad2d-3389-4e70-8974-eb85ee223eeb</x:v>
      </x:c>
      <x:c r="O206" t="str">
        <x:v>2026-09-04</x:v>
      </x:c>
    </x:row>
    <x:row r="207">
      <x:c r="A207" t="str">
        <x:v>601156</x:v>
      </x:c>
      <x:c r="B207" t="str">
        <x:v>东航物流</x:v>
      </x:c>
      <x:c r="C207" t="str">
        <x:v>主板</x:v>
      </x:c>
      <x:c r="D207" t="str">
        <x:v>待行业映射</x:v>
      </x:c>
      <x:c r="E207" t="n">
        <x:v>19.25</x:v>
      </x:c>
      <x:c r="F207" t="n">
        <x:v>10.85</x:v>
      </x:c>
      <x:c r="G207"/>
      <x:c r="H207" t="n">
        <x:v>305.6</x:v>
      </x:c>
      <x:c r="I207" t="n">
        <x:v>47.49</x:v>
      </x:c>
      <x:c r="J207" t="str">
        <x:v>initial_screen_pending_pb_financial_review</x:v>
      </x:c>
      <x:c r="K207" t="str">
        <x:v>AkShare / Tencent all-A market snapshot</x:v>
      </x:c>
      <x:c r="L207" t="str">
        <x:v>ProxyError: primary market source unavailable; see source_id for full audit.</x:v>
      </x:c>
      <x:c r="M207" t="str">
        <x:v>0</x:v>
      </x:c>
      <x:c r="N207" t="str">
        <x:v>0fd6ad2d-3389-4e70-8974-eb85ee223eeb</x:v>
      </x:c>
      <x:c r="O207" t="str">
        <x:v>2026-09-04</x:v>
      </x:c>
    </x:row>
    <x:row r="208">
      <x:c r="A208" t="str">
        <x:v>600282</x:v>
      </x:c>
      <x:c r="B208" t="str">
        <x:v>南钢股份</x:v>
      </x:c>
      <x:c r="C208" t="str">
        <x:v>主板</x:v>
      </x:c>
      <x:c r="D208" t="str">
        <x:v>待行业映射</x:v>
      </x:c>
      <x:c r="E208" t="n">
        <x:v>4.74</x:v>
      </x:c>
      <x:c r="F208" t="n">
        <x:v>10.72</x:v>
      </x:c>
      <x:c r="G208"/>
      <x:c r="H208" t="n">
        <x:v>292.23</x:v>
      </x:c>
      <x:c r="I208" t="n">
        <x:v>47.36</x:v>
      </x:c>
      <x:c r="J208" t="str">
        <x:v>initial_screen_pending_pb_financial_review</x:v>
      </x:c>
      <x:c r="K208" t="str">
        <x:v>AkShare / Tencent all-A market snapshot</x:v>
      </x:c>
      <x:c r="L208" t="str">
        <x:v>ProxyError: primary market source unavailable; see source_id for full audit.</x:v>
      </x:c>
      <x:c r="M208" t="str">
        <x:v>0</x:v>
      </x:c>
      <x:c r="N208" t="str">
        <x:v>0fd6ad2d-3389-4e70-8974-eb85ee223eeb</x:v>
      </x:c>
      <x:c r="O208" t="str">
        <x:v>2026-09-04</x:v>
      </x:c>
    </x:row>
    <x:row r="209">
      <x:c r="A209" t="str">
        <x:v>000543</x:v>
      </x:c>
      <x:c r="B209" t="str">
        <x:v>皖能电力</x:v>
      </x:c>
      <x:c r="C209" t="str">
        <x:v>主板</x:v>
      </x:c>
      <x:c r="D209" t="str">
        <x:v>待行业映射</x:v>
      </x:c>
      <x:c r="E209" t="n">
        <x:v>7.4</x:v>
      </x:c>
      <x:c r="F209" t="n">
        <x:v>9.08</x:v>
      </x:c>
      <x:c r="G209"/>
      <x:c r="H209" t="n">
        <x:v>167.75</x:v>
      </x:c>
      <x:c r="I209" t="n">
        <x:v>47.26</x:v>
      </x:c>
      <x:c r="J209" t="str">
        <x:v>initial_screen_pending_pb_financial_review</x:v>
      </x:c>
      <x:c r="K209" t="str">
        <x:v>AkShare / Tencent all-A market snapshot</x:v>
      </x:c>
      <x:c r="L209" t="str">
        <x:v>ProxyError: primary market source unavailable; see source_id for full audit.</x:v>
      </x:c>
      <x:c r="M209" t="str">
        <x:v>0</x:v>
      </x:c>
      <x:c r="N209" t="str">
        <x:v>0fd6ad2d-3389-4e70-8974-eb85ee223eeb</x:v>
      </x:c>
      <x:c r="O209" t="str">
        <x:v>2026-09-04</x:v>
      </x:c>
    </x:row>
    <x:row r="210">
      <x:c r="A210" t="str">
        <x:v>601061</x:v>
      </x:c>
      <x:c r="B210" t="str">
        <x:v>中信金属</x:v>
      </x:c>
      <x:c r="C210" t="str">
        <x:v>主板</x:v>
      </x:c>
      <x:c r="D210" t="str">
        <x:v>待行业映射</x:v>
      </x:c>
      <x:c r="E210" t="n">
        <x:v>11.54</x:v>
      </x:c>
      <x:c r="F210" t="n">
        <x:v>14.45</x:v>
      </x:c>
      <x:c r="G210"/>
      <x:c r="H210" t="n">
        <x:v>565.46</x:v>
      </x:c>
      <x:c r="I210" t="n">
        <x:v>47.22</x:v>
      </x:c>
      <x:c r="J210" t="str">
        <x:v>initial_screen_pending_pb_financial_review</x:v>
      </x:c>
      <x:c r="K210" t="str">
        <x:v>AkShare / Tencent all-A market snapshot</x:v>
      </x:c>
      <x:c r="L210" t="str">
        <x:v>ProxyError: primary market source unavailable; see source_id for full audit.</x:v>
      </x:c>
      <x:c r="M210" t="str">
        <x:v>0</x:v>
      </x:c>
      <x:c r="N210" t="str">
        <x:v>0fd6ad2d-3389-4e70-8974-eb85ee223eeb</x:v>
      </x:c>
      <x:c r="O210" t="str">
        <x:v>2026-09-04</x:v>
      </x:c>
    </x:row>
    <x:row r="211">
      <x:c r="A211" t="str">
        <x:v>002546</x:v>
      </x:c>
      <x:c r="B211" t="str">
        <x:v>新联电子</x:v>
      </x:c>
      <x:c r="C211" t="str">
        <x:v>主板</x:v>
      </x:c>
      <x:c r="D211" t="str">
        <x:v>待行业映射</x:v>
      </x:c>
      <x:c r="E211" t="n">
        <x:v>7.93</x:v>
      </x:c>
      <x:c r="F211" t="n">
        <x:v>7.84</x:v>
      </x:c>
      <x:c r="G211"/>
      <x:c r="H211" t="n">
        <x:v>66.14</x:v>
      </x:c>
      <x:c r="I211" t="n">
        <x:v>46.93</x:v>
      </x:c>
      <x:c r="J211" t="str">
        <x:v>initial_screen_pending_pb_financial_review</x:v>
      </x:c>
      <x:c r="K211" t="str">
        <x:v>AkShare / Tencent all-A market snapshot</x:v>
      </x:c>
      <x:c r="L211" t="str">
        <x:v>ProxyError: primary market source unavailable; see source_id for full audit.</x:v>
      </x:c>
      <x:c r="M211" t="str">
        <x:v>0</x:v>
      </x:c>
      <x:c r="N211" t="str">
        <x:v>0fd6ad2d-3389-4e70-8974-eb85ee223eeb</x:v>
      </x:c>
      <x:c r="O211" t="str">
        <x:v>2026-09-04</x:v>
      </x:c>
    </x:row>
    <x:row r="212">
      <x:c r="A212" t="str">
        <x:v>600519</x:v>
      </x:c>
      <x:c r="B212" t="str">
        <x:v>贵州茅台</x:v>
      </x:c>
      <x:c r="C212" t="str">
        <x:v>主板</x:v>
      </x:c>
      <x:c r="D212" t="str">
        <x:v>待行业映射</x:v>
      </x:c>
      <x:c r="E212" t="n">
        <x:v>1330</x:v>
      </x:c>
      <x:c r="F212" t="n">
        <x:v>20.42</x:v>
      </x:c>
      <x:c r="G212"/>
      <x:c r="H212" t="n">
        <x:v>16626.09</x:v>
      </x:c>
      <x:c r="I212" t="n">
        <x:v>46.91</x:v>
      </x:c>
      <x:c r="J212" t="str">
        <x:v>initial_screen_pending_pb_financial_review</x:v>
      </x:c>
      <x:c r="K212" t="str">
        <x:v>AkShare / Tencent all-A market snapshot</x:v>
      </x:c>
      <x:c r="L212" t="str">
        <x:v>ProxyError: primary market source unavailable; see source_id for full audit.</x:v>
      </x:c>
      <x:c r="M212" t="str">
        <x:v>0</x:v>
      </x:c>
      <x:c r="N212" t="str">
        <x:v>0fd6ad2d-3389-4e70-8974-eb85ee223eeb</x:v>
      </x:c>
      <x:c r="O212" t="str">
        <x:v>2026-09-04</x:v>
      </x:c>
    </x:row>
    <x:row r="213">
      <x:c r="A213" t="str">
        <x:v>002236</x:v>
      </x:c>
      <x:c r="B213" t="str">
        <x:v>大华股份</x:v>
      </x:c>
      <x:c r="C213" t="str">
        <x:v>主板</x:v>
      </x:c>
      <x:c r="D213" t="str">
        <x:v>待行业映射</x:v>
      </x:c>
      <x:c r="E213" t="n">
        <x:v>16.31</x:v>
      </x:c>
      <x:c r="F213" t="n">
        <x:v>14.16</x:v>
      </x:c>
      <x:c r="G213"/>
      <x:c r="H213" t="n">
        <x:v>533.22</x:v>
      </x:c>
      <x:c r="I213" t="n">
        <x:v>46.85</x:v>
      </x:c>
      <x:c r="J213" t="str">
        <x:v>initial_screen_pending_pb_financial_review</x:v>
      </x:c>
      <x:c r="K213" t="str">
        <x:v>AkShare / Tencent all-A market snapshot</x:v>
      </x:c>
      <x:c r="L213" t="str">
        <x:v>ProxyError: primary market source unavailable; see source_id for full audit.</x:v>
      </x:c>
      <x:c r="M213" t="str">
        <x:v>0</x:v>
      </x:c>
      <x:c r="N213" t="str">
        <x:v>0fd6ad2d-3389-4e70-8974-eb85ee223eeb</x:v>
      </x:c>
      <x:c r="O213" t="str">
        <x:v>2026-09-04</x:v>
      </x:c>
    </x:row>
    <x:row r="214">
      <x:c r="A214" t="str">
        <x:v>600875</x:v>
      </x:c>
      <x:c r="B214" t="str">
        <x:v>东方电气</x:v>
      </x:c>
      <x:c r="C214" t="str">
        <x:v>主板</x:v>
      </x:c>
      <x:c r="D214" t="str">
        <x:v>待行业映射</x:v>
      </x:c>
      <x:c r="E214" t="n">
        <x:v>25.07</x:v>
      </x:c>
      <x:c r="F214" t="n">
        <x:v>18.71</x:v>
      </x:c>
      <x:c r="G214"/>
      <x:c r="H214" t="n">
        <x:v>867.01</x:v>
      </x:c>
      <x:c r="I214" t="n">
        <x:v>46.7</x:v>
      </x:c>
      <x:c r="J214" t="str">
        <x:v>initial_screen_pending_pb_financial_review</x:v>
      </x:c>
      <x:c r="K214" t="str">
        <x:v>AkShare / Tencent all-A market snapshot</x:v>
      </x:c>
      <x:c r="L214" t="str">
        <x:v>ProxyError: primary market source unavailable; see source_id for full audit.</x:v>
      </x:c>
      <x:c r="M214" t="str">
        <x:v>0</x:v>
      </x:c>
      <x:c r="N214" t="str">
        <x:v>0fd6ad2d-3389-4e70-8974-eb85ee223eeb</x:v>
      </x:c>
      <x:c r="O214" t="str">
        <x:v>2026-09-04</x:v>
      </x:c>
    </x:row>
    <x:row r="215">
      <x:c r="A215" t="str">
        <x:v>001286</x:v>
      </x:c>
      <x:c r="B215" t="str">
        <x:v>陕西能源</x:v>
      </x:c>
      <x:c r="C215" t="str">
        <x:v>主板</x:v>
      </x:c>
      <x:c r="D215" t="str">
        <x:v>待行业映射</x:v>
      </x:c>
      <x:c r="E215" t="n">
        <x:v>9.58</x:v>
      </x:c>
      <x:c r="F215" t="n">
        <x:v>11.88</x:v>
      </x:c>
      <x:c r="G215"/>
      <x:c r="H215" t="n">
        <x:v>359.25</x:v>
      </x:c>
      <x:c r="I215" t="n">
        <x:v>46.69</x:v>
      </x:c>
      <x:c r="J215" t="str">
        <x:v>initial_screen_pending_pb_financial_review</x:v>
      </x:c>
      <x:c r="K215" t="str">
        <x:v>AkShare / Tencent all-A market snapshot</x:v>
      </x:c>
      <x:c r="L215" t="str">
        <x:v>ProxyError: primary market source unavailable; see source_id for full audit.</x:v>
      </x:c>
      <x:c r="M215" t="str">
        <x:v>0</x:v>
      </x:c>
      <x:c r="N215" t="str">
        <x:v>0fd6ad2d-3389-4e70-8974-eb85ee223eeb</x:v>
      </x:c>
      <x:c r="O215" t="str">
        <x:v>2026-09-04</x:v>
      </x:c>
    </x:row>
    <x:row r="216">
      <x:c r="A216" t="str">
        <x:v>000999</x:v>
      </x:c>
      <x:c r="B216" t="str">
        <x:v>华润三九</x:v>
      </x:c>
      <x:c r="C216" t="str">
        <x:v>主板</x:v>
      </x:c>
      <x:c r="D216" t="str">
        <x:v>待行业映射</x:v>
      </x:c>
      <x:c r="E216" t="n">
        <x:v>24.9</x:v>
      </x:c>
      <x:c r="F216" t="n">
        <x:v>12.65</x:v>
      </x:c>
      <x:c r="G216"/>
      <x:c r="H216" t="n">
        <x:v>414.39</x:v>
      </x:c>
      <x:c r="I216" t="n">
        <x:v>46.61</x:v>
      </x:c>
      <x:c r="J216" t="str">
        <x:v>initial_screen_pending_pb_financial_review</x:v>
      </x:c>
      <x:c r="K216" t="str">
        <x:v>AkShare / Tencent all-A market snapshot</x:v>
      </x:c>
      <x:c r="L216" t="str">
        <x:v>ProxyError: primary market source unavailable; see source_id for full audit.</x:v>
      </x:c>
      <x:c r="M216" t="str">
        <x:v>0</x:v>
      </x:c>
      <x:c r="N216" t="str">
        <x:v>0fd6ad2d-3389-4e70-8974-eb85ee223eeb</x:v>
      </x:c>
      <x:c r="O216" t="str">
        <x:v>2026-09-04</x:v>
      </x:c>
    </x:row>
    <x:row r="217">
      <x:c r="A217" t="str">
        <x:v>002555</x:v>
      </x:c>
      <x:c r="B217" t="str">
        <x:v>三七互娱</x:v>
      </x:c>
      <x:c r="C217" t="str">
        <x:v>主板</x:v>
      </x:c>
      <x:c r="D217" t="str">
        <x:v>待行业映射</x:v>
      </x:c>
      <x:c r="E217" t="n">
        <x:v>18.67</x:v>
      </x:c>
      <x:c r="F217" t="n">
        <x:v>12.65</x:v>
      </x:c>
      <x:c r="G217"/>
      <x:c r="H217" t="n">
        <x:v>413.02</x:v>
      </x:c>
      <x:c r="I217" t="n">
        <x:v>46.57</x:v>
      </x:c>
      <x:c r="J217" t="str">
        <x:v>initial_screen_pending_pb_financial_review</x:v>
      </x:c>
      <x:c r="K217" t="str">
        <x:v>AkShare / Tencent all-A market snapshot</x:v>
      </x:c>
      <x:c r="L217" t="str">
        <x:v>ProxyError: primary market source unavailable; see source_id for full audit.</x:v>
      </x:c>
      <x:c r="M217" t="str">
        <x:v>0</x:v>
      </x:c>
      <x:c r="N217" t="str">
        <x:v>0fd6ad2d-3389-4e70-8974-eb85ee223eeb</x:v>
      </x:c>
      <x:c r="O217" t="str">
        <x:v>2026-09-04</x:v>
      </x:c>
    </x:row>
    <x:row r="218">
      <x:c r="A218" t="str">
        <x:v>601377</x:v>
      </x:c>
      <x:c r="B218" t="str">
        <x:v>兴业证券</x:v>
      </x:c>
      <x:c r="C218" t="str">
        <x:v>主板</x:v>
      </x:c>
      <x:c r="D218" t="str">
        <x:v>待行业映射</x:v>
      </x:c>
      <x:c r="E218" t="n">
        <x:v>5.96</x:v>
      </x:c>
      <x:c r="F218" t="n">
        <x:v>14.03</x:v>
      </x:c>
      <x:c r="G218"/>
      <x:c r="H218" t="n">
        <x:v>514.7</x:v>
      </x:c>
      <x:c r="I218" t="n">
        <x:v>46.54</x:v>
      </x:c>
      <x:c r="J218" t="str">
        <x:v>initial_screen_pending_pb_financial_review</x:v>
      </x:c>
      <x:c r="K218" t="str">
        <x:v>AkShare / Tencent all-A market snapshot</x:v>
      </x:c>
      <x:c r="L218" t="str">
        <x:v>ProxyError: primary market source unavailable; see source_id for full audit.</x:v>
      </x:c>
      <x:c r="M218" t="str">
        <x:v>0</x:v>
      </x:c>
      <x:c r="N218" t="str">
        <x:v>0fd6ad2d-3389-4e70-8974-eb85ee223eeb</x:v>
      </x:c>
      <x:c r="O218" t="str">
        <x:v>2026-09-04</x:v>
      </x:c>
    </x:row>
    <x:row r="219">
      <x:c r="A219" t="str">
        <x:v>600210</x:v>
      </x:c>
      <x:c r="B219" t="str">
        <x:v>紫江企业</x:v>
      </x:c>
      <x:c r="C219" t="str">
        <x:v>主板</x:v>
      </x:c>
      <x:c r="D219" t="str">
        <x:v>待行业映射</x:v>
      </x:c>
      <x:c r="E219" t="n">
        <x:v>6.11</x:v>
      </x:c>
      <x:c r="F219" t="n">
        <x:v>8.36</x:v>
      </x:c>
      <x:c r="G219"/>
      <x:c r="H219" t="n">
        <x:v>92.67</x:v>
      </x:c>
      <x:c r="I219" t="n">
        <x:v>46.51</x:v>
      </x:c>
      <x:c r="J219" t="str">
        <x:v>initial_screen_pending_pb_financial_review</x:v>
      </x:c>
      <x:c r="K219" t="str">
        <x:v>AkShare / Tencent all-A market snapshot</x:v>
      </x:c>
      <x:c r="L219" t="str">
        <x:v>ProxyError: primary market source unavailable; see source_id for full audit.</x:v>
      </x:c>
      <x:c r="M219" t="str">
        <x:v>0</x:v>
      </x:c>
      <x:c r="N219" t="str">
        <x:v>0fd6ad2d-3389-4e70-8974-eb85ee223eeb</x:v>
      </x:c>
      <x:c r="O219" t="str">
        <x:v>2026-09-04</x:v>
      </x:c>
    </x:row>
    <x:row r="220">
      <x:c r="A220" t="str">
        <x:v>600873</x:v>
      </x:c>
      <x:c r="B220" t="str">
        <x:v>梅花生物</x:v>
      </x:c>
      <x:c r="C220" t="str">
        <x:v>主板</x:v>
      </x:c>
      <x:c r="D220" t="str">
        <x:v>待行业映射</x:v>
      </x:c>
      <x:c r="E220" t="n">
        <x:v>7.82</x:v>
      </x:c>
      <x:c r="F220" t="n">
        <x:v>10.08</x:v>
      </x:c>
      <x:c r="G220"/>
      <x:c r="H220" t="n">
        <x:v>219.29</x:v>
      </x:c>
      <x:c r="I220" t="n">
        <x:v>46.47</x:v>
      </x:c>
      <x:c r="J220" t="str">
        <x:v>initial_screen_pending_pb_financial_review</x:v>
      </x:c>
      <x:c r="K220" t="str">
        <x:v>AkShare / Tencent all-A market snapshot</x:v>
      </x:c>
      <x:c r="L220" t="str">
        <x:v>ProxyError: primary market source unavailable; see source_id for full audit.</x:v>
      </x:c>
      <x:c r="M220" t="str">
        <x:v>0</x:v>
      </x:c>
      <x:c r="N220" t="str">
        <x:v>0fd6ad2d-3389-4e70-8974-eb85ee223eeb</x:v>
      </x:c>
      <x:c r="O220" t="str">
        <x:v>2026-09-04</x:v>
      </x:c>
    </x:row>
    <x:row r="221">
      <x:c r="A221" t="str">
        <x:v>688332</x:v>
      </x:c>
      <x:c r="B221" t="str">
        <x:v>中科蓝讯</x:v>
      </x:c>
      <x:c r="C221" t="str">
        <x:v>科创板</x:v>
      </x:c>
      <x:c r="D221" t="str">
        <x:v>待行业映射</x:v>
      </x:c>
      <x:c r="E221" t="n">
        <x:v>92.59</x:v>
      </x:c>
      <x:c r="F221" t="n">
        <x:v>9.37</x:v>
      </x:c>
      <x:c r="G221"/>
      <x:c r="H221" t="n">
        <x:v>165.26</x:v>
      </x:c>
      <x:c r="I221" t="n">
        <x:v>46.42</x:v>
      </x:c>
      <x:c r="J221" t="str">
        <x:v>initial_screen_pending_pb_financial_review</x:v>
      </x:c>
      <x:c r="K221" t="str">
        <x:v>AkShare / Tencent all-A market snapshot</x:v>
      </x:c>
      <x:c r="L221" t="str">
        <x:v>ProxyError: primary market source unavailable; see source_id for full audit.</x:v>
      </x:c>
      <x:c r="M221" t="str">
        <x:v>0</x:v>
      </x:c>
      <x:c r="N221" t="str">
        <x:v>0fd6ad2d-3389-4e70-8974-eb85ee223eeb</x:v>
      </x:c>
      <x:c r="O221" t="str">
        <x:v>2026-09-04</x:v>
      </x:c>
    </x:row>
    <x:row r="222">
      <x:c r="A222" t="str">
        <x:v>601868</x:v>
      </x:c>
      <x:c r="B222" t="str">
        <x:v>中国能建</x:v>
      </x:c>
      <x:c r="C222" t="str">
        <x:v>主板</x:v>
      </x:c>
      <x:c r="D222" t="str">
        <x:v>待行业映射</x:v>
      </x:c>
      <x:c r="E222" t="n">
        <x:v>2.48</x:v>
      </x:c>
      <x:c r="F222" t="n">
        <x:v>20.63</x:v>
      </x:c>
      <x:c r="G222"/>
      <x:c r="H222" t="n">
        <x:v>1097.16</x:v>
      </x:c>
      <x:c r="I222" t="n">
        <x:v>46.36</x:v>
      </x:c>
      <x:c r="J222" t="str">
        <x:v>initial_screen_pending_pb_financial_review</x:v>
      </x:c>
      <x:c r="K222" t="str">
        <x:v>AkShare / Tencent all-A market snapshot</x:v>
      </x:c>
      <x:c r="L222" t="str">
        <x:v>ProxyError: primary market source unavailable; see source_id for full audit.</x:v>
      </x:c>
      <x:c r="M222" t="str">
        <x:v>0</x:v>
      </x:c>
      <x:c r="N222" t="str">
        <x:v>0fd6ad2d-3389-4e70-8974-eb85ee223eeb</x:v>
      </x:c>
      <x:c r="O222" t="str">
        <x:v>2026-09-04</x:v>
      </x:c>
    </x:row>
    <x:row r="223">
      <x:c r="A223" t="str">
        <x:v>688336</x:v>
      </x:c>
      <x:c r="B223" t="str">
        <x:v>三生国健</x:v>
      </x:c>
      <x:c r="C223" t="str">
        <x:v>科创板</x:v>
      </x:c>
      <x:c r="D223" t="str">
        <x:v>待行业映射</x:v>
      </x:c>
      <x:c r="E223" t="n">
        <x:v>42.16</x:v>
      </x:c>
      <x:c r="F223" t="n">
        <x:v>12.27</x:v>
      </x:c>
      <x:c r="G223"/>
      <x:c r="H223" t="n">
        <x:v>377.85</x:v>
      </x:c>
      <x:c r="I223" t="n">
        <x:v>46.32</x:v>
      </x:c>
      <x:c r="J223" t="str">
        <x:v>initial_screen_pending_pb_financial_review</x:v>
      </x:c>
      <x:c r="K223" t="str">
        <x:v>AkShare / Tencent all-A market snapshot</x:v>
      </x:c>
      <x:c r="L223" t="str">
        <x:v>ProxyError: primary market source unavailable; see source_id for full audit.</x:v>
      </x:c>
      <x:c r="M223" t="str">
        <x:v>0</x:v>
      </x:c>
      <x:c r="N223" t="str">
        <x:v>0fd6ad2d-3389-4e70-8974-eb85ee223eeb</x:v>
      </x:c>
      <x:c r="O223" t="str">
        <x:v>2026-09-04</x:v>
      </x:c>
    </x:row>
    <x:row r="224">
      <x:c r="A224" t="str">
        <x:v>600031</x:v>
      </x:c>
      <x:c r="B224" t="str">
        <x:v>三一重工</x:v>
      </x:c>
      <x:c r="C224" t="str">
        <x:v>主板</x:v>
      </x:c>
      <x:c r="D224" t="str">
        <x:v>待行业映射</x:v>
      </x:c>
      <x:c r="E224" t="n">
        <x:v>20</x:v>
      </x:c>
      <x:c r="F224" t="n">
        <x:v>20.7</x:v>
      </x:c>
      <x:c r="G224"/>
      <x:c r="H224" t="n">
        <x:v>1839</x:v>
      </x:c>
      <x:c r="I224" t="n">
        <x:v>46.18</x:v>
      </x:c>
      <x:c r="J224" t="str">
        <x:v>initial_screen_pending_pb_financial_review</x:v>
      </x:c>
      <x:c r="K224" t="str">
        <x:v>AkShare / Tencent all-A market snapshot</x:v>
      </x:c>
      <x:c r="L224" t="str">
        <x:v>ProxyError: primary market source unavailable; see source_id for full audit.</x:v>
      </x:c>
      <x:c r="M224" t="str">
        <x:v>0</x:v>
      </x:c>
      <x:c r="N224" t="str">
        <x:v>0fd6ad2d-3389-4e70-8974-eb85ee223eeb</x:v>
      </x:c>
      <x:c r="O224" t="str">
        <x:v>2026-09-04</x:v>
      </x:c>
    </x:row>
    <x:row r="225">
      <x:c r="A225" t="str">
        <x:v>600961</x:v>
      </x:c>
      <x:c r="B225" t="str">
        <x:v>株冶集团</x:v>
      </x:c>
      <x:c r="C225" t="str">
        <x:v>主板</x:v>
      </x:c>
      <x:c r="D225" t="str">
        <x:v>待行业映射</x:v>
      </x:c>
      <x:c r="E225" t="n">
        <x:v>25.37</x:v>
      </x:c>
      <x:c r="F225" t="n">
        <x:v>10.94</x:v>
      </x:c>
      <x:c r="G225"/>
      <x:c r="H225" t="n">
        <x:v>272.19</x:v>
      </x:c>
      <x:c r="I225" t="n">
        <x:v>46.08</x:v>
      </x:c>
      <x:c r="J225" t="str">
        <x:v>initial_screen_pending_pb_financial_review</x:v>
      </x:c>
      <x:c r="K225" t="str">
        <x:v>AkShare / Tencent all-A market snapshot</x:v>
      </x:c>
      <x:c r="L225" t="str">
        <x:v>ProxyError: primary market source unavailable; see source_id for full audit.</x:v>
      </x:c>
      <x:c r="M225" t="str">
        <x:v>0</x:v>
      </x:c>
      <x:c r="N225" t="str">
        <x:v>0fd6ad2d-3389-4e70-8974-eb85ee223eeb</x:v>
      </x:c>
      <x:c r="O225" t="str">
        <x:v>2026-09-04</x:v>
      </x:c>
    </x:row>
    <x:row r="226">
      <x:c r="A226" t="str">
        <x:v>600517</x:v>
      </x:c>
      <x:c r="B226" t="str">
        <x:v>国网英大</x:v>
      </x:c>
      <x:c r="C226" t="str">
        <x:v>主板</x:v>
      </x:c>
      <x:c r="D226" t="str">
        <x:v>待行业映射</x:v>
      </x:c>
      <x:c r="E226" t="n">
        <x:v>5.05</x:v>
      </x:c>
      <x:c r="F226" t="n">
        <x:v>11.18</x:v>
      </x:c>
      <x:c r="G226"/>
      <x:c r="H226" t="n">
        <x:v>288.78</x:v>
      </x:c>
      <x:c r="I226" t="n">
        <x:v>46.04</x:v>
      </x:c>
      <x:c r="J226" t="str">
        <x:v>initial_screen_pending_pb_financial_review</x:v>
      </x:c>
      <x:c r="K226" t="str">
        <x:v>AkShare / Tencent all-A market snapshot</x:v>
      </x:c>
      <x:c r="L226" t="str">
        <x:v>ProxyError: primary market source unavailable; see source_id for full audit.</x:v>
      </x:c>
      <x:c r="M226" t="str">
        <x:v>0</x:v>
      </x:c>
      <x:c r="N226" t="str">
        <x:v>0fd6ad2d-3389-4e70-8974-eb85ee223eeb</x:v>
      </x:c>
      <x:c r="O226" t="str">
        <x:v>2026-09-04</x:v>
      </x:c>
    </x:row>
    <x:row r="227">
      <x:c r="A227" t="str">
        <x:v>300059</x:v>
      </x:c>
      <x:c r="B227" t="str">
        <x:v>东方财富</x:v>
      </x:c>
      <x:c r="C227" t="str">
        <x:v>创业板</x:v>
      </x:c>
      <x:c r="D227" t="str">
        <x:v>待行业映射</x:v>
      </x:c>
      <x:c r="E227" t="n">
        <x:v>19.15</x:v>
      </x:c>
      <x:c r="F227" t="n">
        <x:v>20.78</x:v>
      </x:c>
      <x:c r="G227"/>
      <x:c r="H227" t="n">
        <x:v>3029.95</x:v>
      </x:c>
      <x:c r="I227" t="n">
        <x:v>45.97</x:v>
      </x:c>
      <x:c r="J227" t="str">
        <x:v>initial_screen_pending_pb_financial_review</x:v>
      </x:c>
      <x:c r="K227" t="str">
        <x:v>AkShare / Tencent all-A market snapshot</x:v>
      </x:c>
      <x:c r="L227" t="str">
        <x:v>ProxyError: primary market source unavailable; see source_id for full audit.</x:v>
      </x:c>
      <x:c r="M227" t="str">
        <x:v>0</x:v>
      </x:c>
      <x:c r="N227" t="str">
        <x:v>0fd6ad2d-3389-4e70-8974-eb85ee223eeb</x:v>
      </x:c>
      <x:c r="O227" t="str">
        <x:v>2026-09-04</x:v>
      </x:c>
    </x:row>
    <x:row r="228">
      <x:c r="A228" t="str">
        <x:v>601808</x:v>
      </x:c>
      <x:c r="B228" t="str">
        <x:v>中海油服</x:v>
      </x:c>
      <x:c r="C228" t="str">
        <x:v>主板</x:v>
      </x:c>
      <x:c r="D228" t="str">
        <x:v>待行业映射</x:v>
      </x:c>
      <x:c r="E228" t="n">
        <x:v>12.5</x:v>
      </x:c>
      <x:c r="F228" t="n">
        <x:v>15.35</x:v>
      </x:c>
      <x:c r="G228"/>
      <x:c r="H228" t="n">
        <x:v>596.45</x:v>
      </x:c>
      <x:c r="I228" t="n">
        <x:v>45.97</x:v>
      </x:c>
      <x:c r="J228" t="str">
        <x:v>initial_screen_pending_pb_financial_review</x:v>
      </x:c>
      <x:c r="K228" t="str">
        <x:v>AkShare / Tencent all-A market snapshot</x:v>
      </x:c>
      <x:c r="L228" t="str">
        <x:v>ProxyError: primary market source unavailable; see source_id for full audit.</x:v>
      </x:c>
      <x:c r="M228" t="str">
        <x:v>0</x:v>
      </x:c>
      <x:c r="N228" t="str">
        <x:v>0fd6ad2d-3389-4e70-8974-eb85ee223eeb</x:v>
      </x:c>
      <x:c r="O228" t="str">
        <x:v>2026-09-04</x:v>
      </x:c>
    </x:row>
    <x:row r="229">
      <x:c r="A229" t="str">
        <x:v>000408</x:v>
      </x:c>
      <x:c r="B229" t="str">
        <x:v>藏格矿业</x:v>
      </x:c>
      <x:c r="C229" t="str">
        <x:v>主板</x:v>
      </x:c>
      <x:c r="D229" t="str">
        <x:v>待行业映射</x:v>
      </x:c>
      <x:c r="E229" t="n">
        <x:v>75.62</x:v>
      </x:c>
      <x:c r="F229" t="n">
        <x:v>20.85</x:v>
      </x:c>
      <x:c r="G229"/>
      <x:c r="H229" t="n">
        <x:v>1186.41</x:v>
      </x:c>
      <x:c r="I229" t="n">
        <x:v>45.79</x:v>
      </x:c>
      <x:c r="J229" t="str">
        <x:v>initial_screen_pending_pb_financial_review</x:v>
      </x:c>
      <x:c r="K229" t="str">
        <x:v>AkShare / Tencent all-A market snapshot</x:v>
      </x:c>
      <x:c r="L229" t="str">
        <x:v>ProxyError: primary market source unavailable; see source_id for full audit.</x:v>
      </x:c>
      <x:c r="M229" t="str">
        <x:v>0</x:v>
      </x:c>
      <x:c r="N229" t="str">
        <x:v>0fd6ad2d-3389-4e70-8974-eb85ee223eeb</x:v>
      </x:c>
      <x:c r="O229" t="str">
        <x:v>2026-09-04</x:v>
      </x:c>
    </x:row>
    <x:row r="230">
      <x:c r="A230" t="str">
        <x:v>000963</x:v>
      </x:c>
      <x:c r="B230" t="str">
        <x:v>华东医药</x:v>
      </x:c>
      <x:c r="C230" t="str">
        <x:v>主板</x:v>
      </x:c>
      <x:c r="D230" t="str">
        <x:v>待行业映射</x:v>
      </x:c>
      <x:c r="E230" t="n">
        <x:v>27.37</x:v>
      </x:c>
      <x:c r="F230" t="n">
        <x:v>13.87</x:v>
      </x:c>
      <x:c r="G230"/>
      <x:c r="H230" t="n">
        <x:v>480</x:v>
      </x:c>
      <x:c r="I230" t="n">
        <x:v>45.74</x:v>
      </x:c>
      <x:c r="J230" t="str">
        <x:v>initial_screen_pending_pb_financial_review</x:v>
      </x:c>
      <x:c r="K230" t="str">
        <x:v>AkShare / Tencent all-A market snapshot</x:v>
      </x:c>
      <x:c r="L230" t="str">
        <x:v>ProxyError: primary market source unavailable; see source_id for full audit.</x:v>
      </x:c>
      <x:c r="M230" t="str">
        <x:v>0</x:v>
      </x:c>
      <x:c r="N230" t="str">
        <x:v>0fd6ad2d-3389-4e70-8974-eb85ee223eeb</x:v>
      </x:c>
      <x:c r="O230" t="str">
        <x:v>2026-09-04</x:v>
      </x:c>
    </x:row>
    <x:row r="231">
      <x:c r="A231" t="str">
        <x:v>603195</x:v>
      </x:c>
      <x:c r="B231" t="str">
        <x:v>公牛集团</x:v>
      </x:c>
      <x:c r="C231" t="str">
        <x:v>主板</x:v>
      </x:c>
      <x:c r="D231" t="str">
        <x:v>待行业映射</x:v>
      </x:c>
      <x:c r="E231" t="n">
        <x:v>39.3</x:v>
      </x:c>
      <x:c r="F231" t="n">
        <x:v>17.03</x:v>
      </x:c>
      <x:c r="G231"/>
      <x:c r="H231" t="n">
        <x:v>708.75</x:v>
      </x:c>
      <x:c r="I231" t="n">
        <x:v>45.53</x:v>
      </x:c>
      <x:c r="J231" t="str">
        <x:v>initial_screen_pending_pb_financial_review</x:v>
      </x:c>
      <x:c r="K231" t="str">
        <x:v>AkShare / Tencent all-A market snapshot</x:v>
      </x:c>
      <x:c r="L231" t="str">
        <x:v>ProxyError: primary market source unavailable; see source_id for full audit.</x:v>
      </x:c>
      <x:c r="M231" t="str">
        <x:v>0</x:v>
      </x:c>
      <x:c r="N231" t="str">
        <x:v>0fd6ad2d-3389-4e70-8974-eb85ee223eeb</x:v>
      </x:c>
      <x:c r="O231" t="str">
        <x:v>2026-09-04</x:v>
      </x:c>
    </x:row>
    <x:row r="232">
      <x:c r="A232" t="str">
        <x:v>002074</x:v>
      </x:c>
      <x:c r="B232" t="str">
        <x:v>国轩高科</x:v>
      </x:c>
      <x:c r="C232" t="str">
        <x:v>主板</x:v>
      </x:c>
      <x:c r="D232" t="str">
        <x:v>待行业映射</x:v>
      </x:c>
      <x:c r="E232" t="n">
        <x:v>25.95</x:v>
      </x:c>
      <x:c r="F232" t="n">
        <x:v>13.84</x:v>
      </x:c>
      <x:c r="G232"/>
      <x:c r="H232" t="n">
        <x:v>470.92</x:v>
      </x:c>
      <x:c r="I232" t="n">
        <x:v>45.5</x:v>
      </x:c>
      <x:c r="J232" t="str">
        <x:v>initial_screen_pending_pb_financial_review</x:v>
      </x:c>
      <x:c r="K232" t="str">
        <x:v>AkShare / Tencent all-A market snapshot</x:v>
      </x:c>
      <x:c r="L232" t="str">
        <x:v>ProxyError: primary market source unavailable; see source_id for full audit.</x:v>
      </x:c>
      <x:c r="M232" t="str">
        <x:v>0</x:v>
      </x:c>
      <x:c r="N232" t="str">
        <x:v>0fd6ad2d-3389-4e70-8974-eb85ee223eeb</x:v>
      </x:c>
      <x:c r="O232" t="str">
        <x:v>2026-09-04</x:v>
      </x:c>
    </x:row>
    <x:row r="233">
      <x:c r="A233" t="str">
        <x:v>600909</x:v>
      </x:c>
      <x:c r="B233" t="str">
        <x:v>华安证券</x:v>
      </x:c>
      <x:c r="C233" t="str">
        <x:v>主板</x:v>
      </x:c>
      <x:c r="D233" t="str">
        <x:v>待行业映射</x:v>
      </x:c>
      <x:c r="E233" t="n">
        <x:v>8.25</x:v>
      </x:c>
      <x:c r="F233" t="n">
        <x:v>13.08</x:v>
      </x:c>
      <x:c r="G233"/>
      <x:c r="H233" t="n">
        <x:v>414.5</x:v>
      </x:c>
      <x:c r="I233" t="n">
        <x:v>45.5</x:v>
      </x:c>
      <x:c r="J233" t="str">
        <x:v>initial_screen_pending_pb_financial_review</x:v>
      </x:c>
      <x:c r="K233" t="str">
        <x:v>AkShare / Tencent all-A market snapshot</x:v>
      </x:c>
      <x:c r="L233" t="str">
        <x:v>ProxyError: primary market source unavailable; see source_id for full audit.</x:v>
      </x:c>
      <x:c r="M233" t="str">
        <x:v>0</x:v>
      </x:c>
      <x:c r="N233" t="str">
        <x:v>0fd6ad2d-3389-4e70-8974-eb85ee223eeb</x:v>
      </x:c>
      <x:c r="O233" t="str">
        <x:v>2026-09-04</x:v>
      </x:c>
    </x:row>
    <x:row r="234">
      <x:c r="A234" t="str">
        <x:v>601918</x:v>
      </x:c>
      <x:c r="B234" t="str">
        <x:v>新集能源</x:v>
      </x:c>
      <x:c r="C234" t="str">
        <x:v>主板</x:v>
      </x:c>
      <x:c r="D234" t="str">
        <x:v>待行业映射</x:v>
      </x:c>
      <x:c r="E234" t="n">
        <x:v>10.48</x:v>
      </x:c>
      <x:c r="F234" t="n">
        <x:v>11.16</x:v>
      </x:c>
      <x:c r="G234"/>
      <x:c r="H234" t="n">
        <x:v>271.49</x:v>
      </x:c>
      <x:c r="I234" t="n">
        <x:v>45.49</x:v>
      </x:c>
      <x:c r="J234" t="str">
        <x:v>initial_screen_pending_pb_financial_review</x:v>
      </x:c>
      <x:c r="K234" t="str">
        <x:v>AkShare / Tencent all-A market snapshot</x:v>
      </x:c>
      <x:c r="L234" t="str">
        <x:v>ProxyError: primary market source unavailable; see source_id for full audit.</x:v>
      </x:c>
      <x:c r="M234" t="str">
        <x:v>0</x:v>
      </x:c>
      <x:c r="N234" t="str">
        <x:v>0fd6ad2d-3389-4e70-8974-eb85ee223eeb</x:v>
      </x:c>
      <x:c r="O234" t="str">
        <x:v>2026-09-04</x:v>
      </x:c>
    </x:row>
    <x:row r="235">
      <x:c r="A235" t="str">
        <x:v>000598</x:v>
      </x:c>
      <x:c r="B235" t="str">
        <x:v>兴蓉环境</x:v>
      </x:c>
      <x:c r="C235" t="str">
        <x:v>主板</x:v>
      </x:c>
      <x:c r="D235" t="str">
        <x:v>待行业映射</x:v>
      </x:c>
      <x:c r="E235" t="n">
        <x:v>7.22</x:v>
      </x:c>
      <x:c r="F235" t="n">
        <x:v>10.5</x:v>
      </x:c>
      <x:c r="G235"/>
      <x:c r="H235" t="n">
        <x:v>215.45</x:v>
      </x:c>
      <x:c r="I235" t="n">
        <x:v>45.24</x:v>
      </x:c>
      <x:c r="J235" t="str">
        <x:v>initial_screen_pending_pb_financial_review</x:v>
      </x:c>
      <x:c r="K235" t="str">
        <x:v>AkShare / Tencent all-A market snapshot</x:v>
      </x:c>
      <x:c r="L235" t="str">
        <x:v>ProxyError: primary market source unavailable; see source_id for full audit.</x:v>
      </x:c>
      <x:c r="M235" t="str">
        <x:v>0</x:v>
      </x:c>
      <x:c r="N235" t="str">
        <x:v>0fd6ad2d-3389-4e70-8974-eb85ee223eeb</x:v>
      </x:c>
      <x:c r="O235" t="str">
        <x:v>2026-09-04</x:v>
      </x:c>
    </x:row>
    <x:row r="236">
      <x:c r="A236" t="str">
        <x:v>000719</x:v>
      </x:c>
      <x:c r="B236" t="str">
        <x:v>中原传媒</x:v>
      </x:c>
      <x:c r="C236" t="str">
        <x:v>主板</x:v>
      </x:c>
      <x:c r="D236" t="str">
        <x:v>待行业映射</x:v>
      </x:c>
      <x:c r="E236" t="n">
        <x:v>12.47</x:v>
      </x:c>
      <x:c r="F236" t="n">
        <x:v>9.45</x:v>
      </x:c>
      <x:c r="G236"/>
      <x:c r="H236" t="n">
        <x:v>127.59</x:v>
      </x:c>
      <x:c r="I236" t="n">
        <x:v>44.9</x:v>
      </x:c>
      <x:c r="J236" t="str">
        <x:v>initial_screen_pending_pb_financial_review</x:v>
      </x:c>
      <x:c r="K236" t="str">
        <x:v>AkShare / Tencent all-A market snapshot</x:v>
      </x:c>
      <x:c r="L236" t="str">
        <x:v>ProxyError: primary market source unavailable; see source_id for full audit.</x:v>
      </x:c>
      <x:c r="M236" t="str">
        <x:v>0</x:v>
      </x:c>
      <x:c r="N236" t="str">
        <x:v>0fd6ad2d-3389-4e70-8974-eb85ee223eeb</x:v>
      </x:c>
      <x:c r="O236" t="str">
        <x:v>2026-09-04</x:v>
      </x:c>
    </x:row>
    <x:row r="237">
      <x:c r="A237" t="str">
        <x:v>600323</x:v>
      </x:c>
      <x:c r="B237" t="str">
        <x:v>瀚蓝环境</x:v>
      </x:c>
      <x:c r="C237" t="str">
        <x:v>主板</x:v>
      </x:c>
      <x:c r="D237" t="str">
        <x:v>待行业映射</x:v>
      </x:c>
      <x:c r="E237" t="n">
        <x:v>29.99</x:v>
      </x:c>
      <x:c r="F237" t="n">
        <x:v>11.05</x:v>
      </x:c>
      <x:c r="G237"/>
      <x:c r="H237" t="n">
        <x:v>244.52</x:v>
      </x:c>
      <x:c r="I237" t="n">
        <x:v>44.83</x:v>
      </x:c>
      <x:c r="J237" t="str">
        <x:v>initial_screen_pending_pb_financial_review</x:v>
      </x:c>
      <x:c r="K237" t="str">
        <x:v>AkShare / Tencent all-A market snapshot</x:v>
      </x:c>
      <x:c r="L237" t="str">
        <x:v>ProxyError: primary market source unavailable; see source_id for full audit.</x:v>
      </x:c>
      <x:c r="M237" t="str">
        <x:v>0</x:v>
      </x:c>
      <x:c r="N237" t="str">
        <x:v>0fd6ad2d-3389-4e70-8974-eb85ee223eeb</x:v>
      </x:c>
      <x:c r="O237" t="str">
        <x:v>2026-09-04</x:v>
      </x:c>
    </x:row>
    <x:row r="238">
      <x:c r="A238" t="str">
        <x:v>688009</x:v>
      </x:c>
      <x:c r="B238" t="str">
        <x:v>中国通号</x:v>
      </x:c>
      <x:c r="C238" t="str">
        <x:v>科创板</x:v>
      </x:c>
      <x:c r="D238" t="str">
        <x:v>待行业映射</x:v>
      </x:c>
      <x:c r="E238" t="n">
        <x:v>4.96</x:v>
      </x:c>
      <x:c r="F238" t="n">
        <x:v>14.84</x:v>
      </x:c>
      <x:c r="G238"/>
      <x:c r="H238" t="n">
        <x:v>525.26</x:v>
      </x:c>
      <x:c r="I238" t="n">
        <x:v>44.8</x:v>
      </x:c>
      <x:c r="J238" t="str">
        <x:v>initial_screen_pending_pb_financial_review</x:v>
      </x:c>
      <x:c r="K238" t="str">
        <x:v>AkShare / Tencent all-A market snapshot</x:v>
      </x:c>
      <x:c r="L238" t="str">
        <x:v>ProxyError: primary market source unavailable; see source_id for full audit.</x:v>
      </x:c>
      <x:c r="M238" t="str">
        <x:v>0</x:v>
      </x:c>
      <x:c r="N238" t="str">
        <x:v>0fd6ad2d-3389-4e70-8974-eb85ee223eeb</x:v>
      </x:c>
      <x:c r="O238" t="str">
        <x:v>2026-09-04</x:v>
      </x:c>
    </x:row>
    <x:row r="239">
      <x:c r="A239" t="str">
        <x:v>601216</x:v>
      </x:c>
      <x:c r="B239" t="str">
        <x:v>君正集团</x:v>
      </x:c>
      <x:c r="C239" t="str">
        <x:v>主板</x:v>
      </x:c>
      <x:c r="D239" t="str">
        <x:v>待行业映射</x:v>
      </x:c>
      <x:c r="E239" t="n">
        <x:v>4.82</x:v>
      </x:c>
      <x:c r="F239" t="n">
        <x:v>13.27</x:v>
      </x:c>
      <x:c r="G239"/>
      <x:c r="H239" t="n">
        <x:v>406.71</x:v>
      </x:c>
      <x:c r="I239" t="n">
        <x:v>44.73</x:v>
      </x:c>
      <x:c r="J239" t="str">
        <x:v>initial_screen_pending_pb_financial_review</x:v>
      </x:c>
      <x:c r="K239" t="str">
        <x:v>AkShare / Tencent all-A market snapshot</x:v>
      </x:c>
      <x:c r="L239" t="str">
        <x:v>ProxyError: primary market source unavailable; see source_id for full audit.</x:v>
      </x:c>
      <x:c r="M239" t="str">
        <x:v>0</x:v>
      </x:c>
      <x:c r="N239" t="str">
        <x:v>0fd6ad2d-3389-4e70-8974-eb85ee223eeb</x:v>
      </x:c>
      <x:c r="O239" t="str">
        <x:v>2026-09-04</x:v>
      </x:c>
    </x:row>
    <x:row r="240">
      <x:c r="A240" t="str">
        <x:v>600511</x:v>
      </x:c>
      <x:c r="B240" t="str">
        <x:v>国药股份</x:v>
      </x:c>
      <x:c r="C240" t="str">
        <x:v>主板</x:v>
      </x:c>
      <x:c r="D240" t="str">
        <x:v>待行业映射</x:v>
      </x:c>
      <x:c r="E240" t="n">
        <x:v>27.05</x:v>
      </x:c>
      <x:c r="F240" t="n">
        <x:v>10.59</x:v>
      </x:c>
      <x:c r="G240"/>
      <x:c r="H240" t="n">
        <x:v>204.09</x:v>
      </x:c>
      <x:c r="I240" t="n">
        <x:v>44.61</x:v>
      </x:c>
      <x:c r="J240" t="str">
        <x:v>initial_screen_pending_pb_financial_review</x:v>
      </x:c>
      <x:c r="K240" t="str">
        <x:v>AkShare / Tencent all-A market snapshot</x:v>
      </x:c>
      <x:c r="L240" t="str">
        <x:v>ProxyError: primary market source unavailable; see source_id for full audit.</x:v>
      </x:c>
      <x:c r="M240" t="str">
        <x:v>0</x:v>
      </x:c>
      <x:c r="N240" t="str">
        <x:v>0fd6ad2d-3389-4e70-8974-eb85ee223eeb</x:v>
      </x:c>
      <x:c r="O240" t="str">
        <x:v>2026-09-04</x:v>
      </x:c>
    </x:row>
    <x:row r="241">
      <x:c r="A241" t="str">
        <x:v>603259</x:v>
      </x:c>
      <x:c r="B241" t="str">
        <x:v>XD药明康</x:v>
      </x:c>
      <x:c r="C241" t="str">
        <x:v>主板</x:v>
      </x:c>
      <x:c r="D241" t="str">
        <x:v>待行业映射</x:v>
      </x:c>
      <x:c r="E241" t="n">
        <x:v>153.83</x:v>
      </x:c>
      <x:c r="F241" t="n">
        <x:v>21.33</x:v>
      </x:c>
      <x:c r="G241"/>
      <x:c r="H241" t="n">
        <x:v>4621.91</x:v>
      </x:c>
      <x:c r="I241" t="n">
        <x:v>44.54</x:v>
      </x:c>
      <x:c r="J241" t="str">
        <x:v>initial_screen_pending_pb_financial_review</x:v>
      </x:c>
      <x:c r="K241" t="str">
        <x:v>AkShare / Tencent all-A market snapshot</x:v>
      </x:c>
      <x:c r="L241" t="str">
        <x:v>ProxyError: primary market source unavailable; see source_id for full audit.</x:v>
      </x:c>
      <x:c r="M241" t="str">
        <x:v>0</x:v>
      </x:c>
      <x:c r="N241" t="str">
        <x:v>0fd6ad2d-3389-4e70-8974-eb85ee223eeb</x:v>
      </x:c>
      <x:c r="O241" t="str">
        <x:v>2026-09-04</x:v>
      </x:c>
    </x:row>
    <x:row r="242">
      <x:c r="A242" t="str">
        <x:v>000728</x:v>
      </x:c>
      <x:c r="B242" t="str">
        <x:v>国元证券</x:v>
      </x:c>
      <x:c r="C242" t="str">
        <x:v>主板</x:v>
      </x:c>
      <x:c r="D242" t="str">
        <x:v>待行业映射</x:v>
      </x:c>
      <x:c r="E242" t="n">
        <x:v>7.76</x:v>
      </x:c>
      <x:c r="F242" t="n">
        <x:v>12.43</x:v>
      </x:c>
      <x:c r="G242"/>
      <x:c r="H242" t="n">
        <x:v>338.63</x:v>
      </x:c>
      <x:c r="I242" t="n">
        <x:v>44.53</x:v>
      </x:c>
      <x:c r="J242" t="str">
        <x:v>initial_screen_pending_pb_financial_review</x:v>
      </x:c>
      <x:c r="K242" t="str">
        <x:v>AkShare / Tencent all-A market snapshot</x:v>
      </x:c>
      <x:c r="L242" t="str">
        <x:v>ProxyError: primary market source unavailable; see source_id for full audit.</x:v>
      </x:c>
      <x:c r="M242" t="str">
        <x:v>0</x:v>
      </x:c>
      <x:c r="N242" t="str">
        <x:v>0fd6ad2d-3389-4e70-8974-eb85ee223eeb</x:v>
      </x:c>
      <x:c r="O242" t="str">
        <x:v>2026-09-04</x:v>
      </x:c>
    </x:row>
    <x:row r="243">
      <x:c r="A243" t="str">
        <x:v>000858</x:v>
      </x:c>
      <x:c r="B243" t="str">
        <x:v>五 粮 液</x:v>
      </x:c>
      <x:c r="C243" t="str">
        <x:v>主板</x:v>
      </x:c>
      <x:c r="D243" t="str">
        <x:v>待行业映射</x:v>
      </x:c>
      <x:c r="E243" t="n">
        <x:v>71.98</x:v>
      </x:c>
      <x:c r="F243" t="n">
        <x:v>21.36</x:v>
      </x:c>
      <x:c r="G243"/>
      <x:c r="H243" t="n">
        <x:v>2793.98</x:v>
      </x:c>
      <x:c r="I243" t="n">
        <x:v>44.46</x:v>
      </x:c>
      <x:c r="J243" t="str">
        <x:v>initial_screen_pending_pb_financial_review</x:v>
      </x:c>
      <x:c r="K243" t="str">
        <x:v>AkShare / Tencent all-A market snapshot</x:v>
      </x:c>
      <x:c r="L243" t="str">
        <x:v>ProxyError: primary market source unavailable; see source_id for full audit.</x:v>
      </x:c>
      <x:c r="M243" t="str">
        <x:v>0</x:v>
      </x:c>
      <x:c r="N243" t="str">
        <x:v>0fd6ad2d-3389-4e70-8974-eb85ee223eeb</x:v>
      </x:c>
      <x:c r="O243" t="str">
        <x:v>2026-09-04</x:v>
      </x:c>
    </x:row>
    <x:row r="244">
      <x:c r="A244" t="str">
        <x:v>600739</x:v>
      </x:c>
      <x:c r="B244" t="str">
        <x:v>辽宁成大</x:v>
      </x:c>
      <x:c r="C244" t="str">
        <x:v>主板</x:v>
      </x:c>
      <x:c r="D244" t="str">
        <x:v>待行业映射</x:v>
      </x:c>
      <x:c r="E244" t="n">
        <x:v>10.92</x:v>
      </x:c>
      <x:c r="F244" t="n">
        <x:v>10.14</x:v>
      </x:c>
      <x:c r="G244"/>
      <x:c r="H244" t="n">
        <x:v>166.24</x:v>
      </x:c>
      <x:c r="I244" t="n">
        <x:v>44.45</x:v>
      </x:c>
      <x:c r="J244" t="str">
        <x:v>initial_screen_pending_pb_financial_review</x:v>
      </x:c>
      <x:c r="K244" t="str">
        <x:v>AkShare / Tencent all-A market snapshot</x:v>
      </x:c>
      <x:c r="L244" t="str">
        <x:v>ProxyError: primary market source unavailable; see source_id for full audit.</x:v>
      </x:c>
      <x:c r="M244" t="str">
        <x:v>0</x:v>
      </x:c>
      <x:c r="N244" t="str">
        <x:v>0fd6ad2d-3389-4e70-8974-eb85ee223eeb</x:v>
      </x:c>
      <x:c r="O244" t="str">
        <x:v>2026-09-04</x:v>
      </x:c>
    </x:row>
    <x:row r="245">
      <x:c r="A245" t="str">
        <x:v>002612</x:v>
      </x:c>
      <x:c r="B245" t="str">
        <x:v>朗姿股份</x:v>
      </x:c>
      <x:c r="C245" t="str">
        <x:v>主板</x:v>
      </x:c>
      <x:c r="D245" t="str">
        <x:v>待行业映射</x:v>
      </x:c>
      <x:c r="E245" t="n">
        <x:v>16.78</x:v>
      </x:c>
      <x:c r="F245" t="n">
        <x:v>8.92</x:v>
      </x:c>
      <x:c r="G245"/>
      <x:c r="H245" t="n">
        <x:v>74.24</x:v>
      </x:c>
      <x:c r="I245" t="n">
        <x:v>44.41</x:v>
      </x:c>
      <x:c r="J245" t="str">
        <x:v>initial_screen_pending_pb_financial_review</x:v>
      </x:c>
      <x:c r="K245" t="str">
        <x:v>AkShare / Tencent all-A market snapshot</x:v>
      </x:c>
      <x:c r="L245" t="str">
        <x:v>ProxyError: primary market source unavailable; see source_id for full audit.</x:v>
      </x:c>
      <x:c r="M245" t="str">
        <x:v>0</x:v>
      </x:c>
      <x:c r="N245" t="str">
        <x:v>0fd6ad2d-3389-4e70-8974-eb85ee223eeb</x:v>
      </x:c>
      <x:c r="O245" t="str">
        <x:v>2026-09-04</x:v>
      </x:c>
    </x:row>
    <x:row r="246">
      <x:c r="A246" t="str">
        <x:v>601633</x:v>
      </x:c>
      <x:c r="B246" t="str">
        <x:v>长城汽车</x:v>
      </x:c>
      <x:c r="C246" t="str">
        <x:v>主板</x:v>
      </x:c>
      <x:c r="D246" t="str">
        <x:v>待行业映射</x:v>
      </x:c>
      <x:c r="E246" t="n">
        <x:v>14.94</x:v>
      </x:c>
      <x:c r="F246" t="n">
        <x:v>21.39</x:v>
      </x:c>
      <x:c r="G246"/>
      <x:c r="H246" t="n">
        <x:v>1281.62</x:v>
      </x:c>
      <x:c r="I246" t="n">
        <x:v>44.39</x:v>
      </x:c>
      <x:c r="J246" t="str">
        <x:v>initial_screen_pending_pb_financial_review</x:v>
      </x:c>
      <x:c r="K246" t="str">
        <x:v>AkShare / Tencent all-A market snapshot</x:v>
      </x:c>
      <x:c r="L246" t="str">
        <x:v>ProxyError: primary market source unavailable; see source_id for full audit.</x:v>
      </x:c>
      <x:c r="M246" t="str">
        <x:v>0</x:v>
      </x:c>
      <x:c r="N246" t="str">
        <x:v>0fd6ad2d-3389-4e70-8974-eb85ee223eeb</x:v>
      </x:c>
      <x:c r="O246" t="str">
        <x:v>2026-09-04</x:v>
      </x:c>
    </x:row>
    <x:row r="247">
      <x:c r="A247" t="str">
        <x:v>600801</x:v>
      </x:c>
      <x:c r="B247" t="str">
        <x:v>华新建材</x:v>
      </x:c>
      <x:c r="C247" t="str">
        <x:v>主板</x:v>
      </x:c>
      <x:c r="D247" t="str">
        <x:v>待行业映射</x:v>
      </x:c>
      <x:c r="E247" t="n">
        <x:v>24.8</x:v>
      </x:c>
      <x:c r="F247" t="n">
        <x:v>14.89</x:v>
      </x:c>
      <x:c r="G247"/>
      <x:c r="H247" t="n">
        <x:v>515.59</x:v>
      </x:c>
      <x:c r="I247" t="n">
        <x:v>44.33</x:v>
      </x:c>
      <x:c r="J247" t="str">
        <x:v>initial_screen_pending_pb_financial_review</x:v>
      </x:c>
      <x:c r="K247" t="str">
        <x:v>AkShare / Tencent all-A market snapshot</x:v>
      </x:c>
      <x:c r="L247" t="str">
        <x:v>ProxyError: primary market source unavailable; see source_id for full audit.</x:v>
      </x:c>
      <x:c r="M247" t="str">
        <x:v>0</x:v>
      </x:c>
      <x:c r="N247" t="str">
        <x:v>0fd6ad2d-3389-4e70-8974-eb85ee223eeb</x:v>
      </x:c>
      <x:c r="O247" t="str">
        <x:v>2026-09-04</x:v>
      </x:c>
    </x:row>
    <x:row r="248">
      <x:c r="A248" t="str">
        <x:v>002452</x:v>
      </x:c>
      <x:c r="B248" t="str">
        <x:v>长高电气</x:v>
      </x:c>
      <x:c r="C248" t="str">
        <x:v>主板</x:v>
      </x:c>
      <x:c r="D248" t="str">
        <x:v>待行业映射</x:v>
      </x:c>
      <x:c r="E248" t="n">
        <x:v>11.81</x:v>
      </x:c>
      <x:c r="F248" t="n">
        <x:v>8.95</x:v>
      </x:c>
      <x:c r="G248"/>
      <x:c r="H248" t="n">
        <x:v>73.26</x:v>
      </x:c>
      <x:c r="I248" t="n">
        <x:v>44.29</x:v>
      </x:c>
      <x:c r="J248" t="str">
        <x:v>initial_screen_pending_pb_financial_review</x:v>
      </x:c>
      <x:c r="K248" t="str">
        <x:v>AkShare / Tencent all-A market snapshot</x:v>
      </x:c>
      <x:c r="L248" t="str">
        <x:v>ProxyError: primary market source unavailable; see source_id for full audit.</x:v>
      </x:c>
      <x:c r="M248" t="str">
        <x:v>0</x:v>
      </x:c>
      <x:c r="N248" t="str">
        <x:v>0fd6ad2d-3389-4e70-8974-eb85ee223eeb</x:v>
      </x:c>
      <x:c r="O248" t="str">
        <x:v>2026-09-04</x:v>
      </x:c>
    </x:row>
    <x:row r="249">
      <x:c r="A249" t="str">
        <x:v>002048</x:v>
      </x:c>
      <x:c r="B249" t="str">
        <x:v>宁波华翔</x:v>
      </x:c>
      <x:c r="C249" t="str">
        <x:v>主板</x:v>
      </x:c>
      <x:c r="D249" t="str">
        <x:v>待行业映射</x:v>
      </x:c>
      <x:c r="E249" t="n">
        <x:v>18.72</x:v>
      </x:c>
      <x:c r="F249" t="n">
        <x:v>10.04</x:v>
      </x:c>
      <x:c r="G249"/>
      <x:c r="H249" t="n">
        <x:v>152.04</x:v>
      </x:c>
      <x:c r="I249" t="n">
        <x:v>44.22</x:v>
      </x:c>
      <x:c r="J249" t="str">
        <x:v>initial_screen_pending_pb_financial_review</x:v>
      </x:c>
      <x:c r="K249" t="str">
        <x:v>AkShare / Tencent all-A market snapshot</x:v>
      </x:c>
      <x:c r="L249" t="str">
        <x:v>ProxyError: primary market source unavailable; see source_id for full audit.</x:v>
      </x:c>
      <x:c r="M249" t="str">
        <x:v>0</x:v>
      </x:c>
      <x:c r="N249" t="str">
        <x:v>0fd6ad2d-3389-4e70-8974-eb85ee223eeb</x:v>
      </x:c>
      <x:c r="O249" t="str">
        <x:v>2026-09-04</x:v>
      </x:c>
    </x:row>
    <x:row r="250">
      <x:c r="A250" t="str">
        <x:v>920599</x:v>
      </x:c>
      <x:c r="B250" t="str">
        <x:v>同力股份</x:v>
      </x:c>
      <x:c r="C250" t="str">
        <x:v>北交所</x:v>
      </x:c>
      <x:c r="D250" t="str">
        <x:v>待行业映射</x:v>
      </x:c>
      <x:c r="E250" t="n">
        <x:v>18.26</x:v>
      </x:c>
      <x:c r="F250" t="n">
        <x:v>9.14</x:v>
      </x:c>
      <x:c r="G250"/>
      <x:c r="H250" t="n">
        <x:v>84.46</x:v>
      </x:c>
      <x:c r="I250" t="n">
        <x:v>44.19</x:v>
      </x:c>
      <x:c r="J250" t="str">
        <x:v>initial_screen_pending_pb_financial_review</x:v>
      </x:c>
      <x:c r="K250" t="str">
        <x:v>AkShare / Tencent all-A market snapshot</x:v>
      </x:c>
      <x:c r="L250" t="str">
        <x:v>ProxyError: primary market source unavailable; see source_id for full audit.</x:v>
      </x:c>
      <x:c r="M250" t="str">
        <x:v>0</x:v>
      </x:c>
      <x:c r="N250" t="str">
        <x:v>0fd6ad2d-3389-4e70-8974-eb85ee223eeb</x:v>
      </x:c>
      <x:c r="O250" t="str">
        <x:v>2026-09-04</x:v>
      </x:c>
    </x:row>
    <x:row r="251">
      <x:c r="A251" t="str">
        <x:v>000786</x:v>
      </x:c>
      <x:c r="B251" t="str">
        <x:v>北新建材</x:v>
      </x:c>
      <x:c r="C251" t="str">
        <x:v>主板</x:v>
      </x:c>
      <x:c r="D251" t="str">
        <x:v>待行业映射</x:v>
      </x:c>
      <x:c r="E251" t="n">
        <x:v>16.28</x:v>
      </x:c>
      <x:c r="F251" t="n">
        <x:v>11.78</x:v>
      </x:c>
      <x:c r="G251"/>
      <x:c r="H251" t="n">
        <x:v>277.12</x:v>
      </x:c>
      <x:c r="I251" t="n">
        <x:v>44.07</x:v>
      </x:c>
      <x:c r="J251" t="str">
        <x:v>initial_screen_pending_pb_financial_review</x:v>
      </x:c>
      <x:c r="K251" t="str">
        <x:v>AkShare / Tencent all-A market snapshot</x:v>
      </x:c>
      <x:c r="L251" t="str">
        <x:v>ProxyError: primary market source unavailable; see source_id for full audit.</x:v>
      </x:c>
      <x:c r="M251" t="str">
        <x:v>0</x:v>
      </x:c>
      <x:c r="N251" t="str">
        <x:v>0fd6ad2d-3389-4e70-8974-eb85ee223eeb</x:v>
      </x:c>
      <x:c r="O251" t="str">
        <x:v>2026-09-04</x:v>
      </x:c>
    </x:row>
    <x:row r="252">
      <x:c r="A252" t="str">
        <x:v>600062</x:v>
      </x:c>
      <x:c r="B252" t="str">
        <x:v>华润双鹤</x:v>
      </x:c>
      <x:c r="C252" t="str">
        <x:v>主板</x:v>
      </x:c>
      <x:c r="D252" t="str">
        <x:v>待行业映射</x:v>
      </x:c>
      <x:c r="E252" t="n">
        <x:v>16.02</x:v>
      </x:c>
      <x:c r="F252" t="n">
        <x:v>10.31</x:v>
      </x:c>
      <x:c r="G252"/>
      <x:c r="H252" t="n">
        <x:v>166.38</x:v>
      </x:c>
      <x:c r="I252" t="n">
        <x:v>44.02</x:v>
      </x:c>
      <x:c r="J252" t="str">
        <x:v>initial_screen_pending_pb_financial_review</x:v>
      </x:c>
      <x:c r="K252" t="str">
        <x:v>AkShare / Tencent all-A market snapshot</x:v>
      </x:c>
      <x:c r="L252" t="str">
        <x:v>ProxyError: primary market source unavailable; see source_id for full audit.</x:v>
      </x:c>
      <x:c r="M252" t="str">
        <x:v>0</x:v>
      </x:c>
      <x:c r="N252" t="str">
        <x:v>0fd6ad2d-3389-4e70-8974-eb85ee223eeb</x:v>
      </x:c>
      <x:c r="O252" t="str">
        <x:v>2026-09-04</x:v>
      </x:c>
    </x:row>
    <x:row r="253">
      <x:c r="A253" t="str">
        <x:v>000686</x:v>
      </x:c>
      <x:c r="B253" t="str">
        <x:v>东北证券</x:v>
      </x:c>
      <x:c r="C253" t="str">
        <x:v>主板</x:v>
      </x:c>
      <x:c r="D253" t="str">
        <x:v>待行业映射</x:v>
      </x:c>
      <x:c r="E253" t="n">
        <x:v>8.11</x:v>
      </x:c>
      <x:c r="F253" t="n">
        <x:v>10.63</x:v>
      </x:c>
      <x:c r="G253"/>
      <x:c r="H253" t="n">
        <x:v>189.81</x:v>
      </x:c>
      <x:c r="I253" t="n">
        <x:v>44.01</x:v>
      </x:c>
      <x:c r="J253" t="str">
        <x:v>initial_screen_pending_pb_financial_review</x:v>
      </x:c>
      <x:c r="K253" t="str">
        <x:v>AkShare / Tencent all-A market snapshot</x:v>
      </x:c>
      <x:c r="L253" t="str">
        <x:v>ProxyError: primary market source unavailable; see source_id for full audit.</x:v>
      </x:c>
      <x:c r="M253" t="str">
        <x:v>0</x:v>
      </x:c>
      <x:c r="N253" t="str">
        <x:v>0fd6ad2d-3389-4e70-8974-eb85ee223eeb</x:v>
      </x:c>
      <x:c r="O253" t="str">
        <x:v>2026-09-04</x:v>
      </x:c>
    </x:row>
    <x:row r="254">
      <x:c r="A254" t="str">
        <x:v>600710</x:v>
      </x:c>
      <x:c r="B254" t="str">
        <x:v>苏美达</x:v>
      </x:c>
      <x:c r="C254" t="str">
        <x:v>主板</x:v>
      </x:c>
      <x:c r="D254" t="str">
        <x:v>待行业映射</x:v>
      </x:c>
      <x:c r="E254" t="n">
        <x:v>10.7</x:v>
      </x:c>
      <x:c r="F254" t="n">
        <x:v>10</x:v>
      </x:c>
      <x:c r="G254"/>
      <x:c r="H254" t="n">
        <x:v>139.82</x:v>
      </x:c>
      <x:c r="I254" t="n">
        <x:v>43.89</x:v>
      </x:c>
      <x:c r="J254" t="str">
        <x:v>initial_screen_pending_pb_financial_review</x:v>
      </x:c>
      <x:c r="K254" t="str">
        <x:v>AkShare / Tencent all-A market snapshot</x:v>
      </x:c>
      <x:c r="L254" t="str">
        <x:v>ProxyError: primary market source unavailable; see source_id for full audit.</x:v>
      </x:c>
      <x:c r="M254" t="str">
        <x:v>0</x:v>
      </x:c>
      <x:c r="N254" t="str">
        <x:v>0fd6ad2d-3389-4e70-8974-eb85ee223eeb</x:v>
      </x:c>
      <x:c r="O254" t="str">
        <x:v>2026-09-04</x:v>
      </x:c>
    </x:row>
    <x:row r="255">
      <x:c r="A255" t="str">
        <x:v>002709</x:v>
      </x:c>
      <x:c r="B255" t="str">
        <x:v>天赐材料</x:v>
      </x:c>
      <x:c r="C255" t="str">
        <x:v>主板</x:v>
      </x:c>
      <x:c r="D255" t="str">
        <x:v>待行业映射</x:v>
      </x:c>
      <x:c r="E255" t="n">
        <x:v>33.83</x:v>
      </x:c>
      <x:c r="F255" t="n">
        <x:v>17.44</x:v>
      </x:c>
      <x:c r="G255"/>
      <x:c r="H255" t="n">
        <x:v>689.65</x:v>
      </x:c>
      <x:c r="I255" t="n">
        <x:v>43.79</x:v>
      </x:c>
      <x:c r="J255" t="str">
        <x:v>initial_screen_pending_pb_financial_review</x:v>
      </x:c>
      <x:c r="K255" t="str">
        <x:v>AkShare / Tencent all-A market snapshot</x:v>
      </x:c>
      <x:c r="L255" t="str">
        <x:v>ProxyError: primary market source unavailable; see source_id for full audit.</x:v>
      </x:c>
      <x:c r="M255" t="str">
        <x:v>0</x:v>
      </x:c>
      <x:c r="N255" t="str">
        <x:v>0fd6ad2d-3389-4e70-8974-eb85ee223eeb</x:v>
      </x:c>
      <x:c r="O255" t="str">
        <x:v>2026-09-04</x:v>
      </x:c>
    </x:row>
    <x:row r="256">
      <x:c r="A256" t="str">
        <x:v>000791</x:v>
      </x:c>
      <x:c r="B256" t="str">
        <x:v>甘肃能源</x:v>
      </x:c>
      <x:c r="C256" t="str">
        <x:v>主板</x:v>
      </x:c>
      <x:c r="D256" t="str">
        <x:v>待行业映射</x:v>
      </x:c>
      <x:c r="E256" t="n">
        <x:v>7.22</x:v>
      </x:c>
      <x:c r="F256" t="n">
        <x:v>11.33</x:v>
      </x:c>
      <x:c r="G256"/>
      <x:c r="H256" t="n">
        <x:v>234.21</x:v>
      </x:c>
      <x:c r="I256" t="n">
        <x:v>43.74</x:v>
      </x:c>
      <x:c r="J256" t="str">
        <x:v>initial_screen_pending_pb_financial_review</x:v>
      </x:c>
      <x:c r="K256" t="str">
        <x:v>AkShare / Tencent all-A market snapshot</x:v>
      </x:c>
      <x:c r="L256" t="str">
        <x:v>ProxyError: primary market source unavailable; see source_id for full audit.</x:v>
      </x:c>
      <x:c r="M256" t="str">
        <x:v>0</x:v>
      </x:c>
      <x:c r="N256" t="str">
        <x:v>0fd6ad2d-3389-4e70-8974-eb85ee223eeb</x:v>
      </x:c>
      <x:c r="O256" t="str">
        <x:v>2026-09-04</x:v>
      </x:c>
    </x:row>
    <x:row r="257">
      <x:c r="A257" t="str">
        <x:v>600177</x:v>
      </x:c>
      <x:c r="B257" t="str">
        <x:v>雅戈尔</x:v>
      </x:c>
      <x:c r="C257" t="str">
        <x:v>主板</x:v>
      </x:c>
      <x:c r="D257" t="str">
        <x:v>待行业映射</x:v>
      </x:c>
      <x:c r="E257" t="n">
        <x:v>8.22</x:v>
      </x:c>
      <x:c r="F257" t="n">
        <x:v>13.31</x:v>
      </x:c>
      <x:c r="G257"/>
      <x:c r="H257" t="n">
        <x:v>380.05</x:v>
      </x:c>
      <x:c r="I257" t="n">
        <x:v>43.7</x:v>
      </x:c>
      <x:c r="J257" t="str">
        <x:v>initial_screen_pending_pb_financial_review</x:v>
      </x:c>
      <x:c r="K257" t="str">
        <x:v>AkShare / Tencent all-A market snapshot</x:v>
      </x:c>
      <x:c r="L257" t="str">
        <x:v>ProxyError: primary market source unavailable; see source_id for full audit.</x:v>
      </x:c>
      <x:c r="M257" t="str">
        <x:v>0</x:v>
      </x:c>
      <x:c r="N257" t="str">
        <x:v>0fd6ad2d-3389-4e70-8974-eb85ee223eeb</x:v>
      </x:c>
      <x:c r="O257" t="str">
        <x:v>2026-09-04</x:v>
      </x:c>
    </x:row>
    <x:row r="258">
      <x:c r="A258" t="str">
        <x:v>600406</x:v>
      </x:c>
      <x:c r="B258" t="str">
        <x:v>国电南瑞</x:v>
      </x:c>
      <x:c r="C258" t="str">
        <x:v>主板</x:v>
      </x:c>
      <x:c r="D258" t="str">
        <x:v>待行业映射</x:v>
      </x:c>
      <x:c r="E258" t="n">
        <x:v>22.71</x:v>
      </x:c>
      <x:c r="F258" t="n">
        <x:v>21.72</x:v>
      </x:c>
      <x:c r="G258"/>
      <x:c r="H258" t="n">
        <x:v>1824.01</x:v>
      </x:c>
      <x:c r="I258" t="n">
        <x:v>43.53</x:v>
      </x:c>
      <x:c r="J258" t="str">
        <x:v>initial_screen_pending_pb_financial_review</x:v>
      </x:c>
      <x:c r="K258" t="str">
        <x:v>AkShare / Tencent all-A market snapshot</x:v>
      </x:c>
      <x:c r="L258" t="str">
        <x:v>ProxyError: primary market source unavailable; see source_id for full audit.</x:v>
      </x:c>
      <x:c r="M258" t="str">
        <x:v>0</x:v>
      </x:c>
      <x:c r="N258" t="str">
        <x:v>0fd6ad2d-3389-4e70-8974-eb85ee223eeb</x:v>
      </x:c>
      <x:c r="O258" t="str">
        <x:v>2026-09-04</x:v>
      </x:c>
    </x:row>
    <x:row r="259">
      <x:c r="A259" t="str">
        <x:v>600461</x:v>
      </x:c>
      <x:c r="B259" t="str">
        <x:v>洪城环境</x:v>
      </x:c>
      <x:c r="C259" t="str">
        <x:v>主板</x:v>
      </x:c>
      <x:c r="D259" t="str">
        <x:v>待行业映射</x:v>
      </x:c>
      <x:c r="E259" t="n">
        <x:v>8.92</x:v>
      </x:c>
      <x:c r="F259" t="n">
        <x:v>9.82</x:v>
      </x:c>
      <x:c r="G259"/>
      <x:c r="H259" t="n">
        <x:v>114.55</x:v>
      </x:c>
      <x:c r="I259" t="n">
        <x:v>43.48</x:v>
      </x:c>
      <x:c r="J259" t="str">
        <x:v>initial_screen_pending_pb_financial_review</x:v>
      </x:c>
      <x:c r="K259" t="str">
        <x:v>AkShare / Tencent all-A market snapshot</x:v>
      </x:c>
      <x:c r="L259" t="str">
        <x:v>ProxyError: primary market source unavailable; see source_id for full audit.</x:v>
      </x:c>
      <x:c r="M259" t="str">
        <x:v>0</x:v>
      </x:c>
      <x:c r="N259" t="str">
        <x:v>0fd6ad2d-3389-4e70-8974-eb85ee223eeb</x:v>
      </x:c>
      <x:c r="O259" t="str">
        <x:v>2026-09-04</x:v>
      </x:c>
    </x:row>
    <x:row r="260">
      <x:c r="A260" t="str">
        <x:v>002468</x:v>
      </x:c>
      <x:c r="B260" t="str">
        <x:v>申通快递</x:v>
      </x:c>
      <x:c r="C260" t="str">
        <x:v>主板</x:v>
      </x:c>
      <x:c r="D260" t="str">
        <x:v>待行业映射</x:v>
      </x:c>
      <x:c r="E260" t="n">
        <x:v>14.31</x:v>
      </x:c>
      <x:c r="F260" t="n">
        <x:v>11.23</x:v>
      </x:c>
      <x:c r="G260"/>
      <x:c r="H260" t="n">
        <x:v>219.06</x:v>
      </x:c>
      <x:c r="I260" t="n">
        <x:v>43.47</x:v>
      </x:c>
      <x:c r="J260" t="str">
        <x:v>initial_screen_pending_pb_financial_review</x:v>
      </x:c>
      <x:c r="K260" t="str">
        <x:v>AkShare / Tencent all-A market snapshot</x:v>
      </x:c>
      <x:c r="L260" t="str">
        <x:v>ProxyError: primary market source unavailable; see source_id for full audit.</x:v>
      </x:c>
      <x:c r="M260" t="str">
        <x:v>0</x:v>
      </x:c>
      <x:c r="N260" t="str">
        <x:v>0fd6ad2d-3389-4e70-8974-eb85ee223eeb</x:v>
      </x:c>
      <x:c r="O260" t="str">
        <x:v>2026-09-04</x:v>
      </x:c>
    </x:row>
    <x:row r="261">
      <x:c r="A261" t="str">
        <x:v>600720</x:v>
      </x:c>
      <x:c r="B261" t="str">
        <x:v>中交设计</x:v>
      </x:c>
      <x:c r="C261" t="str">
        <x:v>主板</x:v>
      </x:c>
      <x:c r="D261" t="str">
        <x:v>待行业映射</x:v>
      </x:c>
      <x:c r="E261" t="n">
        <x:v>5.2</x:v>
      </x:c>
      <x:c r="F261" t="n">
        <x:v>9.91</x:v>
      </x:c>
      <x:c r="G261"/>
      <x:c r="H261" t="n">
        <x:v>119.32</x:v>
      </x:c>
      <x:c r="I261" t="n">
        <x:v>43.41</x:v>
      </x:c>
      <x:c r="J261" t="str">
        <x:v>initial_screen_pending_pb_financial_review</x:v>
      </x:c>
      <x:c r="K261" t="str">
        <x:v>AkShare / Tencent all-A market snapshot</x:v>
      </x:c>
      <x:c r="L261" t="str">
        <x:v>ProxyError: primary market source unavailable; see source_id for full audit.</x:v>
      </x:c>
      <x:c r="M261" t="str">
        <x:v>0</x:v>
      </x:c>
      <x:c r="N261" t="str">
        <x:v>0fd6ad2d-3389-4e70-8974-eb85ee223eeb</x:v>
      </x:c>
      <x:c r="O261" t="str">
        <x:v>2026-09-04</x:v>
      </x:c>
    </x:row>
    <x:row r="262">
      <x:c r="A262" t="str">
        <x:v>600711</x:v>
      </x:c>
      <x:c r="B262" t="str">
        <x:v>盛屯矿业</x:v>
      </x:c>
      <x:c r="C262" t="str">
        <x:v>主板</x:v>
      </x:c>
      <x:c r="D262" t="str">
        <x:v>待行业映射</x:v>
      </x:c>
      <x:c r="E262" t="n">
        <x:v>11.52</x:v>
      </x:c>
      <x:c r="F262" t="n">
        <x:v>13.12</x:v>
      </x:c>
      <x:c r="G262"/>
      <x:c r="H262" t="n">
        <x:v>356.04</x:v>
      </x:c>
      <x:c r="I262" t="n">
        <x:v>43.35</x:v>
      </x:c>
      <x:c r="J262" t="str">
        <x:v>initial_screen_pending_pb_financial_review</x:v>
      </x:c>
      <x:c r="K262" t="str">
        <x:v>AkShare / Tencent all-A market snapshot</x:v>
      </x:c>
      <x:c r="L262" t="str">
        <x:v>ProxyError: primary market source unavailable; see source_id for full audit.</x:v>
      </x:c>
      <x:c r="M262" t="str">
        <x:v>0</x:v>
      </x:c>
      <x:c r="N262" t="str">
        <x:v>0fd6ad2d-3389-4e70-8974-eb85ee223eeb</x:v>
      </x:c>
      <x:c r="O262" t="str">
        <x:v>2026-09-04</x:v>
      </x:c>
    </x:row>
    <x:row r="263">
      <x:c r="A263" t="str">
        <x:v>002588</x:v>
      </x:c>
      <x:c r="B263" t="str">
        <x:v>史丹利</x:v>
      </x:c>
      <x:c r="C263" t="str">
        <x:v>主板</x:v>
      </x:c>
      <x:c r="D263" t="str">
        <x:v>待行业映射</x:v>
      </x:c>
      <x:c r="E263" t="n">
        <x:v>8.08</x:v>
      </x:c>
      <x:c r="F263" t="n">
        <x:v>9.59</x:v>
      </x:c>
      <x:c r="G263"/>
      <x:c r="H263" t="n">
        <x:v>93.07</x:v>
      </x:c>
      <x:c r="I263" t="n">
        <x:v>43.32</x:v>
      </x:c>
      <x:c r="J263" t="str">
        <x:v>initial_screen_pending_pb_financial_review</x:v>
      </x:c>
      <x:c r="K263" t="str">
        <x:v>AkShare / Tencent all-A market snapshot</x:v>
      </x:c>
      <x:c r="L263" t="str">
        <x:v>ProxyError: primary market source unavailable; see source_id for full audit.</x:v>
      </x:c>
      <x:c r="M263" t="str">
        <x:v>0</x:v>
      </x:c>
      <x:c r="N263" t="str">
        <x:v>0fd6ad2d-3389-4e70-8974-eb85ee223eeb</x:v>
      </x:c>
      <x:c r="O263" t="str">
        <x:v>2026-09-04</x:v>
      </x:c>
    </x:row>
    <x:row r="264">
      <x:c r="A264" t="str">
        <x:v>600987</x:v>
      </x:c>
      <x:c r="B264" t="str">
        <x:v>航民股份</x:v>
      </x:c>
      <x:c r="C264" t="str">
        <x:v>主板</x:v>
      </x:c>
      <x:c r="D264" t="str">
        <x:v>待行业映射</x:v>
      </x:c>
      <x:c r="E264" t="n">
        <x:v>6.52</x:v>
      </x:c>
      <x:c r="F264" t="n">
        <x:v>9.24</x:v>
      </x:c>
      <x:c r="G264"/>
      <x:c r="H264" t="n">
        <x:v>66.56</x:v>
      </x:c>
      <x:c r="I264" t="n">
        <x:v>43.31</x:v>
      </x:c>
      <x:c r="J264" t="str">
        <x:v>initial_screen_pending_pb_financial_review</x:v>
      </x:c>
      <x:c r="K264" t="str">
        <x:v>AkShare / Tencent all-A market snapshot</x:v>
      </x:c>
      <x:c r="L264" t="str">
        <x:v>ProxyError: primary market source unavailable; see source_id for full audit.</x:v>
      </x:c>
      <x:c r="M264" t="str">
        <x:v>0</x:v>
      </x:c>
      <x:c r="N264" t="str">
        <x:v>0fd6ad2d-3389-4e70-8974-eb85ee223eeb</x:v>
      </x:c>
      <x:c r="O264" t="str">
        <x:v>2026-09-04</x:v>
      </x:c>
    </x:row>
    <x:row r="265">
      <x:c r="A265" t="str">
        <x:v>000589</x:v>
      </x:c>
      <x:c r="B265" t="str">
        <x:v>贵州轮胎</x:v>
      </x:c>
      <x:c r="C265" t="str">
        <x:v>主板</x:v>
      </x:c>
      <x:c r="D265" t="str">
        <x:v>待行业映射</x:v>
      </x:c>
      <x:c r="E265" t="n">
        <x:v>4.35</x:v>
      </x:c>
      <x:c r="F265" t="n">
        <x:v>9.26</x:v>
      </x:c>
      <x:c r="G265"/>
      <x:c r="H265" t="n">
        <x:v>67.62</x:v>
      </x:c>
      <x:c r="I265" t="n">
        <x:v>43.29</x:v>
      </x:c>
      <x:c r="J265" t="str">
        <x:v>initial_screen_pending_pb_financial_review</x:v>
      </x:c>
      <x:c r="K265" t="str">
        <x:v>AkShare / Tencent all-A market snapshot</x:v>
      </x:c>
      <x:c r="L265" t="str">
        <x:v>ProxyError: primary market source unavailable; see source_id for full audit.</x:v>
      </x:c>
      <x:c r="M265" t="str">
        <x:v>0</x:v>
      </x:c>
      <x:c r="N265" t="str">
        <x:v>0fd6ad2d-3389-4e70-8974-eb85ee223eeb</x:v>
      </x:c>
      <x:c r="O265" t="str">
        <x:v>2026-09-04</x:v>
      </x:c>
    </x:row>
    <x:row r="266">
      <x:c r="A266" t="str">
        <x:v>000690</x:v>
      </x:c>
      <x:c r="B266" t="str">
        <x:v>宝新能源</x:v>
      </x:c>
      <x:c r="C266" t="str">
        <x:v>主板</x:v>
      </x:c>
      <x:c r="D266" t="str">
        <x:v>待行业映射</x:v>
      </x:c>
      <x:c r="E266" t="n">
        <x:v>4.95</x:v>
      </x:c>
      <x:c r="F266" t="n">
        <x:v>9.8</x:v>
      </x:c>
      <x:c r="G266"/>
      <x:c r="H266" t="n">
        <x:v>107.71</x:v>
      </x:c>
      <x:c r="I266" t="n">
        <x:v>43.29</x:v>
      </x:c>
      <x:c r="J266" t="str">
        <x:v>initial_screen_pending_pb_financial_review</x:v>
      </x:c>
      <x:c r="K266" t="str">
        <x:v>AkShare / Tencent all-A market snapshot</x:v>
      </x:c>
      <x:c r="L266" t="str">
        <x:v>ProxyError: primary market source unavailable; see source_id for full audit.</x:v>
      </x:c>
      <x:c r="M266" t="str">
        <x:v>0</x:v>
      </x:c>
      <x:c r="N266" t="str">
        <x:v>0fd6ad2d-3389-4e70-8974-eb85ee223eeb</x:v>
      </x:c>
      <x:c r="O266" t="str">
        <x:v>2026-09-04</x:v>
      </x:c>
    </x:row>
    <x:row r="267">
      <x:c r="A267" t="str">
        <x:v>600332</x:v>
      </x:c>
      <x:c r="B267" t="str">
        <x:v>白云山</x:v>
      </x:c>
      <x:c r="C267" t="str">
        <x:v>主板</x:v>
      </x:c>
      <x:c r="D267" t="str">
        <x:v>待行业映射</x:v>
      </x:c>
      <x:c r="E267" t="n">
        <x:v>20.24</x:v>
      </x:c>
      <x:c r="F267" t="n">
        <x:v>12.84</x:v>
      </x:c>
      <x:c r="G267"/>
      <x:c r="H267" t="n">
        <x:v>329.06</x:v>
      </x:c>
      <x:c r="I267" t="n">
        <x:v>43.13</x:v>
      </x:c>
      <x:c r="J267" t="str">
        <x:v>initial_screen_pending_pb_financial_review</x:v>
      </x:c>
      <x:c r="K267" t="str">
        <x:v>AkShare / Tencent all-A market snapshot</x:v>
      </x:c>
      <x:c r="L267" t="str">
        <x:v>ProxyError: primary market source unavailable; see source_id for full audit.</x:v>
      </x:c>
      <x:c r="M267" t="str">
        <x:v>0</x:v>
      </x:c>
      <x:c r="N267" t="str">
        <x:v>0fd6ad2d-3389-4e70-8974-eb85ee223eeb</x:v>
      </x:c>
      <x:c r="O267" t="str">
        <x:v>2026-09-04</x:v>
      </x:c>
    </x:row>
    <x:row r="268">
      <x:c r="A268" t="str">
        <x:v>601811</x:v>
      </x:c>
      <x:c r="B268" t="str">
        <x:v>新华文轩</x:v>
      </x:c>
      <x:c r="C268" t="str">
        <x:v>主板</x:v>
      </x:c>
      <x:c r="D268" t="str">
        <x:v>待行业映射</x:v>
      </x:c>
      <x:c r="E268" t="n">
        <x:v>11.49</x:v>
      </x:c>
      <x:c r="F268" t="n">
        <x:v>10.38</x:v>
      </x:c>
      <x:c r="G268"/>
      <x:c r="H268" t="n">
        <x:v>141.77</x:v>
      </x:c>
      <x:c r="I268" t="n">
        <x:v>42.97</x:v>
      </x:c>
      <x:c r="J268" t="str">
        <x:v>initial_screen_pending_pb_financial_review</x:v>
      </x:c>
      <x:c r="K268" t="str">
        <x:v>AkShare / Tencent all-A market snapshot</x:v>
      </x:c>
      <x:c r="L268" t="str">
        <x:v>ProxyError: primary market source unavailable; see source_id for full audit.</x:v>
      </x:c>
      <x:c r="M268" t="str">
        <x:v>0</x:v>
      </x:c>
      <x:c r="N268" t="str">
        <x:v>0fd6ad2d-3389-4e70-8974-eb85ee223eeb</x:v>
      </x:c>
      <x:c r="O268" t="str">
        <x:v>2026-09-04</x:v>
      </x:c>
    </x:row>
    <x:row r="269">
      <x:c r="A269" t="str">
        <x:v>002818</x:v>
      </x:c>
      <x:c r="B269" t="str">
        <x:v>富森美</x:v>
      </x:c>
      <x:c r="C269" t="str">
        <x:v>主板</x:v>
      </x:c>
      <x:c r="D269" t="str">
        <x:v>待行业映射</x:v>
      </x:c>
      <x:c r="E269" t="n">
        <x:v>11.03</x:v>
      </x:c>
      <x:c r="F269" t="n">
        <x:v>9.59</x:v>
      </x:c>
      <x:c r="G269"/>
      <x:c r="H269" t="n">
        <x:v>82.56</x:v>
      </x:c>
      <x:c r="I269" t="n">
        <x:v>42.96</x:v>
      </x:c>
      <x:c r="J269" t="str">
        <x:v>initial_screen_pending_pb_financial_review</x:v>
      </x:c>
      <x:c r="K269" t="str">
        <x:v>AkShare / Tencent all-A market snapshot</x:v>
      </x:c>
      <x:c r="L269" t="str">
        <x:v>ProxyError: primary market source unavailable; see source_id for full audit.</x:v>
      </x:c>
      <x:c r="M269" t="str">
        <x:v>0</x:v>
      </x:c>
      <x:c r="N269" t="str">
        <x:v>0fd6ad2d-3389-4e70-8974-eb85ee223eeb</x:v>
      </x:c>
      <x:c r="O269" t="str">
        <x:v>2026-09-04</x:v>
      </x:c>
    </x:row>
    <x:row r="270">
      <x:c r="A270" t="str">
        <x:v>600025</x:v>
      </x:c>
      <x:c r="B270" t="str">
        <x:v>华能水电</x:v>
      </x:c>
      <x:c r="C270" t="str">
        <x:v>主板</x:v>
      </x:c>
      <x:c r="D270" t="str">
        <x:v>待行业映射</x:v>
      </x:c>
      <x:c r="E270" t="n">
        <x:v>9.76</x:v>
      </x:c>
      <x:c r="F270" t="n">
        <x:v>21.98</x:v>
      </x:c>
      <x:c r="G270"/>
      <x:c r="H270" t="n">
        <x:v>1818.39</x:v>
      </x:c>
      <x:c r="I270" t="n">
        <x:v>42.85</x:v>
      </x:c>
      <x:c r="J270" t="str">
        <x:v>initial_screen_pending_pb_financial_review</x:v>
      </x:c>
      <x:c r="K270" t="str">
        <x:v>AkShare / Tencent all-A market snapshot</x:v>
      </x:c>
      <x:c r="L270" t="str">
        <x:v>ProxyError: primary market source unavailable; see source_id for full audit.</x:v>
      </x:c>
      <x:c r="M270" t="str">
        <x:v>0</x:v>
      </x:c>
      <x:c r="N270" t="str">
        <x:v>0fd6ad2d-3389-4e70-8974-eb85ee223eeb</x:v>
      </x:c>
      <x:c r="O270" t="str">
        <x:v>2026-09-04</x:v>
      </x:c>
    </x:row>
    <x:row r="271">
      <x:c r="A271" t="str">
        <x:v>002091</x:v>
      </x:c>
      <x:c r="B271" t="str">
        <x:v>江苏国泰</x:v>
      </x:c>
      <x:c r="C271" t="str">
        <x:v>主板</x:v>
      </x:c>
      <x:c r="D271" t="str">
        <x:v>待行业映射</x:v>
      </x:c>
      <x:c r="E271" t="n">
        <x:v>7.71</x:v>
      </x:c>
      <x:c r="F271" t="n">
        <x:v>10.3</x:v>
      </x:c>
      <x:c r="G271"/>
      <x:c r="H271" t="n">
        <x:v>125.5</x:v>
      </x:c>
      <x:c r="I271" t="n">
        <x:v>42.61</x:v>
      </x:c>
      <x:c r="J271" t="str">
        <x:v>initial_screen_pending_pb_financial_review</x:v>
      </x:c>
      <x:c r="K271" t="str">
        <x:v>AkShare / Tencent all-A market snapshot</x:v>
      </x:c>
      <x:c r="L271" t="str">
        <x:v>ProxyError: primary market source unavailable; see source_id for full audit.</x:v>
      </x:c>
      <x:c r="M271" t="str">
        <x:v>0</x:v>
      </x:c>
      <x:c r="N271" t="str">
        <x:v>0fd6ad2d-3389-4e70-8974-eb85ee223eeb</x:v>
      </x:c>
      <x:c r="O271" t="str">
        <x:v>2026-09-04</x:v>
      </x:c>
    </x:row>
    <x:row r="272">
      <x:c r="A272" t="str">
        <x:v>600861</x:v>
      </x:c>
      <x:c r="B272" t="str">
        <x:v>北京人力</x:v>
      </x:c>
      <x:c r="C272" t="str">
        <x:v>主板</x:v>
      </x:c>
      <x:c r="D272" t="str">
        <x:v>待行业映射</x:v>
      </x:c>
      <x:c r="E272" t="n">
        <x:v>13.04</x:v>
      </x:c>
      <x:c r="F272" t="n">
        <x:v>9.63</x:v>
      </x:c>
      <x:c r="G272"/>
      <x:c r="H272" t="n">
        <x:v>73.82</x:v>
      </x:c>
      <x:c r="I272" t="n">
        <x:v>42.55</x:v>
      </x:c>
      <x:c r="J272" t="str">
        <x:v>initial_screen_pending_pb_financial_review</x:v>
      </x:c>
      <x:c r="K272" t="str">
        <x:v>AkShare / Tencent all-A market snapshot</x:v>
      </x:c>
      <x:c r="L272" t="str">
        <x:v>ProxyError: primary market source unavailable; see source_id for full audit.</x:v>
      </x:c>
      <x:c r="M272" t="str">
        <x:v>0</x:v>
      </x:c>
      <x:c r="N272" t="str">
        <x:v>0fd6ad2d-3389-4e70-8974-eb85ee223eeb</x:v>
      </x:c>
      <x:c r="O272" t="str">
        <x:v>2026-09-04</x:v>
      </x:c>
    </x:row>
    <x:row r="273">
      <x:c r="A273" t="str">
        <x:v>002926</x:v>
      </x:c>
      <x:c r="B273" t="str">
        <x:v>华西证券</x:v>
      </x:c>
      <x:c r="C273" t="str">
        <x:v>主板</x:v>
      </x:c>
      <x:c r="D273" t="str">
        <x:v>待行业映射</x:v>
      </x:c>
      <x:c r="E273" t="n">
        <x:v>8.58</x:v>
      </x:c>
      <x:c r="F273" t="n">
        <x:v>11.67</x:v>
      </x:c>
      <x:c r="G273"/>
      <x:c r="H273" t="n">
        <x:v>225.22</x:v>
      </x:c>
      <x:c r="I273" t="n">
        <x:v>42.54</x:v>
      </x:c>
      <x:c r="J273" t="str">
        <x:v>initial_screen_pending_pb_financial_review</x:v>
      </x:c>
      <x:c r="K273" t="str">
        <x:v>AkShare / Tencent all-A market snapshot</x:v>
      </x:c>
      <x:c r="L273" t="str">
        <x:v>ProxyError: primary market source unavailable; see source_id for full audit.</x:v>
      </x:c>
      <x:c r="M273" t="str">
        <x:v>0</x:v>
      </x:c>
      <x:c r="N273" t="str">
        <x:v>0fd6ad2d-3389-4e70-8974-eb85ee223eeb</x:v>
      </x:c>
      <x:c r="O273" t="str">
        <x:v>2026-09-04</x:v>
      </x:c>
    </x:row>
    <x:row r="274">
      <x:c r="A274" t="str">
        <x:v>600109</x:v>
      </x:c>
      <x:c r="B274" t="str">
        <x:v>国金证券</x:v>
      </x:c>
      <x:c r="C274" t="str">
        <x:v>主板</x:v>
      </x:c>
      <x:c r="D274" t="str">
        <x:v>待行业映射</x:v>
      </x:c>
      <x:c r="E274" t="n">
        <x:v>8.74</x:v>
      </x:c>
      <x:c r="F274" t="n">
        <x:v>12.98</x:v>
      </x:c>
      <x:c r="G274"/>
      <x:c r="H274" t="n">
        <x:v>321.92</x:v>
      </x:c>
      <x:c r="I274" t="n">
        <x:v>42.52</x:v>
      </x:c>
      <x:c r="J274" t="str">
        <x:v>initial_screen_pending_pb_financial_review</x:v>
      </x:c>
      <x:c r="K274" t="str">
        <x:v>AkShare / Tencent all-A market snapshot</x:v>
      </x:c>
      <x:c r="L274" t="str">
        <x:v>ProxyError: primary market source unavailable; see source_id for full audit.</x:v>
      </x:c>
      <x:c r="M274" t="str">
        <x:v>0</x:v>
      </x:c>
      <x:c r="N274" t="str">
        <x:v>0fd6ad2d-3389-4e70-8974-eb85ee223eeb</x:v>
      </x:c>
      <x:c r="O274" t="str">
        <x:v>2026-09-04</x:v>
      </x:c>
    </x:row>
    <x:row r="275">
      <x:c r="A275" t="str">
        <x:v>301219</x:v>
      </x:c>
      <x:c r="B275" t="str">
        <x:v>腾远钴业</x:v>
      </x:c>
      <x:c r="C275" t="str">
        <x:v>创业板</x:v>
      </x:c>
      <x:c r="D275" t="str">
        <x:v>待行业映射</x:v>
      </x:c>
      <x:c r="E275" t="n">
        <x:v>43.27</x:v>
      </x:c>
      <x:c r="F275" t="n">
        <x:v>10.88</x:v>
      </x:c>
      <x:c r="G275"/>
      <x:c r="H275" t="n">
        <x:v>165.65</x:v>
      </x:c>
      <x:c r="I275" t="n">
        <x:v>42.51</x:v>
      </x:c>
      <x:c r="J275" t="str">
        <x:v>initial_screen_pending_pb_financial_review</x:v>
      </x:c>
      <x:c r="K275" t="str">
        <x:v>AkShare / Tencent all-A market snapshot</x:v>
      </x:c>
      <x:c r="L275" t="str">
        <x:v>ProxyError: primary market source unavailable; see source_id for full audit.</x:v>
      </x:c>
      <x:c r="M275" t="str">
        <x:v>0</x:v>
      </x:c>
      <x:c r="N275" t="str">
        <x:v>0fd6ad2d-3389-4e70-8974-eb85ee223eeb</x:v>
      </x:c>
      <x:c r="O275" t="str">
        <x:v>2026-09-04</x:v>
      </x:c>
    </x:row>
    <x:row r="276">
      <x:c r="A276" t="str">
        <x:v>000902</x:v>
      </x:c>
      <x:c r="B276" t="str">
        <x:v>新洋丰</x:v>
      </x:c>
      <x:c r="C276" t="str">
        <x:v>主板</x:v>
      </x:c>
      <x:c r="D276" t="str">
        <x:v>待行业映射</x:v>
      </x:c>
      <x:c r="E276" t="n">
        <x:v>14.33</x:v>
      </x:c>
      <x:c r="F276" t="n">
        <x:v>11.09</x:v>
      </x:c>
      <x:c r="G276"/>
      <x:c r="H276" t="n">
        <x:v>179.8</x:v>
      </x:c>
      <x:c r="I276" t="n">
        <x:v>42.46</x:v>
      </x:c>
      <x:c r="J276" t="str">
        <x:v>initial_screen_pending_pb_financial_review</x:v>
      </x:c>
      <x:c r="K276" t="str">
        <x:v>AkShare / Tencent all-A market snapshot</x:v>
      </x:c>
      <x:c r="L276" t="str">
        <x:v>ProxyError: primary market source unavailable; see source_id for full audit.</x:v>
      </x:c>
      <x:c r="M276" t="str">
        <x:v>0</x:v>
      </x:c>
      <x:c r="N276" t="str">
        <x:v>0fd6ad2d-3389-4e70-8974-eb85ee223eeb</x:v>
      </x:c>
      <x:c r="O276" t="str">
        <x:v>2026-09-04</x:v>
      </x:c>
    </x:row>
    <x:row r="277">
      <x:c r="A277" t="str">
        <x:v>000563</x:v>
      </x:c>
      <x:c r="B277" t="str">
        <x:v>陕国投Ａ</x:v>
      </x:c>
      <x:c r="C277" t="str">
        <x:v>主板</x:v>
      </x:c>
      <x:c r="D277" t="str">
        <x:v>待行业映射</x:v>
      </x:c>
      <x:c r="E277" t="n">
        <x:v>3.04</x:v>
      </x:c>
      <x:c r="F277" t="n">
        <x:v>10.83</x:v>
      </x:c>
      <x:c r="G277"/>
      <x:c r="H277" t="n">
        <x:v>155.46</x:v>
      </x:c>
      <x:c r="I277" t="n">
        <x:v>42.28</x:v>
      </x:c>
      <x:c r="J277" t="str">
        <x:v>initial_screen_pending_pb_financial_review</x:v>
      </x:c>
      <x:c r="K277" t="str">
        <x:v>AkShare / Tencent all-A market snapshot</x:v>
      </x:c>
      <x:c r="L277" t="str">
        <x:v>ProxyError: primary market source unavailable; see source_id for full audit.</x:v>
      </x:c>
      <x:c r="M277" t="str">
        <x:v>0</x:v>
      </x:c>
      <x:c r="N277" t="str">
        <x:v>0fd6ad2d-3389-4e70-8974-eb85ee223eeb</x:v>
      </x:c>
      <x:c r="O277" t="str">
        <x:v>2026-09-04</x:v>
      </x:c>
    </x:row>
    <x:row r="278">
      <x:c r="A278" t="str">
        <x:v>002668</x:v>
      </x:c>
      <x:c r="B278" t="str">
        <x:v>TCL智家</x:v>
      </x:c>
      <x:c r="C278" t="str">
        <x:v>主板</x:v>
      </x:c>
      <x:c r="D278" t="str">
        <x:v>待行业映射</x:v>
      </x:c>
      <x:c r="E278" t="n">
        <x:v>9.27</x:v>
      </x:c>
      <x:c r="F278" t="n">
        <x:v>10.09</x:v>
      </x:c>
      <x:c r="G278"/>
      <x:c r="H278" t="n">
        <x:v>100.5</x:v>
      </x:c>
      <x:c r="I278" t="n">
        <x:v>42.28</x:v>
      </x:c>
      <x:c r="J278" t="str">
        <x:v>initial_screen_pending_pb_financial_review</x:v>
      </x:c>
      <x:c r="K278" t="str">
        <x:v>AkShare / Tencent all-A market snapshot</x:v>
      </x:c>
      <x:c r="L278" t="str">
        <x:v>ProxyError: primary market source unavailable; see source_id for full audit.</x:v>
      </x:c>
      <x:c r="M278" t="str">
        <x:v>0</x:v>
      </x:c>
      <x:c r="N278" t="str">
        <x:v>0fd6ad2d-3389-4e70-8974-eb85ee223eeb</x:v>
      </x:c>
      <x:c r="O278" t="str">
        <x:v>2026-09-04</x:v>
      </x:c>
    </x:row>
    <x:row r="279">
      <x:c r="A279" t="str">
        <x:v>603368</x:v>
      </x:c>
      <x:c r="B279" t="str">
        <x:v>柳药集团</x:v>
      </x:c>
      <x:c r="C279" t="str">
        <x:v>主板</x:v>
      </x:c>
      <x:c r="D279" t="str">
        <x:v>待行业映射</x:v>
      </x:c>
      <x:c r="E279" t="n">
        <x:v>15.68</x:v>
      </x:c>
      <x:c r="F279" t="n">
        <x:v>9.59</x:v>
      </x:c>
      <x:c r="G279"/>
      <x:c r="H279" t="n">
        <x:v>62.28</x:v>
      </x:c>
      <x:c r="I279" t="n">
        <x:v>42.25</x:v>
      </x:c>
      <x:c r="J279" t="str">
        <x:v>initial_screen_pending_pb_financial_review</x:v>
      </x:c>
      <x:c r="K279" t="str">
        <x:v>AkShare / Tencent all-A market snapshot</x:v>
      </x:c>
      <x:c r="L279" t="str">
        <x:v>ProxyError: primary market source unavailable; see source_id for full audit.</x:v>
      </x:c>
      <x:c r="M279" t="str">
        <x:v>0</x:v>
      </x:c>
      <x:c r="N279" t="str">
        <x:v>0fd6ad2d-3389-4e70-8974-eb85ee223eeb</x:v>
      </x:c>
      <x:c r="O279" t="str">
        <x:v>2026-09-04</x:v>
      </x:c>
    </x:row>
    <x:row r="280">
      <x:c r="A280" t="str">
        <x:v>000921</x:v>
      </x:c>
      <x:c r="B280" t="str">
        <x:v>海信家电</x:v>
      </x:c>
      <x:c r="C280" t="str">
        <x:v>主板</x:v>
      </x:c>
      <x:c r="D280" t="str">
        <x:v>待行业映射</x:v>
      </x:c>
      <x:c r="E280" t="n">
        <x:v>27.88</x:v>
      </x:c>
      <x:c r="F280" t="n">
        <x:v>13.95</x:v>
      </x:c>
      <x:c r="G280"/>
      <x:c r="H280" t="n">
        <x:v>386.1</x:v>
      </x:c>
      <x:c r="I280" t="n">
        <x:v>42.24</x:v>
      </x:c>
      <x:c r="J280" t="str">
        <x:v>initial_screen_pending_pb_financial_review</x:v>
      </x:c>
      <x:c r="K280" t="str">
        <x:v>AkShare / Tencent all-A market snapshot</x:v>
      </x:c>
      <x:c r="L280" t="str">
        <x:v>ProxyError: primary market source unavailable; see source_id for full audit.</x:v>
      </x:c>
      <x:c r="M280" t="str">
        <x:v>0</x:v>
      </x:c>
      <x:c r="N280" t="str">
        <x:v>0fd6ad2d-3389-4e70-8974-eb85ee223eeb</x:v>
      </x:c>
      <x:c r="O280" t="str">
        <x:v>2026-09-04</x:v>
      </x:c>
    </x:row>
    <x:row r="281">
      <x:c r="A281" t="str">
        <x:v>003816</x:v>
      </x:c>
      <x:c r="B281" t="str">
        <x:v>中国广核</x:v>
      </x:c>
      <x:c r="C281" t="str">
        <x:v>主板</x:v>
      </x:c>
      <x:c r="D281" t="str">
        <x:v>待行业映射</x:v>
      </x:c>
      <x:c r="E281" t="n">
        <x:v>4.37</x:v>
      </x:c>
      <x:c r="F281" t="n">
        <x:v>22.24</x:v>
      </x:c>
      <x:c r="G281"/>
      <x:c r="H281" t="n">
        <x:v>2206.8</x:v>
      </x:c>
      <x:c r="I281" t="n">
        <x:v>42.18</x:v>
      </x:c>
      <x:c r="J281" t="str">
        <x:v>initial_screen_pending_pb_financial_review</x:v>
      </x:c>
      <x:c r="K281" t="str">
        <x:v>AkShare / Tencent all-A market snapshot</x:v>
      </x:c>
      <x:c r="L281" t="str">
        <x:v>ProxyError: primary market source unavailable; see source_id for full audit.</x:v>
      </x:c>
      <x:c r="M281" t="str">
        <x:v>0</x:v>
      </x:c>
      <x:c r="N281" t="str">
        <x:v>0fd6ad2d-3389-4e70-8974-eb85ee223eeb</x:v>
      </x:c>
      <x:c r="O281" t="str">
        <x:v>2026-09-04</x:v>
      </x:c>
    </x:row>
    <x:row r="282">
      <x:c r="A282" t="str">
        <x:v>300475</x:v>
      </x:c>
      <x:c r="B282" t="str">
        <x:v>香农芯创</x:v>
      </x:c>
      <x:c r="C282" t="str">
        <x:v>创业板</x:v>
      </x:c>
      <x:c r="D282" t="str">
        <x:v>待行业映射</x:v>
      </x:c>
      <x:c r="E282" t="n">
        <x:v>164.85</x:v>
      </x:c>
      <x:c r="F282" t="n">
        <x:v>19.22</x:v>
      </x:c>
      <x:c r="G282"/>
      <x:c r="H282" t="n">
        <x:v>774.04</x:v>
      </x:c>
      <x:c r="I282" t="n">
        <x:v>42.12</x:v>
      </x:c>
      <x:c r="J282" t="str">
        <x:v>initial_screen_pending_pb_financial_review</x:v>
      </x:c>
      <x:c r="K282" t="str">
        <x:v>AkShare / Tencent all-A market snapshot</x:v>
      </x:c>
      <x:c r="L282" t="str">
        <x:v>ProxyError: primary market source unavailable; see source_id for full audit.</x:v>
      </x:c>
      <x:c r="M282" t="str">
        <x:v>0</x:v>
      </x:c>
      <x:c r="N282" t="str">
        <x:v>0fd6ad2d-3389-4e70-8974-eb85ee223eeb</x:v>
      </x:c>
      <x:c r="O282" t="str">
        <x:v>2026-09-04</x:v>
      </x:c>
    </x:row>
    <x:row r="283">
      <x:c r="A283" t="str">
        <x:v>601900</x:v>
      </x:c>
      <x:c r="B283" t="str">
        <x:v>南方传媒</x:v>
      </x:c>
      <x:c r="C283" t="str">
        <x:v>主板</x:v>
      </x:c>
      <x:c r="D283" t="str">
        <x:v>待行业映射</x:v>
      </x:c>
      <x:c r="E283" t="n">
        <x:v>12.45</x:v>
      </x:c>
      <x:c r="F283" t="n">
        <x:v>10.29</x:v>
      </x:c>
      <x:c r="G283"/>
      <x:c r="H283" t="n">
        <x:v>109.81</x:v>
      </x:c>
      <x:c r="I283" t="n">
        <x:v>42.09</x:v>
      </x:c>
      <x:c r="J283" t="str">
        <x:v>initial_screen_pending_pb_financial_review</x:v>
      </x:c>
      <x:c r="K283" t="str">
        <x:v>AkShare / Tencent all-A market snapshot</x:v>
      </x:c>
      <x:c r="L283" t="str">
        <x:v>ProxyError: primary market source unavailable; see source_id for full audit.</x:v>
      </x:c>
      <x:c r="M283" t="str">
        <x:v>0</x:v>
      </x:c>
      <x:c r="N283" t="str">
        <x:v>0fd6ad2d-3389-4e70-8974-eb85ee223eeb</x:v>
      </x:c>
      <x:c r="O283" t="str">
        <x:v>2026-09-04</x:v>
      </x:c>
    </x:row>
    <x:row r="284">
      <x:c r="A284" t="str">
        <x:v>603296</x:v>
      </x:c>
      <x:c r="B284" t="str">
        <x:v>华勤技术</x:v>
      </x:c>
      <x:c r="C284" t="str">
        <x:v>主板</x:v>
      </x:c>
      <x:c r="D284" t="str">
        <x:v>待行业映射</x:v>
      </x:c>
      <x:c r="E284" t="n">
        <x:v>75.98</x:v>
      </x:c>
      <x:c r="F284" t="n">
        <x:v>22.3</x:v>
      </x:c>
      <x:c r="G284"/>
      <x:c r="H284" t="n">
        <x:v>1151.71</x:v>
      </x:c>
      <x:c r="I284" t="n">
        <x:v>42.02</x:v>
      </x:c>
      <x:c r="J284" t="str">
        <x:v>initial_screen_pending_pb_financial_review</x:v>
      </x:c>
      <x:c r="K284" t="str">
        <x:v>AkShare / Tencent all-A market snapshot</x:v>
      </x:c>
      <x:c r="L284" t="str">
        <x:v>ProxyError: primary market source unavailable; see source_id for full audit.</x:v>
      </x:c>
      <x:c r="M284" t="str">
        <x:v>0</x:v>
      </x:c>
      <x:c r="N284" t="str">
        <x:v>0fd6ad2d-3389-4e70-8974-eb85ee223eeb</x:v>
      </x:c>
      <x:c r="O284" t="str">
        <x:v>2026-09-04</x:v>
      </x:c>
    </x:row>
    <x:row r="285">
      <x:c r="A285" t="str">
        <x:v>600874</x:v>
      </x:c>
      <x:c r="B285" t="str">
        <x:v>创业环保</x:v>
      </x:c>
      <x:c r="C285" t="str">
        <x:v>主板</x:v>
      </x:c>
      <x:c r="D285" t="str">
        <x:v>待行业映射</x:v>
      </x:c>
      <x:c r="E285" t="n">
        <x:v>5.61</x:v>
      </x:c>
      <x:c r="F285" t="n">
        <x:v>10.04</x:v>
      </x:c>
      <x:c r="G285"/>
      <x:c r="H285" t="n">
        <x:v>88.1</x:v>
      </x:c>
      <x:c r="I285" t="n">
        <x:v>41.98</x:v>
      </x:c>
      <x:c r="J285" t="str">
        <x:v>initial_screen_pending_pb_financial_review</x:v>
      </x:c>
      <x:c r="K285" t="str">
        <x:v>AkShare / Tencent all-A market snapshot</x:v>
      </x:c>
      <x:c r="L285" t="str">
        <x:v>ProxyError: primary market source unavailable; see source_id for full audit.</x:v>
      </x:c>
      <x:c r="M285" t="str">
        <x:v>0</x:v>
      </x:c>
      <x:c r="N285" t="str">
        <x:v>0fd6ad2d-3389-4e70-8974-eb85ee223eeb</x:v>
      </x:c>
      <x:c r="O285" t="str">
        <x:v>2026-09-04</x:v>
      </x:c>
    </x:row>
    <x:row r="286">
      <x:c r="A286" t="str">
        <x:v>300926</x:v>
      </x:c>
      <x:c r="B286" t="str">
        <x:v>博俊科技</x:v>
      </x:c>
      <x:c r="C286" t="str">
        <x:v>创业板</x:v>
      </x:c>
      <x:c r="D286" t="str">
        <x:v>待行业映射</x:v>
      </x:c>
      <x:c r="E286" t="n">
        <x:v>17.69</x:v>
      </x:c>
      <x:c r="F286" t="n">
        <x:v>9.9</x:v>
      </x:c>
      <x:c r="G286"/>
      <x:c r="H286" t="n">
        <x:v>76.83</x:v>
      </x:c>
      <x:c r="I286" t="n">
        <x:v>41.95</x:v>
      </x:c>
      <x:c r="J286" t="str">
        <x:v>initial_screen_pending_pb_financial_review</x:v>
      </x:c>
      <x:c r="K286" t="str">
        <x:v>AkShare / Tencent all-A market snapshot</x:v>
      </x:c>
      <x:c r="L286" t="str">
        <x:v>ProxyError: primary market source unavailable; see source_id for full audit.</x:v>
      </x:c>
      <x:c r="M286" t="str">
        <x:v>0</x:v>
      </x:c>
      <x:c r="N286" t="str">
        <x:v>0fd6ad2d-3389-4e70-8974-eb85ee223eeb</x:v>
      </x:c>
      <x:c r="O286" t="str">
        <x:v>2026-09-04</x:v>
      </x:c>
    </x:row>
    <x:row r="287">
      <x:c r="A287" t="str">
        <x:v>605599</x:v>
      </x:c>
      <x:c r="B287" t="str">
        <x:v>菜百股份</x:v>
      </x:c>
      <x:c r="C287" t="str">
        <x:v>主板</x:v>
      </x:c>
      <x:c r="D287" t="str">
        <x:v>待行业映射</x:v>
      </x:c>
      <x:c r="E287" t="n">
        <x:v>14.9</x:v>
      </x:c>
      <x:c r="F287" t="n">
        <x:v>10.43</x:v>
      </x:c>
      <x:c r="G287"/>
      <x:c r="H287" t="n">
        <x:v>115.89</x:v>
      </x:c>
      <x:c r="I287" t="n">
        <x:v>41.94</x:v>
      </x:c>
      <x:c r="J287" t="str">
        <x:v>initial_screen_pending_pb_financial_review</x:v>
      </x:c>
      <x:c r="K287" t="str">
        <x:v>AkShare / Tencent all-A market snapshot</x:v>
      </x:c>
      <x:c r="L287" t="str">
        <x:v>ProxyError: primary market source unavailable; see source_id for full audit.</x:v>
      </x:c>
      <x:c r="M287" t="str">
        <x:v>0</x:v>
      </x:c>
      <x:c r="N287" t="str">
        <x:v>0fd6ad2d-3389-4e70-8974-eb85ee223eeb</x:v>
      </x:c>
      <x:c r="O287" t="str">
        <x:v>2026-09-04</x:v>
      </x:c>
    </x:row>
    <x:row r="288">
      <x:c r="A288" t="str">
        <x:v>300773</x:v>
      </x:c>
      <x:c r="B288" t="str">
        <x:v>拉卡拉</x:v>
      </x:c>
      <x:c r="C288" t="str">
        <x:v>创业板</x:v>
      </x:c>
      <x:c r="D288" t="str">
        <x:v>待行业映射</x:v>
      </x:c>
      <x:c r="E288" t="n">
        <x:v>16.9</x:v>
      </x:c>
      <x:c r="F288" t="n">
        <x:v>11.41</x:v>
      </x:c>
      <x:c r="G288"/>
      <x:c r="H288" t="n">
        <x:v>183.76</x:v>
      </x:c>
      <x:c r="I288" t="n">
        <x:v>41.77</x:v>
      </x:c>
      <x:c r="J288" t="str">
        <x:v>initial_screen_pending_pb_financial_review</x:v>
      </x:c>
      <x:c r="K288" t="str">
        <x:v>AkShare / Tencent all-A market snapshot</x:v>
      </x:c>
      <x:c r="L288" t="str">
        <x:v>ProxyError: primary market source unavailable; see source_id for full audit.</x:v>
      </x:c>
      <x:c r="M288" t="str">
        <x:v>0</x:v>
      </x:c>
      <x:c r="N288" t="str">
        <x:v>0fd6ad2d-3389-4e70-8974-eb85ee223eeb</x:v>
      </x:c>
      <x:c r="O288" t="str">
        <x:v>2026-09-04</x:v>
      </x:c>
    </x:row>
    <x:row r="289">
      <x:c r="A289" t="str">
        <x:v>603444</x:v>
      </x:c>
      <x:c r="B289" t="str">
        <x:v>吉比特</x:v>
      </x:c>
      <x:c r="C289" t="str">
        <x:v>主板</x:v>
      </x:c>
      <x:c r="D289" t="str">
        <x:v>待行业映射</x:v>
      </x:c>
      <x:c r="E289" t="n">
        <x:v>399.9</x:v>
      </x:c>
      <x:c r="F289" t="n">
        <x:v>12.86</x:v>
      </x:c>
      <x:c r="G289"/>
      <x:c r="H289" t="n">
        <x:v>288.09</x:v>
      </x:c>
      <x:c r="I289" t="n">
        <x:v>41.65</x:v>
      </x:c>
      <x:c r="J289" t="str">
        <x:v>initial_screen_pending_pb_financial_review</x:v>
      </x:c>
      <x:c r="K289" t="str">
        <x:v>AkShare / Tencent all-A market snapshot</x:v>
      </x:c>
      <x:c r="L289" t="str">
        <x:v>ProxyError: primary market source unavailable; see source_id for full audit.</x:v>
      </x:c>
      <x:c r="M289" t="str">
        <x:v>0</x:v>
      </x:c>
      <x:c r="N289" t="str">
        <x:v>0fd6ad2d-3389-4e70-8974-eb85ee223eeb</x:v>
      </x:c>
      <x:c r="O289" t="str">
        <x:v>2026-09-04</x:v>
      </x:c>
    </x:row>
    <x:row r="290">
      <x:c r="A290" t="str">
        <x:v>000027</x:v>
      </x:c>
      <x:c r="B290" t="str">
        <x:v>深圳能源</x:v>
      </x:c>
      <x:c r="C290" t="str">
        <x:v>主板</x:v>
      </x:c>
      <x:c r="D290" t="str">
        <x:v>待行业映射</x:v>
      </x:c>
      <x:c r="E290" t="n">
        <x:v>6.32</x:v>
      </x:c>
      <x:c r="F290" t="n">
        <x:v>13.07</x:v>
      </x:c>
      <x:c r="G290"/>
      <x:c r="H290" t="n">
        <x:v>300.67</x:v>
      </x:c>
      <x:c r="I290" t="n">
        <x:v>41.54</x:v>
      </x:c>
      <x:c r="J290" t="str">
        <x:v>initial_screen_pending_pb_financial_review</x:v>
      </x:c>
      <x:c r="K290" t="str">
        <x:v>AkShare / Tencent all-A market snapshot</x:v>
      </x:c>
      <x:c r="L290" t="str">
        <x:v>ProxyError: primary market source unavailable; see source_id for full audit.</x:v>
      </x:c>
      <x:c r="M290" t="str">
        <x:v>0</x:v>
      </x:c>
      <x:c r="N290" t="str">
        <x:v>0fd6ad2d-3389-4e70-8974-eb85ee223eeb</x:v>
      </x:c>
      <x:c r="O290" t="str">
        <x:v>2026-09-04</x:v>
      </x:c>
    </x:row>
    <x:row r="291">
      <x:c r="A291" t="str">
        <x:v>600780</x:v>
      </x:c>
      <x:c r="B291" t="str">
        <x:v>通宝能源</x:v>
      </x:c>
      <x:c r="C291" t="str">
        <x:v>主板</x:v>
      </x:c>
      <x:c r="D291" t="str">
        <x:v>待行业映射</x:v>
      </x:c>
      <x:c r="E291" t="n">
        <x:v>6.33</x:v>
      </x:c>
      <x:c r="F291" t="n">
        <x:v>10</x:v>
      </x:c>
      <x:c r="G291"/>
      <x:c r="H291" t="n">
        <x:v>72.57</x:v>
      </x:c>
      <x:c r="I291" t="n">
        <x:v>41.54</x:v>
      </x:c>
      <x:c r="J291" t="str">
        <x:v>initial_screen_pending_pb_financial_review</x:v>
      </x:c>
      <x:c r="K291" t="str">
        <x:v>AkShare / Tencent all-A market snapshot</x:v>
      </x:c>
      <x:c r="L291" t="str">
        <x:v>ProxyError: primary market source unavailable; see source_id for full audit.</x:v>
      </x:c>
      <x:c r="M291" t="str">
        <x:v>0</x:v>
      </x:c>
      <x:c r="N291" t="str">
        <x:v>0fd6ad2d-3389-4e70-8974-eb85ee223eeb</x:v>
      </x:c>
      <x:c r="O291" t="str">
        <x:v>2026-09-04</x:v>
      </x:c>
    </x:row>
    <x:row r="292">
      <x:c r="A292" t="str">
        <x:v>000528</x:v>
      </x:c>
      <x:c r="B292" t="str">
        <x:v>柳    工</x:v>
      </x:c>
      <x:c r="C292" t="str">
        <x:v>主板</x:v>
      </x:c>
      <x:c r="D292" t="str">
        <x:v>待行业映射</x:v>
      </x:c>
      <x:c r="E292" t="n">
        <x:v>7.94</x:v>
      </x:c>
      <x:c r="F292" t="n">
        <x:v>11.23</x:v>
      </x:c>
      <x:c r="G292"/>
      <x:c r="H292" t="n">
        <x:v>162.02</x:v>
      </x:c>
      <x:c r="I292" t="n">
        <x:v>41.47</x:v>
      </x:c>
      <x:c r="J292" t="str">
        <x:v>initial_screen_pending_pb_financial_review</x:v>
      </x:c>
      <x:c r="K292" t="str">
        <x:v>AkShare / Tencent all-A market snapshot</x:v>
      </x:c>
      <x:c r="L292" t="str">
        <x:v>ProxyError: primary market source unavailable; see source_id for full audit.</x:v>
      </x:c>
      <x:c r="M292" t="str">
        <x:v>0</x:v>
      </x:c>
      <x:c r="N292" t="str">
        <x:v>0fd6ad2d-3389-4e70-8974-eb85ee223eeb</x:v>
      </x:c>
      <x:c r="O292" t="str">
        <x:v>2026-09-04</x:v>
      </x:c>
    </x:row>
    <x:row r="293">
      <x:c r="A293" t="str">
        <x:v>600639</x:v>
      </x:c>
      <x:c r="B293" t="str">
        <x:v>浦东金桥</x:v>
      </x:c>
      <x:c r="C293" t="str">
        <x:v>主板</x:v>
      </x:c>
      <x:c r="D293" t="str">
        <x:v>待行业映射</x:v>
      </x:c>
      <x:c r="E293" t="n">
        <x:v>9.58</x:v>
      </x:c>
      <x:c r="F293" t="n">
        <x:v>10.53</x:v>
      </x:c>
      <x:c r="G293"/>
      <x:c r="H293" t="n">
        <x:v>107.53</x:v>
      </x:c>
      <x:c r="I293" t="n">
        <x:v>41.39</x:v>
      </x:c>
      <x:c r="J293" t="str">
        <x:v>initial_screen_pending_pb_financial_review</x:v>
      </x:c>
      <x:c r="K293" t="str">
        <x:v>AkShare / Tencent all-A market snapshot</x:v>
      </x:c>
      <x:c r="L293" t="str">
        <x:v>ProxyError: primary market source unavailable; see source_id for full audit.</x:v>
      </x:c>
      <x:c r="M293" t="str">
        <x:v>0</x:v>
      </x:c>
      <x:c r="N293" t="str">
        <x:v>0fd6ad2d-3389-4e70-8974-eb85ee223eeb</x:v>
      </x:c>
      <x:c r="O293" t="str">
        <x:v>2026-09-04</x:v>
      </x:c>
    </x:row>
    <x:row r="294">
      <x:c r="A294" t="str">
        <x:v>002034</x:v>
      </x:c>
      <x:c r="B294" t="str">
        <x:v>旺能环境</x:v>
      </x:c>
      <x:c r="C294" t="str">
        <x:v>主板</x:v>
      </x:c>
      <x:c r="D294" t="str">
        <x:v>待行业映射</x:v>
      </x:c>
      <x:c r="E294" t="n">
        <x:v>14.83</x:v>
      </x:c>
      <x:c r="F294" t="n">
        <x:v>10.18</x:v>
      </x:c>
      <x:c r="G294"/>
      <x:c r="H294" t="n">
        <x:v>76.63</x:v>
      </x:c>
      <x:c r="I294" t="n">
        <x:v>41.21</x:v>
      </x:c>
      <x:c r="J294" t="str">
        <x:v>initial_screen_pending_pb_financial_review</x:v>
      </x:c>
      <x:c r="K294" t="str">
        <x:v>AkShare / Tencent all-A market snapshot</x:v>
      </x:c>
      <x:c r="L294" t="str">
        <x:v>ProxyError: primary market source unavailable; see source_id for full audit.</x:v>
      </x:c>
      <x:c r="M294" t="str">
        <x:v>0</x:v>
      </x:c>
      <x:c r="N294" t="str">
        <x:v>0fd6ad2d-3389-4e70-8974-eb85ee223eeb</x:v>
      </x:c>
      <x:c r="O294" t="str">
        <x:v>2026-09-04</x:v>
      </x:c>
    </x:row>
    <x:row r="295">
      <x:c r="A295" t="str">
        <x:v>601878</x:v>
      </x:c>
      <x:c r="B295" t="str">
        <x:v>浙商证券</x:v>
      </x:c>
      <x:c r="C295" t="str">
        <x:v>主板</x:v>
      </x:c>
      <x:c r="D295" t="str">
        <x:v>待行业映射</x:v>
      </x:c>
      <x:c r="E295" t="n">
        <x:v>9.47</x:v>
      </x:c>
      <x:c r="F295" t="n">
        <x:v>14.94</x:v>
      </x:c>
      <x:c r="G295"/>
      <x:c r="H295" t="n">
        <x:v>429.47</x:v>
      </x:c>
      <x:c r="I295" t="n">
        <x:v>41.19</x:v>
      </x:c>
      <x:c r="J295" t="str">
        <x:v>initial_screen_pending_pb_financial_review</x:v>
      </x:c>
      <x:c r="K295" t="str">
        <x:v>AkShare / Tencent all-A market snapshot</x:v>
      </x:c>
      <x:c r="L295" t="str">
        <x:v>ProxyError: primary market source unavailable; see source_id for full audit.</x:v>
      </x:c>
      <x:c r="M295" t="str">
        <x:v>0</x:v>
      </x:c>
      <x:c r="N295" t="str">
        <x:v>0fd6ad2d-3389-4e70-8974-eb85ee223eeb</x:v>
      </x:c>
      <x:c r="O295" t="str">
        <x:v>2026-09-04</x:v>
      </x:c>
    </x:row>
    <x:row r="296">
      <x:c r="A296" t="str">
        <x:v>601107</x:v>
      </x:c>
      <x:c r="B296" t="str">
        <x:v>四川成渝</x:v>
      </x:c>
      <x:c r="C296" t="str">
        <x:v>主板</x:v>
      </x:c>
      <x:c r="D296" t="str">
        <x:v>待行业映射</x:v>
      </x:c>
      <x:c r="E296" t="n">
        <x:v>5.79</x:v>
      </x:c>
      <x:c r="F296" t="n">
        <x:v>11.57</x:v>
      </x:c>
      <x:c r="G296"/>
      <x:c r="H296" t="n">
        <x:v>177.06</x:v>
      </x:c>
      <x:c r="I296" t="n">
        <x:v>41.12</x:v>
      </x:c>
      <x:c r="J296" t="str">
        <x:v>initial_screen_pending_pb_financial_review</x:v>
      </x:c>
      <x:c r="K296" t="str">
        <x:v>AkShare / Tencent all-A market snapshot</x:v>
      </x:c>
      <x:c r="L296" t="str">
        <x:v>ProxyError: primary market source unavailable; see source_id for full audit.</x:v>
      </x:c>
      <x:c r="M296" t="str">
        <x:v>0</x:v>
      </x:c>
      <x:c r="N296" t="str">
        <x:v>0fd6ad2d-3389-4e70-8974-eb85ee223eeb</x:v>
      </x:c>
      <x:c r="O296" t="str">
        <x:v>2026-09-04</x:v>
      </x:c>
    </x:row>
    <x:row r="297">
      <x:c r="A297" t="str">
        <x:v>603071</x:v>
      </x:c>
      <x:c r="B297" t="str">
        <x:v>物产环能</x:v>
      </x:c>
      <x:c r="C297" t="str">
        <x:v>主板</x:v>
      </x:c>
      <x:c r="D297" t="str">
        <x:v>待行业映射</x:v>
      </x:c>
      <x:c r="E297" t="n">
        <x:v>12.69</x:v>
      </x:c>
      <x:c r="F297" t="n">
        <x:v>10.15</x:v>
      </x:c>
      <x:c r="G297"/>
      <x:c r="H297" t="n">
        <x:v>70.8</x:v>
      </x:c>
      <x:c r="I297" t="n">
        <x:v>41.09</x:v>
      </x:c>
      <x:c r="J297" t="str">
        <x:v>initial_screen_pending_pb_financial_review</x:v>
      </x:c>
      <x:c r="K297" t="str">
        <x:v>AkShare / Tencent all-A market snapshot</x:v>
      </x:c>
      <x:c r="L297" t="str">
        <x:v>ProxyError: primary market source unavailable; see source_id for full audit.</x:v>
      </x:c>
      <x:c r="M297" t="str">
        <x:v>0</x:v>
      </x:c>
      <x:c r="N297" t="str">
        <x:v>0fd6ad2d-3389-4e70-8974-eb85ee223eeb</x:v>
      </x:c>
      <x:c r="O297" t="str">
        <x:v>2026-09-04</x:v>
      </x:c>
    </x:row>
    <x:row r="298">
      <x:c r="A298" t="str">
        <x:v>603613</x:v>
      </x:c>
      <x:c r="B298" t="str">
        <x:v>国联股份</x:v>
      </x:c>
      <x:c r="C298" t="str">
        <x:v>主板</x:v>
      </x:c>
      <x:c r="D298" t="str">
        <x:v>待行业映射</x:v>
      </x:c>
      <x:c r="E298" t="n">
        <x:v>20.68</x:v>
      </x:c>
      <x:c r="F298" t="n">
        <x:v>11.22</x:v>
      </x:c>
      <x:c r="G298"/>
      <x:c r="H298" t="n">
        <x:v>149.01</x:v>
      </x:c>
      <x:c r="I298" t="n">
        <x:v>41.04</x:v>
      </x:c>
      <x:c r="J298" t="str">
        <x:v>initial_screen_pending_pb_financial_review</x:v>
      </x:c>
      <x:c r="K298" t="str">
        <x:v>AkShare / Tencent all-A market snapshot</x:v>
      </x:c>
      <x:c r="L298" t="str">
        <x:v>ProxyError: primary market source unavailable; see source_id for full audit.</x:v>
      </x:c>
      <x:c r="M298" t="str">
        <x:v>0</x:v>
      </x:c>
      <x:c r="N298" t="str">
        <x:v>0fd6ad2d-3389-4e70-8974-eb85ee223eeb</x:v>
      </x:c>
      <x:c r="O298" t="str">
        <x:v>2026-09-04</x:v>
      </x:c>
    </x:row>
    <x:row r="299">
      <x:c r="A299" t="str">
        <x:v>600295</x:v>
      </x:c>
      <x:c r="B299" t="str">
        <x:v>鄂尔多斯</x:v>
      </x:c>
      <x:c r="C299" t="str">
        <x:v>主板</x:v>
      </x:c>
      <x:c r="D299" t="str">
        <x:v>待行业映射</x:v>
      </x:c>
      <x:c r="E299" t="n">
        <x:v>14.71</x:v>
      </x:c>
      <x:c r="F299" t="n">
        <x:v>14.76</x:v>
      </x:c>
      <x:c r="G299"/>
      <x:c r="H299" t="n">
        <x:v>411.7</x:v>
      </x:c>
      <x:c r="I299" t="n">
        <x:v>41.03</x:v>
      </x:c>
      <x:c r="J299" t="str">
        <x:v>initial_screen_pending_pb_financial_review</x:v>
      </x:c>
      <x:c r="K299" t="str">
        <x:v>AkShare / Tencent all-A market snapshot</x:v>
      </x:c>
      <x:c r="L299" t="str">
        <x:v>ProxyError: primary market source unavailable; see source_id for full audit.</x:v>
      </x:c>
      <x:c r="M299" t="str">
        <x:v>0</x:v>
      </x:c>
      <x:c r="N299" t="str">
        <x:v>0fd6ad2d-3389-4e70-8974-eb85ee223eeb</x:v>
      </x:c>
      <x:c r="O299" t="str">
        <x:v>2026-09-04</x:v>
      </x:c>
    </x:row>
    <x:row r="300">
      <x:c r="A300" t="str">
        <x:v>600717</x:v>
      </x:c>
      <x:c r="B300" t="str">
        <x:v>天津港</x:v>
      </x:c>
      <x:c r="C300" t="str">
        <x:v>主板</x:v>
      </x:c>
      <x:c r="D300" t="str">
        <x:v>待行业映射</x:v>
      </x:c>
      <x:c r="E300" t="n">
        <x:v>4.36</x:v>
      </x:c>
      <x:c r="F300" t="n">
        <x:v>10.93</x:v>
      </x:c>
      <x:c r="G300"/>
      <x:c r="H300" t="n">
        <x:v>126.18</x:v>
      </x:c>
      <x:c r="I300" t="n">
        <x:v>41</x:v>
      </x:c>
      <x:c r="J300" t="str">
        <x:v>initial_screen_pending_pb_financial_review</x:v>
      </x:c>
      <x:c r="K300" t="str">
        <x:v>AkShare / Tencent all-A market snapshot</x:v>
      </x:c>
      <x:c r="L300" t="str">
        <x:v>ProxyError: primary market source unavailable; see source_id for full audit.</x:v>
      </x:c>
      <x:c r="M300" t="str">
        <x:v>0</x:v>
      </x:c>
      <x:c r="N300" t="str">
        <x:v>0fd6ad2d-3389-4e70-8974-eb85ee223eeb</x:v>
      </x:c>
      <x:c r="O300" t="str">
        <x:v>2026-09-04</x:v>
      </x:c>
    </x:row>
    <x:row r="301">
      <x:c r="A301" t="str">
        <x:v>002170</x:v>
      </x:c>
      <x:c r="B301" t="str">
        <x:v>芭田股份</x:v>
      </x:c>
      <x:c r="C301" t="str">
        <x:v>主板</x:v>
      </x:c>
      <x:c r="D301" t="str">
        <x:v>待行业映射</x:v>
      </x:c>
      <x:c r="E301" t="n">
        <x:v>11.73</x:v>
      </x:c>
      <x:c r="F301" t="n">
        <x:v>10.77</x:v>
      </x:c>
      <x:c r="G301"/>
      <x:c r="H301" t="n">
        <x:v>114</x:v>
      </x:c>
      <x:c r="I301" t="n">
        <x:v>40.99</x:v>
      </x:c>
      <x:c r="J301" t="str">
        <x:v>initial_screen_pending_pb_financial_review</x:v>
      </x:c>
      <x:c r="K301" t="str">
        <x:v>AkShare / Tencent all-A market snapshot</x:v>
      </x:c>
      <x:c r="L301" t="str">
        <x:v>ProxyError: primary market source unavailable; see source_id for full audit.</x:v>
      </x:c>
      <x:c r="M301" t="str">
        <x:v>0</x:v>
      </x:c>
      <x:c r="N301" t="str">
        <x:v>0fd6ad2d-3389-4e70-8974-eb85ee223eeb</x:v>
      </x:c>
      <x:c r="O301" t="str">
        <x:v>2026-09-04</x:v>
      </x:c>
    </x:row>
    <x:row r="302">
      <x:c r="A302" t="str">
        <x:v>600998</x:v>
      </x:c>
      <x:c r="B302" t="str">
        <x:v>九州通</x:v>
      </x:c>
      <x:c r="C302" t="str">
        <x:v>主板</x:v>
      </x:c>
      <x:c r="D302" t="str">
        <x:v>待行业映射</x:v>
      </x:c>
      <x:c r="E302" t="n">
        <x:v>5.05</x:v>
      </x:c>
      <x:c r="F302" t="n">
        <x:v>12.67</x:v>
      </x:c>
      <x:c r="G302"/>
      <x:c r="H302" t="n">
        <x:v>254.64</x:v>
      </x:c>
      <x:c r="I302" t="n">
        <x:v>40.97</x:v>
      </x:c>
      <x:c r="J302" t="str">
        <x:v>initial_screen_pending_pb_financial_review</x:v>
      </x:c>
      <x:c r="K302" t="str">
        <x:v>AkShare / Tencent all-A market snapshot</x:v>
      </x:c>
      <x:c r="L302" t="str">
        <x:v>ProxyError: primary market source unavailable; see source_id for full audit.</x:v>
      </x:c>
      <x:c r="M302" t="str">
        <x:v>0</x:v>
      </x:c>
      <x:c r="N302" t="str">
        <x:v>0fd6ad2d-3389-4e70-8974-eb85ee223eeb</x:v>
      </x:c>
      <x:c r="O302" t="str">
        <x:v>2026-09-04</x:v>
      </x:c>
    </x:row>
    <x:row r="303">
      <x:c r="A303" t="str">
        <x:v>002497</x:v>
      </x:c>
      <x:c r="B303" t="str">
        <x:v>雅化集团</x:v>
      </x:c>
      <x:c r="C303" t="str">
        <x:v>主板</x:v>
      </x:c>
      <x:c r="D303" t="str">
        <x:v>待行业映射</x:v>
      </x:c>
      <x:c r="E303" t="n">
        <x:v>17.88</x:v>
      </x:c>
      <x:c r="F303" t="n">
        <x:v>12.03</x:v>
      </x:c>
      <x:c r="G303"/>
      <x:c r="H303" t="n">
        <x:v>206.08</x:v>
      </x:c>
      <x:c r="I303" t="n">
        <x:v>40.93</x:v>
      </x:c>
      <x:c r="J303" t="str">
        <x:v>initial_screen_pending_pb_financial_review</x:v>
      </x:c>
      <x:c r="K303" t="str">
        <x:v>AkShare / Tencent all-A market snapshot</x:v>
      </x:c>
      <x:c r="L303" t="str">
        <x:v>ProxyError: primary market source unavailable; see source_id for full audit.</x:v>
      </x:c>
      <x:c r="M303" t="str">
        <x:v>0</x:v>
      </x:c>
      <x:c r="N303" t="str">
        <x:v>0fd6ad2d-3389-4e70-8974-eb85ee223eeb</x:v>
      </x:c>
      <x:c r="O303" t="str">
        <x:v>2026-09-04</x:v>
      </x:c>
    </x:row>
    <x:row r="304">
      <x:c r="A304" t="str">
        <x:v>601827</x:v>
      </x:c>
      <x:c r="B304" t="str">
        <x:v>三峰环境</x:v>
      </x:c>
      <x:c r="C304" t="str">
        <x:v>主板</x:v>
      </x:c>
      <x:c r="D304" t="str">
        <x:v>待行业映射</x:v>
      </x:c>
      <x:c r="E304" t="n">
        <x:v>8.04</x:v>
      </x:c>
      <x:c r="F304" t="n">
        <x:v>11.08</x:v>
      </x:c>
      <x:c r="G304"/>
      <x:c r="H304" t="n">
        <x:v>134.42</x:v>
      </x:c>
      <x:c r="I304" t="n">
        <x:v>40.9</x:v>
      </x:c>
      <x:c r="J304" t="str">
        <x:v>initial_screen_pending_pb_financial_review</x:v>
      </x:c>
      <x:c r="K304" t="str">
        <x:v>AkShare / Tencent all-A market snapshot</x:v>
      </x:c>
      <x:c r="L304" t="str">
        <x:v>ProxyError: primary market source unavailable; see source_id for full audit.</x:v>
      </x:c>
      <x:c r="M304" t="str">
        <x:v>0</x:v>
      </x:c>
      <x:c r="N304" t="str">
        <x:v>0fd6ad2d-3389-4e70-8974-eb85ee223eeb</x:v>
      </x:c>
      <x:c r="O304" t="str">
        <x:v>2026-09-04</x:v>
      </x:c>
    </x:row>
    <x:row r="305">
      <x:c r="A305" t="str">
        <x:v>600350</x:v>
      </x:c>
      <x:c r="B305" t="str">
        <x:v>山东高速</x:v>
      </x:c>
      <x:c r="C305" t="str">
        <x:v>主板</x:v>
      </x:c>
      <x:c r="D305" t="str">
        <x:v>待行业映射</x:v>
      </x:c>
      <x:c r="E305" t="n">
        <x:v>10.17</x:v>
      </x:c>
      <x:c r="F305" t="n">
        <x:v>15.93</x:v>
      </x:c>
      <x:c r="G305"/>
      <x:c r="H305" t="n">
        <x:v>491.68</x:v>
      </x:c>
      <x:c r="I305" t="n">
        <x:v>40.79</x:v>
      </x:c>
      <x:c r="J305" t="str">
        <x:v>initial_screen_pending_pb_financial_review</x:v>
      </x:c>
      <x:c r="K305" t="str">
        <x:v>AkShare / Tencent all-A market snapshot</x:v>
      </x:c>
      <x:c r="L305" t="str">
        <x:v>ProxyError: primary market source unavailable; see source_id for full audit.</x:v>
      </x:c>
      <x:c r="M305" t="str">
        <x:v>0</x:v>
      </x:c>
      <x:c r="N305" t="str">
        <x:v>0fd6ad2d-3389-4e70-8974-eb85ee223eeb</x:v>
      </x:c>
      <x:c r="O305" t="str">
        <x:v>2026-09-04</x:v>
      </x:c>
    </x:row>
    <x:row r="306">
      <x:c r="A306" t="str">
        <x:v>601000</x:v>
      </x:c>
      <x:c r="B306" t="str">
        <x:v>唐山港</x:v>
      </x:c>
      <x:c r="C306" t="str">
        <x:v>主板</x:v>
      </x:c>
      <x:c r="D306" t="str">
        <x:v>待行业映射</x:v>
      </x:c>
      <x:c r="E306" t="n">
        <x:v>4.69</x:v>
      </x:c>
      <x:c r="F306" t="n">
        <x:v>13.1</x:v>
      </x:c>
      <x:c r="G306"/>
      <x:c r="H306" t="n">
        <x:v>277.93</x:v>
      </x:c>
      <x:c r="I306" t="n">
        <x:v>40.67</x:v>
      </x:c>
      <x:c r="J306" t="str">
        <x:v>initial_screen_pending_pb_financial_review</x:v>
      </x:c>
      <x:c r="K306" t="str">
        <x:v>AkShare / Tencent all-A market snapshot</x:v>
      </x:c>
      <x:c r="L306" t="str">
        <x:v>ProxyError: primary market source unavailable; see source_id for full audit.</x:v>
      </x:c>
      <x:c r="M306" t="str">
        <x:v>0</x:v>
      </x:c>
      <x:c r="N306" t="str">
        <x:v>0fd6ad2d-3389-4e70-8974-eb85ee223eeb</x:v>
      </x:c>
      <x:c r="O306" t="str">
        <x:v>2026-09-04</x:v>
      </x:c>
    </x:row>
    <x:row r="307">
      <x:c r="A307" t="str">
        <x:v>600060</x:v>
      </x:c>
      <x:c r="B307" t="str">
        <x:v>海信视像</x:v>
      </x:c>
      <x:c r="C307" t="str">
        <x:v>主板</x:v>
      </x:c>
      <x:c r="D307" t="str">
        <x:v>待行业映射</x:v>
      </x:c>
      <x:c r="E307" t="n">
        <x:v>28.6</x:v>
      </x:c>
      <x:c r="F307" t="n">
        <x:v>14.39</x:v>
      </x:c>
      <x:c r="G307"/>
      <x:c r="H307" t="n">
        <x:v>373.22</x:v>
      </x:c>
      <x:c r="I307" t="n">
        <x:v>40.65</x:v>
      </x:c>
      <x:c r="J307" t="str">
        <x:v>initial_screen_pending_pb_financial_review</x:v>
      </x:c>
      <x:c r="K307" t="str">
        <x:v>AkShare / Tencent all-A market snapshot</x:v>
      </x:c>
      <x:c r="L307" t="str">
        <x:v>ProxyError: primary market source unavailable; see source_id for full audit.</x:v>
      </x:c>
      <x:c r="M307" t="str">
        <x:v>0</x:v>
      </x:c>
      <x:c r="N307" t="str">
        <x:v>0fd6ad2d-3389-4e70-8974-eb85ee223eeb</x:v>
      </x:c>
      <x:c r="O307" t="str">
        <x:v>2026-09-04</x:v>
      </x:c>
    </x:row>
    <x:row r="308">
      <x:c r="A308" t="str">
        <x:v>000975</x:v>
      </x:c>
      <x:c r="B308" t="str">
        <x:v>山金国际</x:v>
      </x:c>
      <x:c r="C308" t="str">
        <x:v>主板</x:v>
      </x:c>
      <x:c r="D308" t="str">
        <x:v>待行业映射</x:v>
      </x:c>
      <x:c r="E308" t="n">
        <x:v>26.25</x:v>
      </x:c>
      <x:c r="F308" t="n">
        <x:v>19.19</x:v>
      </x:c>
      <x:c r="G308"/>
      <x:c r="H308" t="n">
        <x:v>727.79</x:v>
      </x:c>
      <x:c r="I308" t="n">
        <x:v>40.58</x:v>
      </x:c>
      <x:c r="J308" t="str">
        <x:v>initial_screen_pending_pb_financial_review</x:v>
      </x:c>
      <x:c r="K308" t="str">
        <x:v>AkShare / Tencent all-A market snapshot</x:v>
      </x:c>
      <x:c r="L308" t="str">
        <x:v>ProxyError: primary market source unavailable; see source_id for full audit.</x:v>
      </x:c>
      <x:c r="M308" t="str">
        <x:v>0</x:v>
      </x:c>
      <x:c r="N308" t="str">
        <x:v>0fd6ad2d-3389-4e70-8974-eb85ee223eeb</x:v>
      </x:c>
      <x:c r="O308" t="str">
        <x:v>2026-09-04</x:v>
      </x:c>
    </x:row>
    <x:row r="309">
      <x:c r="A309" t="str">
        <x:v>002061</x:v>
      </x:c>
      <x:c r="B309" t="str">
        <x:v>浙江交科</x:v>
      </x:c>
      <x:c r="C309" t="str">
        <x:v>主板</x:v>
      </x:c>
      <x:c r="D309" t="str">
        <x:v>待行业映射</x:v>
      </x:c>
      <x:c r="E309" t="n">
        <x:v>3.47</x:v>
      </x:c>
      <x:c r="F309" t="n">
        <x:v>10.66</x:v>
      </x:c>
      <x:c r="G309"/>
      <x:c r="H309" t="n">
        <x:v>91.72</x:v>
      </x:c>
      <x:c r="I309" t="n">
        <x:v>40.49</x:v>
      </x:c>
      <x:c r="J309" t="str">
        <x:v>initial_screen_pending_pb_financial_review</x:v>
      </x:c>
      <x:c r="K309" t="str">
        <x:v>AkShare / Tencent all-A market snapshot</x:v>
      </x:c>
      <x:c r="L309" t="str">
        <x:v>ProxyError: primary market source unavailable; see source_id for full audit.</x:v>
      </x:c>
      <x:c r="M309" t="str">
        <x:v>0</x:v>
      </x:c>
      <x:c r="N309" t="str">
        <x:v>0fd6ad2d-3389-4e70-8974-eb85ee223eeb</x:v>
      </x:c>
      <x:c r="O309" t="str">
        <x:v>2026-09-04</x:v>
      </x:c>
    </x:row>
    <x:row r="310">
      <x:c r="A310" t="str">
        <x:v>600583</x:v>
      </x:c>
      <x:c r="B310" t="str">
        <x:v>海油工程</x:v>
      </x:c>
      <x:c r="C310" t="str">
        <x:v>主板</x:v>
      </x:c>
      <x:c r="D310" t="str">
        <x:v>待行业映射</x:v>
      </x:c>
      <x:c r="E310" t="n">
        <x:v>6.15</x:v>
      </x:c>
      <x:c r="F310" t="n">
        <x:v>13.09</x:v>
      </x:c>
      <x:c r="G310"/>
      <x:c r="H310" t="n">
        <x:v>271.91</x:v>
      </x:c>
      <x:c r="I310" t="n">
        <x:v>40.48</x:v>
      </x:c>
      <x:c r="J310" t="str">
        <x:v>initial_screen_pending_pb_financial_review</x:v>
      </x:c>
      <x:c r="K310" t="str">
        <x:v>AkShare / Tencent all-A market snapshot</x:v>
      </x:c>
      <x:c r="L310" t="str">
        <x:v>ProxyError: primary market source unavailable; see source_id for full audit.</x:v>
      </x:c>
      <x:c r="M310" t="str">
        <x:v>0</x:v>
      </x:c>
      <x:c r="N310" t="str">
        <x:v>0fd6ad2d-3389-4e70-8974-eb85ee223eeb</x:v>
      </x:c>
      <x:c r="O310" t="str">
        <x:v>2026-09-04</x:v>
      </x:c>
    </x:row>
    <x:row r="311">
      <x:c r="A311" t="str">
        <x:v>603565</x:v>
      </x:c>
      <x:c r="B311" t="str">
        <x:v>中谷物流</x:v>
      </x:c>
      <x:c r="C311" t="str">
        <x:v>主板</x:v>
      </x:c>
      <x:c r="D311" t="str">
        <x:v>待行业映射</x:v>
      </x:c>
      <x:c r="E311" t="n">
        <x:v>12.4</x:v>
      </x:c>
      <x:c r="F311" t="n">
        <x:v>12.94</x:v>
      </x:c>
      <x:c r="G311"/>
      <x:c r="H311" t="n">
        <x:v>260.41</x:v>
      </x:c>
      <x:c r="I311" t="n">
        <x:v>40.47</x:v>
      </x:c>
      <x:c r="J311" t="str">
        <x:v>initial_screen_pending_pb_financial_review</x:v>
      </x:c>
      <x:c r="K311" t="str">
        <x:v>AkShare / Tencent all-A market snapshot</x:v>
      </x:c>
      <x:c r="L311" t="str">
        <x:v>ProxyError: primary market source unavailable; see source_id for full audit.</x:v>
      </x:c>
      <x:c r="M311" t="str">
        <x:v>0</x:v>
      </x:c>
      <x:c r="N311" t="str">
        <x:v>0fd6ad2d-3389-4e70-8974-eb85ee223eeb</x:v>
      </x:c>
      <x:c r="O311" t="str">
        <x:v>2026-09-04</x:v>
      </x:c>
    </x:row>
    <x:row r="312">
      <x:c r="A312" t="str">
        <x:v>600428</x:v>
      </x:c>
      <x:c r="B312" t="str">
        <x:v>中远海特</x:v>
      </x:c>
      <x:c r="C312" t="str">
        <x:v>主板</x:v>
      </x:c>
      <x:c r="D312" t="str">
        <x:v>待行业映射</x:v>
      </x:c>
      <x:c r="E312" t="n">
        <x:v>11.66</x:v>
      </x:c>
      <x:c r="F312" t="n">
        <x:v>13.75</x:v>
      </x:c>
      <x:c r="G312"/>
      <x:c r="H312" t="n">
        <x:v>319.94</x:v>
      </x:c>
      <x:c r="I312" t="n">
        <x:v>40.45</x:v>
      </x:c>
      <x:c r="J312" t="str">
        <x:v>initial_screen_pending_pb_financial_review</x:v>
      </x:c>
      <x:c r="K312" t="str">
        <x:v>AkShare / Tencent all-A market snapshot</x:v>
      </x:c>
      <x:c r="L312" t="str">
        <x:v>ProxyError: primary market source unavailable; see source_id for full audit.</x:v>
      </x:c>
      <x:c r="M312" t="str">
        <x:v>0</x:v>
      </x:c>
      <x:c r="N312" t="str">
        <x:v>0fd6ad2d-3389-4e70-8974-eb85ee223eeb</x:v>
      </x:c>
      <x:c r="O312" t="str">
        <x:v>2026-09-04</x:v>
      </x:c>
    </x:row>
    <x:row r="313">
      <x:c r="A313" t="str">
        <x:v>002444</x:v>
      </x:c>
      <x:c r="B313" t="str">
        <x:v>巨星科技</x:v>
      </x:c>
      <x:c r="C313" t="str">
        <x:v>主板</x:v>
      </x:c>
      <x:c r="D313" t="str">
        <x:v>待行业映射</x:v>
      </x:c>
      <x:c r="E313" t="n">
        <x:v>30.55</x:v>
      </x:c>
      <x:c r="F313" t="n">
        <x:v>14.36</x:v>
      </x:c>
      <x:c r="G313"/>
      <x:c r="H313" t="n">
        <x:v>364.91</x:v>
      </x:c>
      <x:c r="I313" t="n">
        <x:v>40.44</x:v>
      </x:c>
      <x:c r="J313" t="str">
        <x:v>initial_screen_pending_pb_financial_review</x:v>
      </x:c>
      <x:c r="K313" t="str">
        <x:v>AkShare / Tencent all-A market snapshot</x:v>
      </x:c>
      <x:c r="L313" t="str">
        <x:v>ProxyError: primary market source unavailable; see source_id for full audit.</x:v>
      </x:c>
      <x:c r="M313" t="str">
        <x:v>0</x:v>
      </x:c>
      <x:c r="N313" t="str">
        <x:v>0fd6ad2d-3389-4e70-8974-eb85ee223eeb</x:v>
      </x:c>
      <x:c r="O313" t="str">
        <x:v>2026-09-04</x:v>
      </x:c>
    </x:row>
    <x:row r="314">
      <x:c r="A314" t="str">
        <x:v>601083</x:v>
      </x:c>
      <x:c r="B314" t="str">
        <x:v>锦江航运</x:v>
      </x:c>
      <x:c r="C314" t="str">
        <x:v>主板</x:v>
      </x:c>
      <x:c r="D314" t="str">
        <x:v>待行业映射</x:v>
      </x:c>
      <x:c r="E314" t="n">
        <x:v>13.23</x:v>
      </x:c>
      <x:c r="F314" t="n">
        <x:v>11.75</x:v>
      </x:c>
      <x:c r="G314"/>
      <x:c r="H314" t="n">
        <x:v>171.21</x:v>
      </x:c>
      <x:c r="I314" t="n">
        <x:v>40.44</x:v>
      </x:c>
      <x:c r="J314" t="str">
        <x:v>initial_screen_pending_pb_financial_review</x:v>
      </x:c>
      <x:c r="K314" t="str">
        <x:v>AkShare / Tencent all-A market snapshot</x:v>
      </x:c>
      <x:c r="L314" t="str">
        <x:v>ProxyError: primary market source unavailable; see source_id for full audit.</x:v>
      </x:c>
      <x:c r="M314" t="str">
        <x:v>0</x:v>
      </x:c>
      <x:c r="N314" t="str">
        <x:v>0fd6ad2d-3389-4e70-8974-eb85ee223eeb</x:v>
      </x:c>
      <x:c r="O314" t="str">
        <x:v>2026-09-04</x:v>
      </x:c>
    </x:row>
    <x:row r="315">
      <x:c r="A315" t="str">
        <x:v>600008</x:v>
      </x:c>
      <x:c r="B315" t="str">
        <x:v>首创环保</x:v>
      </x:c>
      <x:c r="C315" t="str">
        <x:v>主板</x:v>
      </x:c>
      <x:c r="D315" t="str">
        <x:v>待行业映射</x:v>
      </x:c>
      <x:c r="E315" t="n">
        <x:v>2.8</x:v>
      </x:c>
      <x:c r="F315" t="n">
        <x:v>12.22</x:v>
      </x:c>
      <x:c r="G315"/>
      <x:c r="H315" t="n">
        <x:v>205.54</x:v>
      </x:c>
      <x:c r="I315" t="n">
        <x:v>40.42</x:v>
      </x:c>
      <x:c r="J315" t="str">
        <x:v>initial_screen_pending_pb_financial_review</x:v>
      </x:c>
      <x:c r="K315" t="str">
        <x:v>AkShare / Tencent all-A market snapshot</x:v>
      </x:c>
      <x:c r="L315" t="str">
        <x:v>ProxyError: primary market source unavailable; see source_id for full audit.</x:v>
      </x:c>
      <x:c r="M315" t="str">
        <x:v>0</x:v>
      </x:c>
      <x:c r="N315" t="str">
        <x:v>0fd6ad2d-3389-4e70-8974-eb85ee223eeb</x:v>
      </x:c>
      <x:c r="O315" t="str">
        <x:v>2026-09-04</x:v>
      </x:c>
    </x:row>
    <x:row r="316">
      <x:c r="A316" t="str">
        <x:v>002120</x:v>
      </x:c>
      <x:c r="B316" t="str">
        <x:v>韵达股份</x:v>
      </x:c>
      <x:c r="C316" t="str">
        <x:v>主板</x:v>
      </x:c>
      <x:c r="D316" t="str">
        <x:v>待行业映射</x:v>
      </x:c>
      <x:c r="E316" t="n">
        <x:v>6.87</x:v>
      </x:c>
      <x:c r="F316" t="n">
        <x:v>12.14</x:v>
      </x:c>
      <x:c r="G316"/>
      <x:c r="H316" t="n">
        <x:v>199.18</x:v>
      </x:c>
      <x:c r="I316" t="n">
        <x:v>40.41</x:v>
      </x:c>
      <x:c r="J316" t="str">
        <x:v>initial_screen_pending_pb_financial_review</x:v>
      </x:c>
      <x:c r="K316" t="str">
        <x:v>AkShare / Tencent all-A market snapshot</x:v>
      </x:c>
      <x:c r="L316" t="str">
        <x:v>ProxyError: primary market source unavailable; see source_id for full audit.</x:v>
      </x:c>
      <x:c r="M316" t="str">
        <x:v>0</x:v>
      </x:c>
      <x:c r="N316" t="str">
        <x:v>0fd6ad2d-3389-4e70-8974-eb85ee223eeb</x:v>
      </x:c>
      <x:c r="O316" t="str">
        <x:v>2026-09-04</x:v>
      </x:c>
    </x:row>
    <x:row r="317">
      <x:c r="A317" t="str">
        <x:v>002939</x:v>
      </x:c>
      <x:c r="B317" t="str">
        <x:v>长城证券</x:v>
      </x:c>
      <x:c r="C317" t="str">
        <x:v>主板</x:v>
      </x:c>
      <x:c r="D317" t="str">
        <x:v>待行业映射</x:v>
      </x:c>
      <x:c r="E317" t="n">
        <x:v>8.13</x:v>
      </x:c>
      <x:c r="F317" t="n">
        <x:v>13.89</x:v>
      </x:c>
      <x:c r="G317"/>
      <x:c r="H317" t="n">
        <x:v>328</x:v>
      </x:c>
      <x:c r="I317" t="n">
        <x:v>40.37</x:v>
      </x:c>
      <x:c r="J317" t="str">
        <x:v>initial_screen_pending_pb_financial_review</x:v>
      </x:c>
      <x:c r="K317" t="str">
        <x:v>AkShare / Tencent all-A market snapshot</x:v>
      </x:c>
      <x:c r="L317" t="str">
        <x:v>ProxyError: primary market source unavailable; see source_id for full audit.</x:v>
      </x:c>
      <x:c r="M317" t="str">
        <x:v>0</x:v>
      </x:c>
      <x:c r="N317" t="str">
        <x:v>0fd6ad2d-3389-4e70-8974-eb85ee223eeb</x:v>
      </x:c>
      <x:c r="O317" t="str">
        <x:v>2026-09-04</x:v>
      </x:c>
    </x:row>
    <x:row r="318">
      <x:c r="A318" t="str">
        <x:v>600827</x:v>
      </x:c>
      <x:c r="B318" t="str">
        <x:v>百联股份</x:v>
      </x:c>
      <x:c r="C318" t="str">
        <x:v>主板</x:v>
      </x:c>
      <x:c r="D318" t="str">
        <x:v>待行业映射</x:v>
      </x:c>
      <x:c r="E318" t="n">
        <x:v>7.84</x:v>
      </x:c>
      <x:c r="F318" t="n">
        <x:v>11.36</x:v>
      </x:c>
      <x:c r="G318"/>
      <x:c r="H318" t="n">
        <x:v>139.88</x:v>
      </x:c>
      <x:c r="I318" t="n">
        <x:v>40.36</x:v>
      </x:c>
      <x:c r="J318" t="str">
        <x:v>initial_screen_pending_pb_financial_review</x:v>
      </x:c>
      <x:c r="K318" t="str">
        <x:v>AkShare / Tencent all-A market snapshot</x:v>
      </x:c>
      <x:c r="L318" t="str">
        <x:v>ProxyError: primary market source unavailable; see source_id for full audit.</x:v>
      </x:c>
      <x:c r="M318" t="str">
        <x:v>0</x:v>
      </x:c>
      <x:c r="N318" t="str">
        <x:v>0fd6ad2d-3389-4e70-8974-eb85ee223eeb</x:v>
      </x:c>
      <x:c r="O318" t="str">
        <x:v>2026-09-04</x:v>
      </x:c>
    </x:row>
    <x:row r="319">
      <x:c r="A319" t="str">
        <x:v>601139</x:v>
      </x:c>
      <x:c r="B319" t="str">
        <x:v>深圳燃气</x:v>
      </x:c>
      <x:c r="C319" t="str">
        <x:v>主板</x:v>
      </x:c>
      <x:c r="D319" t="str">
        <x:v>待行业映射</x:v>
      </x:c>
      <x:c r="E319" t="n">
        <x:v>6.45</x:v>
      </x:c>
      <x:c r="F319" t="n">
        <x:v>11.98</x:v>
      </x:c>
      <x:c r="G319"/>
      <x:c r="H319" t="n">
        <x:v>185.55</x:v>
      </x:c>
      <x:c r="I319" t="n">
        <x:v>40.35</x:v>
      </x:c>
      <x:c r="J319" t="str">
        <x:v>initial_screen_pending_pb_financial_review</x:v>
      </x:c>
      <x:c r="K319" t="str">
        <x:v>AkShare / Tencent all-A market snapshot</x:v>
      </x:c>
      <x:c r="L319" t="str">
        <x:v>ProxyError: primary market source unavailable; see source_id for full audit.</x:v>
      </x:c>
      <x:c r="M319" t="str">
        <x:v>0</x:v>
      </x:c>
      <x:c r="N319" t="str">
        <x:v>0fd6ad2d-3389-4e70-8974-eb85ee223eeb</x:v>
      </x:c>
      <x:c r="O319" t="str">
        <x:v>2026-09-04</x:v>
      </x:c>
    </x:row>
    <x:row r="320">
      <x:c r="A320" t="str">
        <x:v>601326</x:v>
      </x:c>
      <x:c r="B320" t="str">
        <x:v>秦港股份</x:v>
      </x:c>
      <x:c r="C320" t="str">
        <x:v>主板</x:v>
      </x:c>
      <x:c r="D320" t="str">
        <x:v>待行业映射</x:v>
      </x:c>
      <x:c r="E320" t="n">
        <x:v>3.58</x:v>
      </x:c>
      <x:c r="F320" t="n">
        <x:v>12.24</x:v>
      </x:c>
      <x:c r="G320"/>
      <x:c r="H320" t="n">
        <x:v>200.03</x:v>
      </x:c>
      <x:c r="I320" t="n">
        <x:v>40.18</x:v>
      </x:c>
      <x:c r="J320" t="str">
        <x:v>initial_screen_pending_pb_financial_review</x:v>
      </x:c>
      <x:c r="K320" t="str">
        <x:v>AkShare / Tencent all-A market snapshot</x:v>
      </x:c>
      <x:c r="L320" t="str">
        <x:v>ProxyError: primary market source unavailable; see source_id for full audit.</x:v>
      </x:c>
      <x:c r="M320" t="str">
        <x:v>0</x:v>
      </x:c>
      <x:c r="N320" t="str">
        <x:v>0fd6ad2d-3389-4e70-8974-eb85ee223eeb</x:v>
      </x:c>
      <x:c r="O320" t="str">
        <x:v>2026-09-04</x:v>
      </x:c>
    </x:row>
    <x:row r="321">
      <x:c r="A321" t="str">
        <x:v>600196</x:v>
      </x:c>
      <x:c r="B321" t="str">
        <x:v>复星医药</x:v>
      </x:c>
      <x:c r="C321" t="str">
        <x:v>主板</x:v>
      </x:c>
      <x:c r="D321" t="str">
        <x:v>待行业映射</x:v>
      </x:c>
      <x:c r="E321" t="n">
        <x:v>22.34</x:v>
      </x:c>
      <x:c r="F321" t="n">
        <x:v>17.6</x:v>
      </x:c>
      <x:c r="G321"/>
      <x:c r="H321" t="n">
        <x:v>596.57</x:v>
      </x:c>
      <x:c r="I321" t="n">
        <x:v>40.12</x:v>
      </x:c>
      <x:c r="J321" t="str">
        <x:v>initial_screen_pending_pb_financial_review</x:v>
      </x:c>
      <x:c r="K321" t="str">
        <x:v>AkShare / Tencent all-A market snapshot</x:v>
      </x:c>
      <x:c r="L321" t="str">
        <x:v>ProxyError: primary market source unavailable; see source_id for full audit.</x:v>
      </x:c>
      <x:c r="M321" t="str">
        <x:v>0</x:v>
      </x:c>
      <x:c r="N321" t="str">
        <x:v>0fd6ad2d-3389-4e70-8974-eb85ee223eeb</x:v>
      </x:c>
      <x:c r="O321" t="str">
        <x:v>2026-09-04</x:v>
      </x:c>
    </x:row>
    <x:row r="322">
      <x:c r="A322" t="str">
        <x:v>000951</x:v>
      </x:c>
      <x:c r="B322" t="str">
        <x:v>中国重汽</x:v>
      </x:c>
      <x:c r="C322" t="str">
        <x:v>主板</x:v>
      </x:c>
      <x:c r="D322" t="str">
        <x:v>待行业映射</x:v>
      </x:c>
      <x:c r="E322" t="n">
        <x:v>21.96</x:v>
      </x:c>
      <x:c r="F322" t="n">
        <x:v>13.03</x:v>
      </x:c>
      <x:c r="G322"/>
      <x:c r="H322" t="n">
        <x:v>256.71</x:v>
      </x:c>
      <x:c r="I322" t="n">
        <x:v>40.11</x:v>
      </x:c>
      <x:c r="J322" t="str">
        <x:v>initial_screen_pending_pb_financial_review</x:v>
      </x:c>
      <x:c r="K322" t="str">
        <x:v>AkShare / Tencent all-A market snapshot</x:v>
      </x:c>
      <x:c r="L322" t="str">
        <x:v>ProxyError: primary market source unavailable; see source_id for full audit.</x:v>
      </x:c>
      <x:c r="M322" t="str">
        <x:v>0</x:v>
      </x:c>
      <x:c r="N322" t="str">
        <x:v>0fd6ad2d-3389-4e70-8974-eb85ee223eeb</x:v>
      </x:c>
      <x:c r="O322" t="str">
        <x:v>2026-09-04</x:v>
      </x:c>
    </x:row>
    <x:row r="323">
      <x:c r="A323" t="str">
        <x:v>600035</x:v>
      </x:c>
      <x:c r="B323" t="str">
        <x:v>楚天高速</x:v>
      </x:c>
      <x:c r="C323" t="str">
        <x:v>主板</x:v>
      </x:c>
      <x:c r="D323" t="str">
        <x:v>待行业映射</x:v>
      </x:c>
      <x:c r="E323" t="n">
        <x:v>3.71</x:v>
      </x:c>
      <x:c r="F323" t="n">
        <x:v>10.4</x:v>
      </x:c>
      <x:c r="G323"/>
      <x:c r="H323" t="n">
        <x:v>59.74</x:v>
      </x:c>
      <x:c r="I323" t="n">
        <x:v>40.05</x:v>
      </x:c>
      <x:c r="J323" t="str">
        <x:v>initial_screen_pending_pb_financial_review</x:v>
      </x:c>
      <x:c r="K323" t="str">
        <x:v>AkShare / Tencent all-A market snapshot</x:v>
      </x:c>
      <x:c r="L323" t="str">
        <x:v>ProxyError: primary market source unavailable; see source_id for full audit.</x:v>
      </x:c>
      <x:c r="M323" t="str">
        <x:v>0</x:v>
      </x:c>
      <x:c r="N323" t="str">
        <x:v>0fd6ad2d-3389-4e70-8974-eb85ee223eeb</x:v>
      </x:c>
      <x:c r="O323" t="str">
        <x:v>2026-09-04</x:v>
      </x:c>
    </x:row>
    <x:row r="324">
      <x:c r="A324" t="str">
        <x:v>600033</x:v>
      </x:c>
      <x:c r="B324" t="str">
        <x:v>福建高速</x:v>
      </x:c>
      <x:c r="C324" t="str">
        <x:v>主板</x:v>
      </x:c>
      <x:c r="D324" t="str">
        <x:v>待行业映射</x:v>
      </x:c>
      <x:c r="E324" t="n">
        <x:v>3.64</x:v>
      </x:c>
      <x:c r="F324" t="n">
        <x:v>10.96</x:v>
      </x:c>
      <x:c r="G324"/>
      <x:c r="H324" t="n">
        <x:v>99.9</x:v>
      </x:c>
      <x:c r="I324" t="n">
        <x:v>40</x:v>
      </x:c>
      <x:c r="J324" t="str">
        <x:v>initial_screen_pending_pb_financial_review</x:v>
      </x:c>
      <x:c r="K324" t="str">
        <x:v>AkShare / Tencent all-A market snapshot</x:v>
      </x:c>
      <x:c r="L324" t="str">
        <x:v>ProxyError: primary market source unavailable; see source_id for full audit.</x:v>
      </x:c>
      <x:c r="M324" t="str">
        <x:v>0</x:v>
      </x:c>
      <x:c r="N324" t="str">
        <x:v>0fd6ad2d-3389-4e70-8974-eb85ee223eeb</x:v>
      </x:c>
      <x:c r="O324" t="str">
        <x:v>2026-09-04</x:v>
      </x:c>
    </x:row>
    <x:row r="325">
      <x:c r="A325" t="str">
        <x:v>601098</x:v>
      </x:c>
      <x:c r="B325" t="str">
        <x:v>中南传媒</x:v>
      </x:c>
      <x:c r="C325" t="str">
        <x:v>主板</x:v>
      </x:c>
      <x:c r="D325" t="str">
        <x:v>待行业映射</x:v>
      </x:c>
      <x:c r="E325" t="n">
        <x:v>10.16</x:v>
      </x:c>
      <x:c r="F325" t="n">
        <x:v>12.08</x:v>
      </x:c>
      <x:c r="G325"/>
      <x:c r="H325" t="n">
        <x:v>182.47</x:v>
      </x:c>
      <x:c r="I325" t="n">
        <x:v>39.98</x:v>
      </x:c>
      <x:c r="J325" t="str">
        <x:v>initial_screen_pending_pb_financial_review</x:v>
      </x:c>
      <x:c r="K325" t="str">
        <x:v>AkShare / Tencent all-A market snapshot</x:v>
      </x:c>
      <x:c r="L325" t="str">
        <x:v>ProxyError: primary market source unavailable; see source_id for full audit.</x:v>
      </x:c>
      <x:c r="M325" t="str">
        <x:v>0</x:v>
      </x:c>
      <x:c r="N325" t="str">
        <x:v>0fd6ad2d-3389-4e70-8974-eb85ee223eeb</x:v>
      </x:c>
      <x:c r="O325" t="str">
        <x:v>2026-09-04</x:v>
      </x:c>
    </x:row>
    <x:row r="326">
      <x:c r="A326" t="str">
        <x:v>002241</x:v>
      </x:c>
      <x:c r="B326" t="str">
        <x:v>歌尔股份</x:v>
      </x:c>
      <x:c r="C326" t="str">
        <x:v>主板</x:v>
      </x:c>
      <x:c r="D326" t="str">
        <x:v>待行业映射</x:v>
      </x:c>
      <x:c r="E326" t="n">
        <x:v>23.41</x:v>
      </x:c>
      <x:c r="F326" t="n">
        <x:v>20.85</x:v>
      </x:c>
      <x:c r="G326"/>
      <x:c r="H326" t="n">
        <x:v>831.59</x:v>
      </x:c>
      <x:c r="I326" t="n">
        <x:v>39.9</x:v>
      </x:c>
      <x:c r="J326" t="str">
        <x:v>initial_screen_pending_pb_financial_review</x:v>
      </x:c>
      <x:c r="K326" t="str">
        <x:v>AkShare / Tencent all-A market snapshot</x:v>
      </x:c>
      <x:c r="L326" t="str">
        <x:v>ProxyError: primary market source unavailable; see source_id for full audit.</x:v>
      </x:c>
      <x:c r="M326" t="str">
        <x:v>0</x:v>
      </x:c>
      <x:c r="N326" t="str">
        <x:v>0fd6ad2d-3389-4e70-8974-eb85ee223eeb</x:v>
      </x:c>
      <x:c r="O326" t="str">
        <x:v>2026-09-04</x:v>
      </x:c>
    </x:row>
    <x:row r="327">
      <x:c r="A327" t="str">
        <x:v>600894</x:v>
      </x:c>
      <x:c r="B327" t="str">
        <x:v>广日股份</x:v>
      </x:c>
      <x:c r="C327" t="str">
        <x:v>主板</x:v>
      </x:c>
      <x:c r="D327" t="str">
        <x:v>待行业映射</x:v>
      </x:c>
      <x:c r="E327" t="n">
        <x:v>7.43</x:v>
      </x:c>
      <x:c r="F327" t="n">
        <x:v>10.53</x:v>
      </x:c>
      <x:c r="G327"/>
      <x:c r="H327" t="n">
        <x:v>62.95</x:v>
      </x:c>
      <x:c r="I327" t="n">
        <x:v>39.83</x:v>
      </x:c>
      <x:c r="J327" t="str">
        <x:v>initial_screen_pending_pb_financial_review</x:v>
      </x:c>
      <x:c r="K327" t="str">
        <x:v>AkShare / Tencent all-A market snapshot</x:v>
      </x:c>
      <x:c r="L327" t="str">
        <x:v>ProxyError: primary market source unavailable; see source_id for full audit.</x:v>
      </x:c>
      <x:c r="M327" t="str">
        <x:v>0</x:v>
      </x:c>
      <x:c r="N327" t="str">
        <x:v>0fd6ad2d-3389-4e70-8974-eb85ee223eeb</x:v>
      </x:c>
      <x:c r="O327" t="str">
        <x:v>2026-09-04</x:v>
      </x:c>
    </x:row>
    <x:row r="328">
      <x:c r="A328" t="str">
        <x:v>600120</x:v>
      </x:c>
      <x:c r="B328" t="str">
        <x:v>浙江东方</x:v>
      </x:c>
      <x:c r="C328" t="str">
        <x:v>主板</x:v>
      </x:c>
      <x:c r="D328" t="str">
        <x:v>待行业映射</x:v>
      </x:c>
      <x:c r="E328" t="n">
        <x:v>4.92</x:v>
      </x:c>
      <x:c r="F328" t="n">
        <x:v>11.96</x:v>
      </x:c>
      <x:c r="G328"/>
      <x:c r="H328" t="n">
        <x:v>168.04</x:v>
      </x:c>
      <x:c r="I328" t="n">
        <x:v>39.79</x:v>
      </x:c>
      <x:c r="J328" t="str">
        <x:v>initial_screen_pending_pb_financial_review</x:v>
      </x:c>
      <x:c r="K328" t="str">
        <x:v>AkShare / Tencent all-A market snapshot</x:v>
      </x:c>
      <x:c r="L328" t="str">
        <x:v>ProxyError: primary market source unavailable; see source_id for full audit.</x:v>
      </x:c>
      <x:c r="M328" t="str">
        <x:v>0</x:v>
      </x:c>
      <x:c r="N328" t="str">
        <x:v>0fd6ad2d-3389-4e70-8974-eb85ee223eeb</x:v>
      </x:c>
      <x:c r="O328" t="str">
        <x:v>2026-09-04</x:v>
      </x:c>
    </x:row>
    <x:row r="329">
      <x:c r="A329" t="str">
        <x:v>600566</x:v>
      </x:c>
      <x:c r="B329" t="str">
        <x:v>济川药业</x:v>
      </x:c>
      <x:c r="C329" t="str">
        <x:v>主板</x:v>
      </x:c>
      <x:c r="D329" t="str">
        <x:v>待行业映射</x:v>
      </x:c>
      <x:c r="E329" t="n">
        <x:v>25.74</x:v>
      </x:c>
      <x:c r="F329" t="n">
        <x:v>12.91</x:v>
      </x:c>
      <x:c r="G329"/>
      <x:c r="H329" t="n">
        <x:v>237.18</x:v>
      </x:c>
      <x:c r="I329" t="n">
        <x:v>39.74</x:v>
      </x:c>
      <x:c r="J329" t="str">
        <x:v>initial_screen_pending_pb_financial_review</x:v>
      </x:c>
      <x:c r="K329" t="str">
        <x:v>AkShare / Tencent all-A market snapshot</x:v>
      </x:c>
      <x:c r="L329" t="str">
        <x:v>ProxyError: primary market source unavailable; see source_id for full audit.</x:v>
      </x:c>
      <x:c r="M329" t="str">
        <x:v>0</x:v>
      </x:c>
      <x:c r="N329" t="str">
        <x:v>0fd6ad2d-3389-4e70-8974-eb85ee223eeb</x:v>
      </x:c>
      <x:c r="O329" t="str">
        <x:v>2026-09-04</x:v>
      </x:c>
    </x:row>
    <x:row r="330">
      <x:c r="A330" t="str">
        <x:v>600236</x:v>
      </x:c>
      <x:c r="B330" t="str">
        <x:v>桂冠电力</x:v>
      </x:c>
      <x:c r="C330" t="str">
        <x:v>主板</x:v>
      </x:c>
      <x:c r="D330" t="str">
        <x:v>待行业映射</x:v>
      </x:c>
      <x:c r="E330" t="n">
        <x:v>9.88</x:v>
      </x:c>
      <x:c r="F330" t="n">
        <x:v>20.22</x:v>
      </x:c>
      <x:c r="G330"/>
      <x:c r="H330" t="n">
        <x:v>778.78</x:v>
      </x:c>
      <x:c r="I330" t="n">
        <x:v>39.69</x:v>
      </x:c>
      <x:c r="J330" t="str">
        <x:v>initial_screen_pending_pb_financial_review</x:v>
      </x:c>
      <x:c r="K330" t="str">
        <x:v>AkShare / Tencent all-A market snapshot</x:v>
      </x:c>
      <x:c r="L330" t="str">
        <x:v>ProxyError: primary market source unavailable; see source_id for full audit.</x:v>
      </x:c>
      <x:c r="M330" t="str">
        <x:v>0</x:v>
      </x:c>
      <x:c r="N330" t="str">
        <x:v>0fd6ad2d-3389-4e70-8974-eb85ee223eeb</x:v>
      </x:c>
      <x:c r="O330" t="str">
        <x:v>2026-09-04</x:v>
      </x:c>
    </x:row>
    <x:row r="331">
      <x:c r="A331" t="str">
        <x:v>000301</x:v>
      </x:c>
      <x:c r="B331" t="str">
        <x:v>东方盛虹</x:v>
      </x:c>
      <x:c r="C331" t="str">
        <x:v>主板</x:v>
      </x:c>
      <x:c r="D331" t="str">
        <x:v>待行业映射</x:v>
      </x:c>
      <x:c r="E331" t="n">
        <x:v>14.62</x:v>
      </x:c>
      <x:c r="F331" t="n">
        <x:v>22.76</x:v>
      </x:c>
      <x:c r="G331"/>
      <x:c r="H331" t="n">
        <x:v>966.56</x:v>
      </x:c>
      <x:c r="I331" t="n">
        <x:v>39.65</x:v>
      </x:c>
      <x:c r="J331" t="str">
        <x:v>initial_screen_pending_pb_financial_review</x:v>
      </x:c>
      <x:c r="K331" t="str">
        <x:v>AkShare / Tencent all-A market snapshot</x:v>
      </x:c>
      <x:c r="L331" t="str">
        <x:v>ProxyError: primary market source unavailable; see source_id for full audit.</x:v>
      </x:c>
      <x:c r="M331" t="str">
        <x:v>0</x:v>
      </x:c>
      <x:c r="N331" t="str">
        <x:v>0fd6ad2d-3389-4e70-8974-eb85ee223eeb</x:v>
      </x:c>
      <x:c r="O331" t="str">
        <x:v>2026-09-04</x:v>
      </x:c>
    </x:row>
    <x:row r="332">
      <x:c r="A332" t="str">
        <x:v>600757</x:v>
      </x:c>
      <x:c r="B332" t="str">
        <x:v>长江传媒</x:v>
      </x:c>
      <x:c r="C332" t="str">
        <x:v>主板</x:v>
      </x:c>
      <x:c r="D332" t="str">
        <x:v>待行业映射</x:v>
      </x:c>
      <x:c r="E332" t="n">
        <x:v>7.33</x:v>
      </x:c>
      <x:c r="F332" t="n">
        <x:v>10.96</x:v>
      </x:c>
      <x:c r="G332"/>
      <x:c r="H332" t="n">
        <x:v>88.96</x:v>
      </x:c>
      <x:c r="I332" t="n">
        <x:v>39.62</x:v>
      </x:c>
      <x:c r="J332" t="str">
        <x:v>initial_screen_pending_pb_financial_review</x:v>
      </x:c>
      <x:c r="K332" t="str">
        <x:v>AkShare / Tencent all-A market snapshot</x:v>
      </x:c>
      <x:c r="L332" t="str">
        <x:v>ProxyError: primary market source unavailable; see source_id for full audit.</x:v>
      </x:c>
      <x:c r="M332" t="str">
        <x:v>0</x:v>
      </x:c>
      <x:c r="N332" t="str">
        <x:v>0fd6ad2d-3389-4e70-8974-eb85ee223eeb</x:v>
      </x:c>
      <x:c r="O332" t="str">
        <x:v>2026-09-04</x:v>
      </x:c>
    </x:row>
    <x:row r="333">
      <x:c r="A333" t="str">
        <x:v>002558</x:v>
      </x:c>
      <x:c r="B333" t="str">
        <x:v>巨人网络</x:v>
      </x:c>
      <x:c r="C333" t="str">
        <x:v>主板</x:v>
      </x:c>
      <x:c r="D333" t="str">
        <x:v>待行业映射</x:v>
      </x:c>
      <x:c r="E333" t="n">
        <x:v>27.67</x:v>
      </x:c>
      <x:c r="F333" t="n">
        <x:v>16.85</x:v>
      </x:c>
      <x:c r="G333"/>
      <x:c r="H333" t="n">
        <x:v>525.89</x:v>
      </x:c>
      <x:c r="I333" t="n">
        <x:v>39.6</x:v>
      </x:c>
      <x:c r="J333" t="str">
        <x:v>initial_screen_pending_pb_financial_review</x:v>
      </x:c>
      <x:c r="K333" t="str">
        <x:v>AkShare / Tencent all-A market snapshot</x:v>
      </x:c>
      <x:c r="L333" t="str">
        <x:v>ProxyError: primary market source unavailable; see source_id for full audit.</x:v>
      </x:c>
      <x:c r="M333" t="str">
        <x:v>0</x:v>
      </x:c>
      <x:c r="N333" t="str">
        <x:v>0fd6ad2d-3389-4e70-8974-eb85ee223eeb</x:v>
      </x:c>
      <x:c r="O333" t="str">
        <x:v>2026-09-04</x:v>
      </x:c>
    </x:row>
    <x:row r="334">
      <x:c r="A334" t="str">
        <x:v>000899</x:v>
      </x:c>
      <x:c r="B334" t="str">
        <x:v>赣能股份</x:v>
      </x:c>
      <x:c r="C334" t="str">
        <x:v>主板</x:v>
      </x:c>
      <x:c r="D334" t="str">
        <x:v>待行业映射</x:v>
      </x:c>
      <x:c r="E334" t="n">
        <x:v>9.39</x:v>
      </x:c>
      <x:c r="F334" t="n">
        <x:v>11.01</x:v>
      </x:c>
      <x:c r="G334"/>
      <x:c r="H334" t="n">
        <x:v>91.62</x:v>
      </x:c>
      <x:c r="I334" t="n">
        <x:v>39.58</x:v>
      </x:c>
      <x:c r="J334" t="str">
        <x:v>initial_screen_pending_pb_financial_review</x:v>
      </x:c>
      <x:c r="K334" t="str">
        <x:v>AkShare / Tencent all-A market snapshot</x:v>
      </x:c>
      <x:c r="L334" t="str">
        <x:v>ProxyError: primary market source unavailable; see source_id for full audit.</x:v>
      </x:c>
      <x:c r="M334" t="str">
        <x:v>0</x:v>
      </x:c>
      <x:c r="N334" t="str">
        <x:v>0fd6ad2d-3389-4e70-8974-eb85ee223eeb</x:v>
      </x:c>
      <x:c r="O334" t="str">
        <x:v>2026-09-04</x:v>
      </x:c>
    </x:row>
    <x:row r="335">
      <x:c r="A335" t="str">
        <x:v>600496</x:v>
      </x:c>
      <x:c r="B335" t="str">
        <x:v>精工钢构</x:v>
      </x:c>
      <x:c r="C335" t="str">
        <x:v>主板</x:v>
      </x:c>
      <x:c r="D335" t="str">
        <x:v>待行业映射</x:v>
      </x:c>
      <x:c r="E335" t="n">
        <x:v>3.34</x:v>
      </x:c>
      <x:c r="F335" t="n">
        <x:v>10.67</x:v>
      </x:c>
      <x:c r="G335"/>
      <x:c r="H335" t="n">
        <x:v>66.47</x:v>
      </x:c>
      <x:c r="I335" t="n">
        <x:v>39.58</x:v>
      </x:c>
      <x:c r="J335" t="str">
        <x:v>initial_screen_pending_pb_financial_review</x:v>
      </x:c>
      <x:c r="K335" t="str">
        <x:v>AkShare / Tencent all-A market snapshot</x:v>
      </x:c>
      <x:c r="L335" t="str">
        <x:v>ProxyError: primary market source unavailable; see source_id for full audit.</x:v>
      </x:c>
      <x:c r="M335" t="str">
        <x:v>0</x:v>
      </x:c>
      <x:c r="N335" t="str">
        <x:v>0fd6ad2d-3389-4e70-8974-eb85ee223eeb</x:v>
      </x:c>
      <x:c r="O335" t="str">
        <x:v>2026-09-04</x:v>
      </x:c>
    </x:row>
    <x:row r="336">
      <x:c r="A336" t="str">
        <x:v>000028</x:v>
      </x:c>
      <x:c r="B336" t="str">
        <x:v>国药一致</x:v>
      </x:c>
      <x:c r="C336" t="str">
        <x:v>主板</x:v>
      </x:c>
      <x:c r="D336" t="str">
        <x:v>待行业映射</x:v>
      </x:c>
      <x:c r="E336" t="n">
        <x:v>20.19</x:v>
      </x:c>
      <x:c r="F336" t="n">
        <x:v>11.49</x:v>
      </x:c>
      <x:c r="G336"/>
      <x:c r="H336" t="n">
        <x:v>123.61</x:v>
      </x:c>
      <x:c r="I336" t="n">
        <x:v>39.45</x:v>
      </x:c>
      <x:c r="J336" t="str">
        <x:v>initial_screen_pending_pb_financial_review</x:v>
      </x:c>
      <x:c r="K336" t="str">
        <x:v>AkShare / Tencent all-A market snapshot</x:v>
      </x:c>
      <x:c r="L336" t="str">
        <x:v>ProxyError: primary market source unavailable; see source_id for full audit.</x:v>
      </x:c>
      <x:c r="M336" t="str">
        <x:v>0</x:v>
      </x:c>
      <x:c r="N336" t="str">
        <x:v>0fd6ad2d-3389-4e70-8974-eb85ee223eeb</x:v>
      </x:c>
      <x:c r="O336" t="str">
        <x:v>2026-09-04</x:v>
      </x:c>
    </x:row>
    <x:row r="337">
      <x:c r="A337" t="str">
        <x:v>603271</x:v>
      </x:c>
      <x:c r="B337" t="str">
        <x:v>永杰新材</x:v>
      </x:c>
      <x:c r="C337" t="str">
        <x:v>主板</x:v>
      </x:c>
      <x:c r="D337" t="str">
        <x:v>待行业映射</x:v>
      </x:c>
      <x:c r="E337" t="n">
        <x:v>41.04</x:v>
      </x:c>
      <x:c r="F337" t="n">
        <x:v>10.94</x:v>
      </x:c>
      <x:c r="G337"/>
      <x:c r="H337" t="n">
        <x:v>81.31</x:v>
      </x:c>
      <x:c r="I337" t="n">
        <x:v>39.4</x:v>
      </x:c>
      <x:c r="J337" t="str">
        <x:v>initial_screen_pending_pb_financial_review</x:v>
      </x:c>
      <x:c r="K337" t="str">
        <x:v>AkShare / Tencent all-A market snapshot</x:v>
      </x:c>
      <x:c r="L337" t="str">
        <x:v>ProxyError: primary market source unavailable; see source_id for full audit.</x:v>
      </x:c>
      <x:c r="M337" t="str">
        <x:v>0</x:v>
      </x:c>
      <x:c r="N337" t="str">
        <x:v>0fd6ad2d-3389-4e70-8974-eb85ee223eeb</x:v>
      </x:c>
      <x:c r="O337" t="str">
        <x:v>2026-09-04</x:v>
      </x:c>
    </x:row>
    <x:row r="338">
      <x:c r="A338" t="str">
        <x:v>600398</x:v>
      </x:c>
      <x:c r="B338" t="str">
        <x:v>海澜之家</x:v>
      </x:c>
      <x:c r="C338" t="str">
        <x:v>主板</x:v>
      </x:c>
      <x:c r="D338" t="str">
        <x:v>待行业映射</x:v>
      </x:c>
      <x:c r="E338" t="n">
        <x:v>5.9</x:v>
      </x:c>
      <x:c r="F338" t="n">
        <x:v>13.67</x:v>
      </x:c>
      <x:c r="G338"/>
      <x:c r="H338" t="n">
        <x:v>283.36</x:v>
      </x:c>
      <x:c r="I338" t="n">
        <x:v>39.38</x:v>
      </x:c>
      <x:c r="J338" t="str">
        <x:v>initial_screen_pending_pb_financial_review</x:v>
      </x:c>
      <x:c r="K338" t="str">
        <x:v>AkShare / Tencent all-A market snapshot</x:v>
      </x:c>
      <x:c r="L338" t="str">
        <x:v>ProxyError: primary market source unavailable; see source_id for full audit.</x:v>
      </x:c>
      <x:c r="M338" t="str">
        <x:v>0</x:v>
      </x:c>
      <x:c r="N338" t="str">
        <x:v>0fd6ad2d-3389-4e70-8974-eb85ee223eeb</x:v>
      </x:c>
      <x:c r="O338" t="str">
        <x:v>2026-09-04</x:v>
      </x:c>
    </x:row>
    <x:row r="339">
      <x:c r="A339" t="str">
        <x:v>600528</x:v>
      </x:c>
      <x:c r="B339" t="str">
        <x:v>中铁工业</x:v>
      </x:c>
      <x:c r="C339" t="str">
        <x:v>主板</x:v>
      </x:c>
      <x:c r="D339" t="str">
        <x:v>待行业映射</x:v>
      </x:c>
      <x:c r="E339" t="n">
        <x:v>6.96</x:v>
      </x:c>
      <x:c r="F339" t="n">
        <x:v>11.96</x:v>
      </x:c>
      <x:c r="G339"/>
      <x:c r="H339" t="n">
        <x:v>154.62</x:v>
      </x:c>
      <x:c r="I339" t="n">
        <x:v>39.32</x:v>
      </x:c>
      <x:c r="J339" t="str">
        <x:v>initial_screen_pending_pb_financial_review</x:v>
      </x:c>
      <x:c r="K339" t="str">
        <x:v>AkShare / Tencent all-A market snapshot</x:v>
      </x:c>
      <x:c r="L339" t="str">
        <x:v>ProxyError: primary market source unavailable; see source_id for full audit.</x:v>
      </x:c>
      <x:c r="M339" t="str">
        <x:v>0</x:v>
      </x:c>
      <x:c r="N339" t="str">
        <x:v>0fd6ad2d-3389-4e70-8974-eb85ee223eeb</x:v>
      </x:c>
      <x:c r="O339" t="str">
        <x:v>2026-09-04</x:v>
      </x:c>
    </x:row>
    <x:row r="340">
      <x:c r="A340" t="str">
        <x:v>600160</x:v>
      </x:c>
      <x:c r="B340" t="str">
        <x:v>巨化股份</x:v>
      </x:c>
      <x:c r="C340" t="str">
        <x:v>主板</x:v>
      </x:c>
      <x:c r="D340" t="str">
        <x:v>待行业映射</x:v>
      </x:c>
      <x:c r="E340" t="n">
        <x:v>37.92</x:v>
      </x:c>
      <x:c r="F340" t="n">
        <x:v>23.36</x:v>
      </x:c>
      <x:c r="G340"/>
      <x:c r="H340" t="n">
        <x:v>1023.74</x:v>
      </x:c>
      <x:c r="I340" t="n">
        <x:v>39.26</x:v>
      </x:c>
      <x:c r="J340" t="str">
        <x:v>initial_screen_pending_pb_financial_review</x:v>
      </x:c>
      <x:c r="K340" t="str">
        <x:v>AkShare / Tencent all-A market snapshot</x:v>
      </x:c>
      <x:c r="L340" t="str">
        <x:v>ProxyError: primary market source unavailable; see source_id for full audit.</x:v>
      </x:c>
      <x:c r="M340" t="str">
        <x:v>0</x:v>
      </x:c>
      <x:c r="N340" t="str">
        <x:v>0fd6ad2d-3389-4e70-8974-eb85ee223eeb</x:v>
      </x:c>
      <x:c r="O340" t="str">
        <x:v>2026-09-04</x:v>
      </x:c>
    </x:row>
    <x:row r="341">
      <x:c r="A341" t="str">
        <x:v>000680</x:v>
      </x:c>
      <x:c r="B341" t="str">
        <x:v>山推股份</x:v>
      </x:c>
      <x:c r="C341" t="str">
        <x:v>主板</x:v>
      </x:c>
      <x:c r="D341" t="str">
        <x:v>待行业映射</x:v>
      </x:c>
      <x:c r="E341" t="n">
        <x:v>10.6</x:v>
      </x:c>
      <x:c r="F341" t="n">
        <x:v>12.05</x:v>
      </x:c>
      <x:c r="G341"/>
      <x:c r="H341" t="n">
        <x:v>159.02</x:v>
      </x:c>
      <x:c r="I341" t="n">
        <x:v>39.24</x:v>
      </x:c>
      <x:c r="J341" t="str">
        <x:v>initial_screen_pending_pb_financial_review</x:v>
      </x:c>
      <x:c r="K341" t="str">
        <x:v>AkShare / Tencent all-A market snapshot</x:v>
      </x:c>
      <x:c r="L341" t="str">
        <x:v>ProxyError: primary market source unavailable; see source_id for full audit.</x:v>
      </x:c>
      <x:c r="M341" t="str">
        <x:v>0</x:v>
      </x:c>
      <x:c r="N341" t="str">
        <x:v>0fd6ad2d-3389-4e70-8974-eb85ee223eeb</x:v>
      </x:c>
      <x:c r="O341" t="str">
        <x:v>2026-09-04</x:v>
      </x:c>
    </x:row>
    <x:row r="342">
      <x:c r="A342" t="str">
        <x:v>002266</x:v>
      </x:c>
      <x:c r="B342" t="str">
        <x:v>浙富控股</x:v>
      </x:c>
      <x:c r="C342" t="str">
        <x:v>主板</x:v>
      </x:c>
      <x:c r="D342" t="str">
        <x:v>待行业映射</x:v>
      </x:c>
      <x:c r="E342" t="n">
        <x:v>4.87</x:v>
      </x:c>
      <x:c r="F342" t="n">
        <x:v>13.33</x:v>
      </x:c>
      <x:c r="G342"/>
      <x:c r="H342" t="n">
        <x:v>254.18</x:v>
      </x:c>
      <x:c r="I342" t="n">
        <x:v>39.24</x:v>
      </x:c>
      <x:c r="J342" t="str">
        <x:v>initial_screen_pending_pb_financial_review</x:v>
      </x:c>
      <x:c r="K342" t="str">
        <x:v>AkShare / Tencent all-A market snapshot</x:v>
      </x:c>
      <x:c r="L342" t="str">
        <x:v>ProxyError: primary market source unavailable; see source_id for full audit.</x:v>
      </x:c>
      <x:c r="M342" t="str">
        <x:v>0</x:v>
      </x:c>
      <x:c r="N342" t="str">
        <x:v>0fd6ad2d-3389-4e70-8974-eb85ee223eeb</x:v>
      </x:c>
      <x:c r="O342" t="str">
        <x:v>2026-09-04</x:v>
      </x:c>
    </x:row>
    <x:row r="343">
      <x:c r="A343" t="str">
        <x:v>600867</x:v>
      </x:c>
      <x:c r="B343" t="str">
        <x:v>通化东宝</x:v>
      </x:c>
      <x:c r="C343" t="str">
        <x:v>主板</x:v>
      </x:c>
      <x:c r="D343" t="str">
        <x:v>待行业映射</x:v>
      </x:c>
      <x:c r="E343" t="n">
        <x:v>8.02</x:v>
      </x:c>
      <x:c r="F343" t="n">
        <x:v>12.09</x:v>
      </x:c>
      <x:c r="G343"/>
      <x:c r="H343" t="n">
        <x:v>157.08</x:v>
      </x:c>
      <x:c r="I343" t="n">
        <x:v>39.06</x:v>
      </x:c>
      <x:c r="J343" t="str">
        <x:v>initial_screen_pending_pb_financial_review</x:v>
      </x:c>
      <x:c r="K343" t="str">
        <x:v>AkShare / Tencent all-A market snapshot</x:v>
      </x:c>
      <x:c r="L343" t="str">
        <x:v>ProxyError: primary market source unavailable; see source_id for full audit.</x:v>
      </x:c>
      <x:c r="M343" t="str">
        <x:v>0</x:v>
      </x:c>
      <x:c r="N343" t="str">
        <x:v>0fd6ad2d-3389-4e70-8974-eb85ee223eeb</x:v>
      </x:c>
      <x:c r="O343" t="str">
        <x:v>2026-09-04</x:v>
      </x:c>
    </x:row>
    <x:row r="344">
      <x:c r="A344" t="str">
        <x:v>002011</x:v>
      </x:c>
      <x:c r="B344" t="str">
        <x:v>盾安环境</x:v>
      </x:c>
      <x:c r="C344" t="str">
        <x:v>主板</x:v>
      </x:c>
      <x:c r="D344" t="str">
        <x:v>待行业映射</x:v>
      </x:c>
      <x:c r="E344" t="n">
        <x:v>10.85</x:v>
      </x:c>
      <x:c r="F344" t="n">
        <x:v>11.55</x:v>
      </x:c>
      <x:c r="G344"/>
      <x:c r="H344" t="n">
        <x:v>116.58</x:v>
      </x:c>
      <x:c r="I344" t="n">
        <x:v>39.05</x:v>
      </x:c>
      <x:c r="J344" t="str">
        <x:v>initial_screen_pending_pb_financial_review</x:v>
      </x:c>
      <x:c r="K344" t="str">
        <x:v>AkShare / Tencent all-A market snapshot</x:v>
      </x:c>
      <x:c r="L344" t="str">
        <x:v>ProxyError: primary market source unavailable; see source_id for full audit.</x:v>
      </x:c>
      <x:c r="M344" t="str">
        <x:v>0</x:v>
      </x:c>
      <x:c r="N344" t="str">
        <x:v>0fd6ad2d-3389-4e70-8974-eb85ee223eeb</x:v>
      </x:c>
      <x:c r="O344" t="str">
        <x:v>2026-09-04</x:v>
      </x:c>
    </x:row>
    <x:row r="345">
      <x:c r="A345" t="str">
        <x:v>603605</x:v>
      </x:c>
      <x:c r="B345" t="str">
        <x:v>珀莱雅</x:v>
      </x:c>
      <x:c r="C345" t="str">
        <x:v>主板</x:v>
      </x:c>
      <x:c r="D345" t="str">
        <x:v>待行业映射</x:v>
      </x:c>
      <x:c r="E345" t="n">
        <x:v>63.04</x:v>
      </x:c>
      <x:c r="F345" t="n">
        <x:v>13.37</x:v>
      </x:c>
      <x:c r="G345"/>
      <x:c r="H345" t="n">
        <x:v>249.62</x:v>
      </x:c>
      <x:c r="I345" t="n">
        <x:v>38.97</x:v>
      </x:c>
      <x:c r="J345" t="str">
        <x:v>initial_screen_pending_pb_financial_review</x:v>
      </x:c>
      <x:c r="K345" t="str">
        <x:v>AkShare / Tencent all-A market snapshot</x:v>
      </x:c>
      <x:c r="L345" t="str">
        <x:v>ProxyError: primary market source unavailable; see source_id for full audit.</x:v>
      </x:c>
      <x:c r="M345" t="str">
        <x:v>0</x:v>
      </x:c>
      <x:c r="N345" t="str">
        <x:v>0fd6ad2d-3389-4e70-8974-eb85ee223eeb</x:v>
      </x:c>
      <x:c r="O345" t="str">
        <x:v>2026-09-04</x:v>
      </x:c>
    </x:row>
    <x:row r="346">
      <x:c r="A346" t="str">
        <x:v>603816</x:v>
      </x:c>
      <x:c r="B346" t="str">
        <x:v>顾家家居</x:v>
      </x:c>
      <x:c r="C346" t="str">
        <x:v>主板</x:v>
      </x:c>
      <x:c r="D346" t="str">
        <x:v>待行业映射</x:v>
      </x:c>
      <x:c r="E346" t="n">
        <x:v>23.74</x:v>
      </x:c>
      <x:c r="F346" t="n">
        <x:v>12.97</x:v>
      </x:c>
      <x:c r="G346"/>
      <x:c r="H346" t="n">
        <x:v>219.77</x:v>
      </x:c>
      <x:c r="I346" t="n">
        <x:v>38.97</x:v>
      </x:c>
      <x:c r="J346" t="str">
        <x:v>initial_screen_pending_pb_financial_review</x:v>
      </x:c>
      <x:c r="K346" t="str">
        <x:v>AkShare / Tencent all-A market snapshot</x:v>
      </x:c>
      <x:c r="L346" t="str">
        <x:v>ProxyError: primary market source unavailable; see source_id for full audit.</x:v>
      </x:c>
      <x:c r="M346" t="str">
        <x:v>0</x:v>
      </x:c>
      <x:c r="N346" t="str">
        <x:v>0fd6ad2d-3389-4e70-8974-eb85ee223eeb</x:v>
      </x:c>
      <x:c r="O346" t="str">
        <x:v>2026-09-04</x:v>
      </x:c>
    </x:row>
    <x:row r="347">
      <x:c r="A347" t="str">
        <x:v>600713</x:v>
      </x:c>
      <x:c r="B347" t="str">
        <x:v>南京医药</x:v>
      </x:c>
      <x:c r="C347" t="str">
        <x:v>主板</x:v>
      </x:c>
      <x:c r="D347" t="str">
        <x:v>待行业映射</x:v>
      </x:c>
      <x:c r="E347" t="n">
        <x:v>5.26</x:v>
      </x:c>
      <x:c r="F347" t="n">
        <x:v>10.96</x:v>
      </x:c>
      <x:c r="G347"/>
      <x:c r="H347" t="n">
        <x:v>68.81</x:v>
      </x:c>
      <x:c r="I347" t="n">
        <x:v>38.91</x:v>
      </x:c>
      <x:c r="J347" t="str">
        <x:v>initial_screen_pending_pb_financial_review</x:v>
      </x:c>
      <x:c r="K347" t="str">
        <x:v>AkShare / Tencent all-A market snapshot</x:v>
      </x:c>
      <x:c r="L347" t="str">
        <x:v>ProxyError: primary market source unavailable; see source_id for full audit.</x:v>
      </x:c>
      <x:c r="M347" t="str">
        <x:v>0</x:v>
      </x:c>
      <x:c r="N347" t="str">
        <x:v>0fd6ad2d-3389-4e70-8974-eb85ee223eeb</x:v>
      </x:c>
      <x:c r="O347" t="str">
        <x:v>2026-09-04</x:v>
      </x:c>
    </x:row>
    <x:row r="348">
      <x:c r="A348" t="str">
        <x:v>000630</x:v>
      </x:c>
      <x:c r="B348" t="str">
        <x:v>铜陵有色</x:v>
      </x:c>
      <x:c r="C348" t="str">
        <x:v>主板</x:v>
      </x:c>
      <x:c r="D348" t="str">
        <x:v>待行业映射</x:v>
      </x:c>
      <x:c r="E348" t="n">
        <x:v>6.39</x:v>
      </x:c>
      <x:c r="F348" t="n">
        <x:v>21.59</x:v>
      </x:c>
      <x:c r="G348"/>
      <x:c r="H348" t="n">
        <x:v>856.87</x:v>
      </x:c>
      <x:c r="I348" t="n">
        <x:v>38.86</x:v>
      </x:c>
      <x:c r="J348" t="str">
        <x:v>initial_screen_pending_pb_financial_review</x:v>
      </x:c>
      <x:c r="K348" t="str">
        <x:v>AkShare / Tencent all-A market snapshot</x:v>
      </x:c>
      <x:c r="L348" t="str">
        <x:v>ProxyError: primary market source unavailable; see source_id for full audit.</x:v>
      </x:c>
      <x:c r="M348" t="str">
        <x:v>0</x:v>
      </x:c>
      <x:c r="N348" t="str">
        <x:v>0fd6ad2d-3389-4e70-8974-eb85ee223eeb</x:v>
      </x:c>
      <x:c r="O348" t="str">
        <x:v>2026-09-04</x:v>
      </x:c>
    </x:row>
    <x:row r="349">
      <x:c r="A349" t="str">
        <x:v>603529</x:v>
      </x:c>
      <x:c r="B349" t="str">
        <x:v>爱玛科技</x:v>
      </x:c>
      <x:c r="C349" t="str">
        <x:v>主板</x:v>
      </x:c>
      <x:c r="D349" t="str">
        <x:v>待行业映射</x:v>
      </x:c>
      <x:c r="E349" t="n">
        <x:v>21.69</x:v>
      </x:c>
      <x:c r="F349" t="n">
        <x:v>12.61</x:v>
      </x:c>
      <x:c r="G349"/>
      <x:c r="H349" t="n">
        <x:v>187.46</x:v>
      </x:c>
      <x:c r="I349" t="n">
        <x:v>38.78</x:v>
      </x:c>
      <x:c r="J349" t="str">
        <x:v>initial_screen_pending_pb_financial_review</x:v>
      </x:c>
      <x:c r="K349" t="str">
        <x:v>AkShare / Tencent all-A market snapshot</x:v>
      </x:c>
      <x:c r="L349" t="str">
        <x:v>ProxyError: primary market source unavailable; see source_id for full audit.</x:v>
      </x:c>
      <x:c r="M349" t="str">
        <x:v>0</x:v>
      </x:c>
      <x:c r="N349" t="str">
        <x:v>0fd6ad2d-3389-4e70-8974-eb85ee223eeb</x:v>
      </x:c>
      <x:c r="O349" t="str">
        <x:v>2026-09-04</x:v>
      </x:c>
    </x:row>
    <x:row r="350">
      <x:c r="A350" t="str">
        <x:v>601163</x:v>
      </x:c>
      <x:c r="B350" t="str">
        <x:v>三角轮胎</x:v>
      </x:c>
      <x:c r="C350" t="str">
        <x:v>主板</x:v>
      </x:c>
      <x:c r="D350" t="str">
        <x:v>待行业映射</x:v>
      </x:c>
      <x:c r="E350" t="n">
        <x:v>12.44</x:v>
      </x:c>
      <x:c r="F350" t="n">
        <x:v>11.48</x:v>
      </x:c>
      <x:c r="G350"/>
      <x:c r="H350" t="n">
        <x:v>99.52</x:v>
      </x:c>
      <x:c r="I350" t="n">
        <x:v>38.64</x:v>
      </x:c>
      <x:c r="J350" t="str">
        <x:v>initial_screen_pending_pb_financial_review</x:v>
      </x:c>
      <x:c r="K350" t="str">
        <x:v>AkShare / Tencent all-A market snapshot</x:v>
      </x:c>
      <x:c r="L350" t="str">
        <x:v>ProxyError: primary market source unavailable; see source_id for full audit.</x:v>
      </x:c>
      <x:c r="M350" t="str">
        <x:v>0</x:v>
      </x:c>
      <x:c r="N350" t="str">
        <x:v>0fd6ad2d-3389-4e70-8974-eb85ee223eeb</x:v>
      </x:c>
      <x:c r="O350" t="str">
        <x:v>2026-09-04</x:v>
      </x:c>
    </x:row>
    <x:row r="351">
      <x:c r="A351" t="str">
        <x:v>603298</x:v>
      </x:c>
      <x:c r="B351" t="str">
        <x:v>杭叉集团</x:v>
      </x:c>
      <x:c r="C351" t="str">
        <x:v>主板</x:v>
      </x:c>
      <x:c r="D351" t="str">
        <x:v>待行业映射</x:v>
      </x:c>
      <x:c r="E351" t="n">
        <x:v>25.64</x:v>
      </x:c>
      <x:c r="F351" t="n">
        <x:v>14.66</x:v>
      </x:c>
      <x:c r="G351"/>
      <x:c r="H351" t="n">
        <x:v>335.84</x:v>
      </x:c>
      <x:c r="I351" t="n">
        <x:v>38.64</x:v>
      </x:c>
      <x:c r="J351" t="str">
        <x:v>initial_screen_pending_pb_financial_review</x:v>
      </x:c>
      <x:c r="K351" t="str">
        <x:v>AkShare / Tencent all-A market snapshot</x:v>
      </x:c>
      <x:c r="L351" t="str">
        <x:v>ProxyError: primary market source unavailable; see source_id for full audit.</x:v>
      </x:c>
      <x:c r="M351" t="str">
        <x:v>0</x:v>
      </x:c>
      <x:c r="N351" t="str">
        <x:v>0fd6ad2d-3389-4e70-8974-eb85ee223eeb</x:v>
      </x:c>
      <x:c r="O351" t="str">
        <x:v>2026-09-04</x:v>
      </x:c>
    </x:row>
    <x:row r="352">
      <x:c r="A352" t="str">
        <x:v>002475</x:v>
      </x:c>
      <x:c r="B352" t="str">
        <x:v>立讯精密</x:v>
      </x:c>
      <x:c r="C352" t="str">
        <x:v>主板</x:v>
      </x:c>
      <x:c r="D352" t="str">
        <x:v>待行业映射</x:v>
      </x:c>
      <x:c r="E352" t="n">
        <x:v>54.3</x:v>
      </x:c>
      <x:c r="F352" t="n">
        <x:v>23.61</x:v>
      </x:c>
      <x:c r="G352"/>
      <x:c r="H352" t="n">
        <x:v>4201.67</x:v>
      </x:c>
      <x:c r="I352" t="n">
        <x:v>38.61</x:v>
      </x:c>
      <x:c r="J352" t="str">
        <x:v>initial_screen_pending_pb_financial_review</x:v>
      </x:c>
      <x:c r="K352" t="str">
        <x:v>AkShare / Tencent all-A market snapshot</x:v>
      </x:c>
      <x:c r="L352" t="str">
        <x:v>ProxyError: primary market source unavailable; see source_id for full audit.</x:v>
      </x:c>
      <x:c r="M352" t="str">
        <x:v>0</x:v>
      </x:c>
      <x:c r="N352" t="str">
        <x:v>0fd6ad2d-3389-4e70-8974-eb85ee223eeb</x:v>
      </x:c>
      <x:c r="O352" t="str">
        <x:v>2026-09-04</x:v>
      </x:c>
    </x:row>
    <x:row r="353">
      <x:c r="A353" t="str">
        <x:v>601958</x:v>
      </x:c>
      <x:c r="B353" t="str">
        <x:v>金钼股份</x:v>
      </x:c>
      <x:c r="C353" t="str">
        <x:v>主板</x:v>
      </x:c>
      <x:c r="D353" t="str">
        <x:v>待行业映射</x:v>
      </x:c>
      <x:c r="E353" t="n">
        <x:v>20.98</x:v>
      </x:c>
      <x:c r="F353" t="n">
        <x:v>19.27</x:v>
      </x:c>
      <x:c r="G353"/>
      <x:c r="H353" t="n">
        <x:v>676.94</x:v>
      </x:c>
      <x:c r="I353" t="n">
        <x:v>38.59</x:v>
      </x:c>
      <x:c r="J353" t="str">
        <x:v>initial_screen_pending_pb_financial_review</x:v>
      </x:c>
      <x:c r="K353" t="str">
        <x:v>AkShare / Tencent all-A market snapshot</x:v>
      </x:c>
      <x:c r="L353" t="str">
        <x:v>ProxyError: primary market source unavailable; see source_id for full audit.</x:v>
      </x:c>
      <x:c r="M353" t="str">
        <x:v>0</x:v>
      </x:c>
      <x:c r="N353" t="str">
        <x:v>0fd6ad2d-3389-4e70-8974-eb85ee223eeb</x:v>
      </x:c>
      <x:c r="O353" t="str">
        <x:v>2026-09-04</x:v>
      </x:c>
    </x:row>
    <x:row r="354">
      <x:c r="A354" t="str">
        <x:v>002545</x:v>
      </x:c>
      <x:c r="B354" t="str">
        <x:v>东方铁塔</x:v>
      </x:c>
      <x:c r="C354" t="str">
        <x:v>主板</x:v>
      </x:c>
      <x:c r="D354" t="str">
        <x:v>待行业映射</x:v>
      </x:c>
      <x:c r="E354" t="n">
        <x:v>17.85</x:v>
      </x:c>
      <x:c r="F354" t="n">
        <x:v>13.15</x:v>
      </x:c>
      <x:c r="G354"/>
      <x:c r="H354" t="n">
        <x:v>222.07</x:v>
      </x:c>
      <x:c r="I354" t="n">
        <x:v>38.58</x:v>
      </x:c>
      <x:c r="J354" t="str">
        <x:v>initial_screen_pending_pb_financial_review</x:v>
      </x:c>
      <x:c r="K354" t="str">
        <x:v>AkShare / Tencent all-A market snapshot</x:v>
      </x:c>
      <x:c r="L354" t="str">
        <x:v>ProxyError: primary market source unavailable; see source_id for full audit.</x:v>
      </x:c>
      <x:c r="M354" t="str">
        <x:v>0</x:v>
      </x:c>
      <x:c r="N354" t="str">
        <x:v>0fd6ad2d-3389-4e70-8974-eb85ee223eeb</x:v>
      </x:c>
      <x:c r="O354" t="str">
        <x:v>2026-09-04</x:v>
      </x:c>
    </x:row>
    <x:row r="355">
      <x:c r="A355" t="str">
        <x:v>300979</x:v>
      </x:c>
      <x:c r="B355" t="str">
        <x:v>华利集团</x:v>
      </x:c>
      <x:c r="C355" t="str">
        <x:v>创业板</x:v>
      </x:c>
      <x:c r="D355" t="str">
        <x:v>待行业映射</x:v>
      </x:c>
      <x:c r="E355" t="n">
        <x:v>32.86</x:v>
      </x:c>
      <x:c r="F355" t="n">
        <x:v>15.41</x:v>
      </x:c>
      <x:c r="G355"/>
      <x:c r="H355" t="n">
        <x:v>383.48</x:v>
      </x:c>
      <x:c r="I355" t="n">
        <x:v>38.36</x:v>
      </x:c>
      <x:c r="J355" t="str">
        <x:v>initial_screen_pending_pb_financial_review</x:v>
      </x:c>
      <x:c r="K355" t="str">
        <x:v>AkShare / Tencent all-A market snapshot</x:v>
      </x:c>
      <x:c r="L355" t="str">
        <x:v>ProxyError: primary market source unavailable; see source_id for full audit.</x:v>
      </x:c>
      <x:c r="M355" t="str">
        <x:v>0</x:v>
      </x:c>
      <x:c r="N355" t="str">
        <x:v>0fd6ad2d-3389-4e70-8974-eb85ee223eeb</x:v>
      </x:c>
      <x:c r="O355" t="str">
        <x:v>2026-09-04</x:v>
      </x:c>
    </x:row>
    <x:row r="356">
      <x:c r="A356" t="str">
        <x:v>600098</x:v>
      </x:c>
      <x:c r="B356" t="str">
        <x:v>广州发展</x:v>
      </x:c>
      <x:c r="C356" t="str">
        <x:v>主板</x:v>
      </x:c>
      <x:c r="D356" t="str">
        <x:v>待行业映射</x:v>
      </x:c>
      <x:c r="E356" t="n">
        <x:v>6.11</x:v>
      </x:c>
      <x:c r="F356" t="n">
        <x:v>13.14</x:v>
      </x:c>
      <x:c r="G356"/>
      <x:c r="H356" t="n">
        <x:v>214.21</x:v>
      </x:c>
      <x:c r="I356" t="n">
        <x:v>38.33</x:v>
      </x:c>
      <x:c r="J356" t="str">
        <x:v>initial_screen_pending_pb_financial_review</x:v>
      </x:c>
      <x:c r="K356" t="str">
        <x:v>AkShare / Tencent all-A market snapshot</x:v>
      </x:c>
      <x:c r="L356" t="str">
        <x:v>ProxyError: primary market source unavailable; see source_id for full audit.</x:v>
      </x:c>
      <x:c r="M356" t="str">
        <x:v>0</x:v>
      </x:c>
      <x:c r="N356" t="str">
        <x:v>0fd6ad2d-3389-4e70-8974-eb85ee223eeb</x:v>
      </x:c>
      <x:c r="O356" t="str">
        <x:v>2026-09-04</x:v>
      </x:c>
    </x:row>
    <x:row r="357">
      <x:c r="A357" t="str">
        <x:v>603889</x:v>
      </x:c>
      <x:c r="B357" t="str">
        <x:v>新澳股份</x:v>
      </x:c>
      <x:c r="C357" t="str">
        <x:v>主板</x:v>
      </x:c>
      <x:c r="D357" t="str">
        <x:v>待行业映射</x:v>
      </x:c>
      <x:c r="E357" t="n">
        <x:v>6.23</x:v>
      </x:c>
      <x:c r="F357" t="n">
        <x:v>11.06</x:v>
      </x:c>
      <x:c r="G357"/>
      <x:c r="H357" t="n">
        <x:v>59.14</x:v>
      </x:c>
      <x:c r="I357" t="n">
        <x:v>38.31</x:v>
      </x:c>
      <x:c r="J357" t="str">
        <x:v>initial_screen_pending_pb_financial_review</x:v>
      </x:c>
      <x:c r="K357" t="str">
        <x:v>AkShare / Tencent all-A market snapshot</x:v>
      </x:c>
      <x:c r="L357" t="str">
        <x:v>ProxyError: primary market source unavailable; see source_id for full audit.</x:v>
      </x:c>
      <x:c r="M357" t="str">
        <x:v>0</x:v>
      </x:c>
      <x:c r="N357" t="str">
        <x:v>0fd6ad2d-3389-4e70-8974-eb85ee223eeb</x:v>
      </x:c>
      <x:c r="O357" t="str">
        <x:v>2026-09-04</x:v>
      </x:c>
    </x:row>
    <x:row r="358">
      <x:c r="A358" t="str">
        <x:v>300815</x:v>
      </x:c>
      <x:c r="B358" t="str">
        <x:v>玉禾田</x:v>
      </x:c>
      <x:c r="C358" t="str">
        <x:v>创业板</x:v>
      </x:c>
      <x:c r="D358" t="str">
        <x:v>待行业映射</x:v>
      </x:c>
      <x:c r="E358" t="n">
        <x:v>15.16</x:v>
      </x:c>
      <x:c r="F358" t="n">
        <x:v>11.1</x:v>
      </x:c>
      <x:c r="G358"/>
      <x:c r="H358" t="n">
        <x:v>60.43</x:v>
      </x:c>
      <x:c r="I358" t="n">
        <x:v>38.26</x:v>
      </x:c>
      <x:c r="J358" t="str">
        <x:v>initial_screen_pending_pb_financial_review</x:v>
      </x:c>
      <x:c r="K358" t="str">
        <x:v>AkShare / Tencent all-A market snapshot</x:v>
      </x:c>
      <x:c r="L358" t="str">
        <x:v>ProxyError: primary market source unavailable; see source_id for full audit.</x:v>
      </x:c>
      <x:c r="M358" t="str">
        <x:v>0</x:v>
      </x:c>
      <x:c r="N358" t="str">
        <x:v>0fd6ad2d-3389-4e70-8974-eb85ee223eeb</x:v>
      </x:c>
      <x:c r="O358" t="str">
        <x:v>2026-09-04</x:v>
      </x:c>
    </x:row>
    <x:row r="359">
      <x:c r="A359" t="str">
        <x:v>000550</x:v>
      </x:c>
      <x:c r="B359" t="str">
        <x:v>江铃汽车</x:v>
      </x:c>
      <x:c r="C359" t="str">
        <x:v>主板</x:v>
      </x:c>
      <x:c r="D359" t="str">
        <x:v>待行业映射</x:v>
      </x:c>
      <x:c r="E359" t="n">
        <x:v>17.19</x:v>
      </x:c>
      <x:c r="F359" t="n">
        <x:v>12.43</x:v>
      </x:c>
      <x:c r="G359"/>
      <x:c r="H359" t="n">
        <x:v>148.39</x:v>
      </x:c>
      <x:c r="I359" t="n">
        <x:v>37.88</x:v>
      </x:c>
      <x:c r="J359" t="str">
        <x:v>initial_screen_pending_pb_financial_review</x:v>
      </x:c>
      <x:c r="K359" t="str">
        <x:v>AkShare / Tencent all-A market snapshot</x:v>
      </x:c>
      <x:c r="L359" t="str">
        <x:v>ProxyError: primary market source unavailable; see source_id for full audit.</x:v>
      </x:c>
      <x:c r="M359" t="str">
        <x:v>0</x:v>
      </x:c>
      <x:c r="N359" t="str">
        <x:v>0fd6ad2d-3389-4e70-8974-eb85ee223eeb</x:v>
      </x:c>
      <x:c r="O359" t="str">
        <x:v>2026-09-04</x:v>
      </x:c>
    </x:row>
    <x:row r="360">
      <x:c r="A360" t="str">
        <x:v>601518</x:v>
      </x:c>
      <x:c r="B360" t="str">
        <x:v>吉林高速</x:v>
      </x:c>
      <x:c r="C360" t="str">
        <x:v>主板</x:v>
      </x:c>
      <x:c r="D360" t="str">
        <x:v>待行业映射</x:v>
      </x:c>
      <x:c r="E360" t="n">
        <x:v>2.88</x:v>
      </x:c>
      <x:c r="F360" t="n">
        <x:v>11.21</x:v>
      </x:c>
      <x:c r="G360"/>
      <x:c r="H360" t="n">
        <x:v>54.45</x:v>
      </x:c>
      <x:c r="I360" t="n">
        <x:v>37.76</x:v>
      </x:c>
      <x:c r="J360" t="str">
        <x:v>initial_screen_pending_pb_financial_review</x:v>
      </x:c>
      <x:c r="K360" t="str">
        <x:v>AkShare / Tencent all-A market snapshot</x:v>
      </x:c>
      <x:c r="L360" t="str">
        <x:v>ProxyError: primary market source unavailable; see source_id for full audit.</x:v>
      </x:c>
      <x:c r="M360" t="str">
        <x:v>0</x:v>
      </x:c>
      <x:c r="N360" t="str">
        <x:v>0fd6ad2d-3389-4e70-8974-eb85ee223eeb</x:v>
      </x:c>
      <x:c r="O360" t="str">
        <x:v>2026-09-04</x:v>
      </x:c>
    </x:row>
    <x:row r="361">
      <x:c r="A361" t="str">
        <x:v>603369</x:v>
      </x:c>
      <x:c r="B361" t="str">
        <x:v>今世缘</x:v>
      </x:c>
      <x:c r="C361" t="str">
        <x:v>主板</x:v>
      </x:c>
      <x:c r="D361" t="str">
        <x:v>待行业映射</x:v>
      </x:c>
      <x:c r="E361" t="n">
        <x:v>30.9</x:v>
      </x:c>
      <x:c r="F361" t="n">
        <x:v>15.68</x:v>
      </x:c>
      <x:c r="G361"/>
      <x:c r="H361" t="n">
        <x:v>385.26</x:v>
      </x:c>
      <x:c r="I361" t="n">
        <x:v>37.72</x:v>
      </x:c>
      <x:c r="J361" t="str">
        <x:v>initial_screen_pending_pb_financial_review</x:v>
      </x:c>
      <x:c r="K361" t="str">
        <x:v>AkShare / Tencent all-A market snapshot</x:v>
      </x:c>
      <x:c r="L361" t="str">
        <x:v>ProxyError: primary market source unavailable; see source_id for full audit.</x:v>
      </x:c>
      <x:c r="M361" t="str">
        <x:v>0</x:v>
      </x:c>
      <x:c r="N361" t="str">
        <x:v>0fd6ad2d-3389-4e70-8974-eb85ee223eeb</x:v>
      </x:c>
      <x:c r="O361" t="str">
        <x:v>2026-09-04</x:v>
      </x:c>
    </x:row>
    <x:row r="362">
      <x:c r="A362" t="str">
        <x:v>601686</x:v>
      </x:c>
      <x:c r="B362" t="str">
        <x:v>友发集团</x:v>
      </x:c>
      <x:c r="C362" t="str">
        <x:v>主板</x:v>
      </x:c>
      <x:c r="D362" t="str">
        <x:v>待行业映射</x:v>
      </x:c>
      <x:c r="E362" t="n">
        <x:v>5.24</x:v>
      </x:c>
      <x:c r="F362" t="n">
        <x:v>11.54</x:v>
      </x:c>
      <x:c r="G362"/>
      <x:c r="H362" t="n">
        <x:v>77.52</x:v>
      </x:c>
      <x:c r="I362" t="n">
        <x:v>37.71</x:v>
      </x:c>
      <x:c r="J362" t="str">
        <x:v>initial_screen_pending_pb_financial_review</x:v>
      </x:c>
      <x:c r="K362" t="str">
        <x:v>AkShare / Tencent all-A market snapshot</x:v>
      </x:c>
      <x:c r="L362" t="str">
        <x:v>ProxyError: primary market source unavailable; see source_id for full audit.</x:v>
      </x:c>
      <x:c r="M362" t="str">
        <x:v>0</x:v>
      </x:c>
      <x:c r="N362" t="str">
        <x:v>0fd6ad2d-3389-4e70-8974-eb85ee223eeb</x:v>
      </x:c>
      <x:c r="O362" t="str">
        <x:v>2026-09-04</x:v>
      </x:c>
    </x:row>
    <x:row r="363">
      <x:c r="A363" t="str">
        <x:v>002517</x:v>
      </x:c>
      <x:c r="B363" t="str">
        <x:v>恺英网络</x:v>
      </x:c>
      <x:c r="C363" t="str">
        <x:v>主板</x:v>
      </x:c>
      <x:c r="D363" t="str">
        <x:v>待行业映射</x:v>
      </x:c>
      <x:c r="E363" t="n">
        <x:v>17.41</x:v>
      </x:c>
      <x:c r="F363" t="n">
        <x:v>15.62</x:v>
      </x:c>
      <x:c r="G363"/>
      <x:c r="H363" t="n">
        <x:v>371.95</x:v>
      </x:c>
      <x:c r="I363" t="n">
        <x:v>37.41</x:v>
      </x:c>
      <x:c r="J363" t="str">
        <x:v>initial_screen_pending_pb_financial_review</x:v>
      </x:c>
      <x:c r="K363" t="str">
        <x:v>AkShare / Tencent all-A market snapshot</x:v>
      </x:c>
      <x:c r="L363" t="str">
        <x:v>ProxyError: primary market source unavailable; see source_id for full audit.</x:v>
      </x:c>
      <x:c r="M363" t="str">
        <x:v>0</x:v>
      </x:c>
      <x:c r="N363" t="str">
        <x:v>0fd6ad2d-3389-4e70-8974-eb85ee223eeb</x:v>
      </x:c>
      <x:c r="O363" t="str">
        <x:v>2026-09-04</x:v>
      </x:c>
    </x:row>
    <x:row r="364">
      <x:c r="A364" t="str">
        <x:v>002039</x:v>
      </x:c>
      <x:c r="B364" t="str">
        <x:v>黔源电力</x:v>
      </x:c>
      <x:c r="C364" t="str">
        <x:v>主板</x:v>
      </x:c>
      <x:c r="D364" t="str">
        <x:v>待行业映射</x:v>
      </x:c>
      <x:c r="E364" t="n">
        <x:v>19.4</x:v>
      </x:c>
      <x:c r="F364" t="n">
        <x:v>11.75</x:v>
      </x:c>
      <x:c r="G364"/>
      <x:c r="H364" t="n">
        <x:v>82.95</x:v>
      </x:c>
      <x:c r="I364" t="n">
        <x:v>37.35</x:v>
      </x:c>
      <x:c r="J364" t="str">
        <x:v>initial_screen_pending_pb_financial_review</x:v>
      </x:c>
      <x:c r="K364" t="str">
        <x:v>AkShare / Tencent all-A market snapshot</x:v>
      </x:c>
      <x:c r="L364" t="str">
        <x:v>ProxyError: primary market source unavailable; see source_id for full audit.</x:v>
      </x:c>
      <x:c r="M364" t="str">
        <x:v>0</x:v>
      </x:c>
      <x:c r="N364" t="str">
        <x:v>0fd6ad2d-3389-4e70-8974-eb85ee223eeb</x:v>
      </x:c>
      <x:c r="O364" t="str">
        <x:v>2026-09-04</x:v>
      </x:c>
    </x:row>
    <x:row r="365">
      <x:c r="A365" t="str">
        <x:v>601975</x:v>
      </x:c>
      <x:c r="B365" t="str">
        <x:v>招商南油</x:v>
      </x:c>
      <x:c r="C365" t="str">
        <x:v>主板</x:v>
      </x:c>
      <x:c r="D365" t="str">
        <x:v>待行业映射</x:v>
      </x:c>
      <x:c r="E365" t="n">
        <x:v>4.48</x:v>
      </x:c>
      <x:c r="F365" t="n">
        <x:v>13.5</x:v>
      </x:c>
      <x:c r="G365"/>
      <x:c r="H365" t="n">
        <x:v>209.68</x:v>
      </x:c>
      <x:c r="I365" t="n">
        <x:v>37.24</x:v>
      </x:c>
      <x:c r="J365" t="str">
        <x:v>initial_screen_pending_pb_financial_review</x:v>
      </x:c>
      <x:c r="K365" t="str">
        <x:v>AkShare / Tencent all-A market snapshot</x:v>
      </x:c>
      <x:c r="L365" t="str">
        <x:v>ProxyError: primary market source unavailable; see source_id for full audit.</x:v>
      </x:c>
      <x:c r="M365" t="str">
        <x:v>0</x:v>
      </x:c>
      <x:c r="N365" t="str">
        <x:v>0fd6ad2d-3389-4e70-8974-eb85ee223eeb</x:v>
      </x:c>
      <x:c r="O365" t="str">
        <x:v>2026-09-04</x:v>
      </x:c>
    </x:row>
    <x:row r="366">
      <x:c r="A366" t="str">
        <x:v>600839</x:v>
      </x:c>
      <x:c r="B366" t="str">
        <x:v>四川长虹</x:v>
      </x:c>
      <x:c r="C366" t="str">
        <x:v>主板</x:v>
      </x:c>
      <x:c r="D366" t="str">
        <x:v>待行业映射</x:v>
      </x:c>
      <x:c r="E366" t="n">
        <x:v>6.95</x:v>
      </x:c>
      <x:c r="F366" t="n">
        <x:v>15.03</x:v>
      </x:c>
      <x:c r="G366"/>
      <x:c r="H366" t="n">
        <x:v>320.83</x:v>
      </x:c>
      <x:c r="I366" t="n">
        <x:v>37.15</x:v>
      </x:c>
      <x:c r="J366" t="str">
        <x:v>initial_screen_pending_pb_financial_review</x:v>
      </x:c>
      <x:c r="K366" t="str">
        <x:v>AkShare / Tencent all-A market snapshot</x:v>
      </x:c>
      <x:c r="L366" t="str">
        <x:v>ProxyError: primary market source unavailable; see source_id for full audit.</x:v>
      </x:c>
      <x:c r="M366" t="str">
        <x:v>0</x:v>
      </x:c>
      <x:c r="N366" t="str">
        <x:v>0fd6ad2d-3389-4e70-8974-eb85ee223eeb</x:v>
      </x:c>
      <x:c r="O366" t="str">
        <x:v>2026-09-04</x:v>
      </x:c>
    </x:row>
    <x:row r="367">
      <x:c r="A367" t="str">
        <x:v>002867</x:v>
      </x:c>
      <x:c r="B367" t="str">
        <x:v>周大生</x:v>
      </x:c>
      <x:c r="C367" t="str">
        <x:v>主板</x:v>
      </x:c>
      <x:c r="D367" t="str">
        <x:v>待行业映射</x:v>
      </x:c>
      <x:c r="E367" t="n">
        <x:v>10.88</x:v>
      </x:c>
      <x:c r="F367" t="n">
        <x:v>12.31</x:v>
      </x:c>
      <x:c r="G367"/>
      <x:c r="H367" t="n">
        <x:v>118.1</x:v>
      </x:c>
      <x:c r="I367" t="n">
        <x:v>37.13</x:v>
      </x:c>
      <x:c r="J367" t="str">
        <x:v>initial_screen_pending_pb_financial_review</x:v>
      </x:c>
      <x:c r="K367" t="str">
        <x:v>AkShare / Tencent all-A market snapshot</x:v>
      </x:c>
      <x:c r="L367" t="str">
        <x:v>ProxyError: primary market source unavailable; see source_id for full audit.</x:v>
      </x:c>
      <x:c r="M367" t="str">
        <x:v>0</x:v>
      </x:c>
      <x:c r="N367" t="str">
        <x:v>0fd6ad2d-3389-4e70-8974-eb85ee223eeb</x:v>
      </x:c>
      <x:c r="O367" t="str">
        <x:v>2026-09-04</x:v>
      </x:c>
    </x:row>
    <x:row r="368">
      <x:c r="A368" t="str">
        <x:v>600694</x:v>
      </x:c>
      <x:c r="B368" t="str">
        <x:v>大商股份</x:v>
      </x:c>
      <x:c r="C368" t="str">
        <x:v>主板</x:v>
      </x:c>
      <x:c r="D368" t="str">
        <x:v>待行业映射</x:v>
      </x:c>
      <x:c r="E368" t="n">
        <x:v>14.9</x:v>
      </x:c>
      <x:c r="F368" t="n">
        <x:v>11.48</x:v>
      </x:c>
      <x:c r="G368"/>
      <x:c r="H368" t="n">
        <x:v>56.44</x:v>
      </x:c>
      <x:c r="I368" t="n">
        <x:v>37.13</x:v>
      </x:c>
      <x:c r="J368" t="str">
        <x:v>initial_screen_pending_pb_financial_review</x:v>
      </x:c>
      <x:c r="K368" t="str">
        <x:v>AkShare / Tencent all-A market snapshot</x:v>
      </x:c>
      <x:c r="L368" t="str">
        <x:v>ProxyError: primary market source unavailable; see source_id for full audit.</x:v>
      </x:c>
      <x:c r="M368" t="str">
        <x:v>0</x:v>
      </x:c>
      <x:c r="N368" t="str">
        <x:v>0fd6ad2d-3389-4e70-8974-eb85ee223eeb</x:v>
      </x:c>
      <x:c r="O368" t="str">
        <x:v>2026-09-04</x:v>
      </x:c>
    </x:row>
    <x:row r="369">
      <x:c r="A369" t="str">
        <x:v>603979</x:v>
      </x:c>
      <x:c r="B369" t="str">
        <x:v>金诚信</x:v>
      </x:c>
      <x:c r="C369" t="str">
        <x:v>主板</x:v>
      </x:c>
      <x:c r="D369" t="str">
        <x:v>待行业映射</x:v>
      </x:c>
      <x:c r="E369" t="n">
        <x:v>79.54</x:v>
      </x:c>
      <x:c r="F369" t="n">
        <x:v>17.46</x:v>
      </x:c>
      <x:c r="G369"/>
      <x:c r="H369" t="n">
        <x:v>496.16</x:v>
      </x:c>
      <x:c r="I369" t="n">
        <x:v>36.97</x:v>
      </x:c>
      <x:c r="J369" t="str">
        <x:v>initial_screen_pending_pb_financial_review</x:v>
      </x:c>
      <x:c r="K369" t="str">
        <x:v>AkShare / Tencent all-A market snapshot</x:v>
      </x:c>
      <x:c r="L369" t="str">
        <x:v>ProxyError: primary market source unavailable; see source_id for full audit.</x:v>
      </x:c>
      <x:c r="M369" t="str">
        <x:v>0</x:v>
      </x:c>
      <x:c r="N369" t="str">
        <x:v>0fd6ad2d-3389-4e70-8974-eb85ee223eeb</x:v>
      </x:c>
      <x:c r="O369" t="str">
        <x:v>2026-09-04</x:v>
      </x:c>
    </x:row>
    <x:row r="370">
      <x:c r="A370" t="str">
        <x:v>603833</x:v>
      </x:c>
      <x:c r="B370" t="str">
        <x:v>欧派家居</x:v>
      </x:c>
      <x:c r="C370" t="str">
        <x:v>主板</x:v>
      </x:c>
      <x:c r="D370" t="str">
        <x:v>待行业映射</x:v>
      </x:c>
      <x:c r="E370" t="n">
        <x:v>31.3</x:v>
      </x:c>
      <x:c r="F370" t="n">
        <x:v>13.35</x:v>
      </x:c>
      <x:c r="G370"/>
      <x:c r="H370" t="n">
        <x:v>189.59</x:v>
      </x:c>
      <x:c r="I370" t="n">
        <x:v>36.93</x:v>
      </x:c>
      <x:c r="J370" t="str">
        <x:v>initial_screen_pending_pb_financial_review</x:v>
      </x:c>
      <x:c r="K370" t="str">
        <x:v>AkShare / Tencent all-A market snapshot</x:v>
      </x:c>
      <x:c r="L370" t="str">
        <x:v>ProxyError: primary market source unavailable; see source_id for full audit.</x:v>
      </x:c>
      <x:c r="M370" t="str">
        <x:v>0</x:v>
      </x:c>
      <x:c r="N370" t="str">
        <x:v>0fd6ad2d-3389-4e70-8974-eb85ee223eeb</x:v>
      </x:c>
      <x:c r="O370" t="str">
        <x:v>2026-09-04</x:v>
      </x:c>
    </x:row>
    <x:row r="371">
      <x:c r="A371" t="str">
        <x:v>300390</x:v>
      </x:c>
      <x:c r="B371" t="str">
        <x:v>天华新能</x:v>
      </x:c>
      <x:c r="C371" t="str">
        <x:v>创业板</x:v>
      </x:c>
      <x:c r="D371" t="str">
        <x:v>待行业映射</x:v>
      </x:c>
      <x:c r="E371" t="n">
        <x:v>57.94</x:v>
      </x:c>
      <x:c r="F371" t="n">
        <x:v>17.28</x:v>
      </x:c>
      <x:c r="G371"/>
      <x:c r="H371" t="n">
        <x:v>481.34</x:v>
      </x:c>
      <x:c r="I371" t="n">
        <x:v>36.92</x:v>
      </x:c>
      <x:c r="J371" t="str">
        <x:v>initial_screen_pending_pb_financial_review</x:v>
      </x:c>
      <x:c r="K371" t="str">
        <x:v>AkShare / Tencent all-A market snapshot</x:v>
      </x:c>
      <x:c r="L371" t="str">
        <x:v>ProxyError: primary market source unavailable; see source_id for full audit.</x:v>
      </x:c>
      <x:c r="M371" t="str">
        <x:v>0</x:v>
      </x:c>
      <x:c r="N371" t="str">
        <x:v>0fd6ad2d-3389-4e70-8974-eb85ee223eeb</x:v>
      </x:c>
      <x:c r="O371" t="str">
        <x:v>2026-09-04</x:v>
      </x:c>
    </x:row>
    <x:row r="372">
      <x:c r="A372" t="str">
        <x:v>601799</x:v>
      </x:c>
      <x:c r="B372" t="str">
        <x:v>星宇股份</x:v>
      </x:c>
      <x:c r="C372" t="str">
        <x:v>主板</x:v>
      </x:c>
      <x:c r="D372" t="str">
        <x:v>待行业映射</x:v>
      </x:c>
      <x:c r="E372" t="n">
        <x:v>76.32</x:v>
      </x:c>
      <x:c r="F372" t="n">
        <x:v>13.74</x:v>
      </x:c>
      <x:c r="G372"/>
      <x:c r="H372" t="n">
        <x:v>218.03</x:v>
      </x:c>
      <x:c r="I372" t="n">
        <x:v>36.91</x:v>
      </x:c>
      <x:c r="J372" t="str">
        <x:v>initial_screen_pending_pb_financial_review</x:v>
      </x:c>
      <x:c r="K372" t="str">
        <x:v>AkShare / Tencent all-A market snapshot</x:v>
      </x:c>
      <x:c r="L372" t="str">
        <x:v>ProxyError: primary market source unavailable; see source_id for full audit.</x:v>
      </x:c>
      <x:c r="M372" t="str">
        <x:v>0</x:v>
      </x:c>
      <x:c r="N372" t="str">
        <x:v>0fd6ad2d-3389-4e70-8974-eb85ee223eeb</x:v>
      </x:c>
      <x:c r="O372" t="str">
        <x:v>2026-09-04</x:v>
      </x:c>
    </x:row>
    <x:row r="373">
      <x:c r="A373" t="str">
        <x:v>600729</x:v>
      </x:c>
      <x:c r="B373" t="str">
        <x:v>重百集团</x:v>
      </x:c>
      <x:c r="C373" t="str">
        <x:v>主板</x:v>
      </x:c>
      <x:c r="D373" t="str">
        <x:v>待行业映射</x:v>
      </x:c>
      <x:c r="E373" t="n">
        <x:v>19.52</x:v>
      </x:c>
      <x:c r="F373" t="n">
        <x:v>11.98</x:v>
      </x:c>
      <x:c r="G373"/>
      <x:c r="H373" t="n">
        <x:v>85.98</x:v>
      </x:c>
      <x:c r="I373" t="n">
        <x:v>36.86</x:v>
      </x:c>
      <x:c r="J373" t="str">
        <x:v>initial_screen_pending_pb_financial_review</x:v>
      </x:c>
      <x:c r="K373" t="str">
        <x:v>AkShare / Tencent all-A market snapshot</x:v>
      </x:c>
      <x:c r="L373" t="str">
        <x:v>ProxyError: primary market source unavailable; see source_id for full audit.</x:v>
      </x:c>
      <x:c r="M373" t="str">
        <x:v>0</x:v>
      </x:c>
      <x:c r="N373" t="str">
        <x:v>0fd6ad2d-3389-4e70-8974-eb85ee223eeb</x:v>
      </x:c>
      <x:c r="O373" t="str">
        <x:v>2026-09-04</x:v>
      </x:c>
    </x:row>
    <x:row r="374">
      <x:c r="A374" t="str">
        <x:v>603486</x:v>
      </x:c>
      <x:c r="B374" t="str">
        <x:v>科沃斯</x:v>
      </x:c>
      <x:c r="C374" t="str">
        <x:v>主板</x:v>
      </x:c>
      <x:c r="D374" t="str">
        <x:v>待行业映射</x:v>
      </x:c>
      <x:c r="E374" t="n">
        <x:v>52.22</x:v>
      </x:c>
      <x:c r="F374" t="n">
        <x:v>14.93</x:v>
      </x:c>
      <x:c r="G374"/>
      <x:c r="H374" t="n">
        <x:v>302.55</x:v>
      </x:c>
      <x:c r="I374" t="n">
        <x:v>36.77</x:v>
      </x:c>
      <x:c r="J374" t="str">
        <x:v>initial_screen_pending_pb_financial_review</x:v>
      </x:c>
      <x:c r="K374" t="str">
        <x:v>AkShare / Tencent all-A market snapshot</x:v>
      </x:c>
      <x:c r="L374" t="str">
        <x:v>ProxyError: primary market source unavailable; see source_id for full audit.</x:v>
      </x:c>
      <x:c r="M374" t="str">
        <x:v>0</x:v>
      </x:c>
      <x:c r="N374" t="str">
        <x:v>0fd6ad2d-3389-4e70-8974-eb85ee223eeb</x:v>
      </x:c>
      <x:c r="O374" t="str">
        <x:v>2026-09-04</x:v>
      </x:c>
    </x:row>
    <x:row r="375">
      <x:c r="A375" t="str">
        <x:v>600012</x:v>
      </x:c>
      <x:c r="B375" t="str">
        <x:v>皖通高速</x:v>
      </x:c>
      <x:c r="C375" t="str">
        <x:v>主板</x:v>
      </x:c>
      <x:c r="D375" t="str">
        <x:v>待行业映射</x:v>
      </x:c>
      <x:c r="E375" t="n">
        <x:v>16.51</x:v>
      </x:c>
      <x:c r="F375" t="n">
        <x:v>14.66</x:v>
      </x:c>
      <x:c r="G375"/>
      <x:c r="H375" t="n">
        <x:v>282.09</x:v>
      </x:c>
      <x:c r="I375" t="n">
        <x:v>36.76</x:v>
      </x:c>
      <x:c r="J375" t="str">
        <x:v>initial_screen_pending_pb_financial_review</x:v>
      </x:c>
      <x:c r="K375" t="str">
        <x:v>AkShare / Tencent all-A market snapshot</x:v>
      </x:c>
      <x:c r="L375" t="str">
        <x:v>ProxyError: primary market source unavailable; see source_id for full audit.</x:v>
      </x:c>
      <x:c r="M375" t="str">
        <x:v>0</x:v>
      </x:c>
      <x:c r="N375" t="str">
        <x:v>0fd6ad2d-3389-4e70-8974-eb85ee223eeb</x:v>
      </x:c>
      <x:c r="O375" t="str">
        <x:v>2026-09-04</x:v>
      </x:c>
    </x:row>
    <x:row r="376">
      <x:c r="A376" t="str">
        <x:v>002572</x:v>
      </x:c>
      <x:c r="B376" t="str">
        <x:v>索菲亚</x:v>
      </x:c>
      <x:c r="C376" t="str">
        <x:v>主板</x:v>
      </x:c>
      <x:c r="D376" t="str">
        <x:v>待行业映射</x:v>
      </x:c>
      <x:c r="E376" t="n">
        <x:v>7.97</x:v>
      </x:c>
      <x:c r="F376" t="n">
        <x:v>11.92</x:v>
      </x:c>
      <x:c r="G376"/>
      <x:c r="H376" t="n">
        <x:v>76.75</x:v>
      </x:c>
      <x:c r="I376" t="n">
        <x:v>36.69</x:v>
      </x:c>
      <x:c r="J376" t="str">
        <x:v>initial_screen_pending_pb_financial_review</x:v>
      </x:c>
      <x:c r="K376" t="str">
        <x:v>AkShare / Tencent all-A market snapshot</x:v>
      </x:c>
      <x:c r="L376" t="str">
        <x:v>ProxyError: primary market source unavailable; see source_id for full audit.</x:v>
      </x:c>
      <x:c r="M376" t="str">
        <x:v>0</x:v>
      </x:c>
      <x:c r="N376" t="str">
        <x:v>0fd6ad2d-3389-4e70-8974-eb85ee223eeb</x:v>
      </x:c>
      <x:c r="O376" t="str">
        <x:v>2026-09-04</x:v>
      </x:c>
    </x:row>
    <x:row r="377">
      <x:c r="A377" t="str">
        <x:v>600211</x:v>
      </x:c>
      <x:c r="B377" t="str">
        <x:v>西藏药业</x:v>
      </x:c>
      <x:c r="C377" t="str">
        <x:v>主板</x:v>
      </x:c>
      <x:c r="D377" t="str">
        <x:v>待行业映射</x:v>
      </x:c>
      <x:c r="E377" t="n">
        <x:v>38.06</x:v>
      </x:c>
      <x:c r="F377" t="n">
        <x:v>12.54</x:v>
      </x:c>
      <x:c r="G377"/>
      <x:c r="H377" t="n">
        <x:v>122.67</x:v>
      </x:c>
      <x:c r="I377" t="n">
        <x:v>36.69</x:v>
      </x:c>
      <x:c r="J377" t="str">
        <x:v>initial_screen_pending_pb_financial_review</x:v>
      </x:c>
      <x:c r="K377" t="str">
        <x:v>AkShare / Tencent all-A market snapshot</x:v>
      </x:c>
      <x:c r="L377" t="str">
        <x:v>ProxyError: primary market source unavailable; see source_id for full audit.</x:v>
      </x:c>
      <x:c r="M377" t="str">
        <x:v>0</x:v>
      </x:c>
      <x:c r="N377" t="str">
        <x:v>0fd6ad2d-3389-4e70-8974-eb85ee223eeb</x:v>
      </x:c>
      <x:c r="O377" t="str">
        <x:v>2026-09-04</x:v>
      </x:c>
    </x:row>
    <x:row r="378">
      <x:c r="A378" t="str">
        <x:v>000030</x:v>
      </x:c>
      <x:c r="B378" t="str">
        <x:v>富奥股份</x:v>
      </x:c>
      <x:c r="C378" t="str">
        <x:v>主板</x:v>
      </x:c>
      <x:c r="D378" t="str">
        <x:v>待行业映射</x:v>
      </x:c>
      <x:c r="E378" t="n">
        <x:v>4.05</x:v>
      </x:c>
      <x:c r="F378" t="n">
        <x:v>11.87</x:v>
      </x:c>
      <x:c r="G378"/>
      <x:c r="H378" t="n">
        <x:v>69.65</x:v>
      </x:c>
      <x:c r="I378" t="n">
        <x:v>36.58</x:v>
      </x:c>
      <x:c r="J378" t="str">
        <x:v>initial_screen_pending_pb_financial_review</x:v>
      </x:c>
      <x:c r="K378" t="str">
        <x:v>AkShare / Tencent all-A market snapshot</x:v>
      </x:c>
      <x:c r="L378" t="str">
        <x:v>ProxyError: primary market source unavailable; see source_id for full audit.</x:v>
      </x:c>
      <x:c r="M378" t="str">
        <x:v>0</x:v>
      </x:c>
      <x:c r="N378" t="str">
        <x:v>0fd6ad2d-3389-4e70-8974-eb85ee223eeb</x:v>
      </x:c>
      <x:c r="O378" t="str">
        <x:v>2026-09-04</x:v>
      </x:c>
    </x:row>
    <x:row r="379">
      <x:c r="A379" t="str">
        <x:v>603659</x:v>
      </x:c>
      <x:c r="B379" t="str">
        <x:v>璞泰来</x:v>
      </x:c>
      <x:c r="C379" t="str">
        <x:v>主板</x:v>
      </x:c>
      <x:c r="D379" t="str">
        <x:v>待行业映射</x:v>
      </x:c>
      <x:c r="E379" t="n">
        <x:v>22.45</x:v>
      </x:c>
      <x:c r="F379" t="n">
        <x:v>17.47</x:v>
      </x:c>
      <x:c r="G379"/>
      <x:c r="H379" t="n">
        <x:v>481.37</x:v>
      </x:c>
      <x:c r="I379" t="n">
        <x:v>36.43</x:v>
      </x:c>
      <x:c r="J379" t="str">
        <x:v>initial_screen_pending_pb_financial_review</x:v>
      </x:c>
      <x:c r="K379" t="str">
        <x:v>AkShare / Tencent all-A market snapshot</x:v>
      </x:c>
      <x:c r="L379" t="str">
        <x:v>ProxyError: primary market source unavailable; see source_id for full audit.</x:v>
      </x:c>
      <x:c r="M379" t="str">
        <x:v>0</x:v>
      </x:c>
      <x:c r="N379" t="str">
        <x:v>0fd6ad2d-3389-4e70-8974-eb85ee223eeb</x:v>
      </x:c>
      <x:c r="O379" t="str">
        <x:v>2026-09-04</x:v>
      </x:c>
    </x:row>
    <x:row r="380">
      <x:c r="A380" t="str">
        <x:v>000513</x:v>
      </x:c>
      <x:c r="B380" t="str">
        <x:v>丽珠集团</x:v>
      </x:c>
      <x:c r="C380" t="str">
        <x:v>主板</x:v>
      </x:c>
      <x:c r="D380" t="str">
        <x:v>待行业映射</x:v>
      </x:c>
      <x:c r="E380" t="n">
        <x:v>26.77</x:v>
      </x:c>
      <x:c r="F380" t="n">
        <x:v>14.2</x:v>
      </x:c>
      <x:c r="G380"/>
      <x:c r="H380" t="n">
        <x:v>237.69</x:v>
      </x:c>
      <x:c r="I380" t="n">
        <x:v>36.4</x:v>
      </x:c>
      <x:c r="J380" t="str">
        <x:v>initial_screen_pending_pb_financial_review</x:v>
      </x:c>
      <x:c r="K380" t="str">
        <x:v>AkShare / Tencent all-A market snapshot</x:v>
      </x:c>
      <x:c r="L380" t="str">
        <x:v>ProxyError: primary market source unavailable; see source_id for full audit.</x:v>
      </x:c>
      <x:c r="M380" t="str">
        <x:v>0</x:v>
      </x:c>
      <x:c r="N380" t="str">
        <x:v>0fd6ad2d-3389-4e70-8974-eb85ee223eeb</x:v>
      </x:c>
      <x:c r="O380" t="str">
        <x:v>2026-09-04</x:v>
      </x:c>
    </x:row>
    <x:row r="381">
      <x:c r="A381" t="str">
        <x:v>601019</x:v>
      </x:c>
      <x:c r="B381" t="str">
        <x:v>山东出版</x:v>
      </x:c>
      <x:c r="C381" t="str">
        <x:v>主板</x:v>
      </x:c>
      <x:c r="D381" t="str">
        <x:v>待行业映射</x:v>
      </x:c>
      <x:c r="E381" t="n">
        <x:v>7.12</x:v>
      </x:c>
      <x:c r="F381" t="n">
        <x:v>13.01</x:v>
      </x:c>
      <x:c r="G381"/>
      <x:c r="H381" t="n">
        <x:v>148.59</x:v>
      </x:c>
      <x:c r="I381" t="n">
        <x:v>36.37</x:v>
      </x:c>
      <x:c r="J381" t="str">
        <x:v>initial_screen_pending_pb_financial_review</x:v>
      </x:c>
      <x:c r="K381" t="str">
        <x:v>AkShare / Tencent all-A market snapshot</x:v>
      </x:c>
      <x:c r="L381" t="str">
        <x:v>ProxyError: primary market source unavailable; see source_id for full audit.</x:v>
      </x:c>
      <x:c r="M381" t="str">
        <x:v>0</x:v>
      </x:c>
      <x:c r="N381" t="str">
        <x:v>0fd6ad2d-3389-4e70-8974-eb85ee223eeb</x:v>
      </x:c>
      <x:c r="O381" t="str">
        <x:v>2026-09-04</x:v>
      </x:c>
    </x:row>
    <x:row r="382">
      <x:c r="A382" t="str">
        <x:v>600933</x:v>
      </x:c>
      <x:c r="B382" t="str">
        <x:v>爱柯迪</x:v>
      </x:c>
      <x:c r="C382" t="str">
        <x:v>主板</x:v>
      </x:c>
      <x:c r="D382" t="str">
        <x:v>待行业映射</x:v>
      </x:c>
      <x:c r="E382" t="n">
        <x:v>13.46</x:v>
      </x:c>
      <x:c r="F382" t="n">
        <x:v>12.89</x:v>
      </x:c>
      <x:c r="G382"/>
      <x:c r="H382" t="n">
        <x:v>138.64</x:v>
      </x:c>
      <x:c r="I382" t="n">
        <x:v>36.34</x:v>
      </x:c>
      <x:c r="J382" t="str">
        <x:v>initial_screen_pending_pb_financial_review</x:v>
      </x:c>
      <x:c r="K382" t="str">
        <x:v>AkShare / Tencent all-A market snapshot</x:v>
      </x:c>
      <x:c r="L382" t="str">
        <x:v>ProxyError: primary market source unavailable; see source_id for full audit.</x:v>
      </x:c>
      <x:c r="M382" t="str">
        <x:v>0</x:v>
      </x:c>
      <x:c r="N382" t="str">
        <x:v>0fd6ad2d-3389-4e70-8974-eb85ee223eeb</x:v>
      </x:c>
      <x:c r="O382" t="str">
        <x:v>2026-09-04</x:v>
      </x:c>
    </x:row>
    <x:row r="383">
      <x:c r="A383" t="str">
        <x:v>002440</x:v>
      </x:c>
      <x:c r="B383" t="str">
        <x:v>闰土股份</x:v>
      </x:c>
      <x:c r="C383" t="str">
        <x:v>主板</x:v>
      </x:c>
      <x:c r="D383" t="str">
        <x:v>待行业映射</x:v>
      </x:c>
      <x:c r="E383" t="n">
        <x:v>13.3</x:v>
      </x:c>
      <x:c r="F383" t="n">
        <x:v>13.04</x:v>
      </x:c>
      <x:c r="G383"/>
      <x:c r="H383" t="n">
        <x:v>149.49</x:v>
      </x:c>
      <x:c r="I383" t="n">
        <x:v>36.33</x:v>
      </x:c>
      <x:c r="J383" t="str">
        <x:v>initial_screen_pending_pb_financial_review</x:v>
      </x:c>
      <x:c r="K383" t="str">
        <x:v>AkShare / Tencent all-A market snapshot</x:v>
      </x:c>
      <x:c r="L383" t="str">
        <x:v>ProxyError: primary market source unavailable; see source_id for full audit.</x:v>
      </x:c>
      <x:c r="M383" t="str">
        <x:v>0</x:v>
      </x:c>
      <x:c r="N383" t="str">
        <x:v>0fd6ad2d-3389-4e70-8974-eb85ee223eeb</x:v>
      </x:c>
      <x:c r="O383" t="str">
        <x:v>2026-09-04</x:v>
      </x:c>
    </x:row>
    <x:row r="384">
      <x:c r="A384" t="str">
        <x:v>000828</x:v>
      </x:c>
      <x:c r="B384" t="str">
        <x:v>东莞控股</x:v>
      </x:c>
      <x:c r="C384" t="str">
        <x:v>主板</x:v>
      </x:c>
      <x:c r="D384" t="str">
        <x:v>待行业映射</x:v>
      </x:c>
      <x:c r="E384" t="n">
        <x:v>10.07</x:v>
      </x:c>
      <x:c r="F384" t="n">
        <x:v>12.44</x:v>
      </x:c>
      <x:c r="G384"/>
      <x:c r="H384" t="n">
        <x:v>104.68</x:v>
      </x:c>
      <x:c r="I384" t="n">
        <x:v>36.32</x:v>
      </x:c>
      <x:c r="J384" t="str">
        <x:v>initial_screen_pending_pb_financial_review</x:v>
      </x:c>
      <x:c r="K384" t="str">
        <x:v>AkShare / Tencent all-A market snapshot</x:v>
      </x:c>
      <x:c r="L384" t="str">
        <x:v>ProxyError: primary market source unavailable; see source_id for full audit.</x:v>
      </x:c>
      <x:c r="M384" t="str">
        <x:v>0</x:v>
      </x:c>
      <x:c r="N384" t="str">
        <x:v>0fd6ad2d-3389-4e70-8974-eb85ee223eeb</x:v>
      </x:c>
      <x:c r="O384" t="str">
        <x:v>2026-09-04</x:v>
      </x:c>
    </x:row>
    <x:row r="385">
      <x:c r="A385" t="str">
        <x:v>603680</x:v>
      </x:c>
      <x:c r="B385" t="str">
        <x:v>今创集团</x:v>
      </x:c>
      <x:c r="C385" t="str">
        <x:v>主板</x:v>
      </x:c>
      <x:c r="D385" t="str">
        <x:v>待行业映射</x:v>
      </x:c>
      <x:c r="E385" t="n">
        <x:v>10.02</x:v>
      </x:c>
      <x:c r="F385" t="n">
        <x:v>12.13</x:v>
      </x:c>
      <x:c r="G385"/>
      <x:c r="H385" t="n">
        <x:v>78.53</x:v>
      </x:c>
      <x:c r="I385" t="n">
        <x:v>36.21</x:v>
      </x:c>
      <x:c r="J385" t="str">
        <x:v>initial_screen_pending_pb_financial_review</x:v>
      </x:c>
      <x:c r="K385" t="str">
        <x:v>AkShare / Tencent all-A market snapshot</x:v>
      </x:c>
      <x:c r="L385" t="str">
        <x:v>ProxyError: primary market source unavailable; see source_id for full audit.</x:v>
      </x:c>
      <x:c r="M385" t="str">
        <x:v>0</x:v>
      </x:c>
      <x:c r="N385" t="str">
        <x:v>0fd6ad2d-3389-4e70-8974-eb85ee223eeb</x:v>
      </x:c>
      <x:c r="O385" t="str">
        <x:v>2026-09-04</x:v>
      </x:c>
    </x:row>
    <x:row r="386">
      <x:c r="A386" t="str">
        <x:v>601921</x:v>
      </x:c>
      <x:c r="B386" t="str">
        <x:v>浙版传媒</x:v>
      </x:c>
      <x:c r="C386" t="str">
        <x:v>主板</x:v>
      </x:c>
      <x:c r="D386" t="str">
        <x:v>待行业映射</x:v>
      </x:c>
      <x:c r="E386" t="n">
        <x:v>7.53</x:v>
      </x:c>
      <x:c r="F386" t="n">
        <x:v>13.33</x:v>
      </x:c>
      <x:c r="G386"/>
      <x:c r="H386" t="n">
        <x:v>167.33</x:v>
      </x:c>
      <x:c r="I386" t="n">
        <x:v>36.2</x:v>
      </x:c>
      <x:c r="J386" t="str">
        <x:v>initial_screen_pending_pb_financial_review</x:v>
      </x:c>
      <x:c r="K386" t="str">
        <x:v>AkShare / Tencent all-A market snapshot</x:v>
      </x:c>
      <x:c r="L386" t="str">
        <x:v>ProxyError: primary market source unavailable; see source_id for full audit.</x:v>
      </x:c>
      <x:c r="M386" t="str">
        <x:v>0</x:v>
      </x:c>
      <x:c r="N386" t="str">
        <x:v>0fd6ad2d-3389-4e70-8974-eb85ee223eeb</x:v>
      </x:c>
      <x:c r="O386" t="str">
        <x:v>2026-09-04</x:v>
      </x:c>
    </x:row>
    <x:row r="387">
      <x:c r="A387" t="str">
        <x:v>002060</x:v>
      </x:c>
      <x:c r="B387" t="str">
        <x:v>广东建工</x:v>
      </x:c>
      <x:c r="C387" t="str">
        <x:v>主板</x:v>
      </x:c>
      <x:c r="D387" t="str">
        <x:v>待行业映射</x:v>
      </x:c>
      <x:c r="E387" t="n">
        <x:v>3.18</x:v>
      </x:c>
      <x:c r="F387" t="n">
        <x:v>12.7</x:v>
      </x:c>
      <x:c r="G387"/>
      <x:c r="H387" t="n">
        <x:v>119.39</x:v>
      </x:c>
      <x:c r="I387" t="n">
        <x:v>36.16</x:v>
      </x:c>
      <x:c r="J387" t="str">
        <x:v>initial_screen_pending_pb_financial_review</x:v>
      </x:c>
      <x:c r="K387" t="str">
        <x:v>AkShare / Tencent all-A market snapshot</x:v>
      </x:c>
      <x:c r="L387" t="str">
        <x:v>ProxyError: primary market source unavailable; see source_id for full audit.</x:v>
      </x:c>
      <x:c r="M387" t="str">
        <x:v>0</x:v>
      </x:c>
      <x:c r="N387" t="str">
        <x:v>0fd6ad2d-3389-4e70-8974-eb85ee223eeb</x:v>
      </x:c>
      <x:c r="O387" t="str">
        <x:v>2026-09-04</x:v>
      </x:c>
    </x:row>
    <x:row r="388">
      <x:c r="A388" t="str">
        <x:v>002206</x:v>
      </x:c>
      <x:c r="B388" t="str">
        <x:v>海 利 得</x:v>
      </x:c>
      <x:c r="C388" t="str">
        <x:v>主板</x:v>
      </x:c>
      <x:c r="D388" t="str">
        <x:v>待行业映射</x:v>
      </x:c>
      <x:c r="E388" t="n">
        <x:v>5.27</x:v>
      </x:c>
      <x:c r="F388" t="n">
        <x:v>11.92</x:v>
      </x:c>
      <x:c r="G388"/>
      <x:c r="H388" t="n">
        <x:v>61.24</x:v>
      </x:c>
      <x:c r="I388" t="n">
        <x:v>36.15</x:v>
      </x:c>
      <x:c r="J388" t="str">
        <x:v>initial_screen_pending_pb_financial_review</x:v>
      </x:c>
      <x:c r="K388" t="str">
        <x:v>AkShare / Tencent all-A market snapshot</x:v>
      </x:c>
      <x:c r="L388" t="str">
        <x:v>ProxyError: primary market source unavailable; see source_id for full audit.</x:v>
      </x:c>
      <x:c r="M388" t="str">
        <x:v>0</x:v>
      </x:c>
      <x:c r="N388" t="str">
        <x:v>0fd6ad2d-3389-4e70-8974-eb85ee223eeb</x:v>
      </x:c>
      <x:c r="O388" t="str">
        <x:v>2026-09-04</x:v>
      </x:c>
    </x:row>
    <x:row r="389">
      <x:c r="A389" t="str">
        <x:v>300428</x:v>
      </x:c>
      <x:c r="B389" t="str">
        <x:v>立中集团</x:v>
      </x:c>
      <x:c r="C389" t="str">
        <x:v>创业板</x:v>
      </x:c>
      <x:c r="D389" t="str">
        <x:v>待行业映射</x:v>
      </x:c>
      <x:c r="E389" t="n">
        <x:v>20.05</x:v>
      </x:c>
      <x:c r="F389" t="n">
        <x:v>12.95</x:v>
      </x:c>
      <x:c r="G389"/>
      <x:c r="H389" t="n">
        <x:v>137.46</x:v>
      </x:c>
      <x:c r="I389" t="n">
        <x:v>36.14</x:v>
      </x:c>
      <x:c r="J389" t="str">
        <x:v>initial_screen_pending_pb_financial_review</x:v>
      </x:c>
      <x:c r="K389" t="str">
        <x:v>AkShare / Tencent all-A market snapshot</x:v>
      </x:c>
      <x:c r="L389" t="str">
        <x:v>ProxyError: primary market source unavailable; see source_id for full audit.</x:v>
      </x:c>
      <x:c r="M389" t="str">
        <x:v>0</x:v>
      </x:c>
      <x:c r="N389" t="str">
        <x:v>0fd6ad2d-3389-4e70-8974-eb85ee223eeb</x:v>
      </x:c>
      <x:c r="O389" t="str">
        <x:v>2026-09-04</x:v>
      </x:c>
    </x:row>
    <x:row r="390">
      <x:c r="A390" t="str">
        <x:v>603202</x:v>
      </x:c>
      <x:c r="B390" t="str">
        <x:v>天有为</x:v>
      </x:c>
      <x:c r="C390" t="str">
        <x:v>主板</x:v>
      </x:c>
      <x:c r="D390" t="str">
        <x:v>待行业映射</x:v>
      </x:c>
      <x:c r="E390" t="n">
        <x:v>52.61</x:v>
      </x:c>
      <x:c r="F390" t="n">
        <x:v>12.24</x:v>
      </x:c>
      <x:c r="G390"/>
      <x:c r="H390" t="n">
        <x:v>84.18</x:v>
      </x:c>
      <x:c r="I390" t="n">
        <x:v>36.12</x:v>
      </x:c>
      <x:c r="J390" t="str">
        <x:v>initial_screen_pending_pb_financial_review</x:v>
      </x:c>
      <x:c r="K390" t="str">
        <x:v>AkShare / Tencent all-A market snapshot</x:v>
      </x:c>
      <x:c r="L390" t="str">
        <x:v>ProxyError: primary market source unavailable; see source_id for full audit.</x:v>
      </x:c>
      <x:c r="M390" t="str">
        <x:v>0</x:v>
      </x:c>
      <x:c r="N390" t="str">
        <x:v>0fd6ad2d-3389-4e70-8974-eb85ee223eeb</x:v>
      </x:c>
      <x:c r="O390" t="str">
        <x:v>2026-09-04</x:v>
      </x:c>
    </x:row>
    <x:row r="391">
      <x:c r="A391" t="str">
        <x:v>601702</x:v>
      </x:c>
      <x:c r="B391" t="str">
        <x:v>华峰铝业</x:v>
      </x:c>
      <x:c r="C391" t="str">
        <x:v>主板</x:v>
      </x:c>
      <x:c r="D391" t="str">
        <x:v>待行业映射</x:v>
      </x:c>
      <x:c r="E391" t="n">
        <x:v>15.75</x:v>
      </x:c>
      <x:c r="F391" t="n">
        <x:v>13.23</x:v>
      </x:c>
      <x:c r="G391"/>
      <x:c r="H391" t="n">
        <x:v>157.27</x:v>
      </x:c>
      <x:c r="I391" t="n">
        <x:v>36.11</x:v>
      </x:c>
      <x:c r="J391" t="str">
        <x:v>initial_screen_pending_pb_financial_review</x:v>
      </x:c>
      <x:c r="K391" t="str">
        <x:v>AkShare / Tencent all-A market snapshot</x:v>
      </x:c>
      <x:c r="L391" t="str">
        <x:v>ProxyError: primary market source unavailable; see source_id for full audit.</x:v>
      </x:c>
      <x:c r="M391" t="str">
        <x:v>0</x:v>
      </x:c>
      <x:c r="N391" t="str">
        <x:v>0fd6ad2d-3389-4e70-8974-eb85ee223eeb</x:v>
      </x:c>
      <x:c r="O391" t="str">
        <x:v>2026-09-04</x:v>
      </x:c>
    </x:row>
    <x:row r="392">
      <x:c r="A392" t="str">
        <x:v>002140</x:v>
      </x:c>
      <x:c r="B392" t="str">
        <x:v>东华科技</x:v>
      </x:c>
      <x:c r="C392" t="str">
        <x:v>主板</x:v>
      </x:c>
      <x:c r="D392" t="str">
        <x:v>待行业映射</x:v>
      </x:c>
      <x:c r="E392" t="n">
        <x:v>9.19</x:v>
      </x:c>
      <x:c r="F392" t="n">
        <x:v>12.04</x:v>
      </x:c>
      <x:c r="G392"/>
      <x:c r="H392" t="n">
        <x:v>65.07</x:v>
      </x:c>
      <x:c r="I392" t="n">
        <x:v>35.97</x:v>
      </x:c>
      <x:c r="J392" t="str">
        <x:v>initial_screen_pending_pb_financial_review</x:v>
      </x:c>
      <x:c r="K392" t="str">
        <x:v>AkShare / Tencent all-A market snapshot</x:v>
      </x:c>
      <x:c r="L392" t="str">
        <x:v>ProxyError: primary market source unavailable; see source_id for full audit.</x:v>
      </x:c>
      <x:c r="M392" t="str">
        <x:v>0</x:v>
      </x:c>
      <x:c r="N392" t="str">
        <x:v>0fd6ad2d-3389-4e70-8974-eb85ee223eeb</x:v>
      </x:c>
      <x:c r="O392" t="str">
        <x:v>2026-09-04</x:v>
      </x:c>
    </x:row>
    <x:row r="393">
      <x:c r="A393" t="str">
        <x:v>002027</x:v>
      </x:c>
      <x:c r="B393" t="str">
        <x:v>分众传媒</x:v>
      </x:c>
      <x:c r="C393" t="str">
        <x:v>主板</x:v>
      </x:c>
      <x:c r="D393" t="str">
        <x:v>待行业映射</x:v>
      </x:c>
      <x:c r="E393" t="n">
        <x:v>4.88</x:v>
      </x:c>
      <x:c r="F393" t="n">
        <x:v>20.67</x:v>
      </x:c>
      <x:c r="G393"/>
      <x:c r="H393" t="n">
        <x:v>704.78</x:v>
      </x:c>
      <x:c r="I393" t="n">
        <x:v>35.93</x:v>
      </x:c>
      <x:c r="J393" t="str">
        <x:v>initial_screen_pending_pb_financial_review</x:v>
      </x:c>
      <x:c r="K393" t="str">
        <x:v>AkShare / Tencent all-A market snapshot</x:v>
      </x:c>
      <x:c r="L393" t="str">
        <x:v>ProxyError: primary market source unavailable; see source_id for full audit.</x:v>
      </x:c>
      <x:c r="M393" t="str">
        <x:v>0</x:v>
      </x:c>
      <x:c r="N393" t="str">
        <x:v>0fd6ad2d-3389-4e70-8974-eb85ee223eeb</x:v>
      </x:c>
      <x:c r="O393" t="str">
        <x:v>2026-09-04</x:v>
      </x:c>
    </x:row>
    <x:row r="394">
      <x:c r="A394" t="str">
        <x:v>601965</x:v>
      </x:c>
      <x:c r="B394" t="str">
        <x:v>中国汽研</x:v>
      </x:c>
      <x:c r="C394" t="str">
        <x:v>主板</x:v>
      </x:c>
      <x:c r="D394" t="str">
        <x:v>待行业映射</x:v>
      </x:c>
      <x:c r="E394" t="n">
        <x:v>14.05</x:v>
      </x:c>
      <x:c r="F394" t="n">
        <x:v>13.09</x:v>
      </x:c>
      <x:c r="G394"/>
      <x:c r="H394" t="n">
        <x:v>140.87</x:v>
      </x:c>
      <x:c r="I394" t="n">
        <x:v>35.9</x:v>
      </x:c>
      <x:c r="J394" t="str">
        <x:v>initial_screen_pending_pb_financial_review</x:v>
      </x:c>
      <x:c r="K394" t="str">
        <x:v>AkShare / Tencent all-A market snapshot</x:v>
      </x:c>
      <x:c r="L394" t="str">
        <x:v>ProxyError: primary market source unavailable; see source_id for full audit.</x:v>
      </x:c>
      <x:c r="M394" t="str">
        <x:v>0</x:v>
      </x:c>
      <x:c r="N394" t="str">
        <x:v>0fd6ad2d-3389-4e70-8974-eb85ee223eeb</x:v>
      </x:c>
      <x:c r="O394" t="str">
        <x:v>2026-09-04</x:v>
      </x:c>
    </x:row>
    <x:row r="395">
      <x:c r="A395" t="str">
        <x:v>000883</x:v>
      </x:c>
      <x:c r="B395" t="str">
        <x:v>湖北能源</x:v>
      </x:c>
      <x:c r="C395" t="str">
        <x:v>主板</x:v>
      </x:c>
      <x:c r="D395" t="str">
        <x:v>待行业映射</x:v>
      </x:c>
      <x:c r="E395" t="n">
        <x:v>4.51</x:v>
      </x:c>
      <x:c r="F395" t="n">
        <x:v>15.59</x:v>
      </x:c>
      <x:c r="G395"/>
      <x:c r="H395" t="n">
        <x:v>319.28</x:v>
      </x:c>
      <x:c r="I395" t="n">
        <x:v>35.64</x:v>
      </x:c>
      <x:c r="J395" t="str">
        <x:v>initial_screen_pending_pb_financial_review</x:v>
      </x:c>
      <x:c r="K395" t="str">
        <x:v>AkShare / Tencent all-A market snapshot</x:v>
      </x:c>
      <x:c r="L395" t="str">
        <x:v>ProxyError: primary market source unavailable; see source_id for full audit.</x:v>
      </x:c>
      <x:c r="M395" t="str">
        <x:v>0</x:v>
      </x:c>
      <x:c r="N395" t="str">
        <x:v>0fd6ad2d-3389-4e70-8974-eb85ee223eeb</x:v>
      </x:c>
      <x:c r="O395" t="str">
        <x:v>2026-09-04</x:v>
      </x:c>
    </x:row>
    <x:row r="396">
      <x:c r="A396" t="str">
        <x:v>002673</x:v>
      </x:c>
      <x:c r="B396" t="str">
        <x:v>西部证券</x:v>
      </x:c>
      <x:c r="C396" t="str">
        <x:v>主板</x:v>
      </x:c>
      <x:c r="D396" t="str">
        <x:v>待行业映射</x:v>
      </x:c>
      <x:c r="E396" t="n">
        <x:v>6.94</x:v>
      </x:c>
      <x:c r="F396" t="n">
        <x:v>15.48</x:v>
      </x:c>
      <x:c r="G396"/>
      <x:c r="H396" t="n">
        <x:v>310.19</x:v>
      </x:c>
      <x:c r="I396" t="n">
        <x:v>35.61</x:v>
      </x:c>
      <x:c r="J396" t="str">
        <x:v>initial_screen_pending_pb_financial_review</x:v>
      </x:c>
      <x:c r="K396" t="str">
        <x:v>AkShare / Tencent all-A market snapshot</x:v>
      </x:c>
      <x:c r="L396" t="str">
        <x:v>ProxyError: primary market source unavailable; see source_id for full audit.</x:v>
      </x:c>
      <x:c r="M396" t="str">
        <x:v>0</x:v>
      </x:c>
      <x:c r="N396" t="str">
        <x:v>0fd6ad2d-3389-4e70-8974-eb85ee223eeb</x:v>
      </x:c>
      <x:c r="O396" t="str">
        <x:v>2026-09-04</x:v>
      </x:c>
    </x:row>
    <x:row r="397">
      <x:c r="A397" t="str">
        <x:v>300628</x:v>
      </x:c>
      <x:c r="B397" t="str">
        <x:v>亿联网络</x:v>
      </x:c>
      <x:c r="C397" t="str">
        <x:v>创业板</x:v>
      </x:c>
      <x:c r="D397" t="str">
        <x:v>待行业映射</x:v>
      </x:c>
      <x:c r="E397" t="n">
        <x:v>42.08</x:v>
      </x:c>
      <x:c r="F397" t="n">
        <x:v>18.48</x:v>
      </x:c>
      <x:c r="G397"/>
      <x:c r="H397" t="n">
        <x:v>533.12</x:v>
      </x:c>
      <x:c r="I397" t="n">
        <x:v>35.61</x:v>
      </x:c>
      <x:c r="J397" t="str">
        <x:v>initial_screen_pending_pb_financial_review</x:v>
      </x:c>
      <x:c r="K397" t="str">
        <x:v>AkShare / Tencent all-A market snapshot</x:v>
      </x:c>
      <x:c r="L397" t="str">
        <x:v>ProxyError: primary market source unavailable; see source_id for full audit.</x:v>
      </x:c>
      <x:c r="M397" t="str">
        <x:v>0</x:v>
      </x:c>
      <x:c r="N397" t="str">
        <x:v>0fd6ad2d-3389-4e70-8974-eb85ee223eeb</x:v>
      </x:c>
      <x:c r="O397" t="str">
        <x:v>2026-09-04</x:v>
      </x:c>
    </x:row>
    <x:row r="398">
      <x:c r="A398" t="str">
        <x:v>002244</x:v>
      </x:c>
      <x:c r="B398" t="str">
        <x:v>滨江集团</x:v>
      </x:c>
      <x:c r="C398" t="str">
        <x:v>主板</x:v>
      </x:c>
      <x:c r="D398" t="str">
        <x:v>待行业映射</x:v>
      </x:c>
      <x:c r="E398" t="n">
        <x:v>8.73</x:v>
      </x:c>
      <x:c r="F398" t="n">
        <x:v>14.97</x:v>
      </x:c>
      <x:c r="G398"/>
      <x:c r="H398" t="n">
        <x:v>271.63</x:v>
      </x:c>
      <x:c r="I398" t="n">
        <x:v>35.59</x:v>
      </x:c>
      <x:c r="J398" t="str">
        <x:v>initial_screen_pending_pb_financial_review</x:v>
      </x:c>
      <x:c r="K398" t="str">
        <x:v>AkShare / Tencent all-A market snapshot</x:v>
      </x:c>
      <x:c r="L398" t="str">
        <x:v>ProxyError: primary market source unavailable; see source_id for full audit.</x:v>
      </x:c>
      <x:c r="M398" t="str">
        <x:v>0</x:v>
      </x:c>
      <x:c r="N398" t="str">
        <x:v>0fd6ad2d-3389-4e70-8974-eb85ee223eeb</x:v>
      </x:c>
      <x:c r="O398" t="str">
        <x:v>2026-09-04</x:v>
      </x:c>
    </x:row>
    <x:row r="399">
      <x:c r="A399" t="str">
        <x:v>600983</x:v>
      </x:c>
      <x:c r="B399" t="str">
        <x:v>惠而浦</x:v>
      </x:c>
      <x:c r="C399" t="str">
        <x:v>主板</x:v>
      </x:c>
      <x:c r="D399" t="str">
        <x:v>待行业映射</x:v>
      </x:c>
      <x:c r="E399" t="n">
        <x:v>7.61</x:v>
      </x:c>
      <x:c r="F399" t="n">
        <x:v>12.12</x:v>
      </x:c>
      <x:c r="G399"/>
      <x:c r="H399" t="n">
        <x:v>58.33</x:v>
      </x:c>
      <x:c r="I399" t="n">
        <x:v>35.53</x:v>
      </x:c>
      <x:c r="J399" t="str">
        <x:v>initial_screen_pending_pb_financial_review</x:v>
      </x:c>
      <x:c r="K399" t="str">
        <x:v>AkShare / Tencent all-A market snapshot</x:v>
      </x:c>
      <x:c r="L399" t="str">
        <x:v>ProxyError: primary market source unavailable; see source_id for full audit.</x:v>
      </x:c>
      <x:c r="M399" t="str">
        <x:v>0</x:v>
      </x:c>
      <x:c r="N399" t="str">
        <x:v>0fd6ad2d-3389-4e70-8974-eb85ee223eeb</x:v>
      </x:c>
      <x:c r="O399" t="str">
        <x:v>2026-09-04</x:v>
      </x:c>
    </x:row>
    <x:row r="400">
      <x:c r="A400" t="str">
        <x:v>600499</x:v>
      </x:c>
      <x:c r="B400" t="str">
        <x:v>科达制造</x:v>
      </x:c>
      <x:c r="C400" t="str">
        <x:v>主板</x:v>
      </x:c>
      <x:c r="D400" t="str">
        <x:v>待行业映射</x:v>
      </x:c>
      <x:c r="E400" t="n">
        <x:v>14.59</x:v>
      </x:c>
      <x:c r="F400" t="n">
        <x:v>15.14</x:v>
      </x:c>
      <x:c r="G400"/>
      <x:c r="H400" t="n">
        <x:v>279.82</x:v>
      </x:c>
      <x:c r="I400" t="n">
        <x:v>35.43</x:v>
      </x:c>
      <x:c r="J400" t="str">
        <x:v>initial_screen_pending_pb_financial_review</x:v>
      </x:c>
      <x:c r="K400" t="str">
        <x:v>AkShare / Tencent all-A market snapshot</x:v>
      </x:c>
      <x:c r="L400" t="str">
        <x:v>ProxyError: primary market source unavailable; see source_id for full audit.</x:v>
      </x:c>
      <x:c r="M400" t="str">
        <x:v>0</x:v>
      </x:c>
      <x:c r="N400" t="str">
        <x:v>0fd6ad2d-3389-4e70-8974-eb85ee223eeb</x:v>
      </x:c>
      <x:c r="O400" t="str">
        <x:v>2026-09-04</x:v>
      </x:c>
    </x:row>
    <x:row r="401">
      <x:c r="A401" t="str">
        <x:v>002841</x:v>
      </x:c>
      <x:c r="B401" t="str">
        <x:v>视源股份</x:v>
      </x:c>
      <x:c r="C401" t="str">
        <x:v>主板</x:v>
      </x:c>
      <x:c r="D401" t="str">
        <x:v>待行业映射</x:v>
      </x:c>
      <x:c r="E401" t="n">
        <x:v>48.85</x:v>
      </x:c>
      <x:c r="F401" t="n">
        <x:v>15.99</x:v>
      </x:c>
      <x:c r="G401"/>
      <x:c r="H401" t="n">
        <x:v>341.55</x:v>
      </x:c>
      <x:c r="I401" t="n">
        <x:v>35.38</x:v>
      </x:c>
      <x:c r="J401" t="str">
        <x:v>initial_screen_pending_pb_financial_review</x:v>
      </x:c>
      <x:c r="K401" t="str">
        <x:v>AkShare / Tencent all-A market snapshot</x:v>
      </x:c>
      <x:c r="L401" t="str">
        <x:v>ProxyError: primary market source unavailable; see source_id for full audit.</x:v>
      </x:c>
      <x:c r="M401" t="str">
        <x:v>0</x:v>
      </x:c>
      <x:c r="N401" t="str">
        <x:v>0fd6ad2d-3389-4e70-8974-eb85ee223eeb</x:v>
      </x:c>
      <x:c r="O401" t="str">
        <x:v>2026-09-04</x:v>
      </x:c>
    </x:row>
    <x:row r="402">
      <x:c r="A402" t="str">
        <x:v>600269</x:v>
      </x:c>
      <x:c r="B402" t="str">
        <x:v>赣粤高速</x:v>
      </x:c>
      <x:c r="C402" t="str">
        <x:v>主板</x:v>
      </x:c>
      <x:c r="D402" t="str">
        <x:v>待行业映射</x:v>
      </x:c>
      <x:c r="E402" t="n">
        <x:v>3.92</x:v>
      </x:c>
      <x:c r="F402" t="n">
        <x:v>12.66</x:v>
      </x:c>
      <x:c r="G402"/>
      <x:c r="H402" t="n">
        <x:v>91.55</x:v>
      </x:c>
      <x:c r="I402" t="n">
        <x:v>35.29</x:v>
      </x:c>
      <x:c r="J402" t="str">
        <x:v>initial_screen_pending_pb_financial_review</x:v>
      </x:c>
      <x:c r="K402" t="str">
        <x:v>AkShare / Tencent all-A market snapshot</x:v>
      </x:c>
      <x:c r="L402" t="str">
        <x:v>ProxyError: primary market source unavailable; see source_id for full audit.</x:v>
      </x:c>
      <x:c r="M402" t="str">
        <x:v>0</x:v>
      </x:c>
      <x:c r="N402" t="str">
        <x:v>0fd6ad2d-3389-4e70-8974-eb85ee223eeb</x:v>
      </x:c>
      <x:c r="O402" t="str">
        <x:v>2026-09-04</x:v>
      </x:c>
    </x:row>
    <x:row r="403">
      <x:c r="A403" t="str">
        <x:v>600549</x:v>
      </x:c>
      <x:c r="B403" t="str">
        <x:v>厦门钨业</x:v>
      </x:c>
      <x:c r="C403" t="str">
        <x:v>主板</x:v>
      </x:c>
      <x:c r="D403" t="str">
        <x:v>待行业映射</x:v>
      </x:c>
      <x:c r="E403" t="n">
        <x:v>48.79</x:v>
      </x:c>
      <x:c r="F403" t="n">
        <x:v>21.88</x:v>
      </x:c>
      <x:c r="G403"/>
      <x:c r="H403" t="n">
        <x:v>774.58</x:v>
      </x:c>
      <x:c r="I403" t="n">
        <x:v>35.22</x:v>
      </x:c>
      <x:c r="J403" t="str">
        <x:v>initial_screen_pending_pb_financial_review</x:v>
      </x:c>
      <x:c r="K403" t="str">
        <x:v>AkShare / Tencent all-A market snapshot</x:v>
      </x:c>
      <x:c r="L403" t="str">
        <x:v>ProxyError: primary market source unavailable; see source_id for full audit.</x:v>
      </x:c>
      <x:c r="M403" t="str">
        <x:v>0</x:v>
      </x:c>
      <x:c r="N403" t="str">
        <x:v>0fd6ad2d-3389-4e70-8974-eb85ee223eeb</x:v>
      </x:c>
      <x:c r="O403" t="str">
        <x:v>2026-09-04</x:v>
      </x:c>
    </x:row>
    <x:row r="404">
      <x:c r="A404" t="str">
        <x:v>600057</x:v>
      </x:c>
      <x:c r="B404" t="str">
        <x:v>厦门象屿</x:v>
      </x:c>
      <x:c r="C404" t="str">
        <x:v>主板</x:v>
      </x:c>
      <x:c r="D404" t="str">
        <x:v>待行业映射</x:v>
      </x:c>
      <x:c r="E404" t="n">
        <x:v>6.52</x:v>
      </x:c>
      <x:c r="F404" t="n">
        <x:v>13.95</x:v>
      </x:c>
      <x:c r="G404"/>
      <x:c r="H404" t="n">
        <x:v>185.1</x:v>
      </x:c>
      <x:c r="I404" t="n">
        <x:v>35.21</x:v>
      </x:c>
      <x:c r="J404" t="str">
        <x:v>initial_screen_pending_pb_financial_review</x:v>
      </x:c>
      <x:c r="K404" t="str">
        <x:v>AkShare / Tencent all-A market snapshot</x:v>
      </x:c>
      <x:c r="L404" t="str">
        <x:v>ProxyError: primary market source unavailable; see source_id for full audit.</x:v>
      </x:c>
      <x:c r="M404" t="str">
        <x:v>0</x:v>
      </x:c>
      <x:c r="N404" t="str">
        <x:v>0fd6ad2d-3389-4e70-8974-eb85ee223eeb</x:v>
      </x:c>
      <x:c r="O404" t="str">
        <x:v>2026-09-04</x:v>
      </x:c>
    </x:row>
    <x:row r="405">
      <x:c r="A405" t="str">
        <x:v>601512</x:v>
      </x:c>
      <x:c r="B405" t="str">
        <x:v>中新集团</x:v>
      </x:c>
      <x:c r="C405" t="str">
        <x:v>主板</x:v>
      </x:c>
      <x:c r="D405" t="str">
        <x:v>待行业映射</x:v>
      </x:c>
      <x:c r="E405" t="n">
        <x:v>8.59</x:v>
      </x:c>
      <x:c r="F405" t="n">
        <x:v>13.2</x:v>
      </x:c>
      <x:c r="G405"/>
      <x:c r="H405" t="n">
        <x:v>128.75</x:v>
      </x:c>
      <x:c r="I405" t="n">
        <x:v>35.19</x:v>
      </x:c>
      <x:c r="J405" t="str">
        <x:v>initial_screen_pending_pb_financial_review</x:v>
      </x:c>
      <x:c r="K405" t="str">
        <x:v>AkShare / Tencent all-A market snapshot</x:v>
      </x:c>
      <x:c r="L405" t="str">
        <x:v>ProxyError: primary market source unavailable; see source_id for full audit.</x:v>
      </x:c>
      <x:c r="M405" t="str">
        <x:v>0</x:v>
      </x:c>
      <x:c r="N405" t="str">
        <x:v>0fd6ad2d-3389-4e70-8974-eb85ee223eeb</x:v>
      </x:c>
      <x:c r="O405" t="str">
        <x:v>2026-09-04</x:v>
      </x:c>
    </x:row>
    <x:row r="406">
      <x:c r="A406" t="str">
        <x:v>002508</x:v>
      </x:c>
      <x:c r="B406" t="str">
        <x:v>老板电器</x:v>
      </x:c>
      <x:c r="C406" t="str">
        <x:v>主板</x:v>
      </x:c>
      <x:c r="D406" t="str">
        <x:v>待行业映射</x:v>
      </x:c>
      <x:c r="E406" t="n">
        <x:v>16.05</x:v>
      </x:c>
      <x:c r="F406" t="n">
        <x:v>13.51</x:v>
      </x:c>
      <x:c r="G406"/>
      <x:c r="H406" t="n">
        <x:v>151.67</x:v>
      </x:c>
      <x:c r="I406" t="n">
        <x:v>35.18</x:v>
      </x:c>
      <x:c r="J406" t="str">
        <x:v>initial_screen_pending_pb_financial_review</x:v>
      </x:c>
      <x:c r="K406" t="str">
        <x:v>AkShare / Tencent all-A market snapshot</x:v>
      </x:c>
      <x:c r="L406" t="str">
        <x:v>ProxyError: primary market source unavailable; see source_id for full audit.</x:v>
      </x:c>
      <x:c r="M406" t="str">
        <x:v>0</x:v>
      </x:c>
      <x:c r="N406" t="str">
        <x:v>0fd6ad2d-3389-4e70-8974-eb85ee223eeb</x:v>
      </x:c>
      <x:c r="O406" t="str">
        <x:v>2026-09-04</x:v>
      </x:c>
    </x:row>
    <x:row r="407">
      <x:c r="A407" t="str">
        <x:v>002032</x:v>
      </x:c>
      <x:c r="B407" t="str">
        <x:v>苏 泊 尔</x:v>
      </x:c>
      <x:c r="C407" t="str">
        <x:v>主板</x:v>
      </x:c>
      <x:c r="D407" t="str">
        <x:v>待行业映射</x:v>
      </x:c>
      <x:c r="E407" t="n">
        <x:v>40.02</x:v>
      </x:c>
      <x:c r="F407" t="n">
        <x:v>15.81</x:v>
      </x:c>
      <x:c r="G407"/>
      <x:c r="H407" t="n">
        <x:v>320.12</x:v>
      </x:c>
      <x:c r="I407" t="n">
        <x:v>35.1</x:v>
      </x:c>
      <x:c r="J407" t="str">
        <x:v>initial_screen_pending_pb_financial_review</x:v>
      </x:c>
      <x:c r="K407" t="str">
        <x:v>AkShare / Tencent all-A market snapshot</x:v>
      </x:c>
      <x:c r="L407" t="str">
        <x:v>ProxyError: primary market source unavailable; see source_id for full audit.</x:v>
      </x:c>
      <x:c r="M407" t="str">
        <x:v>0</x:v>
      </x:c>
      <x:c r="N407" t="str">
        <x:v>0fd6ad2d-3389-4e70-8974-eb85ee223eeb</x:v>
      </x:c>
      <x:c r="O407" t="str">
        <x:v>2026-09-04</x:v>
      </x:c>
    </x:row>
    <x:row r="408">
      <x:c r="A408" t="str">
        <x:v>000977</x:v>
      </x:c>
      <x:c r="B408" t="str">
        <x:v>浪潮信息</x:v>
      </x:c>
      <x:c r="C408" t="str">
        <x:v>主板</x:v>
      </x:c>
      <x:c r="D408" t="str">
        <x:v>待行业映射</x:v>
      </x:c>
      <x:c r="E408" t="n">
        <x:v>77.72</x:v>
      </x:c>
      <x:c r="F408" t="n">
        <x:v>25</x:v>
      </x:c>
      <x:c r="G408"/>
      <x:c r="H408" t="n">
        <x:v>1141.3</x:v>
      </x:c>
      <x:c r="I408" t="n">
        <x:v>35</x:v>
      </x:c>
      <x:c r="J408" t="str">
        <x:v>initial_screen_pending_pb_financial_review</x:v>
      </x:c>
      <x:c r="K408" t="str">
        <x:v>AkShare / Tencent all-A market snapshot</x:v>
      </x:c>
      <x:c r="L408" t="str">
        <x:v>ProxyError: primary market source unavailable; see source_id for full audit.</x:v>
      </x:c>
      <x:c r="M408" t="str">
        <x:v>0</x:v>
      </x:c>
      <x:c r="N408" t="str">
        <x:v>0fd6ad2d-3389-4e70-8974-eb85ee223eeb</x:v>
      </x:c>
      <x:c r="O408" t="str">
        <x:v>2026-09-04</x:v>
      </x:c>
    </x:row>
    <x:row r="409">
      <x:c r="A409" t="str">
        <x:v>600761</x:v>
      </x:c>
      <x:c r="B409" t="str">
        <x:v>安徽合力</x:v>
      </x:c>
      <x:c r="C409" t="str">
        <x:v>主板</x:v>
      </x:c>
      <x:c r="D409" t="str">
        <x:v>待行业映射</x:v>
      </x:c>
      <x:c r="E409" t="n">
        <x:v>16.38</x:v>
      </x:c>
      <x:c r="F409" t="n">
        <x:v>13.52</x:v>
      </x:c>
      <x:c r="G409"/>
      <x:c r="H409" t="n">
        <x:v>145.9</x:v>
      </x:c>
      <x:c r="I409" t="n">
        <x:v>34.95</x:v>
      </x:c>
      <x:c r="J409" t="str">
        <x:v>initial_screen_pending_pb_financial_review</x:v>
      </x:c>
      <x:c r="K409" t="str">
        <x:v>AkShare / Tencent all-A market snapshot</x:v>
      </x:c>
      <x:c r="L409" t="str">
        <x:v>ProxyError: primary market source unavailable; see source_id for full audit.</x:v>
      </x:c>
      <x:c r="M409" t="str">
        <x:v>0</x:v>
      </x:c>
      <x:c r="N409" t="str">
        <x:v>0fd6ad2d-3389-4e70-8974-eb85ee223eeb</x:v>
      </x:c>
      <x:c r="O409" t="str">
        <x:v>2026-09-04</x:v>
      </x:c>
    </x:row>
    <x:row r="410">
      <x:c r="A410" t="str">
        <x:v>605305</x:v>
      </x:c>
      <x:c r="B410" t="str">
        <x:v>中际联合</x:v>
      </x:c>
      <x:c r="C410" t="str">
        <x:v>主板</x:v>
      </x:c>
      <x:c r="D410" t="str">
        <x:v>待行业映射</x:v>
      </x:c>
      <x:c r="E410" t="n">
        <x:v>31.19</x:v>
      </x:c>
      <x:c r="F410" t="n">
        <x:v>12.47</x:v>
      </x:c>
      <x:c r="G410"/>
      <x:c r="H410" t="n">
        <x:v>66.28</x:v>
      </x:c>
      <x:c r="I410" t="n">
        <x:v>34.9</x:v>
      </x:c>
      <x:c r="J410" t="str">
        <x:v>initial_screen_pending_pb_financial_review</x:v>
      </x:c>
      <x:c r="K410" t="str">
        <x:v>AkShare / Tencent all-A market snapshot</x:v>
      </x:c>
      <x:c r="L410" t="str">
        <x:v>ProxyError: primary market source unavailable; see source_id for full audit.</x:v>
      </x:c>
      <x:c r="M410" t="str">
        <x:v>0</x:v>
      </x:c>
      <x:c r="N410" t="str">
        <x:v>0fd6ad2d-3389-4e70-8974-eb85ee223eeb</x:v>
      </x:c>
      <x:c r="O410" t="str">
        <x:v>2026-09-04</x:v>
      </x:c>
    </x:row>
    <x:row r="411">
      <x:c r="A411" t="str">
        <x:v>600368</x:v>
      </x:c>
      <x:c r="B411" t="str">
        <x:v>五洲交通</x:v>
      </x:c>
      <x:c r="C411" t="str">
        <x:v>主板</x:v>
      </x:c>
      <x:c r="D411" t="str">
        <x:v>待行业映射</x:v>
      </x:c>
      <x:c r="E411" t="n">
        <x:v>4.34</x:v>
      </x:c>
      <x:c r="F411" t="n">
        <x:v>12.61</x:v>
      </x:c>
      <x:c r="G411"/>
      <x:c r="H411" t="n">
        <x:v>69.86</x:v>
      </x:c>
      <x:c r="I411" t="n">
        <x:v>34.66</x:v>
      </x:c>
      <x:c r="J411" t="str">
        <x:v>initial_screen_pending_pb_financial_review</x:v>
      </x:c>
      <x:c r="K411" t="str">
        <x:v>AkShare / Tencent all-A market snapshot</x:v>
      </x:c>
      <x:c r="L411" t="str">
        <x:v>ProxyError: primary market source unavailable; see source_id for full audit.</x:v>
      </x:c>
      <x:c r="M411" t="str">
        <x:v>0</x:v>
      </x:c>
      <x:c r="N411" t="str">
        <x:v>0fd6ad2d-3389-4e70-8974-eb85ee223eeb</x:v>
      </x:c>
      <x:c r="O411" t="str">
        <x:v>2026-09-04</x:v>
      </x:c>
    </x:row>
    <x:row r="412">
      <x:c r="A412" t="str">
        <x:v>000848</x:v>
      </x:c>
      <x:c r="B412" t="str">
        <x:v>承德露露</x:v>
      </x:c>
      <x:c r="C412" t="str">
        <x:v>主板</x:v>
      </x:c>
      <x:c r="D412" t="str">
        <x:v>待行业映射</x:v>
      </x:c>
      <x:c r="E412" t="n">
        <x:v>8.42</x:v>
      </x:c>
      <x:c r="F412" t="n">
        <x:v>12.88</x:v>
      </x:c>
      <x:c r="G412"/>
      <x:c r="H412" t="n">
        <x:v>85.88</x:v>
      </x:c>
      <x:c r="I412" t="n">
        <x:v>34.52</x:v>
      </x:c>
      <x:c r="J412" t="str">
        <x:v>initial_screen_pending_pb_financial_review</x:v>
      </x:c>
      <x:c r="K412" t="str">
        <x:v>AkShare / Tencent all-A market snapshot</x:v>
      </x:c>
      <x:c r="L412" t="str">
        <x:v>ProxyError: primary market source unavailable; see source_id for full audit.</x:v>
      </x:c>
      <x:c r="M412" t="str">
        <x:v>0</x:v>
      </x:c>
      <x:c r="N412" t="str">
        <x:v>0fd6ad2d-3389-4e70-8974-eb85ee223eeb</x:v>
      </x:c>
      <x:c r="O412" t="str">
        <x:v>2026-09-04</x:v>
      </x:c>
    </x:row>
    <x:row r="413">
      <x:c r="A413" t="str">
        <x:v>601333</x:v>
      </x:c>
      <x:c r="B413" t="str">
        <x:v>广深铁路</x:v>
      </x:c>
      <x:c r="C413" t="str">
        <x:v>主板</x:v>
      </x:c>
      <x:c r="D413" t="str">
        <x:v>待行业映射</x:v>
      </x:c>
      <x:c r="E413" t="n">
        <x:v>3.13</x:v>
      </x:c>
      <x:c r="F413" t="n">
        <x:v>14.71</x:v>
      </x:c>
      <x:c r="G413"/>
      <x:c r="H413" t="n">
        <x:v>221.71</x:v>
      </x:c>
      <x:c r="I413" t="n">
        <x:v>34.51</x:v>
      </x:c>
      <x:c r="J413" t="str">
        <x:v>initial_screen_pending_pb_financial_review</x:v>
      </x:c>
      <x:c r="K413" t="str">
        <x:v>AkShare / Tencent all-A market snapshot</x:v>
      </x:c>
      <x:c r="L413" t="str">
        <x:v>ProxyError: primary market source unavailable; see source_id for full audit.</x:v>
      </x:c>
      <x:c r="M413" t="str">
        <x:v>0</x:v>
      </x:c>
      <x:c r="N413" t="str">
        <x:v>0fd6ad2d-3389-4e70-8974-eb85ee223eeb</x:v>
      </x:c>
      <x:c r="O413" t="str">
        <x:v>2026-09-04</x:v>
      </x:c>
    </x:row>
    <x:row r="414">
      <x:c r="A414" t="str">
        <x:v>600988</x:v>
      </x:c>
      <x:c r="B414" t="str">
        <x:v>赤峰黄金</x:v>
      </x:c>
      <x:c r="C414" t="str">
        <x:v>主板</x:v>
      </x:c>
      <x:c r="D414" t="str">
        <x:v>待行业映射</x:v>
      </x:c>
      <x:c r="E414" t="n">
        <x:v>45.69</x:v>
      </x:c>
      <x:c r="F414" t="n">
        <x:v>23.42</x:v>
      </x:c>
      <x:c r="G414"/>
      <x:c r="H414" t="n">
        <x:v>868.3</x:v>
      </x:c>
      <x:c r="I414" t="n">
        <x:v>34.5</x:v>
      </x:c>
      <x:c r="J414" t="str">
        <x:v>initial_screen_pending_pb_financial_review</x:v>
      </x:c>
      <x:c r="K414" t="str">
        <x:v>AkShare / Tencent all-A market snapshot</x:v>
      </x:c>
      <x:c r="L414" t="str">
        <x:v>ProxyError: primary market source unavailable; see source_id for full audit.</x:v>
      </x:c>
      <x:c r="M414" t="str">
        <x:v>0</x:v>
      </x:c>
      <x:c r="N414" t="str">
        <x:v>0fd6ad2d-3389-4e70-8974-eb85ee223eeb</x:v>
      </x:c>
      <x:c r="O414" t="str">
        <x:v>2026-09-04</x:v>
      </x:c>
    </x:row>
    <x:row r="415">
      <x:c r="A415" t="str">
        <x:v>600380</x:v>
      </x:c>
      <x:c r="B415" t="str">
        <x:v>健康元</x:v>
      </x:c>
      <x:c r="C415" t="str">
        <x:v>主板</x:v>
      </x:c>
      <x:c r="D415" t="str">
        <x:v>待行业映射</x:v>
      </x:c>
      <x:c r="E415" t="n">
        <x:v>9.16</x:v>
      </x:c>
      <x:c r="F415" t="n">
        <x:v>13.99</x:v>
      </x:c>
      <x:c r="G415"/>
      <x:c r="H415" t="n">
        <x:v>167.58</x:v>
      </x:c>
      <x:c r="I415" t="n">
        <x:v>34.49</x:v>
      </x:c>
      <x:c r="J415" t="str">
        <x:v>initial_screen_pending_pb_financial_review</x:v>
      </x:c>
      <x:c r="K415" t="str">
        <x:v>AkShare / Tencent all-A market snapshot</x:v>
      </x:c>
      <x:c r="L415" t="str">
        <x:v>ProxyError: primary market source unavailable; see source_id for full audit.</x:v>
      </x:c>
      <x:c r="M415" t="str">
        <x:v>0</x:v>
      </x:c>
      <x:c r="N415" t="str">
        <x:v>0fd6ad2d-3389-4e70-8974-eb85ee223eeb</x:v>
      </x:c>
      <x:c r="O415" t="str">
        <x:v>2026-09-04</x:v>
      </x:c>
    </x:row>
    <x:row r="416">
      <x:c r="A416" t="str">
        <x:v>600648</x:v>
      </x:c>
      <x:c r="B416" t="str">
        <x:v>外高桥</x:v>
      </x:c>
      <x:c r="C416" t="str">
        <x:v>主板</x:v>
      </x:c>
      <x:c r="D416" t="str">
        <x:v>待行业映射</x:v>
      </x:c>
      <x:c r="E416" t="n">
        <x:v>9.33</x:v>
      </x:c>
      <x:c r="F416" t="n">
        <x:v>13.46</x:v>
      </x:c>
      <x:c r="G416"/>
      <x:c r="H416" t="n">
        <x:v>126.88</x:v>
      </x:c>
      <x:c r="I416" t="n">
        <x:v>34.44</x:v>
      </x:c>
      <x:c r="J416" t="str">
        <x:v>initial_screen_pending_pb_financial_review</x:v>
      </x:c>
      <x:c r="K416" t="str">
        <x:v>AkShare / Tencent all-A market snapshot</x:v>
      </x:c>
      <x:c r="L416" t="str">
        <x:v>ProxyError: primary market source unavailable; see source_id for full audit.</x:v>
      </x:c>
      <x:c r="M416" t="str">
        <x:v>0</x:v>
      </x:c>
      <x:c r="N416" t="str">
        <x:v>0fd6ad2d-3389-4e70-8974-eb85ee223eeb</x:v>
      </x:c>
      <x:c r="O416" t="str">
        <x:v>2026-09-04</x:v>
      </x:c>
    </x:row>
    <x:row r="417">
      <x:c r="A417" t="str">
        <x:v>600612</x:v>
      </x:c>
      <x:c r="B417" t="str">
        <x:v>老凤祥</x:v>
      </x:c>
      <x:c r="C417" t="str">
        <x:v>主板</x:v>
      </x:c>
      <x:c r="D417" t="str">
        <x:v>待行业映射</x:v>
      </x:c>
      <x:c r="E417" t="n">
        <x:v>33.8</x:v>
      </x:c>
      <x:c r="F417" t="n">
        <x:v>14.14</x:v>
      </x:c>
      <x:c r="G417"/>
      <x:c r="H417" t="n">
        <x:v>176.81</x:v>
      </x:c>
      <x:c r="I417" t="n">
        <x:v>34.42</x:v>
      </x:c>
      <x:c r="J417" t="str">
        <x:v>initial_screen_pending_pb_financial_review</x:v>
      </x:c>
      <x:c r="K417" t="str">
        <x:v>AkShare / Tencent all-A market snapshot</x:v>
      </x:c>
      <x:c r="L417" t="str">
        <x:v>ProxyError: primary market source unavailable; see source_id for full audit.</x:v>
      </x:c>
      <x:c r="M417" t="str">
        <x:v>0</x:v>
      </x:c>
      <x:c r="N417" t="str">
        <x:v>0fd6ad2d-3389-4e70-8974-eb85ee223eeb</x:v>
      </x:c>
      <x:c r="O417" t="str">
        <x:v>2026-09-04</x:v>
      </x:c>
    </x:row>
    <x:row r="418">
      <x:c r="A418" t="str">
        <x:v>000729</x:v>
      </x:c>
      <x:c r="B418" t="str">
        <x:v>燕京啤酒</x:v>
      </x:c>
      <x:c r="C418" t="str">
        <x:v>主板</x:v>
      </x:c>
      <x:c r="D418" t="str">
        <x:v>待行业映射</x:v>
      </x:c>
      <x:c r="E418" t="n">
        <x:v>11.27</x:v>
      </x:c>
      <x:c r="F418" t="n">
        <x:v>16.08</x:v>
      </x:c>
      <x:c r="G418"/>
      <x:c r="H418" t="n">
        <x:v>317.65</x:v>
      </x:c>
      <x:c r="I418" t="n">
        <x:v>34.31</x:v>
      </x:c>
      <x:c r="J418" t="str">
        <x:v>initial_screen_pending_pb_financial_review</x:v>
      </x:c>
      <x:c r="K418" t="str">
        <x:v>AkShare / Tencent all-A market snapshot</x:v>
      </x:c>
      <x:c r="L418" t="str">
        <x:v>ProxyError: primary market source unavailable; see source_id for full audit.</x:v>
      </x:c>
      <x:c r="M418" t="str">
        <x:v>0</x:v>
      </x:c>
      <x:c r="N418" t="str">
        <x:v>0fd6ad2d-3389-4e70-8974-eb85ee223eeb</x:v>
      </x:c>
      <x:c r="O418" t="str">
        <x:v>2026-09-04</x:v>
      </x:c>
    </x:row>
    <x:row r="419">
      <x:c r="A419" t="str">
        <x:v>603198</x:v>
      </x:c>
      <x:c r="B419" t="str">
        <x:v>迎驾贡酒</x:v>
      </x:c>
      <x:c r="C419" t="str">
        <x:v>主板</x:v>
      </x:c>
      <x:c r="D419" t="str">
        <x:v>待行业映射</x:v>
      </x:c>
      <x:c r="E419" t="n">
        <x:v>41.05</x:v>
      </x:c>
      <x:c r="F419" t="n">
        <x:v>16.28</x:v>
      </x:c>
      <x:c r="G419"/>
      <x:c r="H419" t="n">
        <x:v>328.4</x:v>
      </x:c>
      <x:c r="I419" t="n">
        <x:v>34.17</x:v>
      </x:c>
      <x:c r="J419" t="str">
        <x:v>initial_screen_pending_pb_financial_review</x:v>
      </x:c>
      <x:c r="K419" t="str">
        <x:v>AkShare / Tencent all-A market snapshot</x:v>
      </x:c>
      <x:c r="L419" t="str">
        <x:v>ProxyError: primary market source unavailable; see source_id for full audit.</x:v>
      </x:c>
      <x:c r="M419" t="str">
        <x:v>0</x:v>
      </x:c>
      <x:c r="N419" t="str">
        <x:v>0fd6ad2d-3389-4e70-8974-eb85ee223eeb</x:v>
      </x:c>
      <x:c r="O419" t="str">
        <x:v>2026-09-04</x:v>
      </x:c>
    </x:row>
    <x:row r="420">
      <x:c r="A420" t="str">
        <x:v>600348</x:v>
      </x:c>
      <x:c r="B420" t="str">
        <x:v>华阳股份</x:v>
      </x:c>
      <x:c r="C420" t="str">
        <x:v>主板</x:v>
      </x:c>
      <x:c r="D420" t="str">
        <x:v>待行业映射</x:v>
      </x:c>
      <x:c r="E420" t="n">
        <x:v>8.89</x:v>
      </x:c>
      <x:c r="F420" t="n">
        <x:v>16.18</x:v>
      </x:c>
      <x:c r="G420"/>
      <x:c r="H420" t="n">
        <x:v>320.71</x:v>
      </x:c>
      <x:c r="I420" t="n">
        <x:v>34.16</x:v>
      </x:c>
      <x:c r="J420" t="str">
        <x:v>initial_screen_pending_pb_financial_review</x:v>
      </x:c>
      <x:c r="K420" t="str">
        <x:v>AkShare / Tencent all-A market snapshot</x:v>
      </x:c>
      <x:c r="L420" t="str">
        <x:v>ProxyError: primary market source unavailable; see source_id for full audit.</x:v>
      </x:c>
      <x:c r="M420" t="str">
        <x:v>0</x:v>
      </x:c>
      <x:c r="N420" t="str">
        <x:v>0fd6ad2d-3389-4e70-8974-eb85ee223eeb</x:v>
      </x:c>
      <x:c r="O420" t="str">
        <x:v>2026-09-04</x:v>
      </x:c>
    </x:row>
    <x:row r="421">
      <x:c r="A421" t="str">
        <x:v>002701</x:v>
      </x:c>
      <x:c r="B421" t="str">
        <x:v>奥瑞金</x:v>
      </x:c>
      <x:c r="C421" t="str">
        <x:v>主板</x:v>
      </x:c>
      <x:c r="D421" t="str">
        <x:v>待行业映射</x:v>
      </x:c>
      <x:c r="E421" t="n">
        <x:v>4.55</x:v>
      </x:c>
      <x:c r="F421" t="n">
        <x:v>13.44</x:v>
      </x:c>
      <x:c r="G421"/>
      <x:c r="H421" t="n">
        <x:v>116.47</x:v>
      </x:c>
      <x:c r="I421" t="n">
        <x:v>34.13</x:v>
      </x:c>
      <x:c r="J421" t="str">
        <x:v>initial_screen_pending_pb_financial_review</x:v>
      </x:c>
      <x:c r="K421" t="str">
        <x:v>AkShare / Tencent all-A market snapshot</x:v>
      </x:c>
      <x:c r="L421" t="str">
        <x:v>ProxyError: primary market source unavailable; see source_id for full audit.</x:v>
      </x:c>
      <x:c r="M421" t="str">
        <x:v>0</x:v>
      </x:c>
      <x:c r="N421" t="str">
        <x:v>0fd6ad2d-3389-4e70-8974-eb85ee223eeb</x:v>
      </x:c>
      <x:c r="O421" t="str">
        <x:v>2026-09-04</x:v>
      </x:c>
    </x:row>
    <x:row r="422">
      <x:c r="A422" t="str">
        <x:v>600686</x:v>
      </x:c>
      <x:c r="B422" t="str">
        <x:v>金龙汽车</x:v>
      </x:c>
      <x:c r="C422" t="str">
        <x:v>主板</x:v>
      </x:c>
      <x:c r="D422" t="str">
        <x:v>待行业映射</x:v>
      </x:c>
      <x:c r="E422" t="n">
        <x:v>11.36</x:v>
      </x:c>
      <x:c r="F422" t="n">
        <x:v>12.97</x:v>
      </x:c>
      <x:c r="G422"/>
      <x:c r="H422" t="n">
        <x:v>81.46</x:v>
      </x:c>
      <x:c r="I422" t="n">
        <x:v>34.13</x:v>
      </x:c>
      <x:c r="J422" t="str">
        <x:v>initial_screen_pending_pb_financial_review</x:v>
      </x:c>
      <x:c r="K422" t="str">
        <x:v>AkShare / Tencent all-A market snapshot</x:v>
      </x:c>
      <x:c r="L422" t="str">
        <x:v>ProxyError: primary market source unavailable; see source_id for full audit.</x:v>
      </x:c>
      <x:c r="M422" t="str">
        <x:v>0</x:v>
      </x:c>
      <x:c r="N422" t="str">
        <x:v>0fd6ad2d-3389-4e70-8974-eb85ee223eeb</x:v>
      </x:c>
      <x:c r="O422" t="str">
        <x:v>2026-09-04</x:v>
      </x:c>
    </x:row>
    <x:row r="423">
      <x:c r="A423" t="str">
        <x:v>688578</x:v>
      </x:c>
      <x:c r="B423" t="str">
        <x:v>艾力斯</x:v>
      </x:c>
      <x:c r="C423" t="str">
        <x:v>科创板</x:v>
      </x:c>
      <x:c r="D423" t="str">
        <x:v>待行业映射</x:v>
      </x:c>
      <x:c r="E423" t="n">
        <x:v>110.55</x:v>
      </x:c>
      <x:c r="F423" t="n">
        <x:v>18.57</x:v>
      </x:c>
      <x:c r="G423"/>
      <x:c r="H423" t="n">
        <x:v>497.48</x:v>
      </x:c>
      <x:c r="I423" t="n">
        <x:v>34.13</x:v>
      </x:c>
      <x:c r="J423" t="str">
        <x:v>initial_screen_pending_pb_financial_review</x:v>
      </x:c>
      <x:c r="K423" t="str">
        <x:v>AkShare / Tencent all-A market snapshot</x:v>
      </x:c>
      <x:c r="L423" t="str">
        <x:v>ProxyError: primary market source unavailable; see source_id for full audit.</x:v>
      </x:c>
      <x:c r="M423" t="str">
        <x:v>0</x:v>
      </x:c>
      <x:c r="N423" t="str">
        <x:v>0fd6ad2d-3389-4e70-8974-eb85ee223eeb</x:v>
      </x:c>
      <x:c r="O423" t="str">
        <x:v>2026-09-04</x:v>
      </x:c>
    </x:row>
    <x:row r="424">
      <x:c r="A424" t="str">
        <x:v>300850</x:v>
      </x:c>
      <x:c r="B424" t="str">
        <x:v>新强联</x:v>
      </x:c>
      <x:c r="C424" t="str">
        <x:v>创业板</x:v>
      </x:c>
      <x:c r="D424" t="str">
        <x:v>待行业映射</x:v>
      </x:c>
      <x:c r="E424" t="n">
        <x:v>26.84</x:v>
      </x:c>
      <x:c r="F424" t="n">
        <x:v>13.39</x:v>
      </x:c>
      <x:c r="G424"/>
      <x:c r="H424" t="n">
        <x:v>111.14</x:v>
      </x:c>
      <x:c r="I424" t="n">
        <x:v>34.08</x:v>
      </x:c>
      <x:c r="J424" t="str">
        <x:v>initial_screen_pending_pb_financial_review</x:v>
      </x:c>
      <x:c r="K424" t="str">
        <x:v>AkShare / Tencent all-A market snapshot</x:v>
      </x:c>
      <x:c r="L424" t="str">
        <x:v>ProxyError: primary market source unavailable; see source_id for full audit.</x:v>
      </x:c>
      <x:c r="M424" t="str">
        <x:v>0</x:v>
      </x:c>
      <x:c r="N424" t="str">
        <x:v>0fd6ad2d-3389-4e70-8974-eb85ee223eeb</x:v>
      </x:c>
      <x:c r="O424" t="str">
        <x:v>2026-09-04</x:v>
      </x:c>
    </x:row>
    <x:row r="425">
      <x:c r="A425" t="str">
        <x:v>600507</x:v>
      </x:c>
      <x:c r="B425" t="str">
        <x:v>方大特钢</x:v>
      </x:c>
      <x:c r="C425" t="str">
        <x:v>主板</x:v>
      </x:c>
      <x:c r="D425" t="str">
        <x:v>待行业映射</x:v>
      </x:c>
      <x:c r="E425" t="n">
        <x:v>4.26</x:v>
      </x:c>
      <x:c r="F425" t="n">
        <x:v>13.22</x:v>
      </x:c>
      <x:c r="G425"/>
      <x:c r="H425" t="n">
        <x:v>98.54</x:v>
      </x:c>
      <x:c r="I425" t="n">
        <x:v>34.08</x:v>
      </x:c>
      <x:c r="J425" t="str">
        <x:v>initial_screen_pending_pb_financial_review</x:v>
      </x:c>
      <x:c r="K425" t="str">
        <x:v>AkShare / Tencent all-A market snapshot</x:v>
      </x:c>
      <x:c r="L425" t="str">
        <x:v>ProxyError: primary market source unavailable; see source_id for full audit.</x:v>
      </x:c>
      <x:c r="M425" t="str">
        <x:v>0</x:v>
      </x:c>
      <x:c r="N425" t="str">
        <x:v>0fd6ad2d-3389-4e70-8974-eb85ee223eeb</x:v>
      </x:c>
      <x:c r="O425" t="str">
        <x:v>2026-09-04</x:v>
      </x:c>
    </x:row>
    <x:row r="426">
      <x:c r="A426" t="str">
        <x:v>605090</x:v>
      </x:c>
      <x:c r="B426" t="str">
        <x:v>九丰能源</x:v>
      </x:c>
      <x:c r="C426" t="str">
        <x:v>主板</x:v>
      </x:c>
      <x:c r="D426" t="str">
        <x:v>待行业映射</x:v>
      </x:c>
      <x:c r="E426" t="n">
        <x:v>33.5</x:v>
      </x:c>
      <x:c r="F426" t="n">
        <x:v>15.08</x:v>
      </x:c>
      <x:c r="G426"/>
      <x:c r="H426" t="n">
        <x:v>236.71</x:v>
      </x:c>
      <x:c r="I426" t="n">
        <x:v>34.08</x:v>
      </x:c>
      <x:c r="J426" t="str">
        <x:v>initial_screen_pending_pb_financial_review</x:v>
      </x:c>
      <x:c r="K426" t="str">
        <x:v>AkShare / Tencent all-A market snapshot</x:v>
      </x:c>
      <x:c r="L426" t="str">
        <x:v>ProxyError: primary market source unavailable; see source_id for full audit.</x:v>
      </x:c>
      <x:c r="M426" t="str">
        <x:v>0</x:v>
      </x:c>
      <x:c r="N426" t="str">
        <x:v>0fd6ad2d-3389-4e70-8974-eb85ee223eeb</x:v>
      </x:c>
      <x:c r="O426" t="str">
        <x:v>2026-09-04</x:v>
      </x:c>
    </x:row>
    <x:row r="427">
      <x:c r="A427" t="str">
        <x:v>603379</x:v>
      </x:c>
      <x:c r="B427" t="str">
        <x:v>三美股份</x:v>
      </x:c>
      <x:c r="C427" t="str">
        <x:v>主板</x:v>
      </x:c>
      <x:c r="D427" t="str">
        <x:v>待行业映射</x:v>
      </x:c>
      <x:c r="E427" t="n">
        <x:v>58.56</x:v>
      </x:c>
      <x:c r="F427" t="n">
        <x:v>16.73</x:v>
      </x:c>
      <x:c r="G427"/>
      <x:c r="H427" t="n">
        <x:v>357.5</x:v>
      </x:c>
      <x:c r="I427" t="n">
        <x:v>34.01</x:v>
      </x:c>
      <x:c r="J427" t="str">
        <x:v>initial_screen_pending_pb_financial_review</x:v>
      </x:c>
      <x:c r="K427" t="str">
        <x:v>AkShare / Tencent all-A market snapshot</x:v>
      </x:c>
      <x:c r="L427" t="str">
        <x:v>ProxyError: primary market source unavailable; see source_id for full audit.</x:v>
      </x:c>
      <x:c r="M427" t="str">
        <x:v>0</x:v>
      </x:c>
      <x:c r="N427" t="str">
        <x:v>0fd6ad2d-3389-4e70-8974-eb85ee223eeb</x:v>
      </x:c>
      <x:c r="O427" t="str">
        <x:v>2026-09-04</x:v>
      </x:c>
    </x:row>
    <x:row r="428">
      <x:c r="A428" t="str">
        <x:v>002192</x:v>
      </x:c>
      <x:c r="B428" t="str">
        <x:v>融捷股份</x:v>
      </x:c>
      <x:c r="C428" t="str">
        <x:v>主板</x:v>
      </x:c>
      <x:c r="D428" t="str">
        <x:v>待行业映射</x:v>
      </x:c>
      <x:c r="E428" t="n">
        <x:v>65.43</x:v>
      </x:c>
      <x:c r="F428" t="n">
        <x:v>14.21</x:v>
      </x:c>
      <x:c r="G428"/>
      <x:c r="H428" t="n">
        <x:v>169.89</x:v>
      </x:c>
      <x:c r="I428" t="n">
        <x:v>34</x:v>
      </x:c>
      <x:c r="J428" t="str">
        <x:v>initial_screen_pending_pb_financial_review</x:v>
      </x:c>
      <x:c r="K428" t="str">
        <x:v>AkShare / Tencent all-A market snapshot</x:v>
      </x:c>
      <x:c r="L428" t="str">
        <x:v>ProxyError: primary market source unavailable; see source_id for full audit.</x:v>
      </x:c>
      <x:c r="M428" t="str">
        <x:v>0</x:v>
      </x:c>
      <x:c r="N428" t="str">
        <x:v>0fd6ad2d-3389-4e70-8974-eb85ee223eeb</x:v>
      </x:c>
      <x:c r="O428" t="str">
        <x:v>2026-09-04</x:v>
      </x:c>
    </x:row>
    <x:row r="429">
      <x:c r="A429" t="str">
        <x:v>300415</x:v>
      </x:c>
      <x:c r="B429" t="str">
        <x:v>伊之密</x:v>
      </x:c>
      <x:c r="C429" t="str">
        <x:v>创业板</x:v>
      </x:c>
      <x:c r="D429" t="str">
        <x:v>待行业映射</x:v>
      </x:c>
      <x:c r="E429" t="n">
        <x:v>19.25</x:v>
      </x:c>
      <x:c r="F429" t="n">
        <x:v>13.18</x:v>
      </x:c>
      <x:c r="G429"/>
      <x:c r="H429" t="n">
        <x:v>90.2</x:v>
      </x:c>
      <x:c r="I429" t="n">
        <x:v>33.89</x:v>
      </x:c>
      <x:c r="J429" t="str">
        <x:v>initial_screen_pending_pb_financial_review</x:v>
      </x:c>
      <x:c r="K429" t="str">
        <x:v>AkShare / Tencent all-A market snapshot</x:v>
      </x:c>
      <x:c r="L429" t="str">
        <x:v>ProxyError: primary market source unavailable; see source_id for full audit.</x:v>
      </x:c>
      <x:c r="M429" t="str">
        <x:v>0</x:v>
      </x:c>
      <x:c r="N429" t="str">
        <x:v>0fd6ad2d-3389-4e70-8974-eb85ee223eeb</x:v>
      </x:c>
      <x:c r="O429" t="str">
        <x:v>2026-09-04</x:v>
      </x:c>
    </x:row>
    <x:row r="430">
      <x:c r="A430" t="str">
        <x:v>002064</x:v>
      </x:c>
      <x:c r="B430" t="str">
        <x:v>华峰化学</x:v>
      </x:c>
      <x:c r="C430" t="str">
        <x:v>主板</x:v>
      </x:c>
      <x:c r="D430" t="str">
        <x:v>待行业映射</x:v>
      </x:c>
      <x:c r="E430" t="n">
        <x:v>11.22</x:v>
      </x:c>
      <x:c r="F430" t="n">
        <x:v>19.49</x:v>
      </x:c>
      <x:c r="G430"/>
      <x:c r="H430" t="n">
        <x:v>556.8</x:v>
      </x:c>
      <x:c r="I430" t="n">
        <x:v>33.81</x:v>
      </x:c>
      <x:c r="J430" t="str">
        <x:v>initial_screen_pending_pb_financial_review</x:v>
      </x:c>
      <x:c r="K430" t="str">
        <x:v>AkShare / Tencent all-A market snapshot</x:v>
      </x:c>
      <x:c r="L430" t="str">
        <x:v>ProxyError: primary market source unavailable; see source_id for full audit.</x:v>
      </x:c>
      <x:c r="M430" t="str">
        <x:v>0</x:v>
      </x:c>
      <x:c r="N430" t="str">
        <x:v>0fd6ad2d-3389-4e70-8974-eb85ee223eeb</x:v>
      </x:c>
      <x:c r="O430" t="str">
        <x:v>2026-09-04</x:v>
      </x:c>
    </x:row>
    <x:row r="431">
      <x:c r="A431" t="str">
        <x:v>002961</x:v>
      </x:c>
      <x:c r="B431" t="str">
        <x:v>瑞达期货</x:v>
      </x:c>
      <x:c r="C431" t="str">
        <x:v>主板</x:v>
      </x:c>
      <x:c r="D431" t="str">
        <x:v>待行业映射</x:v>
      </x:c>
      <x:c r="E431" t="n">
        <x:v>20.35</x:v>
      </x:c>
      <x:c r="F431" t="n">
        <x:v>13.31</x:v>
      </x:c>
      <x:c r="G431"/>
      <x:c r="H431" t="n">
        <x:v>97.06</x:v>
      </x:c>
      <x:c r="I431" t="n">
        <x:v>33.79</x:v>
      </x:c>
      <x:c r="J431" t="str">
        <x:v>initial_screen_pending_pb_financial_review</x:v>
      </x:c>
      <x:c r="K431" t="str">
        <x:v>AkShare / Tencent all-A market snapshot</x:v>
      </x:c>
      <x:c r="L431" t="str">
        <x:v>ProxyError: primary market source unavailable; see source_id for full audit.</x:v>
      </x:c>
      <x:c r="M431" t="str">
        <x:v>0</x:v>
      </x:c>
      <x:c r="N431" t="str">
        <x:v>0fd6ad2d-3389-4e70-8974-eb85ee223eeb</x:v>
      </x:c>
      <x:c r="O431" t="str">
        <x:v>2026-09-04</x:v>
      </x:c>
    </x:row>
    <x:row r="432">
      <x:c r="A432" t="str">
        <x:v>688036</x:v>
      </x:c>
      <x:c r="B432" t="str">
        <x:v>传音控股</x:v>
      </x:c>
      <x:c r="C432" t="str">
        <x:v>科创板</x:v>
      </x:c>
      <x:c r="D432" t="str">
        <x:v>待行业映射</x:v>
      </x:c>
      <x:c r="E432" t="n">
        <x:v>56.78</x:v>
      </x:c>
      <x:c r="F432" t="n">
        <x:v>20.81</x:v>
      </x:c>
      <x:c r="G432"/>
      <x:c r="H432" t="n">
        <x:v>653.64</x:v>
      </x:c>
      <x:c r="I432" t="n">
        <x:v>33.77</x:v>
      </x:c>
      <x:c r="J432" t="str">
        <x:v>initial_screen_pending_pb_financial_review</x:v>
      </x:c>
      <x:c r="K432" t="str">
        <x:v>AkShare / Tencent all-A market snapshot</x:v>
      </x:c>
      <x:c r="L432" t="str">
        <x:v>ProxyError: primary market source unavailable; see source_id for full audit.</x:v>
      </x:c>
      <x:c r="M432" t="str">
        <x:v>0</x:v>
      </x:c>
      <x:c r="N432" t="str">
        <x:v>0fd6ad2d-3389-4e70-8974-eb85ee223eeb</x:v>
      </x:c>
      <x:c r="O432" t="str">
        <x:v>2026-09-04</x:v>
      </x:c>
    </x:row>
    <x:row r="433">
      <x:c r="A433" t="str">
        <x:v>603871</x:v>
      </x:c>
      <x:c r="B433" t="str">
        <x:v>嘉友国际</x:v>
      </x:c>
      <x:c r="C433" t="str">
        <x:v>主板</x:v>
      </x:c>
      <x:c r="D433" t="str">
        <x:v>待行业映射</x:v>
      </x:c>
      <x:c r="E433" t="n">
        <x:v>13.99</x:v>
      </x:c>
      <x:c r="F433" t="n">
        <x:v>14.59</x:v>
      </x:c>
      <x:c r="G433"/>
      <x:c r="H433" t="n">
        <x:v>191.38</x:v>
      </x:c>
      <x:c r="I433" t="n">
        <x:v>33.76</x:v>
      </x:c>
      <x:c r="J433" t="str">
        <x:v>initial_screen_pending_pb_financial_review</x:v>
      </x:c>
      <x:c r="K433" t="str">
        <x:v>AkShare / Tencent all-A market snapshot</x:v>
      </x:c>
      <x:c r="L433" t="str">
        <x:v>ProxyError: primary market source unavailable; see source_id for full audit.</x:v>
      </x:c>
      <x:c r="M433" t="str">
        <x:v>0</x:v>
      </x:c>
      <x:c r="N433" t="str">
        <x:v>0fd6ad2d-3389-4e70-8974-eb85ee223eeb</x:v>
      </x:c>
      <x:c r="O433" t="str">
        <x:v>2026-09-04</x:v>
      </x:c>
    </x:row>
    <x:row r="434">
      <x:c r="A434" t="str">
        <x:v>603338</x:v>
      </x:c>
      <x:c r="B434" t="str">
        <x:v>浙江鼎力</x:v>
      </x:c>
      <x:c r="C434" t="str">
        <x:v>主板</x:v>
      </x:c>
      <x:c r="D434" t="str">
        <x:v>待行业映射</x:v>
      </x:c>
      <x:c r="E434" t="n">
        <x:v>57.91</x:v>
      </x:c>
      <x:c r="F434" t="n">
        <x:v>15.97</x:v>
      </x:c>
      <x:c r="G434"/>
      <x:c r="H434" t="n">
        <x:v>293.23</x:v>
      </x:c>
      <x:c r="I434" t="n">
        <x:v>33.74</x:v>
      </x:c>
      <x:c r="J434" t="str">
        <x:v>initial_screen_pending_pb_financial_review</x:v>
      </x:c>
      <x:c r="K434" t="str">
        <x:v>AkShare / Tencent all-A market snapshot</x:v>
      </x:c>
      <x:c r="L434" t="str">
        <x:v>ProxyError: primary market source unavailable; see source_id for full audit.</x:v>
      </x:c>
      <x:c r="M434" t="str">
        <x:v>0</x:v>
      </x:c>
      <x:c r="N434" t="str">
        <x:v>0fd6ad2d-3389-4e70-8974-eb85ee223eeb</x:v>
      </x:c>
      <x:c r="O434" t="str">
        <x:v>2026-09-04</x:v>
      </x:c>
    </x:row>
    <x:row r="435">
      <x:c r="A435" t="str">
        <x:v>603939</x:v>
      </x:c>
      <x:c r="B435" t="str">
        <x:v>益丰药房</x:v>
      </x:c>
      <x:c r="C435" t="str">
        <x:v>主板</x:v>
      </x:c>
      <x:c r="D435" t="str">
        <x:v>待行业映射</x:v>
      </x:c>
      <x:c r="E435" t="n">
        <x:v>22.9</x:v>
      </x:c>
      <x:c r="F435" t="n">
        <x:v>15.76</x:v>
      </x:c>
      <x:c r="G435"/>
      <x:c r="H435" t="n">
        <x:v>277.64</x:v>
      </x:c>
      <x:c r="I435" t="n">
        <x:v>33.74</x:v>
      </x:c>
      <x:c r="J435" t="str">
        <x:v>initial_screen_pending_pb_financial_review</x:v>
      </x:c>
      <x:c r="K435" t="str">
        <x:v>AkShare / Tencent all-A market snapshot</x:v>
      </x:c>
      <x:c r="L435" t="str">
        <x:v>ProxyError: primary market source unavailable; see source_id for full audit.</x:v>
      </x:c>
      <x:c r="M435" t="str">
        <x:v>0</x:v>
      </x:c>
      <x:c r="N435" t="str">
        <x:v>0fd6ad2d-3389-4e70-8974-eb85ee223eeb</x:v>
      </x:c>
      <x:c r="O435" t="str">
        <x:v>2026-09-04</x:v>
      </x:c>
    </x:row>
    <x:row r="436">
      <x:c r="A436" t="str">
        <x:v>300770</x:v>
      </x:c>
      <x:c r="B436" t="str">
        <x:v>新媒股份</x:v>
      </x:c>
      <x:c r="C436" t="str">
        <x:v>创业板</x:v>
      </x:c>
      <x:c r="D436" t="str">
        <x:v>待行业映射</x:v>
      </x:c>
      <x:c r="E436" t="n">
        <x:v>35.38</x:v>
      </x:c>
      <x:c r="F436" t="n">
        <x:v>13.13</x:v>
      </x:c>
      <x:c r="G436"/>
      <x:c r="H436" t="n">
        <x:v>80.61</x:v>
      </x:c>
      <x:c r="I436" t="n">
        <x:v>33.68</x:v>
      </x:c>
      <x:c r="J436" t="str">
        <x:v>initial_screen_pending_pb_financial_review</x:v>
      </x:c>
      <x:c r="K436" t="str">
        <x:v>AkShare / Tencent all-A market snapshot</x:v>
      </x:c>
      <x:c r="L436" t="str">
        <x:v>ProxyError: primary market source unavailable; see source_id for full audit.</x:v>
      </x:c>
      <x:c r="M436" t="str">
        <x:v>0</x:v>
      </x:c>
      <x:c r="N436" t="str">
        <x:v>0fd6ad2d-3389-4e70-8974-eb85ee223eeb</x:v>
      </x:c>
      <x:c r="O436" t="str">
        <x:v>2026-09-04</x:v>
      </x:c>
    </x:row>
    <x:row r="437">
      <x:c r="A437" t="str">
        <x:v>600918</x:v>
      </x:c>
      <x:c r="B437" t="str">
        <x:v>中泰证券</x:v>
      </x:c>
      <x:c r="C437" t="str">
        <x:v>主板</x:v>
      </x:c>
      <x:c r="D437" t="str">
        <x:v>待行业映射</x:v>
      </x:c>
      <x:c r="E437" t="n">
        <x:v>5.67</x:v>
      </x:c>
      <x:c r="F437" t="n">
        <x:v>18.13</x:v>
      </x:c>
      <x:c r="G437"/>
      <x:c r="H437" t="n">
        <x:v>448.97</x:v>
      </x:c>
      <x:c r="I437" t="n">
        <x:v>33.58</x:v>
      </x:c>
      <x:c r="J437" t="str">
        <x:v>initial_screen_pending_pb_financial_review</x:v>
      </x:c>
      <x:c r="K437" t="str">
        <x:v>AkShare / Tencent all-A market snapshot</x:v>
      </x:c>
      <x:c r="L437" t="str">
        <x:v>ProxyError: primary market source unavailable; see source_id for full audit.</x:v>
      </x:c>
      <x:c r="M437" t="str">
        <x:v>0</x:v>
      </x:c>
      <x:c r="N437" t="str">
        <x:v>0fd6ad2d-3389-4e70-8974-eb85ee223eeb</x:v>
      </x:c>
      <x:c r="O437" t="str">
        <x:v>2026-09-04</x:v>
      </x:c>
    </x:row>
    <x:row r="438">
      <x:c r="A438" t="str">
        <x:v>000411</x:v>
      </x:c>
      <x:c r="B438" t="str">
        <x:v>英特集团</x:v>
      </x:c>
      <x:c r="C438" t="str">
        <x:v>主板</x:v>
      </x:c>
      <x:c r="D438" t="str">
        <x:v>待行业映射</x:v>
      </x:c>
      <x:c r="E438" t="n">
        <x:v>10.22</x:v>
      </x:c>
      <x:c r="F438" t="n">
        <x:v>12.89</x:v>
      </x:c>
      <x:c r="G438"/>
      <x:c r="H438" t="n">
        <x:v>57.73</x:v>
      </x:c>
      <x:c r="I438" t="n">
        <x:v>33.51</x:v>
      </x:c>
      <x:c r="J438" t="str">
        <x:v>initial_screen_pending_pb_financial_review</x:v>
      </x:c>
      <x:c r="K438" t="str">
        <x:v>AkShare / Tencent all-A market snapshot</x:v>
      </x:c>
      <x:c r="L438" t="str">
        <x:v>ProxyError: primary market source unavailable; see source_id for full audit.</x:v>
      </x:c>
      <x:c r="M438" t="str">
        <x:v>0</x:v>
      </x:c>
      <x:c r="N438" t="str">
        <x:v>0fd6ad2d-3389-4e70-8974-eb85ee223eeb</x:v>
      </x:c>
      <x:c r="O438" t="str">
        <x:v>2026-09-04</x:v>
      </x:c>
    </x:row>
    <x:row r="439">
      <x:c r="A439" t="str">
        <x:v>601339</x:v>
      </x:c>
      <x:c r="B439" t="str">
        <x:v>百隆东方</x:v>
      </x:c>
      <x:c r="C439" t="str">
        <x:v>主板</x:v>
      </x:c>
      <x:c r="D439" t="str">
        <x:v>待行业映射</x:v>
      </x:c>
      <x:c r="E439" t="n">
        <x:v>7.52</x:v>
      </x:c>
      <x:c r="F439" t="n">
        <x:v>13.66</x:v>
      </x:c>
      <x:c r="G439"/>
      <x:c r="H439" t="n">
        <x:v>112.77</x:v>
      </x:c>
      <x:c r="I439" t="n">
        <x:v>33.43</x:v>
      </x:c>
      <x:c r="J439" t="str">
        <x:v>initial_screen_pending_pb_financial_review</x:v>
      </x:c>
      <x:c r="K439" t="str">
        <x:v>AkShare / Tencent all-A market snapshot</x:v>
      </x:c>
      <x:c r="L439" t="str">
        <x:v>ProxyError: primary market source unavailable; see source_id for full audit.</x:v>
      </x:c>
      <x:c r="M439" t="str">
        <x:v>0</x:v>
      </x:c>
      <x:c r="N439" t="str">
        <x:v>0fd6ad2d-3389-4e70-8974-eb85ee223eeb</x:v>
      </x:c>
      <x:c r="O439" t="str">
        <x:v>2026-09-04</x:v>
      </x:c>
    </x:row>
    <x:row r="440">
      <x:c r="A440" t="str">
        <x:v>000581</x:v>
      </x:c>
      <x:c r="B440" t="str">
        <x:v>威孚高科</x:v>
      </x:c>
      <x:c r="C440" t="str">
        <x:v>主板</x:v>
      </x:c>
      <x:c r="D440" t="str">
        <x:v>待行业映射</x:v>
      </x:c>
      <x:c r="E440" t="n">
        <x:v>18.09</x:v>
      </x:c>
      <x:c r="F440" t="n">
        <x:v>14.54</x:v>
      </x:c>
      <x:c r="G440"/>
      <x:c r="H440" t="n">
        <x:v>174.89</x:v>
      </x:c>
      <x:c r="I440" t="n">
        <x:v>33.32</x:v>
      </x:c>
      <x:c r="J440" t="str">
        <x:v>initial_screen_pending_pb_financial_review</x:v>
      </x:c>
      <x:c r="K440" t="str">
        <x:v>AkShare / Tencent all-A market snapshot</x:v>
      </x:c>
      <x:c r="L440" t="str">
        <x:v>ProxyError: primary market source unavailable; see source_id for full audit.</x:v>
      </x:c>
      <x:c r="M440" t="str">
        <x:v>0</x:v>
      </x:c>
      <x:c r="N440" t="str">
        <x:v>0fd6ad2d-3389-4e70-8974-eb85ee223eeb</x:v>
      </x:c>
      <x:c r="O440" t="str">
        <x:v>2026-09-04</x:v>
      </x:c>
    </x:row>
    <x:row r="441">
      <x:c r="A441" t="str">
        <x:v>603733</x:v>
      </x:c>
      <x:c r="B441" t="str">
        <x:v>仙鹤股份</x:v>
      </x:c>
      <x:c r="C441" t="str">
        <x:v>主板</x:v>
      </x:c>
      <x:c r="D441" t="str">
        <x:v>待行业映射</x:v>
      </x:c>
      <x:c r="E441" t="n">
        <x:v>18.82</x:v>
      </x:c>
      <x:c r="F441" t="n">
        <x:v>14.26</x:v>
      </x:c>
      <x:c r="G441"/>
      <x:c r="H441" t="n">
        <x:v>153.81</x:v>
      </x:c>
      <x:c r="I441" t="n">
        <x:v>33.31</x:v>
      </x:c>
      <x:c r="J441" t="str">
        <x:v>initial_screen_pending_pb_financial_review</x:v>
      </x:c>
      <x:c r="K441" t="str">
        <x:v>AkShare / Tencent all-A market snapshot</x:v>
      </x:c>
      <x:c r="L441" t="str">
        <x:v>ProxyError: primary market source unavailable; see source_id for full audit.</x:v>
      </x:c>
      <x:c r="M441" t="str">
        <x:v>0</x:v>
      </x:c>
      <x:c r="N441" t="str">
        <x:v>0fd6ad2d-3389-4e70-8974-eb85ee223eeb</x:v>
      </x:c>
      <x:c r="O441" t="str">
        <x:v>2026-09-04</x:v>
      </x:c>
    </x:row>
    <x:row r="442">
      <x:c r="A442" t="str">
        <x:v>002533</x:v>
      </x:c>
      <x:c r="B442" t="str">
        <x:v>金杯电工</x:v>
      </x:c>
      <x:c r="C442" t="str">
        <x:v>主板</x:v>
      </x:c>
      <x:c r="D442" t="str">
        <x:v>待行业映射</x:v>
      </x:c>
      <x:c r="E442" t="n">
        <x:v>11.26</x:v>
      </x:c>
      <x:c r="F442" t="n">
        <x:v>13.32</x:v>
      </x:c>
      <x:c r="G442"/>
      <x:c r="H442" t="n">
        <x:v>82.64</x:v>
      </x:c>
      <x:c r="I442" t="n">
        <x:v>33.26</x:v>
      </x:c>
      <x:c r="J442" t="str">
        <x:v>initial_screen_pending_pb_financial_review</x:v>
      </x:c>
      <x:c r="K442" t="str">
        <x:v>AkShare / Tencent all-A market snapshot</x:v>
      </x:c>
      <x:c r="L442" t="str">
        <x:v>ProxyError: primary market source unavailable; see source_id for full audit.</x:v>
      </x:c>
      <x:c r="M442" t="str">
        <x:v>0</x:v>
      </x:c>
      <x:c r="N442" t="str">
        <x:v>0fd6ad2d-3389-4e70-8974-eb85ee223eeb</x:v>
      </x:c>
      <x:c r="O442" t="str">
        <x:v>2026-09-04</x:v>
      </x:c>
    </x:row>
    <x:row r="443">
      <x:c r="A443" t="str">
        <x:v>002911</x:v>
      </x:c>
      <x:c r="B443" t="str">
        <x:v>佛燃能源</x:v>
      </x:c>
      <x:c r="C443" t="str">
        <x:v>主板</x:v>
      </x:c>
      <x:c r="D443" t="str">
        <x:v>待行业映射</x:v>
      </x:c>
      <x:c r="E443" t="n">
        <x:v>11.51</x:v>
      </x:c>
      <x:c r="F443" t="n">
        <x:v>14.22</x:v>
      </x:c>
      <x:c r="G443"/>
      <x:c r="H443" t="n">
        <x:v>149.42</x:v>
      </x:c>
      <x:c r="I443" t="n">
        <x:v>33.26</x:v>
      </x:c>
      <x:c r="J443" t="str">
        <x:v>initial_screen_pending_pb_financial_review</x:v>
      </x:c>
      <x:c r="K443" t="str">
        <x:v>AkShare / Tencent all-A market snapshot</x:v>
      </x:c>
      <x:c r="L443" t="str">
        <x:v>ProxyError: primary market source unavailable; see source_id for full audit.</x:v>
      </x:c>
      <x:c r="M443" t="str">
        <x:v>0</x:v>
      </x:c>
      <x:c r="N443" t="str">
        <x:v>0fd6ad2d-3389-4e70-8974-eb85ee223eeb</x:v>
      </x:c>
      <x:c r="O443" t="str">
        <x:v>2026-09-04</x:v>
      </x:c>
    </x:row>
    <x:row r="444">
      <x:c r="A444" t="str">
        <x:v>920079</x:v>
      </x:c>
      <x:c r="B444" t="str">
        <x:v>乔路铭</x:v>
      </x:c>
      <x:c r="C444" t="str">
        <x:v>北交所</x:v>
      </x:c>
      <x:c r="D444" t="str">
        <x:v>待行业映射</x:v>
      </x:c>
      <x:c r="E444" t="n">
        <x:v>13.75</x:v>
      </x:c>
      <x:c r="F444" t="n">
        <x:v>12.98</x:v>
      </x:c>
      <x:c r="G444"/>
      <x:c r="H444" t="n">
        <x:v>57.24</x:v>
      </x:c>
      <x:c r="I444" t="n">
        <x:v>33.26</x:v>
      </x:c>
      <x:c r="J444" t="str">
        <x:v>initial_screen_pending_pb_financial_review</x:v>
      </x:c>
      <x:c r="K444" t="str">
        <x:v>AkShare / Tencent all-A market snapshot</x:v>
      </x:c>
      <x:c r="L444" t="str">
        <x:v>ProxyError: primary market source unavailable; see source_id for full audit.</x:v>
      </x:c>
      <x:c r="M444" t="str">
        <x:v>0</x:v>
      </x:c>
      <x:c r="N444" t="str">
        <x:v>0fd6ad2d-3389-4e70-8974-eb85ee223eeb</x:v>
      </x:c>
      <x:c r="O444" t="str">
        <x:v>2026-09-04</x:v>
      </x:c>
    </x:row>
    <x:row r="445">
      <x:c r="A445" t="str">
        <x:v>002448</x:v>
      </x:c>
      <x:c r="B445" t="str">
        <x:v>中原内配</x:v>
      </x:c>
      <x:c r="C445" t="str">
        <x:v>主板</x:v>
      </x:c>
      <x:c r="D445" t="str">
        <x:v>待行业映射</x:v>
      </x:c>
      <x:c r="E445" t="n">
        <x:v>11.66</x:v>
      </x:c>
      <x:c r="F445" t="n">
        <x:v>13.15</x:v>
      </x:c>
      <x:c r="G445"/>
      <x:c r="H445" t="n">
        <x:v>68.61</x:v>
      </x:c>
      <x:c r="I445" t="n">
        <x:v>33.21</x:v>
      </x:c>
      <x:c r="J445" t="str">
        <x:v>initial_screen_pending_pb_financial_review</x:v>
      </x:c>
      <x:c r="K445" t="str">
        <x:v>AkShare / Tencent all-A market snapshot</x:v>
      </x:c>
      <x:c r="L445" t="str">
        <x:v>ProxyError: primary market source unavailable; see source_id for full audit.</x:v>
      </x:c>
      <x:c r="M445" t="str">
        <x:v>0</x:v>
      </x:c>
      <x:c r="N445" t="str">
        <x:v>0fd6ad2d-3389-4e70-8974-eb85ee223eeb</x:v>
      </x:c>
      <x:c r="O445" t="str">
        <x:v>2026-09-04</x:v>
      </x:c>
    </x:row>
    <x:row r="446">
      <x:c r="A446" t="str">
        <x:v>600736</x:v>
      </x:c>
      <x:c r="B446" t="str">
        <x:v>苏州高新</x:v>
      </x:c>
      <x:c r="C446" t="str">
        <x:v>主板</x:v>
      </x:c>
      <x:c r="D446" t="str">
        <x:v>待行业映射</x:v>
      </x:c>
      <x:c r="E446" t="n">
        <x:v>6.72</x:v>
      </x:c>
      <x:c r="F446" t="n">
        <x:v>13.29</x:v>
      </x:c>
      <x:c r="G446"/>
      <x:c r="H446" t="n">
        <x:v>77.37</x:v>
      </x:c>
      <x:c r="I446" t="n">
        <x:v>33.15</x:v>
      </x:c>
      <x:c r="J446" t="str">
        <x:v>initial_screen_pending_pb_financial_review</x:v>
      </x:c>
      <x:c r="K446" t="str">
        <x:v>AkShare / Tencent all-A market snapshot</x:v>
      </x:c>
      <x:c r="L446" t="str">
        <x:v>ProxyError: primary market source unavailable; see source_id for full audit.</x:v>
      </x:c>
      <x:c r="M446" t="str">
        <x:v>0</x:v>
      </x:c>
      <x:c r="N446" t="str">
        <x:v>0fd6ad2d-3389-4e70-8974-eb85ee223eeb</x:v>
      </x:c>
      <x:c r="O446" t="str">
        <x:v>2026-09-04</x:v>
      </x:c>
    </x:row>
    <x:row r="447">
      <x:c r="A447" t="str">
        <x:v>600020</x:v>
      </x:c>
      <x:c r="B447" t="str">
        <x:v>中原高速</x:v>
      </x:c>
      <x:c r="C447" t="str">
        <x:v>主板</x:v>
      </x:c>
      <x:c r="D447" t="str">
        <x:v>待行业映射</x:v>
      </x:c>
      <x:c r="E447" t="n">
        <x:v>3.9</x:v>
      </x:c>
      <x:c r="F447" t="n">
        <x:v>13.44</x:v>
      </x:c>
      <x:c r="G447"/>
      <x:c r="H447" t="n">
        <x:v>87.65</x:v>
      </x:c>
      <x:c r="I447" t="n">
        <x:v>33.12</x:v>
      </x:c>
      <x:c r="J447" t="str">
        <x:v>initial_screen_pending_pb_financial_review</x:v>
      </x:c>
      <x:c r="K447" t="str">
        <x:v>AkShare / Tencent all-A market snapshot</x:v>
      </x:c>
      <x:c r="L447" t="str">
        <x:v>ProxyError: primary market source unavailable; see source_id for full audit.</x:v>
      </x:c>
      <x:c r="M447" t="str">
        <x:v>0</x:v>
      </x:c>
      <x:c r="N447" t="str">
        <x:v>0fd6ad2d-3389-4e70-8974-eb85ee223eeb</x:v>
      </x:c>
      <x:c r="O447" t="str">
        <x:v>2026-09-04</x:v>
      </x:c>
    </x:row>
    <x:row r="448">
      <x:c r="A448" t="str">
        <x:v>603612</x:v>
      </x:c>
      <x:c r="B448" t="str">
        <x:v>索通发展</x:v>
      </x:c>
      <x:c r="C448" t="str">
        <x:v>主板</x:v>
      </x:c>
      <x:c r="D448" t="str">
        <x:v>待行业映射</x:v>
      </x:c>
      <x:c r="E448" t="n">
        <x:v>16.97</x:v>
      </x:c>
      <x:c r="F448" t="n">
        <x:v>13.42</x:v>
      </x:c>
      <x:c r="G448"/>
      <x:c r="H448" t="n">
        <x:v>84.53</x:v>
      </x:c>
      <x:c r="I448" t="n">
        <x:v>33.07</x:v>
      </x:c>
      <x:c r="J448" t="str">
        <x:v>initial_screen_pending_pb_financial_review</x:v>
      </x:c>
      <x:c r="K448" t="str">
        <x:v>AkShare / Tencent all-A market snapshot</x:v>
      </x:c>
      <x:c r="L448" t="str">
        <x:v>ProxyError: primary market source unavailable; see source_id for full audit.</x:v>
      </x:c>
      <x:c r="M448" t="str">
        <x:v>0</x:v>
      </x:c>
      <x:c r="N448" t="str">
        <x:v>0fd6ad2d-3389-4e70-8974-eb85ee223eeb</x:v>
      </x:c>
      <x:c r="O448" t="str">
        <x:v>2026-09-04</x:v>
      </x:c>
    </x:row>
    <x:row r="449">
      <x:c r="A449" t="str">
        <x:v>600166</x:v>
      </x:c>
      <x:c r="B449" t="str">
        <x:v>福田汽车</x:v>
      </x:c>
      <x:c r="C449" t="str">
        <x:v>主板</x:v>
      </x:c>
      <x:c r="D449" t="str">
        <x:v>待行业映射</x:v>
      </x:c>
      <x:c r="E449" t="n">
        <x:v>2.9</x:v>
      </x:c>
      <x:c r="F449" t="n">
        <x:v>15.39</x:v>
      </x:c>
      <x:c r="G449"/>
      <x:c r="H449" t="n">
        <x:v>229.6</x:v>
      </x:c>
      <x:c r="I449" t="n">
        <x:v>33.02</x:v>
      </x:c>
      <x:c r="J449" t="str">
        <x:v>initial_screen_pending_pb_financial_review</x:v>
      </x:c>
      <x:c r="K449" t="str">
        <x:v>AkShare / Tencent all-A market snapshot</x:v>
      </x:c>
      <x:c r="L449" t="str">
        <x:v>ProxyError: primary market source unavailable; see source_id for full audit.</x:v>
      </x:c>
      <x:c r="M449" t="str">
        <x:v>0</x:v>
      </x:c>
      <x:c r="N449" t="str">
        <x:v>0fd6ad2d-3389-4e70-8974-eb85ee223eeb</x:v>
      </x:c>
      <x:c r="O449" t="str">
        <x:v>2026-09-04</x:v>
      </x:c>
    </x:row>
    <x:row r="450">
      <x:c r="A450" t="str">
        <x:v>000426</x:v>
      </x:c>
      <x:c r="B450" t="str">
        <x:v>兴业银锡</x:v>
      </x:c>
      <x:c r="C450" t="str">
        <x:v>主板</x:v>
      </x:c>
      <x:c r="D450" t="str">
        <x:v>待行业映射</x:v>
      </x:c>
      <x:c r="E450" t="n">
        <x:v>38.44</x:v>
      </x:c>
      <x:c r="F450" t="n">
        <x:v>21.52</x:v>
      </x:c>
      <x:c r="G450"/>
      <x:c r="H450" t="n">
        <x:v>682.55</x:v>
      </x:c>
      <x:c r="I450" t="n">
        <x:v>32.94</x:v>
      </x:c>
      <x:c r="J450" t="str">
        <x:v>initial_screen_pending_pb_financial_review</x:v>
      </x:c>
      <x:c r="K450" t="str">
        <x:v>AkShare / Tencent all-A market snapshot</x:v>
      </x:c>
      <x:c r="L450" t="str">
        <x:v>ProxyError: primary market source unavailable; see source_id for full audit.</x:v>
      </x:c>
      <x:c r="M450" t="str">
        <x:v>0</x:v>
      </x:c>
      <x:c r="N450" t="str">
        <x:v>0fd6ad2d-3389-4e70-8974-eb85ee223eeb</x:v>
      </x:c>
      <x:c r="O450" t="str">
        <x:v>2026-09-04</x:v>
      </x:c>
    </x:row>
    <x:row r="451">
      <x:c r="A451" t="str">
        <x:v>600897</x:v>
      </x:c>
      <x:c r="B451" t="str">
        <x:v>厦门空港</x:v>
      </x:c>
      <x:c r="C451" t="str">
        <x:v>主板</x:v>
      </x:c>
      <x:c r="D451" t="str">
        <x:v>待行业映射</x:v>
      </x:c>
      <x:c r="E451" t="n">
        <x:v>15.48</x:v>
      </x:c>
      <x:c r="F451" t="n">
        <x:v>13.22</x:v>
      </x:c>
      <x:c r="G451"/>
      <x:c r="H451" t="n">
        <x:v>64.54</x:v>
      </x:c>
      <x:c r="I451" t="n">
        <x:v>32.89</x:v>
      </x:c>
      <x:c r="J451" t="str">
        <x:v>initial_screen_pending_pb_financial_review</x:v>
      </x:c>
      <x:c r="K451" t="str">
        <x:v>AkShare / Tencent all-A market snapshot</x:v>
      </x:c>
      <x:c r="L451" t="str">
        <x:v>ProxyError: primary market source unavailable; see source_id for full audit.</x:v>
      </x:c>
      <x:c r="M451" t="str">
        <x:v>0</x:v>
      </x:c>
      <x:c r="N451" t="str">
        <x:v>0fd6ad2d-3389-4e70-8974-eb85ee223eeb</x:v>
      </x:c>
      <x:c r="O451" t="str">
        <x:v>2026-09-04</x:v>
      </x:c>
    </x:row>
    <x:row r="452">
      <x:c r="A452" t="str">
        <x:v>002884</x:v>
      </x:c>
      <x:c r="B452" t="str">
        <x:v>凌霄泵业</x:v>
      </x:c>
      <x:c r="C452" t="str">
        <x:v>主板</x:v>
      </x:c>
      <x:c r="D452" t="str">
        <x:v>待行业映射</x:v>
      </x:c>
      <x:c r="E452" t="n">
        <x:v>15.91</x:v>
      </x:c>
      <x:c r="F452" t="n">
        <x:v>13.13</x:v>
      </x:c>
      <x:c r="G452"/>
      <x:c r="H452" t="n">
        <x:v>56.91</x:v>
      </x:c>
      <x:c r="I452" t="n">
        <x:v>32.85</x:v>
      </x:c>
      <x:c r="J452" t="str">
        <x:v>initial_screen_pending_pb_financial_review</x:v>
      </x:c>
      <x:c r="K452" t="str">
        <x:v>AkShare / Tencent all-A market snapshot</x:v>
      </x:c>
      <x:c r="L452" t="str">
        <x:v>ProxyError: primary market source unavailable; see source_id for full audit.</x:v>
      </x:c>
      <x:c r="M452" t="str">
        <x:v>0</x:v>
      </x:c>
      <x:c r="N452" t="str">
        <x:v>0fd6ad2d-3389-4e70-8974-eb85ee223eeb</x:v>
      </x:c>
      <x:c r="O452" t="str">
        <x:v>2026-09-04</x:v>
      </x:c>
    </x:row>
    <x:row r="453">
      <x:c r="A453" t="str">
        <x:v>301109</x:v>
      </x:c>
      <x:c r="B453" t="str">
        <x:v>军信股份</x:v>
      </x:c>
      <x:c r="C453" t="str">
        <x:v>创业板</x:v>
      </x:c>
      <x:c r="D453" t="str">
        <x:v>待行业映射</x:v>
      </x:c>
      <x:c r="E453" t="n">
        <x:v>12.97</x:v>
      </x:c>
      <x:c r="F453" t="n">
        <x:v>13.75</x:v>
      </x:c>
      <x:c r="G453"/>
      <x:c r="H453" t="n">
        <x:v>102.35</x:v>
      </x:c>
      <x:c r="I453" t="n">
        <x:v>32.83</x:v>
      </x:c>
      <x:c r="J453" t="str">
        <x:v>initial_screen_pending_pb_financial_review</x:v>
      </x:c>
      <x:c r="K453" t="str">
        <x:v>AkShare / Tencent all-A market snapshot</x:v>
      </x:c>
      <x:c r="L453" t="str">
        <x:v>ProxyError: primary market source unavailable; see source_id for full audit.</x:v>
      </x:c>
      <x:c r="M453" t="str">
        <x:v>0</x:v>
      </x:c>
      <x:c r="N453" t="str">
        <x:v>0fd6ad2d-3389-4e70-8974-eb85ee223eeb</x:v>
      </x:c>
      <x:c r="O453" t="str">
        <x:v>2026-09-04</x:v>
      </x:c>
    </x:row>
    <x:row r="454">
      <x:c r="A454" t="str">
        <x:v>600125</x:v>
      </x:c>
      <x:c r="B454" t="str">
        <x:v>铁龙物流</x:v>
      </x:c>
      <x:c r="C454" t="str">
        <x:v>主板</x:v>
      </x:c>
      <x:c r="D454" t="str">
        <x:v>待行业映射</x:v>
      </x:c>
      <x:c r="E454" t="n">
        <x:v>5.43</x:v>
      </x:c>
      <x:c r="F454" t="n">
        <x:v>13.33</x:v>
      </x:c>
      <x:c r="G454"/>
      <x:c r="H454" t="n">
        <x:v>70.89</x:v>
      </x:c>
      <x:c r="I454" t="n">
        <x:v>32.82</x:v>
      </x:c>
      <x:c r="J454" t="str">
        <x:v>initial_screen_pending_pb_financial_review</x:v>
      </x:c>
      <x:c r="K454" t="str">
        <x:v>AkShare / Tencent all-A market snapshot</x:v>
      </x:c>
      <x:c r="L454" t="str">
        <x:v>ProxyError: primary market source unavailable; see source_id for full audit.</x:v>
      </x:c>
      <x:c r="M454" t="str">
        <x:v>0</x:v>
      </x:c>
      <x:c r="N454" t="str">
        <x:v>0fd6ad2d-3389-4e70-8974-eb85ee223eeb</x:v>
      </x:c>
      <x:c r="O454" t="str">
        <x:v>2026-09-04</x:v>
      </x:c>
    </x:row>
    <x:row r="455">
      <x:c r="A455" t="str">
        <x:v>000737</x:v>
      </x:c>
      <x:c r="B455" t="str">
        <x:v>北方铜业</x:v>
      </x:c>
      <x:c r="C455" t="str">
        <x:v>主板</x:v>
      </x:c>
      <x:c r="D455" t="str">
        <x:v>待行业映射</x:v>
      </x:c>
      <x:c r="E455" t="n">
        <x:v>14.35</x:v>
      </x:c>
      <x:c r="F455" t="n">
        <x:v>16.08</x:v>
      </x:c>
      <x:c r="G455"/>
      <x:c r="H455" t="n">
        <x:v>273.33</x:v>
      </x:c>
      <x:c r="I455" t="n">
        <x:v>32.76</x:v>
      </x:c>
      <x:c r="J455" t="str">
        <x:v>initial_screen_pending_pb_financial_review</x:v>
      </x:c>
      <x:c r="K455" t="str">
        <x:v>AkShare / Tencent all-A market snapshot</x:v>
      </x:c>
      <x:c r="L455" t="str">
        <x:v>ProxyError: primary market source unavailable; see source_id for full audit.</x:v>
      </x:c>
      <x:c r="M455" t="str">
        <x:v>0</x:v>
      </x:c>
      <x:c r="N455" t="str">
        <x:v>0fd6ad2d-3389-4e70-8974-eb85ee223eeb</x:v>
      </x:c>
      <x:c r="O455" t="str">
        <x:v>2026-09-04</x:v>
      </x:c>
    </x:row>
    <x:row r="456">
      <x:c r="A456" t="str">
        <x:v>603408</x:v>
      </x:c>
      <x:c r="B456" t="str">
        <x:v>建霖家居</x:v>
      </x:c>
      <x:c r="C456" t="str">
        <x:v>主板</x:v>
      </x:c>
      <x:c r="D456" t="str">
        <x:v>待行业映射</x:v>
      </x:c>
      <x:c r="E456" t="n">
        <x:v>11.98</x:v>
      </x:c>
      <x:c r="F456" t="n">
        <x:v>13.13</x:v>
      </x:c>
      <x:c r="G456"/>
      <x:c r="H456" t="n">
        <x:v>53.62</x:v>
      </x:c>
      <x:c r="I456" t="n">
        <x:v>32.74</x:v>
      </x:c>
      <x:c r="J456" t="str">
        <x:v>initial_screen_pending_pb_financial_review</x:v>
      </x:c>
      <x:c r="K456" t="str">
        <x:v>AkShare / Tencent all-A market snapshot</x:v>
      </x:c>
      <x:c r="L456" t="str">
        <x:v>ProxyError: primary market source unavailable; see source_id for full audit.</x:v>
      </x:c>
      <x:c r="M456" t="str">
        <x:v>0</x:v>
      </x:c>
      <x:c r="N456" t="str">
        <x:v>0fd6ad2d-3389-4e70-8974-eb85ee223eeb</x:v>
      </x:c>
      <x:c r="O456" t="str">
        <x:v>2026-09-04</x:v>
      </x:c>
    </x:row>
    <x:row r="457">
      <x:c r="A457" t="str">
        <x:v>002215</x:v>
      </x:c>
      <x:c r="B457" t="str">
        <x:v>诺 普 信</x:v>
      </x:c>
      <x:c r="C457" t="str">
        <x:v>主板</x:v>
      </x:c>
      <x:c r="D457" t="str">
        <x:v>待行业映射</x:v>
      </x:c>
      <x:c r="E457" t="n">
        <x:v>10.62</x:v>
      </x:c>
      <x:c r="F457" t="n">
        <x:v>13.91</x:v>
      </x:c>
      <x:c r="G457"/>
      <x:c r="H457" t="n">
        <x:v>106.65</x:v>
      </x:c>
      <x:c r="I457" t="n">
        <x:v>32.57</x:v>
      </x:c>
      <x:c r="J457" t="str">
        <x:v>initial_screen_pending_pb_financial_review</x:v>
      </x:c>
      <x:c r="K457" t="str">
        <x:v>AkShare / Tencent all-A market snapshot</x:v>
      </x:c>
      <x:c r="L457" t="str">
        <x:v>ProxyError: primary market source unavailable; see source_id for full audit.</x:v>
      </x:c>
      <x:c r="M457" t="str">
        <x:v>0</x:v>
      </x:c>
      <x:c r="N457" t="str">
        <x:v>0fd6ad2d-3389-4e70-8974-eb85ee223eeb</x:v>
      </x:c>
      <x:c r="O457" t="str">
        <x:v>2026-09-04</x:v>
      </x:c>
    </x:row>
    <x:row r="458">
      <x:c r="A458" t="str">
        <x:v>002004</x:v>
      </x:c>
      <x:c r="B458" t="str">
        <x:v>华邦健康</x:v>
      </x:c>
      <x:c r="C458" t="str">
        <x:v>主板</x:v>
      </x:c>
      <x:c r="D458" t="str">
        <x:v>待行业映射</x:v>
      </x:c>
      <x:c r="E458" t="n">
        <x:v>4.45</x:v>
      </x:c>
      <x:c r="F458" t="n">
        <x:v>13.68</x:v>
      </x:c>
      <x:c r="G458"/>
      <x:c r="H458" t="n">
        <x:v>88.11</x:v>
      </x:c>
      <x:c r="I458" t="n">
        <x:v>32.52</x:v>
      </x:c>
      <x:c r="J458" t="str">
        <x:v>initial_screen_pending_pb_financial_review</x:v>
      </x:c>
      <x:c r="K458" t="str">
        <x:v>AkShare / Tencent all-A market snapshot</x:v>
      </x:c>
      <x:c r="L458" t="str">
        <x:v>ProxyError: primary market source unavailable; see source_id for full audit.</x:v>
      </x:c>
      <x:c r="M458" t="str">
        <x:v>0</x:v>
      </x:c>
      <x:c r="N458" t="str">
        <x:v>0fd6ad2d-3389-4e70-8974-eb85ee223eeb</x:v>
      </x:c>
      <x:c r="O458" t="str">
        <x:v>2026-09-04</x:v>
      </x:c>
    </x:row>
    <x:row r="459">
      <x:c r="A459" t="str">
        <x:v>000089</x:v>
      </x:c>
      <x:c r="B459" t="str">
        <x:v>深圳机场</x:v>
      </x:c>
      <x:c r="C459" t="str">
        <x:v>主板</x:v>
      </x:c>
      <x:c r="D459" t="str">
        <x:v>待行业映射</x:v>
      </x:c>
      <x:c r="E459" t="n">
        <x:v>6.64</x:v>
      </x:c>
      <x:c r="F459" t="n">
        <x:v>14.34</x:v>
      </x:c>
      <x:c r="G459"/>
      <x:c r="H459" t="n">
        <x:v>136.17</x:v>
      </x:c>
      <x:c r="I459" t="n">
        <x:v>32.48</x:v>
      </x:c>
      <x:c r="J459" t="str">
        <x:v>initial_screen_pending_pb_financial_review</x:v>
      </x:c>
      <x:c r="K459" t="str">
        <x:v>AkShare / Tencent all-A market snapshot</x:v>
      </x:c>
      <x:c r="L459" t="str">
        <x:v>ProxyError: primary market source unavailable; see source_id for full audit.</x:v>
      </x:c>
      <x:c r="M459" t="str">
        <x:v>0</x:v>
      </x:c>
      <x:c r="N459" t="str">
        <x:v>0fd6ad2d-3389-4e70-8974-eb85ee223eeb</x:v>
      </x:c>
      <x:c r="O459" t="str">
        <x:v>2026-09-04</x:v>
      </x:c>
    </x:row>
    <x:row r="460">
      <x:c r="A460" t="str">
        <x:v>601033</x:v>
      </x:c>
      <x:c r="B460" t="str">
        <x:v>永兴股份</x:v>
      </x:c>
      <x:c r="C460" t="str">
        <x:v>主板</x:v>
      </x:c>
      <x:c r="D460" t="str">
        <x:v>待行业映射</x:v>
      </x:c>
      <x:c r="E460" t="n">
        <x:v>14.63</x:v>
      </x:c>
      <x:c r="F460" t="n">
        <x:v>14.29</x:v>
      </x:c>
      <x:c r="G460"/>
      <x:c r="H460" t="n">
        <x:v>131.67</x:v>
      </x:c>
      <x:c r="I460" t="n">
        <x:v>32.45</x:v>
      </x:c>
      <x:c r="J460" t="str">
        <x:v>initial_screen_pending_pb_financial_review</x:v>
      </x:c>
      <x:c r="K460" t="str">
        <x:v>AkShare / Tencent all-A market snapshot</x:v>
      </x:c>
      <x:c r="L460" t="str">
        <x:v>ProxyError: primary market source unavailable; see source_id for full audit.</x:v>
      </x:c>
      <x:c r="M460" t="str">
        <x:v>0</x:v>
      </x:c>
      <x:c r="N460" t="str">
        <x:v>0fd6ad2d-3389-4e70-8974-eb85ee223eeb</x:v>
      </x:c>
      <x:c r="O460" t="str">
        <x:v>2026-09-04</x:v>
      </x:c>
    </x:row>
    <x:row r="461">
      <x:c r="A461" t="str">
        <x:v>002284</x:v>
      </x:c>
      <x:c r="B461" t="str">
        <x:v>亚太股份</x:v>
      </x:c>
      <x:c r="C461" t="str">
        <x:v>主板</x:v>
      </x:c>
      <x:c r="D461" t="str">
        <x:v>待行业映射</x:v>
      </x:c>
      <x:c r="E461" t="n">
        <x:v>10.25</x:v>
      </x:c>
      <x:c r="F461" t="n">
        <x:v>13.58</x:v>
      </x:c>
      <x:c r="G461"/>
      <x:c r="H461" t="n">
        <x:v>75.76</x:v>
      </x:c>
      <x:c r="I461" t="n">
        <x:v>32.34</x:v>
      </x:c>
      <x:c r="J461" t="str">
        <x:v>initial_screen_pending_pb_financial_review</x:v>
      </x:c>
      <x:c r="K461" t="str">
        <x:v>AkShare / Tencent all-A market snapshot</x:v>
      </x:c>
      <x:c r="L461" t="str">
        <x:v>ProxyError: primary market source unavailable; see source_id for full audit.</x:v>
      </x:c>
      <x:c r="M461" t="str">
        <x:v>0</x:v>
      </x:c>
      <x:c r="N461" t="str">
        <x:v>0fd6ad2d-3389-4e70-8974-eb85ee223eeb</x:v>
      </x:c>
      <x:c r="O461" t="str">
        <x:v>2026-09-04</x:v>
      </x:c>
    </x:row>
    <x:row r="462">
      <x:c r="A462" t="str">
        <x:v>300972</x:v>
      </x:c>
      <x:c r="B462" t="str">
        <x:v>万辰集团</x:v>
      </x:c>
      <x:c r="C462" t="str">
        <x:v>创业板</x:v>
      </x:c>
      <x:c r="D462" t="str">
        <x:v>待行业映射</x:v>
      </x:c>
      <x:c r="E462" t="n">
        <x:v>184.35</x:v>
      </x:c>
      <x:c r="F462" t="n">
        <x:v>17.46</x:v>
      </x:c>
      <x:c r="G462"/>
      <x:c r="H462" t="n">
        <x:v>363.78</x:v>
      </x:c>
      <x:c r="I462" t="n">
        <x:v>32.34</x:v>
      </x:c>
      <x:c r="J462" t="str">
        <x:v>initial_screen_pending_pb_financial_review</x:v>
      </x:c>
      <x:c r="K462" t="str">
        <x:v>AkShare / Tencent all-A market snapshot</x:v>
      </x:c>
      <x:c r="L462" t="str">
        <x:v>ProxyError: primary market source unavailable; see source_id for full audit.</x:v>
      </x:c>
      <x:c r="M462" t="str">
        <x:v>0</x:v>
      </x:c>
      <x:c r="N462" t="str">
        <x:v>0fd6ad2d-3389-4e70-8974-eb85ee223eeb</x:v>
      </x:c>
      <x:c r="O462" t="str">
        <x:v>2026-09-04</x:v>
      </x:c>
    </x:row>
    <x:row r="463">
      <x:c r="A463" t="str">
        <x:v>002346</x:v>
      </x:c>
      <x:c r="B463" t="str">
        <x:v>柘中股份</x:v>
      </x:c>
      <x:c r="C463" t="str">
        <x:v>主板</x:v>
      </x:c>
      <x:c r="D463" t="str">
        <x:v>待行业映射</x:v>
      </x:c>
      <x:c r="E463" t="n">
        <x:v>18.63</x:v>
      </x:c>
      <x:c r="F463" t="n">
        <x:v>13.73</x:v>
      </x:c>
      <x:c r="G463"/>
      <x:c r="H463" t="n">
        <x:v>82.27</x:v>
      </x:c>
      <x:c r="I463" t="n">
        <x:v>32.18</x:v>
      </x:c>
      <x:c r="J463" t="str">
        <x:v>initial_screen_pending_pb_financial_review</x:v>
      </x:c>
      <x:c r="K463" t="str">
        <x:v>AkShare / Tencent all-A market snapshot</x:v>
      </x:c>
      <x:c r="L463" t="str">
        <x:v>ProxyError: primary market source unavailable; see source_id for full audit.</x:v>
      </x:c>
      <x:c r="M463" t="str">
        <x:v>0</x:v>
      </x:c>
      <x:c r="N463" t="str">
        <x:v>0fd6ad2d-3389-4e70-8974-eb85ee223eeb</x:v>
      </x:c>
      <x:c r="O463" t="str">
        <x:v>2026-09-04</x:v>
      </x:c>
    </x:row>
    <x:row r="464">
      <x:c r="A464" t="str">
        <x:v>000088</x:v>
      </x:c>
      <x:c r="B464" t="str">
        <x:v>盐 田 港</x:v>
      </x:c>
      <x:c r="C464" t="str">
        <x:v>主板</x:v>
      </x:c>
      <x:c r="D464" t="str">
        <x:v>待行业映射</x:v>
      </x:c>
      <x:c r="E464" t="n">
        <x:v>4.53</x:v>
      </x:c>
      <x:c r="F464" t="n">
        <x:v>15.8</x:v>
      </x:c>
      <x:c r="G464"/>
      <x:c r="H464" t="n">
        <x:v>235.54</x:v>
      </x:c>
      <x:c r="I464" t="n">
        <x:v>32.16</x:v>
      </x:c>
      <x:c r="J464" t="str">
        <x:v>initial_screen_pending_pb_financial_review</x:v>
      </x:c>
      <x:c r="K464" t="str">
        <x:v>AkShare / Tencent all-A market snapshot</x:v>
      </x:c>
      <x:c r="L464" t="str">
        <x:v>ProxyError: primary market source unavailable; see source_id for full audit.</x:v>
      </x:c>
      <x:c r="M464" t="str">
        <x:v>0</x:v>
      </x:c>
      <x:c r="N464" t="str">
        <x:v>0fd6ad2d-3389-4e70-8974-eb85ee223eeb</x:v>
      </x:c>
      <x:c r="O464" t="str">
        <x:v>2026-09-04</x:v>
      </x:c>
    </x:row>
    <x:row r="465">
      <x:c r="A465" t="str">
        <x:v>920238</x:v>
      </x:c>
      <x:c r="B465" t="str">
        <x:v>长鹰硬科</x:v>
      </x:c>
      <x:c r="C465" t="str">
        <x:v>北交所</x:v>
      </x:c>
      <x:c r="D465" t="str">
        <x:v>待行业映射</x:v>
      </x:c>
      <x:c r="E465" t="n">
        <x:v>67.18</x:v>
      </x:c>
      <x:c r="F465" t="n">
        <x:v>13.52</x:v>
      </x:c>
      <x:c r="G465"/>
      <x:c r="H465" t="n">
        <x:v>63.98</x:v>
      </x:c>
      <x:c r="I465" t="n">
        <x:v>32.09</x:v>
      </x:c>
      <x:c r="J465" t="str">
        <x:v>initial_screen_pending_pb_financial_review</x:v>
      </x:c>
      <x:c r="K465" t="str">
        <x:v>AkShare / Tencent all-A market snapshot</x:v>
      </x:c>
      <x:c r="L465" t="str">
        <x:v>ProxyError: primary market source unavailable; see source_id for full audit.</x:v>
      </x:c>
      <x:c r="M465" t="str">
        <x:v>0</x:v>
      </x:c>
      <x:c r="N465" t="str">
        <x:v>0fd6ad2d-3389-4e70-8974-eb85ee223eeb</x:v>
      </x:c>
      <x:c r="O465" t="str">
        <x:v>2026-09-04</x:v>
      </x:c>
    </x:row>
    <x:row r="466">
      <x:c r="A466" t="str">
        <x:v>603515</x:v>
      </x:c>
      <x:c r="B466" t="str">
        <x:v>欧普照明</x:v>
      </x:c>
      <x:c r="C466" t="str">
        <x:v>主板</x:v>
      </x:c>
      <x:c r="D466" t="str">
        <x:v>待行业映射</x:v>
      </x:c>
      <x:c r="E466" t="n">
        <x:v>15.47</x:v>
      </x:c>
      <x:c r="F466" t="n">
        <x:v>14.25</x:v>
      </x:c>
      <x:c r="G466"/>
      <x:c r="H466" t="n">
        <x:v>114.83</x:v>
      </x:c>
      <x:c r="I466" t="n">
        <x:v>31.97</x:v>
      </x:c>
      <x:c r="J466" t="str">
        <x:v>initial_screen_pending_pb_financial_review</x:v>
      </x:c>
      <x:c r="K466" t="str">
        <x:v>AkShare / Tencent all-A market snapshot</x:v>
      </x:c>
      <x:c r="L466" t="str">
        <x:v>ProxyError: primary market source unavailable; see source_id for full audit.</x:v>
      </x:c>
      <x:c r="M466" t="str">
        <x:v>0</x:v>
      </x:c>
      <x:c r="N466" t="str">
        <x:v>0fd6ad2d-3389-4e70-8974-eb85ee223eeb</x:v>
      </x:c>
      <x:c r="O466" t="str">
        <x:v>2026-09-04</x:v>
      </x:c>
    </x:row>
    <x:row r="467">
      <x:c r="A467" t="str">
        <x:v>600285</x:v>
      </x:c>
      <x:c r="B467" t="str">
        <x:v>羚锐制药</x:v>
      </x:c>
      <x:c r="C467" t="str">
        <x:v>主板</x:v>
      </x:c>
      <x:c r="D467" t="str">
        <x:v>待行业映射</x:v>
      </x:c>
      <x:c r="E467" t="n">
        <x:v>19.61</x:v>
      </x:c>
      <x:c r="F467" t="n">
        <x:v>14.25</x:v>
      </x:c>
      <x:c r="G467"/>
      <x:c r="H467" t="n">
        <x:v>111.21</x:v>
      </x:c>
      <x:c r="I467" t="n">
        <x:v>31.84</x:v>
      </x:c>
      <x:c r="J467" t="str">
        <x:v>initial_screen_pending_pb_financial_review</x:v>
      </x:c>
      <x:c r="K467" t="str">
        <x:v>AkShare / Tencent all-A market snapshot</x:v>
      </x:c>
      <x:c r="L467" t="str">
        <x:v>ProxyError: primary market source unavailable; see source_id for full audit.</x:v>
      </x:c>
      <x:c r="M467" t="str">
        <x:v>0</x:v>
      </x:c>
      <x:c r="N467" t="str">
        <x:v>0fd6ad2d-3389-4e70-8974-eb85ee223eeb</x:v>
      </x:c>
      <x:c r="O467" t="str">
        <x:v>2026-09-04</x:v>
      </x:c>
    </x:row>
    <x:row r="468">
      <x:c r="A468" t="str">
        <x:v>002311</x:v>
      </x:c>
      <x:c r="B468" t="str">
        <x:v>海大集团</x:v>
      </x:c>
      <x:c r="C468" t="str">
        <x:v>主板</x:v>
      </x:c>
      <x:c r="D468" t="str">
        <x:v>待行业映射</x:v>
      </x:c>
      <x:c r="E468" t="n">
        <x:v>44.62</x:v>
      </x:c>
      <x:c r="F468" t="n">
        <x:v>22.72</x:v>
      </x:c>
      <x:c r="G468"/>
      <x:c r="H468" t="n">
        <x:v>739.11</x:v>
      </x:c>
      <x:c r="I468" t="n">
        <x:v>31.8</x:v>
      </x:c>
      <x:c r="J468" t="str">
        <x:v>initial_screen_pending_pb_financial_review</x:v>
      </x:c>
      <x:c r="K468" t="str">
        <x:v>AkShare / Tencent all-A market snapshot</x:v>
      </x:c>
      <x:c r="L468" t="str">
        <x:v>ProxyError: primary market source unavailable; see source_id for full audit.</x:v>
      </x:c>
      <x:c r="M468" t="str">
        <x:v>0</x:v>
      </x:c>
      <x:c r="N468" t="str">
        <x:v>0fd6ad2d-3389-4e70-8974-eb85ee223eeb</x:v>
      </x:c>
      <x:c r="O468" t="str">
        <x:v>2026-09-04</x:v>
      </x:c>
    </x:row>
    <x:row r="469">
      <x:c r="A469" t="str">
        <x:v>000682</x:v>
      </x:c>
      <x:c r="B469" t="str">
        <x:v>东方电子</x:v>
      </x:c>
      <x:c r="C469" t="str">
        <x:v>主板</x:v>
      </x:c>
      <x:c r="D469" t="str">
        <x:v>待行业映射</x:v>
      </x:c>
      <x:c r="E469" t="n">
        <x:v>11.17</x:v>
      </x:c>
      <x:c r="F469" t="n">
        <x:v>14.79</x:v>
      </x:c>
      <x:c r="G469"/>
      <x:c r="H469" t="n">
        <x:v>149.76</x:v>
      </x:c>
      <x:c r="I469" t="n">
        <x:v>31.79</x:v>
      </x:c>
      <x:c r="J469" t="str">
        <x:v>initial_screen_pending_pb_financial_review</x:v>
      </x:c>
      <x:c r="K469" t="str">
        <x:v>AkShare / Tencent all-A market snapshot</x:v>
      </x:c>
      <x:c r="L469" t="str">
        <x:v>ProxyError: primary market source unavailable; see source_id for full audit.</x:v>
      </x:c>
      <x:c r="M469" t="str">
        <x:v>0</x:v>
      </x:c>
      <x:c r="N469" t="str">
        <x:v>0fd6ad2d-3389-4e70-8974-eb85ee223eeb</x:v>
      </x:c>
      <x:c r="O469" t="str">
        <x:v>2026-09-04</x:v>
      </x:c>
    </x:row>
    <x:row r="470">
      <x:c r="A470" t="str">
        <x:v>000957</x:v>
      </x:c>
      <x:c r="B470" t="str">
        <x:v>中通客车</x:v>
      </x:c>
      <x:c r="C470" t="str">
        <x:v>主板</x:v>
      </x:c>
      <x:c r="D470" t="str">
        <x:v>待行业映射</x:v>
      </x:c>
      <x:c r="E470" t="n">
        <x:v>10.39</x:v>
      </x:c>
      <x:c r="F470" t="n">
        <x:v>13.63</x:v>
      </x:c>
      <x:c r="G470"/>
      <x:c r="H470" t="n">
        <x:v>61.6</x:v>
      </x:c>
      <x:c r="I470" t="n">
        <x:v>31.72</x:v>
      </x:c>
      <x:c r="J470" t="str">
        <x:v>initial_screen_pending_pb_financial_review</x:v>
      </x:c>
      <x:c r="K470" t="str">
        <x:v>AkShare / Tencent all-A market snapshot</x:v>
      </x:c>
      <x:c r="L470" t="str">
        <x:v>ProxyError: primary market source unavailable; see source_id for full audit.</x:v>
      </x:c>
      <x:c r="M470" t="str">
        <x:v>0</x:v>
      </x:c>
      <x:c r="N470" t="str">
        <x:v>0fd6ad2d-3389-4e70-8974-eb85ee223eeb</x:v>
      </x:c>
      <x:c r="O470" t="str">
        <x:v>2026-09-04</x:v>
      </x:c>
    </x:row>
    <x:row r="471">
      <x:c r="A471" t="str">
        <x:v>603233</x:v>
      </x:c>
      <x:c r="B471" t="str">
        <x:v>大参林</x:v>
      </x:c>
      <x:c r="C471" t="str">
        <x:v>主板</x:v>
      </x:c>
      <x:c r="D471" t="str">
        <x:v>待行业映射</x:v>
      </x:c>
      <x:c r="E471" t="n">
        <x:v>18.79</x:v>
      </x:c>
      <x:c r="F471" t="n">
        <x:v>15.69</x:v>
      </x:c>
      <x:c r="G471"/>
      <x:c r="H471" t="n">
        <x:v>213.99</x:v>
      </x:c>
      <x:c r="I471" t="n">
        <x:v>31.7</x:v>
      </x:c>
      <x:c r="J471" t="str">
        <x:v>initial_screen_pending_pb_financial_review</x:v>
      </x:c>
      <x:c r="K471" t="str">
        <x:v>AkShare / Tencent all-A market snapshot</x:v>
      </x:c>
      <x:c r="L471" t="str">
        <x:v>ProxyError: primary market source unavailable; see source_id for full audit.</x:v>
      </x:c>
      <x:c r="M471" t="str">
        <x:v>0</x:v>
      </x:c>
      <x:c r="N471" t="str">
        <x:v>0fd6ad2d-3389-4e70-8974-eb85ee223eeb</x:v>
      </x:c>
      <x:c r="O471" t="str">
        <x:v>2026-09-04</x:v>
      </x:c>
    </x:row>
    <x:row r="472">
      <x:c r="A472" t="str">
        <x:v>600551</x:v>
      </x:c>
      <x:c r="B472" t="str">
        <x:v>时代出版</x:v>
      </x:c>
      <x:c r="C472" t="str">
        <x:v>主板</x:v>
      </x:c>
      <x:c r="D472" t="str">
        <x:v>待行业映射</x:v>
      </x:c>
      <x:c r="E472" t="n">
        <x:v>8.05</x:v>
      </x:c>
      <x:c r="F472" t="n">
        <x:v>13.55</x:v>
      </x:c>
      <x:c r="G472"/>
      <x:c r="H472" t="n">
        <x:v>54.58</x:v>
      </x:c>
      <x:c r="I472" t="n">
        <x:v>31.68</x:v>
      </x:c>
      <x:c r="J472" t="str">
        <x:v>initial_screen_pending_pb_financial_review</x:v>
      </x:c>
      <x:c r="K472" t="str">
        <x:v>AkShare / Tencent all-A market snapshot</x:v>
      </x:c>
      <x:c r="L472" t="str">
        <x:v>ProxyError: primary market source unavailable; see source_id for full audit.</x:v>
      </x:c>
      <x:c r="M472" t="str">
        <x:v>0</x:v>
      </x:c>
      <x:c r="N472" t="str">
        <x:v>0fd6ad2d-3389-4e70-8974-eb85ee223eeb</x:v>
      </x:c>
      <x:c r="O472" t="str">
        <x:v>2026-09-04</x:v>
      </x:c>
    </x:row>
    <x:row r="473">
      <x:c r="A473" t="str">
        <x:v>605050</x:v>
      </x:c>
      <x:c r="B473" t="str">
        <x:v>福然德</x:v>
      </x:c>
      <x:c r="C473" t="str">
        <x:v>主板</x:v>
      </x:c>
      <x:c r="D473" t="str">
        <x:v>待行业映射</x:v>
      </x:c>
      <x:c r="E473" t="n">
        <x:v>10.48</x:v>
      </x:c>
      <x:c r="F473" t="n">
        <x:v>13.51</x:v>
      </x:c>
      <x:c r="G473"/>
      <x:c r="H473" t="n">
        <x:v>51.65</x:v>
      </x:c>
      <x:c r="I473" t="n">
        <x:v>31.68</x:v>
      </x:c>
      <x:c r="J473" t="str">
        <x:v>initial_screen_pending_pb_financial_review</x:v>
      </x:c>
      <x:c r="K473" t="str">
        <x:v>AkShare / Tencent all-A market snapshot</x:v>
      </x:c>
      <x:c r="L473" t="str">
        <x:v>ProxyError: primary market source unavailable; see source_id for full audit.</x:v>
      </x:c>
      <x:c r="M473" t="str">
        <x:v>0</x:v>
      </x:c>
      <x:c r="N473" t="str">
        <x:v>0fd6ad2d-3389-4e70-8974-eb85ee223eeb</x:v>
      </x:c>
      <x:c r="O473" t="str">
        <x:v>2026-09-04</x:v>
      </x:c>
    </x:row>
    <x:row r="474">
      <x:c r="A474" t="str">
        <x:v>600480</x:v>
      </x:c>
      <x:c r="B474" t="str">
        <x:v>凌云股份</x:v>
      </x:c>
      <x:c r="C474" t="str">
        <x:v>主板</x:v>
      </x:c>
      <x:c r="D474" t="str">
        <x:v>待行业映射</x:v>
      </x:c>
      <x:c r="E474" t="n">
        <x:v>8.23</x:v>
      </x:c>
      <x:c r="F474" t="n">
        <x:v>14.24</x:v>
      </x:c>
      <x:c r="G474"/>
      <x:c r="H474" t="n">
        <x:v>100.59</x:v>
      </x:c>
      <x:c r="I474" t="n">
        <x:v>31.5</x:v>
      </x:c>
      <x:c r="J474" t="str">
        <x:v>initial_screen_pending_pb_financial_review</x:v>
      </x:c>
      <x:c r="K474" t="str">
        <x:v>AkShare / Tencent all-A market snapshot</x:v>
      </x:c>
      <x:c r="L474" t="str">
        <x:v>ProxyError: primary market source unavailable; see source_id for full audit.</x:v>
      </x:c>
      <x:c r="M474" t="str">
        <x:v>0</x:v>
      </x:c>
      <x:c r="N474" t="str">
        <x:v>0fd6ad2d-3389-4e70-8974-eb85ee223eeb</x:v>
      </x:c>
      <x:c r="O474" t="str">
        <x:v>2026-09-04</x:v>
      </x:c>
    </x:row>
    <x:row r="475">
      <x:c r="A475" t="str">
        <x:v>600273</x:v>
      </x:c>
      <x:c r="B475" t="str">
        <x:v>嘉化能源</x:v>
      </x:c>
      <x:c r="C475" t="str">
        <x:v>主板</x:v>
      </x:c>
      <x:c r="D475" t="str">
        <x:v>待行业映射</x:v>
      </x:c>
      <x:c r="E475" t="n">
        <x:v>6.72</x:v>
      </x:c>
      <x:c r="F475" t="n">
        <x:v>14.08</x:v>
      </x:c>
      <x:c r="G475"/>
      <x:c r="H475" t="n">
        <x:v>88.12</x:v>
      </x:c>
      <x:c r="I475" t="n">
        <x:v>31.48</x:v>
      </x:c>
      <x:c r="J475" t="str">
        <x:v>initial_screen_pending_pb_financial_review</x:v>
      </x:c>
      <x:c r="K475" t="str">
        <x:v>AkShare / Tencent all-A market snapshot</x:v>
      </x:c>
      <x:c r="L475" t="str">
        <x:v>ProxyError: primary market source unavailable; see source_id for full audit.</x:v>
      </x:c>
      <x:c r="M475" t="str">
        <x:v>0</x:v>
      </x:c>
      <x:c r="N475" t="str">
        <x:v>0fd6ad2d-3389-4e70-8974-eb85ee223eeb</x:v>
      </x:c>
      <x:c r="O475" t="str">
        <x:v>2026-09-04</x:v>
      </x:c>
    </x:row>
    <x:row r="476">
      <x:c r="A476" t="str">
        <x:v>002563</x:v>
      </x:c>
      <x:c r="B476" t="str">
        <x:v>森马服饰</x:v>
      </x:c>
      <x:c r="C476" t="str">
        <x:v>主板</x:v>
      </x:c>
      <x:c r="D476" t="str">
        <x:v>待行业映射</x:v>
      </x:c>
      <x:c r="E476" t="n">
        <x:v>5.84</x:v>
      </x:c>
      <x:c r="F476" t="n">
        <x:v>15.03</x:v>
      </x:c>
      <x:c r="G476"/>
      <x:c r="H476" t="n">
        <x:v>157.33</x:v>
      </x:c>
      <x:c r="I476" t="n">
        <x:v>31.43</x:v>
      </x:c>
      <x:c r="J476" t="str">
        <x:v>initial_screen_pending_pb_financial_review</x:v>
      </x:c>
      <x:c r="K476" t="str">
        <x:v>AkShare / Tencent all-A market snapshot</x:v>
      </x:c>
      <x:c r="L476" t="str">
        <x:v>ProxyError: primary market source unavailable; see source_id for full audit.</x:v>
      </x:c>
      <x:c r="M476" t="str">
        <x:v>0</x:v>
      </x:c>
      <x:c r="N476" t="str">
        <x:v>0fd6ad2d-3389-4e70-8974-eb85ee223eeb</x:v>
      </x:c>
      <x:c r="O476" t="str">
        <x:v>2026-09-04</x:v>
      </x:c>
    </x:row>
    <x:row r="477">
      <x:c r="A477" t="str">
        <x:v>002154</x:v>
      </x:c>
      <x:c r="B477" t="str">
        <x:v>报 喜 鸟</x:v>
      </x:c>
      <x:c r="C477" t="str">
        <x:v>主板</x:v>
      </x:c>
      <x:c r="D477" t="str">
        <x:v>待行业映射</x:v>
      </x:c>
      <x:c r="E477" t="n">
        <x:v>4.1</x:v>
      </x:c>
      <x:c r="F477" t="n">
        <x:v>13.73</x:v>
      </x:c>
      <x:c r="G477"/>
      <x:c r="H477" t="n">
        <x:v>59.83</x:v>
      </x:c>
      <x:c r="I477" t="n">
        <x:v>31.4</x:v>
      </x:c>
      <x:c r="J477" t="str">
        <x:v>initial_screen_pending_pb_financial_review</x:v>
      </x:c>
      <x:c r="K477" t="str">
        <x:v>AkShare / Tencent all-A market snapshot</x:v>
      </x:c>
      <x:c r="L477" t="str">
        <x:v>ProxyError: primary market source unavailable; see source_id for full audit.</x:v>
      </x:c>
      <x:c r="M477" t="str">
        <x:v>0</x:v>
      </x:c>
      <x:c r="N477" t="str">
        <x:v>0fd6ad2d-3389-4e70-8974-eb85ee223eeb</x:v>
      </x:c>
      <x:c r="O477" t="str">
        <x:v>2026-09-04</x:v>
      </x:c>
    </x:row>
    <x:row r="478">
      <x:c r="A478" t="str">
        <x:v>600863</x:v>
      </x:c>
      <x:c r="B478" t="str">
        <x:v>华能蒙电</x:v>
      </x:c>
      <x:c r="C478" t="str">
        <x:v>主板</x:v>
      </x:c>
      <x:c r="D478" t="str">
        <x:v>待行业映射</x:v>
      </x:c>
      <x:c r="E478" t="n">
        <x:v>4.72</x:v>
      </x:c>
      <x:c r="F478" t="n">
        <x:v>17.91</x:v>
      </x:c>
      <x:c r="G478"/>
      <x:c r="H478" t="n">
        <x:v>369.82</x:v>
      </x:c>
      <x:c r="I478" t="n">
        <x:v>31.38</x:v>
      </x:c>
      <x:c r="J478" t="str">
        <x:v>initial_screen_pending_pb_financial_review</x:v>
      </x:c>
      <x:c r="K478" t="str">
        <x:v>AkShare / Tencent all-A market snapshot</x:v>
      </x:c>
      <x:c r="L478" t="str">
        <x:v>ProxyError: primary market source unavailable; see source_id for full audit.</x:v>
      </x:c>
      <x:c r="M478" t="str">
        <x:v>0</x:v>
      </x:c>
      <x:c r="N478" t="str">
        <x:v>0fd6ad2d-3389-4e70-8974-eb85ee223eeb</x:v>
      </x:c>
      <x:c r="O478" t="str">
        <x:v>2026-09-04</x:v>
      </x:c>
    </x:row>
    <x:row r="479">
      <x:c r="A479" t="str">
        <x:v>002697</x:v>
      </x:c>
      <x:c r="B479" t="str">
        <x:v>红旗连锁</x:v>
      </x:c>
      <x:c r="C479" t="str">
        <x:v>主板</x:v>
      </x:c>
      <x:c r="D479" t="str">
        <x:v>待行业映射</x:v>
      </x:c>
      <x:c r="E479" t="n">
        <x:v>4.75</x:v>
      </x:c>
      <x:c r="F479" t="n">
        <x:v>13.81</x:v>
      </x:c>
      <x:c r="G479"/>
      <x:c r="H479" t="n">
        <x:v>64.6</x:v>
      </x:c>
      <x:c r="I479" t="n">
        <x:v>31.36</x:v>
      </x:c>
      <x:c r="J479" t="str">
        <x:v>initial_screen_pending_pb_financial_review</x:v>
      </x:c>
      <x:c r="K479" t="str">
        <x:v>AkShare / Tencent all-A market snapshot</x:v>
      </x:c>
      <x:c r="L479" t="str">
        <x:v>ProxyError: primary market source unavailable; see source_id for full audit.</x:v>
      </x:c>
      <x:c r="M479" t="str">
        <x:v>0</x:v>
      </x:c>
      <x:c r="N479" t="str">
        <x:v>0fd6ad2d-3389-4e70-8974-eb85ee223eeb</x:v>
      </x:c>
      <x:c r="O479" t="str">
        <x:v>2026-09-04</x:v>
      </x:c>
    </x:row>
    <x:row r="480">
      <x:c r="A480" t="str">
        <x:v>300910</x:v>
      </x:c>
      <x:c r="B480" t="str">
        <x:v>瑞丰新材</x:v>
      </x:c>
      <x:c r="C480" t="str">
        <x:v>创业板</x:v>
      </x:c>
      <x:c r="D480" t="str">
        <x:v>待行业映射</x:v>
      </x:c>
      <x:c r="E480" t="n">
        <x:v>29.49</x:v>
      </x:c>
      <x:c r="F480" t="n">
        <x:v>14.46</x:v>
      </x:c>
      <x:c r="G480"/>
      <x:c r="H480" t="n">
        <x:v>112.96</x:v>
      </x:c>
      <x:c r="I480" t="n">
        <x:v>31.36</x:v>
      </x:c>
      <x:c r="J480" t="str">
        <x:v>initial_screen_pending_pb_financial_review</x:v>
      </x:c>
      <x:c r="K480" t="str">
        <x:v>AkShare / Tencent all-A market snapshot</x:v>
      </x:c>
      <x:c r="L480" t="str">
        <x:v>ProxyError: primary market source unavailable; see source_id for full audit.</x:v>
      </x:c>
      <x:c r="M480" t="str">
        <x:v>0</x:v>
      </x:c>
      <x:c r="N480" t="str">
        <x:v>0fd6ad2d-3389-4e70-8974-eb85ee223eeb</x:v>
      </x:c>
      <x:c r="O480" t="str">
        <x:v>2026-09-04</x:v>
      </x:c>
    </x:row>
    <x:row r="481">
      <x:c r="A481" t="str">
        <x:v>601001</x:v>
      </x:c>
      <x:c r="B481" t="str">
        <x:v>晋控煤业</x:v>
      </x:c>
      <x:c r="C481" t="str">
        <x:v>主板</x:v>
      </x:c>
      <x:c r="D481" t="str">
        <x:v>待行业映射</x:v>
      </x:c>
      <x:c r="E481" t="n">
        <x:v>16.82</x:v>
      </x:c>
      <x:c r="F481" t="n">
        <x:v>16.77</x:v>
      </x:c>
      <x:c r="G481"/>
      <x:c r="H481" t="n">
        <x:v>281.52</x:v>
      </x:c>
      <x:c r="I481" t="n">
        <x:v>31.25</x:v>
      </x:c>
      <x:c r="J481" t="str">
        <x:v>initial_screen_pending_pb_financial_review</x:v>
      </x:c>
      <x:c r="K481" t="str">
        <x:v>AkShare / Tencent all-A market snapshot</x:v>
      </x:c>
      <x:c r="L481" t="str">
        <x:v>ProxyError: primary market source unavailable; see source_id for full audit.</x:v>
      </x:c>
      <x:c r="M481" t="str">
        <x:v>0</x:v>
      </x:c>
      <x:c r="N481" t="str">
        <x:v>0fd6ad2d-3389-4e70-8974-eb85ee223eeb</x:v>
      </x:c>
      <x:c r="O481" t="str">
        <x:v>2026-09-04</x:v>
      </x:c>
    </x:row>
    <x:row r="482">
      <x:c r="A482" t="str">
        <x:v>603899</x:v>
      </x:c>
      <x:c r="B482" t="str">
        <x:v>晨光股份</x:v>
      </x:c>
      <x:c r="C482" t="str">
        <x:v>主板</x:v>
      </x:c>
      <x:c r="D482" t="str">
        <x:v>待行业映射</x:v>
      </x:c>
      <x:c r="E482" t="n">
        <x:v>23.16</x:v>
      </x:c>
      <x:c r="F482" t="n">
        <x:v>15.84</x:v>
      </x:c>
      <x:c r="G482"/>
      <x:c r="H482" t="n">
        <x:v>212.1</x:v>
      </x:c>
      <x:c r="I482" t="n">
        <x:v>31.24</x:v>
      </x:c>
      <x:c r="J482" t="str">
        <x:v>initial_screen_pending_pb_financial_review</x:v>
      </x:c>
      <x:c r="K482" t="str">
        <x:v>AkShare / Tencent all-A market snapshot</x:v>
      </x:c>
      <x:c r="L482" t="str">
        <x:v>ProxyError: primary market source unavailable; see source_id for full audit.</x:v>
      </x:c>
      <x:c r="M482" t="str">
        <x:v>0</x:v>
      </x:c>
      <x:c r="N482" t="str">
        <x:v>0fd6ad2d-3389-4e70-8974-eb85ee223eeb</x:v>
      </x:c>
      <x:c r="O482" t="str">
        <x:v>2026-09-04</x:v>
      </x:c>
    </x:row>
    <x:row r="483">
      <x:c r="A483" t="str">
        <x:v>603055</x:v>
      </x:c>
      <x:c r="B483" t="str">
        <x:v>台华新材</x:v>
      </x:c>
      <x:c r="C483" t="str">
        <x:v>主板</x:v>
      </x:c>
      <x:c r="D483" t="str">
        <x:v>待行业映射</x:v>
      </x:c>
      <x:c r="E483" t="n">
        <x:v>9.38</x:v>
      </x:c>
      <x:c r="F483" t="n">
        <x:v>14.16</x:v>
      </x:c>
      <x:c r="G483"/>
      <x:c r="H483" t="n">
        <x:v>83.51</x:v>
      </x:c>
      <x:c r="I483" t="n">
        <x:v>31.11</x:v>
      </x:c>
      <x:c r="J483" t="str">
        <x:v>initial_screen_pending_pb_financial_review</x:v>
      </x:c>
      <x:c r="K483" t="str">
        <x:v>AkShare / Tencent all-A market snapshot</x:v>
      </x:c>
      <x:c r="L483" t="str">
        <x:v>ProxyError: primary market source unavailable; see source_id for full audit.</x:v>
      </x:c>
      <x:c r="M483" t="str">
        <x:v>0</x:v>
      </x:c>
      <x:c r="N483" t="str">
        <x:v>0fd6ad2d-3389-4e70-8974-eb85ee223eeb</x:v>
      </x:c>
      <x:c r="O483" t="str">
        <x:v>2026-09-04</x:v>
      </x:c>
    </x:row>
    <x:row r="484">
      <x:c r="A484" t="str">
        <x:v>603013</x:v>
      </x:c>
      <x:c r="B484" t="str">
        <x:v>亚普股份</x:v>
      </x:c>
      <x:c r="C484" t="str">
        <x:v>主板</x:v>
      </x:c>
      <x:c r="D484" t="str">
        <x:v>待行业映射</x:v>
      </x:c>
      <x:c r="E484" t="n">
        <x:v>14.81</x:v>
      </x:c>
      <x:c r="F484" t="n">
        <x:v>14.1</x:v>
      </x:c>
      <x:c r="G484"/>
      <x:c r="H484" t="n">
        <x:v>75.27</x:v>
      </x:c>
      <x:c r="I484" t="n">
        <x:v>30.97</x:v>
      </x:c>
      <x:c r="J484" t="str">
        <x:v>initial_screen_pending_pb_financial_review</x:v>
      </x:c>
      <x:c r="K484" t="str">
        <x:v>AkShare / Tencent all-A market snapshot</x:v>
      </x:c>
      <x:c r="L484" t="str">
        <x:v>ProxyError: primary market source unavailable; see source_id for full audit.</x:v>
      </x:c>
      <x:c r="M484" t="str">
        <x:v>0</x:v>
      </x:c>
      <x:c r="N484" t="str">
        <x:v>0fd6ad2d-3389-4e70-8974-eb85ee223eeb</x:v>
      </x:c>
      <x:c r="O484" t="str">
        <x:v>2026-09-04</x:v>
      </x:c>
    </x:row>
    <x:row r="485">
      <x:c r="A485" t="str">
        <x:v>920029</x:v>
      </x:c>
      <x:c r="B485" t="str">
        <x:v>开发科技</x:v>
      </x:c>
      <x:c r="C485" t="str">
        <x:v>北交所</x:v>
      </x:c>
      <x:c r="D485" t="str">
        <x:v>待行业映射</x:v>
      </x:c>
      <x:c r="E485" t="n">
        <x:v>33.48</x:v>
      </x:c>
      <x:c r="F485" t="n">
        <x:v>14.03</x:v>
      </x:c>
      <x:c r="G485"/>
      <x:c r="H485" t="n">
        <x:v>69.28</x:v>
      </x:c>
      <x:c r="I485" t="n">
        <x:v>30.95</x:v>
      </x:c>
      <x:c r="J485" t="str">
        <x:v>initial_screen_pending_pb_financial_review</x:v>
      </x:c>
      <x:c r="K485" t="str">
        <x:v>AkShare / Tencent all-A market snapshot</x:v>
      </x:c>
      <x:c r="L485" t="str">
        <x:v>ProxyError: primary market source unavailable; see source_id for full audit.</x:v>
      </x:c>
      <x:c r="M485" t="str">
        <x:v>0</x:v>
      </x:c>
      <x:c r="N485" t="str">
        <x:v>0fd6ad2d-3389-4e70-8974-eb85ee223eeb</x:v>
      </x:c>
      <x:c r="O485" t="str">
        <x:v>2026-09-04</x:v>
      </x:c>
    </x:row>
    <x:row r="486">
      <x:c r="A486" t="str">
        <x:v>002895</x:v>
      </x:c>
      <x:c r="B486" t="str">
        <x:v>川恒股份</x:v>
      </x:c>
      <x:c r="C486" t="str">
        <x:v>主板</x:v>
      </x:c>
      <x:c r="D486" t="str">
        <x:v>待行业映射</x:v>
      </x:c>
      <x:c r="E486" t="n">
        <x:v>33.6</x:v>
      </x:c>
      <x:c r="F486" t="n">
        <x:v>15.85</x:v>
      </x:c>
      <x:c r="G486"/>
      <x:c r="H486" t="n">
        <x:v>203.57</x:v>
      </x:c>
      <x:c r="I486" t="n">
        <x:v>30.91</x:v>
      </x:c>
      <x:c r="J486" t="str">
        <x:v>initial_screen_pending_pb_financial_review</x:v>
      </x:c>
      <x:c r="K486" t="str">
        <x:v>AkShare / Tencent all-A market snapshot</x:v>
      </x:c>
      <x:c r="L486" t="str">
        <x:v>ProxyError: primary market source unavailable; see source_id for full audit.</x:v>
      </x:c>
      <x:c r="M486" t="str">
        <x:v>0</x:v>
      </x:c>
      <x:c r="N486" t="str">
        <x:v>0fd6ad2d-3389-4e70-8974-eb85ee223eeb</x:v>
      </x:c>
      <x:c r="O486" t="str">
        <x:v>2026-09-04</x:v>
      </x:c>
    </x:row>
    <x:row r="487">
      <x:c r="A487" t="str">
        <x:v>603508</x:v>
      </x:c>
      <x:c r="B487" t="str">
        <x:v>思维列控</x:v>
      </x:c>
      <x:c r="C487" t="str">
        <x:v>主板</x:v>
      </x:c>
      <x:c r="D487" t="str">
        <x:v>待行业映射</x:v>
      </x:c>
      <x:c r="E487" t="n">
        <x:v>21.35</x:v>
      </x:c>
      <x:c r="F487" t="n">
        <x:v>14.27</x:v>
      </x:c>
      <x:c r="G487"/>
      <x:c r="H487" t="n">
        <x:v>81.4</x:v>
      </x:c>
      <x:c r="I487" t="n">
        <x:v>30.75</x:v>
      </x:c>
      <x:c r="J487" t="str">
        <x:v>initial_screen_pending_pb_financial_review</x:v>
      </x:c>
      <x:c r="K487" t="str">
        <x:v>AkShare / Tencent all-A market snapshot</x:v>
      </x:c>
      <x:c r="L487" t="str">
        <x:v>ProxyError: primary market source unavailable; see source_id for full audit.</x:v>
      </x:c>
      <x:c r="M487" t="str">
        <x:v>0</x:v>
      </x:c>
      <x:c r="N487" t="str">
        <x:v>0fd6ad2d-3389-4e70-8974-eb85ee223eeb</x:v>
      </x:c>
      <x:c r="O487" t="str">
        <x:v>2026-09-04</x:v>
      </x:c>
    </x:row>
    <x:row r="488">
      <x:c r="A488" t="str">
        <x:v>000423</x:v>
      </x:c>
      <x:c r="B488" t="str">
        <x:v>东阿阿胶</x:v>
      </x:c>
      <x:c r="C488" t="str">
        <x:v>主板</x:v>
      </x:c>
      <x:c r="D488" t="str">
        <x:v>待行业映射</x:v>
      </x:c>
      <x:c r="E488" t="n">
        <x:v>48.55</x:v>
      </x:c>
      <x:c r="F488" t="n">
        <x:v>17.4</x:v>
      </x:c>
      <x:c r="G488"/>
      <x:c r="H488" t="n">
        <x:v>310.64</x:v>
      </x:c>
      <x:c r="I488" t="n">
        <x:v>30.63</x:v>
      </x:c>
      <x:c r="J488" t="str">
        <x:v>initial_screen_pending_pb_financial_review</x:v>
      </x:c>
      <x:c r="K488" t="str">
        <x:v>AkShare / Tencent all-A market snapshot</x:v>
      </x:c>
      <x:c r="L488" t="str">
        <x:v>ProxyError: primary market source unavailable; see source_id for full audit.</x:v>
      </x:c>
      <x:c r="M488" t="str">
        <x:v>0</x:v>
      </x:c>
      <x:c r="N488" t="str">
        <x:v>0fd6ad2d-3389-4e70-8974-eb85ee223eeb</x:v>
      </x:c>
      <x:c r="O488" t="str">
        <x:v>2026-09-04</x:v>
      </x:c>
    </x:row>
    <x:row r="489">
      <x:c r="A489" t="str">
        <x:v>603568</x:v>
      </x:c>
      <x:c r="B489" t="str">
        <x:v>伟明环保</x:v>
      </x:c>
      <x:c r="C489" t="str">
        <x:v>主板</x:v>
      </x:c>
      <x:c r="D489" t="str">
        <x:v>待行业映射</x:v>
      </x:c>
      <x:c r="E489" t="n">
        <x:v>14.43</x:v>
      </x:c>
      <x:c r="F489" t="n">
        <x:v>17.2</x:v>
      </x:c>
      <x:c r="G489"/>
      <x:c r="H489" t="n">
        <x:v>295.59</x:v>
      </x:c>
      <x:c r="I489" t="n">
        <x:v>30.63</x:v>
      </x:c>
      <x:c r="J489" t="str">
        <x:v>initial_screen_pending_pb_financial_review</x:v>
      </x:c>
      <x:c r="K489" t="str">
        <x:v>AkShare / Tencent all-A market snapshot</x:v>
      </x:c>
      <x:c r="L489" t="str">
        <x:v>ProxyError: primary market source unavailable; see source_id for full audit.</x:v>
      </x:c>
      <x:c r="M489" t="str">
        <x:v>0</x:v>
      </x:c>
      <x:c r="N489" t="str">
        <x:v>0fd6ad2d-3389-4e70-8974-eb85ee223eeb</x:v>
      </x:c>
      <x:c r="O489" t="str">
        <x:v>2026-09-04</x:v>
      </x:c>
    </x:row>
    <x:row r="490">
      <x:c r="A490" t="str">
        <x:v>600251</x:v>
      </x:c>
      <x:c r="B490" t="str">
        <x:v>冠农股份</x:v>
      </x:c>
      <x:c r="C490" t="str">
        <x:v>主板</x:v>
      </x:c>
      <x:c r="D490" t="str">
        <x:v>待行业映射</x:v>
      </x:c>
      <x:c r="E490" t="n">
        <x:v>10.83</x:v>
      </x:c>
      <x:c r="F490" t="n">
        <x:v>14.37</x:v>
      </x:c>
      <x:c r="G490"/>
      <x:c r="H490" t="n">
        <x:v>84.15</x:v>
      </x:c>
      <x:c r="I490" t="n">
        <x:v>30.58</x:v>
      </x:c>
      <x:c r="J490" t="str">
        <x:v>initial_screen_pending_pb_financial_review</x:v>
      </x:c>
      <x:c r="K490" t="str">
        <x:v>AkShare / Tencent all-A market snapshot</x:v>
      </x:c>
      <x:c r="L490" t="str">
        <x:v>ProxyError: primary market source unavailable; see source_id for full audit.</x:v>
      </x:c>
      <x:c r="M490" t="str">
        <x:v>0</x:v>
      </x:c>
      <x:c r="N490" t="str">
        <x:v>0fd6ad2d-3389-4e70-8974-eb85ee223eeb</x:v>
      </x:c>
      <x:c r="O490" t="str">
        <x:v>2026-09-04</x:v>
      </x:c>
    </x:row>
    <x:row r="491">
      <x:c r="A491" t="str">
        <x:v>600179</x:v>
      </x:c>
      <x:c r="B491" t="str">
        <x:v>安通控股</x:v>
      </x:c>
      <x:c r="C491" t="str">
        <x:v>主板</x:v>
      </x:c>
      <x:c r="D491" t="str">
        <x:v>待行业映射</x:v>
      </x:c>
      <x:c r="E491" t="n">
        <x:v>4.62</x:v>
      </x:c>
      <x:c r="F491" t="n">
        <x:v>15.89</x:v>
      </x:c>
      <x:c r="G491"/>
      <x:c r="H491" t="n">
        <x:v>195.5</x:v>
      </x:c>
      <x:c r="I491" t="n">
        <x:v>30.53</x:v>
      </x:c>
      <x:c r="J491" t="str">
        <x:v>initial_screen_pending_pb_financial_review</x:v>
      </x:c>
      <x:c r="K491" t="str">
        <x:v>AkShare / Tencent all-A market snapshot</x:v>
      </x:c>
      <x:c r="L491" t="str">
        <x:v>ProxyError: primary market source unavailable; see source_id for full audit.</x:v>
      </x:c>
      <x:c r="M491" t="str">
        <x:v>0</x:v>
      </x:c>
      <x:c r="N491" t="str">
        <x:v>0fd6ad2d-3389-4e70-8974-eb85ee223eeb</x:v>
      </x:c>
      <x:c r="O491" t="str">
        <x:v>2026-09-04</x:v>
      </x:c>
    </x:row>
    <x:row r="492">
      <x:c r="A492" t="str">
        <x:v>300505</x:v>
      </x:c>
      <x:c r="B492" t="str">
        <x:v>川金诺</x:v>
      </x:c>
      <x:c r="C492" t="str">
        <x:v>创业板</x:v>
      </x:c>
      <x:c r="D492" t="str">
        <x:v>待行业映射</x:v>
      </x:c>
      <x:c r="E492" t="n">
        <x:v>20.43</x:v>
      </x:c>
      <x:c r="F492" t="n">
        <x:v>14.03</x:v>
      </x:c>
      <x:c r="G492"/>
      <x:c r="H492" t="n">
        <x:v>56.16</x:v>
      </x:c>
      <x:c r="I492" t="n">
        <x:v>30.49</x:v>
      </x:c>
      <x:c r="J492" t="str">
        <x:v>initial_screen_pending_pb_financial_review</x:v>
      </x:c>
      <x:c r="K492" t="str">
        <x:v>AkShare / Tencent all-A market snapshot</x:v>
      </x:c>
      <x:c r="L492" t="str">
        <x:v>ProxyError: primary market source unavailable; see source_id for full audit.</x:v>
      </x:c>
      <x:c r="M492" t="str">
        <x:v>0</x:v>
      </x:c>
      <x:c r="N492" t="str">
        <x:v>0fd6ad2d-3389-4e70-8974-eb85ee223eeb</x:v>
      </x:c>
      <x:c r="O492" t="str">
        <x:v>2026-09-04</x:v>
      </x:c>
    </x:row>
    <x:row r="493">
      <x:c r="A493" t="str">
        <x:v>301061</x:v>
      </x:c>
      <x:c r="B493" t="str">
        <x:v>匠心家居</x:v>
      </x:c>
      <x:c r="C493" t="str">
        <x:v>创业板</x:v>
      </x:c>
      <x:c r="D493" t="str">
        <x:v>待行业映射</x:v>
      </x:c>
      <x:c r="E493" t="n">
        <x:v>38</x:v>
      </x:c>
      <x:c r="F493" t="n">
        <x:v>14.74</x:v>
      </x:c>
      <x:c r="G493"/>
      <x:c r="H493" t="n">
        <x:v>108.07</x:v>
      </x:c>
      <x:c r="I493" t="n">
        <x:v>30.46</x:v>
      </x:c>
      <x:c r="J493" t="str">
        <x:v>initial_screen_pending_pb_financial_review</x:v>
      </x:c>
      <x:c r="K493" t="str">
        <x:v>AkShare / Tencent all-A market snapshot</x:v>
      </x:c>
      <x:c r="L493" t="str">
        <x:v>ProxyError: primary market source unavailable; see source_id for full audit.</x:v>
      </x:c>
      <x:c r="M493" t="str">
        <x:v>0</x:v>
      </x:c>
      <x:c r="N493" t="str">
        <x:v>0fd6ad2d-3389-4e70-8974-eb85ee223eeb</x:v>
      </x:c>
      <x:c r="O493" t="str">
        <x:v>2026-09-04</x:v>
      </x:c>
    </x:row>
    <x:row r="494">
      <x:c r="A494" t="str">
        <x:v>600007</x:v>
      </x:c>
      <x:c r="B494" t="str">
        <x:v>中国国贸</x:v>
      </x:c>
      <x:c r="C494" t="str">
        <x:v>主板</x:v>
      </x:c>
      <x:c r="D494" t="str">
        <x:v>待行业映射</x:v>
      </x:c>
      <x:c r="E494" t="n">
        <x:v>18.95</x:v>
      </x:c>
      <x:c r="F494" t="n">
        <x:v>15.86</x:v>
      </x:c>
      <x:c r="G494"/>
      <x:c r="H494" t="n">
        <x:v>190.88</x:v>
      </x:c>
      <x:c r="I494" t="n">
        <x:v>30.44</x:v>
      </x:c>
      <x:c r="J494" t="str">
        <x:v>initial_screen_pending_pb_financial_review</x:v>
      </x:c>
      <x:c r="K494" t="str">
        <x:v>AkShare / Tencent all-A market snapshot</x:v>
      </x:c>
      <x:c r="L494" t="str">
        <x:v>ProxyError: primary market source unavailable; see source_id for full audit.</x:v>
      </x:c>
      <x:c r="M494" t="str">
        <x:v>0</x:v>
      </x:c>
      <x:c r="N494" t="str">
        <x:v>0fd6ad2d-3389-4e70-8974-eb85ee223eeb</x:v>
      </x:c>
      <x:c r="O494" t="str">
        <x:v>2026-09-04</x:v>
      </x:c>
    </x:row>
    <x:row r="495">
      <x:c r="A495" t="str">
        <x:v>300724</x:v>
      </x:c>
      <x:c r="B495" t="str">
        <x:v>捷佳伟创</x:v>
      </x:c>
      <x:c r="C495" t="str">
        <x:v>创业板</x:v>
      </x:c>
      <x:c r="D495" t="str">
        <x:v>待行业映射</x:v>
      </x:c>
      <x:c r="E495" t="n">
        <x:v>52.56</x:v>
      </x:c>
      <x:c r="F495" t="n">
        <x:v>15.76</x:v>
      </x:c>
      <x:c r="G495"/>
      <x:c r="H495" t="n">
        <x:v>183.06</x:v>
      </x:c>
      <x:c r="I495" t="n">
        <x:v>30.43</x:v>
      </x:c>
      <x:c r="J495" t="str">
        <x:v>initial_screen_pending_pb_financial_review</x:v>
      </x:c>
      <x:c r="K495" t="str">
        <x:v>AkShare / Tencent all-A market snapshot</x:v>
      </x:c>
      <x:c r="L495" t="str">
        <x:v>ProxyError: primary market source unavailable; see source_id for full audit.</x:v>
      </x:c>
      <x:c r="M495" t="str">
        <x:v>0</x:v>
      </x:c>
      <x:c r="N495" t="str">
        <x:v>0fd6ad2d-3389-4e70-8974-eb85ee223eeb</x:v>
      </x:c>
      <x:c r="O495" t="str">
        <x:v>2026-09-04</x:v>
      </x:c>
    </x:row>
    <x:row r="496">
      <x:c r="A496" t="str">
        <x:v>002340</x:v>
      </x:c>
      <x:c r="B496" t="str">
        <x:v>格林美</x:v>
      </x:c>
      <x:c r="C496" t="str">
        <x:v>主板</x:v>
      </x:c>
      <x:c r="D496" t="str">
        <x:v>待行业映射</x:v>
      </x:c>
      <x:c r="E496" t="n">
        <x:v>6.46</x:v>
      </x:c>
      <x:c r="F496" t="n">
        <x:v>17.75</x:v>
      </x:c>
      <x:c r="G496"/>
      <x:c r="H496" t="n">
        <x:v>329.61</x:v>
      </x:c>
      <x:c r="I496" t="n">
        <x:v>30.39</x:v>
      </x:c>
      <x:c r="J496" t="str">
        <x:v>initial_screen_pending_pb_financial_review</x:v>
      </x:c>
      <x:c r="K496" t="str">
        <x:v>AkShare / Tencent all-A market snapshot</x:v>
      </x:c>
      <x:c r="L496" t="str">
        <x:v>ProxyError: primary market source unavailable; see source_id for full audit.</x:v>
      </x:c>
      <x:c r="M496" t="str">
        <x:v>0</x:v>
      </x:c>
      <x:c r="N496" t="str">
        <x:v>0fd6ad2d-3389-4e70-8974-eb85ee223eeb</x:v>
      </x:c>
      <x:c r="O496" t="str">
        <x:v>2026-09-04</x:v>
      </x:c>
    </x:row>
    <x:row r="497">
      <x:c r="A497" t="str">
        <x:v>000915</x:v>
      </x:c>
      <x:c r="B497" t="str">
        <x:v>华特达因</x:v>
      </x:c>
      <x:c r="C497" t="str">
        <x:v>主板</x:v>
      </x:c>
      <x:c r="D497" t="str">
        <x:v>待行业映射</x:v>
      </x:c>
      <x:c r="E497" t="n">
        <x:v>25.39</x:v>
      </x:c>
      <x:c r="F497" t="n">
        <x:v>14.13</x:v>
      </x:c>
      <x:c r="G497"/>
      <x:c r="H497" t="n">
        <x:v>59.5</x:v>
      </x:c>
      <x:c r="I497" t="n">
        <x:v>30.34</x:v>
      </x:c>
      <x:c r="J497" t="str">
        <x:v>initial_screen_pending_pb_financial_review</x:v>
      </x:c>
      <x:c r="K497" t="str">
        <x:v>AkShare / Tencent all-A market snapshot</x:v>
      </x:c>
      <x:c r="L497" t="str">
        <x:v>ProxyError: primary market source unavailable; see source_id for full audit.</x:v>
      </x:c>
      <x:c r="M497" t="str">
        <x:v>0</x:v>
      </x:c>
      <x:c r="N497" t="str">
        <x:v>0fd6ad2d-3389-4e70-8974-eb85ee223eeb</x:v>
      </x:c>
      <x:c r="O497" t="str">
        <x:v>2026-09-04</x:v>
      </x:c>
    </x:row>
    <x:row r="498">
      <x:c r="A498" t="str">
        <x:v>600662</x:v>
      </x:c>
      <x:c r="B498" t="str">
        <x:v>外服控股</x:v>
      </x:c>
      <x:c r="C498" t="str">
        <x:v>主板</x:v>
      </x:c>
      <x:c r="D498" t="str">
        <x:v>待行业映射</x:v>
      </x:c>
      <x:c r="E498" t="n">
        <x:v>4.28</x:v>
      </x:c>
      <x:c r="F498" t="n">
        <x:v>14.66</x:v>
      </x:c>
      <x:c r="G498"/>
      <x:c r="H498" t="n">
        <x:v>97.73</x:v>
      </x:c>
      <x:c r="I498" t="n">
        <x:v>30.3</x:v>
      </x:c>
      <x:c r="J498" t="str">
        <x:v>initial_screen_pending_pb_financial_review</x:v>
      </x:c>
      <x:c r="K498" t="str">
        <x:v>AkShare / Tencent all-A market snapshot</x:v>
      </x:c>
      <x:c r="L498" t="str">
        <x:v>ProxyError: primary market source unavailable; see source_id for full audit.</x:v>
      </x:c>
      <x:c r="M498" t="str">
        <x:v>0</x:v>
      </x:c>
      <x:c r="N498" t="str">
        <x:v>0fd6ad2d-3389-4e70-8974-eb85ee223eeb</x:v>
      </x:c>
      <x:c r="O498" t="str">
        <x:v>2026-09-04</x:v>
      </x:c>
    </x:row>
    <x:row r="499">
      <x:c r="A499" t="str">
        <x:v>000429</x:v>
      </x:c>
      <x:c r="B499" t="str">
        <x:v>粤高速Ａ</x:v>
      </x:c>
      <x:c r="C499" t="str">
        <x:v>主板</x:v>
      </x:c>
      <x:c r="D499" t="str">
        <x:v>待行业映射</x:v>
      </x:c>
      <x:c r="E499" t="n">
        <x:v>13.04</x:v>
      </x:c>
      <x:c r="F499" t="n">
        <x:v>17.1</x:v>
      </x:c>
      <x:c r="G499"/>
      <x:c r="H499" t="n">
        <x:v>272.64</x:v>
      </x:c>
      <x:c r="I499" t="n">
        <x:v>30.08</x:v>
      </x:c>
      <x:c r="J499" t="str">
        <x:v>initial_screen_pending_pb_financial_review</x:v>
      </x:c>
      <x:c r="K499" t="str">
        <x:v>AkShare / Tencent all-A market snapshot</x:v>
      </x:c>
      <x:c r="L499" t="str">
        <x:v>ProxyError: primary market source unavailable; see source_id for full audit.</x:v>
      </x:c>
      <x:c r="M499" t="str">
        <x:v>0</x:v>
      </x:c>
      <x:c r="N499" t="str">
        <x:v>0fd6ad2d-3389-4e70-8974-eb85ee223eeb</x:v>
      </x:c>
      <x:c r="O499" t="str">
        <x:v>2026-09-04</x:v>
      </x:c>
    </x:row>
    <x:row r="500">
      <x:c r="A500" t="str">
        <x:v>001914</x:v>
      </x:c>
      <x:c r="B500" t="str">
        <x:v>招商积余</x:v>
      </x:c>
      <x:c r="C500" t="str">
        <x:v>主板</x:v>
      </x:c>
      <x:c r="D500" t="str">
        <x:v>待行业映射</x:v>
      </x:c>
      <x:c r="E500" t="n">
        <x:v>9.18</x:v>
      </x:c>
      <x:c r="F500" t="n">
        <x:v>14.76</x:v>
      </x:c>
      <x:c r="G500"/>
      <x:c r="H500" t="n">
        <x:v>96.73</x:v>
      </x:c>
      <x:c r="I500" t="n">
        <x:v>30.01</x:v>
      </x:c>
      <x:c r="J500" t="str">
        <x:v>initial_screen_pending_pb_financial_review</x:v>
      </x:c>
      <x:c r="K500" t="str">
        <x:v>AkShare / Tencent all-A market snapshot</x:v>
      </x:c>
      <x:c r="L500" t="str">
        <x:v>ProxyError: primary market source unavailable; see source_id for full audit.</x:v>
      </x:c>
      <x:c r="M500" t="str">
        <x:v>0</x:v>
      </x:c>
      <x:c r="N500" t="str">
        <x:v>0fd6ad2d-3389-4e70-8974-eb85ee223eeb</x:v>
      </x:c>
      <x:c r="O500" t="str">
        <x:v>2026-09-04</x:v>
      </x:c>
    </x:row>
    <x:row r="501">
      <x:c r="A501" t="str">
        <x:v>002345</x:v>
      </x:c>
      <x:c r="B501" t="str">
        <x:v>潮宏基</x:v>
      </x:c>
      <x:c r="C501" t="str">
        <x:v>主板</x:v>
      </x:c>
      <x:c r="D501" t="str">
        <x:v>待行业映射</x:v>
      </x:c>
      <x:c r="E501" t="n">
        <x:v>9.67</x:v>
      </x:c>
      <x:c r="F501" t="n">
        <x:v>14.62</x:v>
      </x:c>
      <x:c r="G501"/>
      <x:c r="H501" t="n">
        <x:v>85.92</x:v>
      </x:c>
      <x:c r="I501" t="n">
        <x:v>30</x:v>
      </x:c>
      <x:c r="J501" t="str">
        <x:v>initial_screen_pending_pb_financial_review</x:v>
      </x:c>
      <x:c r="K501" t="str">
        <x:v>AkShare / Tencent all-A market snapshot</x:v>
      </x:c>
      <x:c r="L501" t="str">
        <x:v>ProxyError: primary market source unavailable; see source_id for full audit.</x:v>
      </x:c>
      <x:c r="M501" t="str">
        <x:v>0</x:v>
      </x:c>
      <x:c r="N501" t="str">
        <x:v>0fd6ad2d-3389-4e70-8974-eb85ee223eeb</x:v>
      </x:c>
      <x:c r="O501" t="str">
        <x:v>2026-09-04</x:v>
      </x:c>
    </x:row>
    <x:row r="502">
      <x:c r="A502" t="str">
        <x:v>603599</x:v>
      </x:c>
      <x:c r="B502" t="str">
        <x:v>广信股份</x:v>
      </x:c>
      <x:c r="C502" t="str">
        <x:v>主板</x:v>
      </x:c>
      <x:c r="D502" t="str">
        <x:v>待行业映射</x:v>
      </x:c>
      <x:c r="E502" t="n">
        <x:v>10.77</x:v>
      </x:c>
      <x:c r="F502" t="n">
        <x:v>14.78</x:v>
      </x:c>
      <x:c r="G502"/>
      <x:c r="H502" t="n">
        <x:v>98.04</x:v>
      </x:c>
      <x:c r="I502" t="n">
        <x:v>30</x:v>
      </x:c>
      <x:c r="J502" t="str">
        <x:v>initial_screen_pending_pb_financial_review</x:v>
      </x:c>
      <x:c r="K502" t="str">
        <x:v>AkShare / Tencent all-A market snapshot</x:v>
      </x:c>
      <x:c r="L502" t="str">
        <x:v>ProxyError: primary market source unavailable; see source_id for full audit.</x:v>
      </x:c>
      <x:c r="M502" t="str">
        <x:v>0</x:v>
      </x:c>
      <x:c r="N502" t="str">
        <x:v>0fd6ad2d-3389-4e70-8974-eb85ee223eeb</x:v>
      </x:c>
      <x:c r="O502" t="str">
        <x:v>2026-09-04</x:v>
      </x:c>
    </x:row>
    <x:row r="503">
      <x:c r="A503" t="str">
        <x:v>603367</x:v>
      </x:c>
      <x:c r="B503" t="str">
        <x:v>辰欣药业</x:v>
      </x:c>
      <x:c r="C503" t="str">
        <x:v>主板</x:v>
      </x:c>
      <x:c r="D503" t="str">
        <x:v>待行业映射</x:v>
      </x:c>
      <x:c r="E503" t="n">
        <x:v>14.48</x:v>
      </x:c>
      <x:c r="F503" t="n">
        <x:v>14.36</x:v>
      </x:c>
      <x:c r="G503"/>
      <x:c r="H503" t="n">
        <x:v>65.56</x:v>
      </x:c>
      <x:c r="I503" t="n">
        <x:v>29.96</x:v>
      </x:c>
      <x:c r="J503" t="str">
        <x:v>initial_screen_pending_pb_financial_review</x:v>
      </x:c>
      <x:c r="K503" t="str">
        <x:v>AkShare / Tencent all-A market snapshot</x:v>
      </x:c>
      <x:c r="L503" t="str">
        <x:v>ProxyError: primary market source unavailable; see source_id for full audit.</x:v>
      </x:c>
      <x:c r="M503" t="str">
        <x:v>0</x:v>
      </x:c>
      <x:c r="N503" t="str">
        <x:v>0fd6ad2d-3389-4e70-8974-eb85ee223eeb</x:v>
      </x:c>
      <x:c r="O503" t="str">
        <x:v>2026-09-04</x:v>
      </x:c>
    </x:row>
    <x:row r="504">
      <x:c r="A504" t="str">
        <x:v>600216</x:v>
      </x:c>
      <x:c r="B504" t="str">
        <x:v>浙江医药</x:v>
      </x:c>
      <x:c r="C504" t="str">
        <x:v>主板</x:v>
      </x:c>
      <x:c r="D504" t="str">
        <x:v>待行业映射</x:v>
      </x:c>
      <x:c r="E504" t="n">
        <x:v>12.68</x:v>
      </x:c>
      <x:c r="F504" t="n">
        <x:v>15.13</x:v>
      </x:c>
      <x:c r="G504"/>
      <x:c r="H504" t="n">
        <x:v>121.94</x:v>
      </x:c>
      <x:c r="I504" t="n">
        <x:v>29.93</x:v>
      </x:c>
      <x:c r="J504" t="str">
        <x:v>initial_screen_pending_pb_financial_review</x:v>
      </x:c>
      <x:c r="K504" t="str">
        <x:v>AkShare / Tencent all-A market snapshot</x:v>
      </x:c>
      <x:c r="L504" t="str">
        <x:v>ProxyError: primary market source unavailable; see source_id for full audit.</x:v>
      </x:c>
      <x:c r="M504" t="str">
        <x:v>0</x:v>
      </x:c>
      <x:c r="N504" t="str">
        <x:v>0fd6ad2d-3389-4e70-8974-eb85ee223eeb</x:v>
      </x:c>
      <x:c r="O504" t="str">
        <x:v>2026-09-04</x:v>
      </x:c>
    </x:row>
    <x:row r="505">
      <x:c r="A505" t="str">
        <x:v>603588</x:v>
      </x:c>
      <x:c r="B505" t="str">
        <x:v>高能环境</x:v>
      </x:c>
      <x:c r="C505" t="str">
        <x:v>主板</x:v>
      </x:c>
      <x:c r="D505" t="str">
        <x:v>待行业映射</x:v>
      </x:c>
      <x:c r="E505" t="n">
        <x:v>14.71</x:v>
      </x:c>
      <x:c r="F505" t="n">
        <x:v>16.51</x:v>
      </x:c>
      <x:c r="G505"/>
      <x:c r="H505" t="n">
        <x:v>224.07</x:v>
      </x:c>
      <x:c r="I505" t="n">
        <x:v>29.92</x:v>
      </x:c>
      <x:c r="J505" t="str">
        <x:v>initial_screen_pending_pb_financial_review</x:v>
      </x:c>
      <x:c r="K505" t="str">
        <x:v>AkShare / Tencent all-A market snapshot</x:v>
      </x:c>
      <x:c r="L505" t="str">
        <x:v>ProxyError: primary market source unavailable; see source_id for full audit.</x:v>
      </x:c>
      <x:c r="M505" t="str">
        <x:v>0</x:v>
      </x:c>
      <x:c r="N505" t="str">
        <x:v>0fd6ad2d-3389-4e70-8974-eb85ee223eeb</x:v>
      </x:c>
      <x:c r="O505" t="str">
        <x:v>2026-09-04</x:v>
      </x:c>
    </x:row>
    <x:row r="506">
      <x:c r="A506" t="str">
        <x:v>603345</x:v>
      </x:c>
      <x:c r="B506" t="str">
        <x:v>安井食品</x:v>
      </x:c>
      <x:c r="C506" t="str">
        <x:v>主板</x:v>
      </x:c>
      <x:c r="D506" t="str">
        <x:v>待行业映射</x:v>
      </x:c>
      <x:c r="E506" t="n">
        <x:v>76.63</x:v>
      </x:c>
      <x:c r="F506" t="n">
        <x:v>16.97</x:v>
      </x:c>
      <x:c r="G506"/>
      <x:c r="H506" t="n">
        <x:v>255.4</x:v>
      </x:c>
      <x:c r="I506" t="n">
        <x:v>29.82</x:v>
      </x:c>
      <x:c r="J506" t="str">
        <x:v>initial_screen_pending_pb_financial_review</x:v>
      </x:c>
      <x:c r="K506" t="str">
        <x:v>AkShare / Tencent all-A market snapshot</x:v>
      </x:c>
      <x:c r="L506" t="str">
        <x:v>ProxyError: primary market source unavailable; see source_id for full audit.</x:v>
      </x:c>
      <x:c r="M506" t="str">
        <x:v>0</x:v>
      </x:c>
      <x:c r="N506" t="str">
        <x:v>0fd6ad2d-3389-4e70-8974-eb85ee223eeb</x:v>
      </x:c>
      <x:c r="O506" t="str">
        <x:v>2026-09-04</x:v>
      </x:c>
    </x:row>
    <x:row r="507">
      <x:c r="A507" t="str">
        <x:v>002202</x:v>
      </x:c>
      <x:c r="B507" t="str">
        <x:v>金风科技</x:v>
      </x:c>
      <x:c r="C507" t="str">
        <x:v>主板</x:v>
      </x:c>
      <x:c r="D507" t="str">
        <x:v>待行业映射</x:v>
      </x:c>
      <x:c r="E507" t="n">
        <x:v>17.49</x:v>
      </x:c>
      <x:c r="F507" t="n">
        <x:v>23.52</x:v>
      </x:c>
      <x:c r="G507"/>
      <x:c r="H507" t="n">
        <x:v>738.74</x:v>
      </x:c>
      <x:c r="I507" t="n">
        <x:v>29.7</x:v>
      </x:c>
      <x:c r="J507" t="str">
        <x:v>initial_screen_pending_pb_financial_review</x:v>
      </x:c>
      <x:c r="K507" t="str">
        <x:v>AkShare / Tencent all-A market snapshot</x:v>
      </x:c>
      <x:c r="L507" t="str">
        <x:v>ProxyError: primary market source unavailable; see source_id for full audit.</x:v>
      </x:c>
      <x:c r="M507" t="str">
        <x:v>0</x:v>
      </x:c>
      <x:c r="N507" t="str">
        <x:v>0fd6ad2d-3389-4e70-8974-eb85ee223eeb</x:v>
      </x:c>
      <x:c r="O507" t="str">
        <x:v>2026-09-04</x:v>
      </x:c>
    </x:row>
    <x:row r="508">
      <x:c r="A508" t="str">
        <x:v>300181</x:v>
      </x:c>
      <x:c r="B508" t="str">
        <x:v>佐力药业</x:v>
      </x:c>
      <x:c r="C508" t="str">
        <x:v>创业板</x:v>
      </x:c>
      <x:c r="D508" t="str">
        <x:v>待行业映射</x:v>
      </x:c>
      <x:c r="E508" t="n">
        <x:v>13.45</x:v>
      </x:c>
      <x:c r="F508" t="n">
        <x:v>14.89</x:v>
      </x:c>
      <x:c r="G508"/>
      <x:c r="H508" t="n">
        <x:v>94.34</x:v>
      </x:c>
      <x:c r="I508" t="n">
        <x:v>29.59</x:v>
      </x:c>
      <x:c r="J508" t="str">
        <x:v>initial_screen_pending_pb_financial_review</x:v>
      </x:c>
      <x:c r="K508" t="str">
        <x:v>AkShare / Tencent all-A market snapshot</x:v>
      </x:c>
      <x:c r="L508" t="str">
        <x:v>ProxyError: primary market source unavailable; see source_id for full audit.</x:v>
      </x:c>
      <x:c r="M508" t="str">
        <x:v>0</x:v>
      </x:c>
      <x:c r="N508" t="str">
        <x:v>0fd6ad2d-3389-4e70-8974-eb85ee223eeb</x:v>
      </x:c>
      <x:c r="O508" t="str">
        <x:v>2026-09-04</x:v>
      </x:c>
    </x:row>
    <x:row r="509">
      <x:c r="A509" t="str">
        <x:v>002539</x:v>
      </x:c>
      <x:c r="B509" t="str">
        <x:v>云图控股</x:v>
      </x:c>
      <x:c r="C509" t="str">
        <x:v>主板</x:v>
      </x:c>
      <x:c r="D509" t="str">
        <x:v>待行业映射</x:v>
      </x:c>
      <x:c r="E509" t="n">
        <x:v>13.4</x:v>
      </x:c>
      <x:c r="F509" t="n">
        <x:v>15.8</x:v>
      </x:c>
      <x:c r="G509"/>
      <x:c r="H509" t="n">
        <x:v>161.83</x:v>
      </x:c>
      <x:c r="I509" t="n">
        <x:v>29.58</x:v>
      </x:c>
      <x:c r="J509" t="str">
        <x:v>initial_screen_pending_pb_financial_review</x:v>
      </x:c>
      <x:c r="K509" t="str">
        <x:v>AkShare / Tencent all-A market snapshot</x:v>
      </x:c>
      <x:c r="L509" t="str">
        <x:v>ProxyError: primary market source unavailable; see source_id for full audit.</x:v>
      </x:c>
      <x:c r="M509" t="str">
        <x:v>0</x:v>
      </x:c>
      <x:c r="N509" t="str">
        <x:v>0fd6ad2d-3389-4e70-8974-eb85ee223eeb</x:v>
      </x:c>
      <x:c r="O509" t="str">
        <x:v>2026-09-04</x:v>
      </x:c>
    </x:row>
    <x:row r="510">
      <x:c r="A510" t="str">
        <x:v>300446</x:v>
      </x:c>
      <x:c r="B510" t="str">
        <x:v>航天智造</x:v>
      </x:c>
      <x:c r="C510" t="str">
        <x:v>创业板</x:v>
      </x:c>
      <x:c r="D510" t="str">
        <x:v>待行业映射</x:v>
      </x:c>
      <x:c r="E510" t="n">
        <x:v>13.1</x:v>
      </x:c>
      <x:c r="F510" t="n">
        <x:v>15.12</x:v>
      </x:c>
      <x:c r="G510"/>
      <x:c r="H510" t="n">
        <x:v>110.75</x:v>
      </x:c>
      <x:c r="I510" t="n">
        <x:v>29.56</x:v>
      </x:c>
      <x:c r="J510" t="str">
        <x:v>initial_screen_pending_pb_financial_review</x:v>
      </x:c>
      <x:c r="K510" t="str">
        <x:v>AkShare / Tencent all-A market snapshot</x:v>
      </x:c>
      <x:c r="L510" t="str">
        <x:v>ProxyError: primary market source unavailable; see source_id for full audit.</x:v>
      </x:c>
      <x:c r="M510" t="str">
        <x:v>0</x:v>
      </x:c>
      <x:c r="N510" t="str">
        <x:v>0fd6ad2d-3389-4e70-8974-eb85ee223eeb</x:v>
      </x:c>
      <x:c r="O510" t="str">
        <x:v>2026-09-04</x:v>
      </x:c>
    </x:row>
    <x:row r="511">
      <x:c r="A511" t="str">
        <x:v>600618</x:v>
      </x:c>
      <x:c r="B511" t="str">
        <x:v>氯碱化工</x:v>
      </x:c>
      <x:c r="C511" t="str">
        <x:v>主板</x:v>
      </x:c>
      <x:c r="D511" t="str">
        <x:v>待行业映射</x:v>
      </x:c>
      <x:c r="E511" t="n">
        <x:v>10.46</x:v>
      </x:c>
      <x:c r="F511" t="n">
        <x:v>15.26</x:v>
      </x:c>
      <x:c r="G511"/>
      <x:c r="H511" t="n">
        <x:v>120.96</x:v>
      </x:c>
      <x:c r="I511" t="n">
        <x:v>29.56</x:v>
      </x:c>
      <x:c r="J511" t="str">
        <x:v>initial_screen_pending_pb_financial_review</x:v>
      </x:c>
      <x:c r="K511" t="str">
        <x:v>AkShare / Tencent all-A market snapshot</x:v>
      </x:c>
      <x:c r="L511" t="str">
        <x:v>ProxyError: primary market source unavailable; see source_id for full audit.</x:v>
      </x:c>
      <x:c r="M511" t="str">
        <x:v>0</x:v>
      </x:c>
      <x:c r="N511" t="str">
        <x:v>0fd6ad2d-3389-4e70-8974-eb85ee223eeb</x:v>
      </x:c>
      <x:c r="O511" t="str">
        <x:v>2026-09-04</x:v>
      </x:c>
    </x:row>
    <x:row r="512">
      <x:c r="A512" t="str">
        <x:v>600546</x:v>
      </x:c>
      <x:c r="B512" t="str">
        <x:v>山煤国际</x:v>
      </x:c>
      <x:c r="C512" t="str">
        <x:v>主板</x:v>
      </x:c>
      <x:c r="D512" t="str">
        <x:v>待行业映射</x:v>
      </x:c>
      <x:c r="E512" t="n">
        <x:v>13.17</x:v>
      </x:c>
      <x:c r="F512" t="n">
        <x:v>17.17</x:v>
      </x:c>
      <x:c r="G512"/>
      <x:c r="H512" t="n">
        <x:v>261.09</x:v>
      </x:c>
      <x:c r="I512" t="n">
        <x:v>29.5</x:v>
      </x:c>
      <x:c r="J512" t="str">
        <x:v>initial_screen_pending_pb_financial_review</x:v>
      </x:c>
      <x:c r="K512" t="str">
        <x:v>AkShare / Tencent all-A market snapshot</x:v>
      </x:c>
      <x:c r="L512" t="str">
        <x:v>ProxyError: primary market source unavailable; see source_id for full audit.</x:v>
      </x:c>
      <x:c r="M512" t="str">
        <x:v>0</x:v>
      </x:c>
      <x:c r="N512" t="str">
        <x:v>0fd6ad2d-3389-4e70-8974-eb85ee223eeb</x:v>
      </x:c>
      <x:c r="O512" t="str">
        <x:v>2026-09-04</x:v>
      </x:c>
    </x:row>
    <x:row r="513">
      <x:c r="A513" t="str">
        <x:v>002020</x:v>
      </x:c>
      <x:c r="B513" t="str">
        <x:v>京新药业</x:v>
      </x:c>
      <x:c r="C513" t="str">
        <x:v>主板</x:v>
      </x:c>
      <x:c r="D513" t="str">
        <x:v>待行业映射</x:v>
      </x:c>
      <x:c r="E513" t="n">
        <x:v>12.68</x:v>
      </x:c>
      <x:c r="F513" t="n">
        <x:v>15.13</x:v>
      </x:c>
      <x:c r="G513"/>
      <x:c r="H513" t="n">
        <x:v>109.18</x:v>
      </x:c>
      <x:c r="I513" t="n">
        <x:v>29.48</x:v>
      </x:c>
      <x:c r="J513" t="str">
        <x:v>initial_screen_pending_pb_financial_review</x:v>
      </x:c>
      <x:c r="K513" t="str">
        <x:v>AkShare / Tencent all-A market snapshot</x:v>
      </x:c>
      <x:c r="L513" t="str">
        <x:v>ProxyError: primary market source unavailable; see source_id for full audit.</x:v>
      </x:c>
      <x:c r="M513" t="str">
        <x:v>0</x:v>
      </x:c>
      <x:c r="N513" t="str">
        <x:v>0fd6ad2d-3389-4e70-8974-eb85ee223eeb</x:v>
      </x:c>
      <x:c r="O513" t="str">
        <x:v>2026-09-04</x:v>
      </x:c>
    </x:row>
    <x:row r="514">
      <x:c r="A514" t="str">
        <x:v>002847</x:v>
      </x:c>
      <x:c r="B514" t="str">
        <x:v>盐津铺子</x:v>
      </x:c>
      <x:c r="C514" t="str">
        <x:v>主板</x:v>
      </x:c>
      <x:c r="D514" t="str">
        <x:v>待行业映射</x:v>
      </x:c>
      <x:c r="E514" t="n">
        <x:v>45.45</x:v>
      </x:c>
      <x:c r="F514" t="n">
        <x:v>15.33</x:v>
      </x:c>
      <x:c r="G514"/>
      <x:c r="H514" t="n">
        <x:v>122.8</x:v>
      </x:c>
      <x:c r="I514" t="n">
        <x:v>29.44</x:v>
      </x:c>
      <x:c r="J514" t="str">
        <x:v>initial_screen_pending_pb_financial_review</x:v>
      </x:c>
      <x:c r="K514" t="str">
        <x:v>AkShare / Tencent all-A market snapshot</x:v>
      </x:c>
      <x:c r="L514" t="str">
        <x:v>ProxyError: primary market source unavailable; see source_id for full audit.</x:v>
      </x:c>
      <x:c r="M514" t="str">
        <x:v>0</x:v>
      </x:c>
      <x:c r="N514" t="str">
        <x:v>0fd6ad2d-3389-4e70-8974-eb85ee223eeb</x:v>
      </x:c>
      <x:c r="O514" t="str">
        <x:v>2026-09-04</x:v>
      </x:c>
    </x:row>
    <x:row r="515">
      <x:c r="A515" t="str">
        <x:v>601198</x:v>
      </x:c>
      <x:c r="B515" t="str">
        <x:v>东兴证券</x:v>
      </x:c>
      <x:c r="C515" t="str">
        <x:v>主板</x:v>
      </x:c>
      <x:c r="D515" t="str">
        <x:v>待行业映射</x:v>
      </x:c>
      <x:c r="E515" t="n">
        <x:v>14.17</x:v>
      </x:c>
      <x:c r="F515" t="n">
        <x:v>19.85</x:v>
      </x:c>
      <x:c r="G515"/>
      <x:c r="H515" t="n">
        <x:v>458.04</x:v>
      </x:c>
      <x:c r="I515" t="n">
        <x:v>29.42</x:v>
      </x:c>
      <x:c r="J515" t="str">
        <x:v>initial_screen_pending_pb_financial_review</x:v>
      </x:c>
      <x:c r="K515" t="str">
        <x:v>AkShare / Tencent all-A market snapshot</x:v>
      </x:c>
      <x:c r="L515" t="str">
        <x:v>ProxyError: primary market source unavailable; see source_id for full audit.</x:v>
      </x:c>
      <x:c r="M515" t="str">
        <x:v>0</x:v>
      </x:c>
      <x:c r="N515" t="str">
        <x:v>0fd6ad2d-3389-4e70-8974-eb85ee223eeb</x:v>
      </x:c>
      <x:c r="O515" t="str">
        <x:v>2026-09-04</x:v>
      </x:c>
    </x:row>
    <x:row r="516">
      <x:c r="A516" t="str">
        <x:v>603995</x:v>
      </x:c>
      <x:c r="B516" t="str">
        <x:v>甬金股份</x:v>
      </x:c>
      <x:c r="C516" t="str">
        <x:v>主板</x:v>
      </x:c>
      <x:c r="D516" t="str">
        <x:v>待行业映射</x:v>
      </x:c>
      <x:c r="E516" t="n">
        <x:v>24.73</x:v>
      </x:c>
      <x:c r="F516" t="n">
        <x:v>14.9</x:v>
      </x:c>
      <x:c r="G516"/>
      <x:c r="H516" t="n">
        <x:v>89.92</x:v>
      </x:c>
      <x:c r="I516" t="n">
        <x:v>29.41</x:v>
      </x:c>
      <x:c r="J516" t="str">
        <x:v>initial_screen_pending_pb_financial_review</x:v>
      </x:c>
      <x:c r="K516" t="str">
        <x:v>AkShare / Tencent all-A market snapshot</x:v>
      </x:c>
      <x:c r="L516" t="str">
        <x:v>ProxyError: primary market source unavailable; see source_id for full audit.</x:v>
      </x:c>
      <x:c r="M516" t="str">
        <x:v>0</x:v>
      </x:c>
      <x:c r="N516" t="str">
        <x:v>0fd6ad2d-3389-4e70-8974-eb85ee223eeb</x:v>
      </x:c>
      <x:c r="O516" t="str">
        <x:v>2026-09-04</x:v>
      </x:c>
    </x:row>
    <x:row r="517">
      <x:c r="A517" t="str">
        <x:v>002056</x:v>
      </x:c>
      <x:c r="B517" t="str">
        <x:v>横店东磁</x:v>
      </x:c>
      <x:c r="C517" t="str">
        <x:v>主板</x:v>
      </x:c>
      <x:c r="D517" t="str">
        <x:v>待行业映射</x:v>
      </x:c>
      <x:c r="E517" t="n">
        <x:v>19.72</x:v>
      </x:c>
      <x:c r="F517" t="n">
        <x:v>18.03</x:v>
      </x:c>
      <x:c r="G517"/>
      <x:c r="H517" t="n">
        <x:v>320.79</x:v>
      </x:c>
      <x:c r="I517" t="n">
        <x:v>29.35</x:v>
      </x:c>
      <x:c r="J517" t="str">
        <x:v>initial_screen_pending_pb_financial_review</x:v>
      </x:c>
      <x:c r="K517" t="str">
        <x:v>AkShare / Tencent all-A market snapshot</x:v>
      </x:c>
      <x:c r="L517" t="str">
        <x:v>ProxyError: primary market source unavailable; see source_id for full audit.</x:v>
      </x:c>
      <x:c r="M517" t="str">
        <x:v>0</x:v>
      </x:c>
      <x:c r="N517" t="str">
        <x:v>0fd6ad2d-3389-4e70-8974-eb85ee223eeb</x:v>
      </x:c>
      <x:c r="O517" t="str">
        <x:v>2026-09-04</x:v>
      </x:c>
    </x:row>
    <x:row r="518">
      <x:c r="A518" t="str">
        <x:v>300919</x:v>
      </x:c>
      <x:c r="B518" t="str">
        <x:v>中伟新材</x:v>
      </x:c>
      <x:c r="C518" t="str">
        <x:v>创业板</x:v>
      </x:c>
      <x:c r="D518" t="str">
        <x:v>待行业映射</x:v>
      </x:c>
      <x:c r="E518" t="n">
        <x:v>39.4</x:v>
      </x:c>
      <x:c r="F518" t="n">
        <x:v>19.25</x:v>
      </x:c>
      <x:c r="G518"/>
      <x:c r="H518" t="n">
        <x:v>411.52</x:v>
      </x:c>
      <x:c r="I518" t="n">
        <x:v>29.35</x:v>
      </x:c>
      <x:c r="J518" t="str">
        <x:v>initial_screen_pending_pb_financial_review</x:v>
      </x:c>
      <x:c r="K518" t="str">
        <x:v>AkShare / Tencent all-A market snapshot</x:v>
      </x:c>
      <x:c r="L518" t="str">
        <x:v>ProxyError: primary market source unavailable; see source_id for full audit.</x:v>
      </x:c>
      <x:c r="M518" t="str">
        <x:v>0</x:v>
      </x:c>
      <x:c r="N518" t="str">
        <x:v>0fd6ad2d-3389-4e70-8974-eb85ee223eeb</x:v>
      </x:c>
      <x:c r="O518" t="str">
        <x:v>2026-09-04</x:v>
      </x:c>
    </x:row>
    <x:row r="519">
      <x:c r="A519" t="str">
        <x:v>300435</x:v>
      </x:c>
      <x:c r="B519" t="str">
        <x:v>中泰股份</x:v>
      </x:c>
      <x:c r="C519" t="str">
        <x:v>创业板</x:v>
      </x:c>
      <x:c r="D519" t="str">
        <x:v>待行业映射</x:v>
      </x:c>
      <x:c r="E519" t="n">
        <x:v>16.91</x:v>
      </x:c>
      <x:c r="F519" t="n">
        <x:v>14.62</x:v>
      </x:c>
      <x:c r="G519"/>
      <x:c r="H519" t="n">
        <x:v>65.22</x:v>
      </x:c>
      <x:c r="I519" t="n">
        <x:v>29.27</x:v>
      </x:c>
      <x:c r="J519" t="str">
        <x:v>initial_screen_pending_pb_financial_review</x:v>
      </x:c>
      <x:c r="K519" t="str">
        <x:v>AkShare / Tencent all-A market snapshot</x:v>
      </x:c>
      <x:c r="L519" t="str">
        <x:v>ProxyError: primary market source unavailable; see source_id for full audit.</x:v>
      </x:c>
      <x:c r="M519" t="str">
        <x:v>0</x:v>
      </x:c>
      <x:c r="N519" t="str">
        <x:v>0fd6ad2d-3389-4e70-8974-eb85ee223eeb</x:v>
      </x:c>
      <x:c r="O519" t="str">
        <x:v>2026-09-04</x:v>
      </x:c>
    </x:row>
    <x:row r="520">
      <x:c r="A520" t="str">
        <x:v>600389</x:v>
      </x:c>
      <x:c r="B520" t="str">
        <x:v>江山股份</x:v>
      </x:c>
      <x:c r="C520" t="str">
        <x:v>主板</x:v>
      </x:c>
      <x:c r="D520" t="str">
        <x:v>待行业映射</x:v>
      </x:c>
      <x:c r="E520" t="n">
        <x:v>18.71</x:v>
      </x:c>
      <x:c r="F520" t="n">
        <x:v>14.83</x:v>
      </x:c>
      <x:c r="G520"/>
      <x:c r="H520" t="n">
        <x:v>80.57</x:v>
      </x:c>
      <x:c r="I520" t="n">
        <x:v>29.26</x:v>
      </x:c>
      <x:c r="J520" t="str">
        <x:v>initial_screen_pending_pb_financial_review</x:v>
      </x:c>
      <x:c r="K520" t="str">
        <x:v>AkShare / Tencent all-A market snapshot</x:v>
      </x:c>
      <x:c r="L520" t="str">
        <x:v>ProxyError: primary market source unavailable; see source_id for full audit.</x:v>
      </x:c>
      <x:c r="M520" t="str">
        <x:v>0</x:v>
      </x:c>
      <x:c r="N520" t="str">
        <x:v>0fd6ad2d-3389-4e70-8974-eb85ee223eeb</x:v>
      </x:c>
      <x:c r="O520" t="str">
        <x:v>2026-09-04</x:v>
      </x:c>
    </x:row>
    <x:row r="521">
      <x:c r="A521" t="str">
        <x:v>600575</x:v>
      </x:c>
      <x:c r="B521" t="str">
        <x:v>淮河能源</x:v>
      </x:c>
      <x:c r="C521" t="str">
        <x:v>主板</x:v>
      </x:c>
      <x:c r="D521" t="str">
        <x:v>待行业映射</x:v>
      </x:c>
      <x:c r="E521" t="n">
        <x:v>3.29</x:v>
      </x:c>
      <x:c r="F521" t="n">
        <x:v>16.94</x:v>
      </x:c>
      <x:c r="G521"/>
      <x:c r="H521" t="n">
        <x:v>235.79</x:v>
      </x:c>
      <x:c r="I521" t="n">
        <x:v>29.21</x:v>
      </x:c>
      <x:c r="J521" t="str">
        <x:v>initial_screen_pending_pb_financial_review</x:v>
      </x:c>
      <x:c r="K521" t="str">
        <x:v>AkShare / Tencent all-A market snapshot</x:v>
      </x:c>
      <x:c r="L521" t="str">
        <x:v>ProxyError: primary market source unavailable; see source_id for full audit.</x:v>
      </x:c>
      <x:c r="M521" t="str">
        <x:v>0</x:v>
      </x:c>
      <x:c r="N521" t="str">
        <x:v>0fd6ad2d-3389-4e70-8974-eb85ee223eeb</x:v>
      </x:c>
      <x:c r="O521" t="str">
        <x:v>2026-09-04</x:v>
      </x:c>
    </x:row>
    <x:row r="522">
      <x:c r="A522" t="str">
        <x:v>600267</x:v>
      </x:c>
      <x:c r="B522" t="str">
        <x:v>海正药业</x:v>
      </x:c>
      <x:c r="C522" t="str">
        <x:v>主板</x:v>
      </x:c>
      <x:c r="D522" t="str">
        <x:v>待行业映射</x:v>
      </x:c>
      <x:c r="E522" t="n">
        <x:v>11.64</x:v>
      </x:c>
      <x:c r="F522" t="n">
        <x:v>15.65</x:v>
      </x:c>
      <x:c r="G522"/>
      <x:c r="H522" t="n">
        <x:v>137.38</x:v>
      </x:c>
      <x:c r="I522" t="n">
        <x:v>29.12</x:v>
      </x:c>
      <x:c r="J522" t="str">
        <x:v>initial_screen_pending_pb_financial_review</x:v>
      </x:c>
      <x:c r="K522" t="str">
        <x:v>AkShare / Tencent all-A market snapshot</x:v>
      </x:c>
      <x:c r="L522" t="str">
        <x:v>ProxyError: primary market source unavailable; see source_id for full audit.</x:v>
      </x:c>
      <x:c r="M522" t="str">
        <x:v>0</x:v>
      </x:c>
      <x:c r="N522" t="str">
        <x:v>0fd6ad2d-3389-4e70-8974-eb85ee223eeb</x:v>
      </x:c>
      <x:c r="O522" t="str">
        <x:v>2026-09-04</x:v>
      </x:c>
    </x:row>
    <x:row r="523">
      <x:c r="A523" t="str">
        <x:v>600258</x:v>
      </x:c>
      <x:c r="B523" t="str">
        <x:v>首旅酒店</x:v>
      </x:c>
      <x:c r="C523" t="str">
        <x:v>主板</x:v>
      </x:c>
      <x:c r="D523" t="str">
        <x:v>待行业映射</x:v>
      </x:c>
      <x:c r="E523" t="n">
        <x:v>11.95</x:v>
      </x:c>
      <x:c r="F523" t="n">
        <x:v>15.61</x:v>
      </x:c>
      <x:c r="G523"/>
      <x:c r="H523" t="n">
        <x:v>133.43</x:v>
      </x:c>
      <x:c r="I523" t="n">
        <x:v>29.08</x:v>
      </x:c>
      <x:c r="J523" t="str">
        <x:v>initial_screen_pending_pb_financial_review</x:v>
      </x:c>
      <x:c r="K523" t="str">
        <x:v>AkShare / Tencent all-A market snapshot</x:v>
      </x:c>
      <x:c r="L523" t="str">
        <x:v>ProxyError: primary market source unavailable; see source_id for full audit.</x:v>
      </x:c>
      <x:c r="M523" t="str">
        <x:v>0</x:v>
      </x:c>
      <x:c r="N523" t="str">
        <x:v>0fd6ad2d-3389-4e70-8974-eb85ee223eeb</x:v>
      </x:c>
      <x:c r="O523" t="str">
        <x:v>2026-09-04</x:v>
      </x:c>
    </x:row>
    <x:row r="524">
      <x:c r="A524" t="str">
        <x:v>601021</x:v>
      </x:c>
      <x:c r="B524" t="str">
        <x:v>春秋航空</x:v>
      </x:c>
      <x:c r="C524" t="str">
        <x:v>主板</x:v>
      </x:c>
      <x:c r="D524" t="str">
        <x:v>待行业映射</x:v>
      </x:c>
      <x:c r="E524" t="n">
        <x:v>43.89</x:v>
      </x:c>
      <x:c r="F524" t="n">
        <x:v>19.6</x:v>
      </x:c>
      <x:c r="G524"/>
      <x:c r="H524" t="n">
        <x:v>429.39</x:v>
      </x:c>
      <x:c r="I524" t="n">
        <x:v>29.07</x:v>
      </x:c>
      <x:c r="J524" t="str">
        <x:v>initial_screen_pending_pb_financial_review</x:v>
      </x:c>
      <x:c r="K524" t="str">
        <x:v>AkShare / Tencent all-A market snapshot</x:v>
      </x:c>
      <x:c r="L524" t="str">
        <x:v>ProxyError: primary market source unavailable; see source_id for full audit.</x:v>
      </x:c>
      <x:c r="M524" t="str">
        <x:v>0</x:v>
      </x:c>
      <x:c r="N524" t="str">
        <x:v>0fd6ad2d-3389-4e70-8974-eb85ee223eeb</x:v>
      </x:c>
      <x:c r="O524" t="str">
        <x:v>2026-09-04</x:v>
      </x:c>
    </x:row>
    <x:row r="525">
      <x:c r="A525" t="str">
        <x:v>603153</x:v>
      </x:c>
      <x:c r="B525" t="str">
        <x:v>上海建科</x:v>
      </x:c>
      <x:c r="C525" t="str">
        <x:v>主板</x:v>
      </x:c>
      <x:c r="D525" t="str">
        <x:v>待行业映射</x:v>
      </x:c>
      <x:c r="E525" t="n">
        <x:v>13.27</x:v>
      </x:c>
      <x:c r="F525" t="n">
        <x:v>14.55</x:v>
      </x:c>
      <x:c r="G525"/>
      <x:c r="H525" t="n">
        <x:v>54.39</x:v>
      </x:c>
      <x:c r="I525" t="n">
        <x:v>29.07</x:v>
      </x:c>
      <x:c r="J525" t="str">
        <x:v>initial_screen_pending_pb_financial_review</x:v>
      </x:c>
      <x:c r="K525" t="str">
        <x:v>AkShare / Tencent all-A market snapshot</x:v>
      </x:c>
      <x:c r="L525" t="str">
        <x:v>ProxyError: primary market source unavailable; see source_id for full audit.</x:v>
      </x:c>
      <x:c r="M525" t="str">
        <x:v>0</x:v>
      </x:c>
      <x:c r="N525" t="str">
        <x:v>0fd6ad2d-3389-4e70-8974-eb85ee223eeb</x:v>
      </x:c>
      <x:c r="O525" t="str">
        <x:v>2026-09-04</x:v>
      </x:c>
    </x:row>
    <x:row r="526">
      <x:c r="A526" t="str">
        <x:v>000065</x:v>
      </x:c>
      <x:c r="B526" t="str">
        <x:v>北方国际</x:v>
      </x:c>
      <x:c r="C526" t="str">
        <x:v>主板</x:v>
      </x:c>
      <x:c r="D526" t="str">
        <x:v>待行业映射</x:v>
      </x:c>
      <x:c r="E526" t="n">
        <x:v>9.79</x:v>
      </x:c>
      <x:c r="F526" t="n">
        <x:v>15.36</x:v>
      </x:c>
      <x:c r="G526"/>
      <x:c r="H526" t="n">
        <x:v>113.71</x:v>
      </x:c>
      <x:c r="I526" t="n">
        <x:v>29.04</x:v>
      </x:c>
      <x:c r="J526" t="str">
        <x:v>initial_screen_pending_pb_financial_review</x:v>
      </x:c>
      <x:c r="K526" t="str">
        <x:v>AkShare / Tencent all-A market snapshot</x:v>
      </x:c>
      <x:c r="L526" t="str">
        <x:v>ProxyError: primary market source unavailable; see source_id for full audit.</x:v>
      </x:c>
      <x:c r="M526" t="str">
        <x:v>0</x:v>
      </x:c>
      <x:c r="N526" t="str">
        <x:v>0fd6ad2d-3389-4e70-8974-eb85ee223eeb</x:v>
      </x:c>
      <x:c r="O526" t="str">
        <x:v>2026-09-04</x:v>
      </x:c>
    </x:row>
    <x:row r="527">
      <x:c r="A527" t="str">
        <x:v>300358</x:v>
      </x:c>
      <x:c r="B527" t="str">
        <x:v>楚天科技</x:v>
      </x:c>
      <x:c r="C527" t="str">
        <x:v>创业板</x:v>
      </x:c>
      <x:c r="D527" t="str">
        <x:v>待行业映射</x:v>
      </x:c>
      <x:c r="E527" t="n">
        <x:v>8.45</x:v>
      </x:c>
      <x:c r="F527" t="n">
        <x:v>14.66</x:v>
      </x:c>
      <x:c r="G527"/>
      <x:c r="H527" t="n">
        <x:v>60.43</x:v>
      </x:c>
      <x:c r="I527" t="n">
        <x:v>29</x:v>
      </x:c>
      <x:c r="J527" t="str">
        <x:v>initial_screen_pending_pb_financial_review</x:v>
      </x:c>
      <x:c r="K527" t="str">
        <x:v>AkShare / Tencent all-A market snapshot</x:v>
      </x:c>
      <x:c r="L527" t="str">
        <x:v>ProxyError: primary market source unavailable; see source_id for full audit.</x:v>
      </x:c>
      <x:c r="M527" t="str">
        <x:v>0</x:v>
      </x:c>
      <x:c r="N527" t="str">
        <x:v>0fd6ad2d-3389-4e70-8974-eb85ee223eeb</x:v>
      </x:c>
      <x:c r="O527" t="str">
        <x:v>2026-09-04</x:v>
      </x:c>
    </x:row>
    <x:row r="528">
      <x:c r="A528" t="str">
        <x:v>002997</x:v>
      </x:c>
      <x:c r="B528" t="str">
        <x:v>瑞鹄模具</x:v>
      </x:c>
      <x:c r="C528" t="str">
        <x:v>主板</x:v>
      </x:c>
      <x:c r="D528" t="str">
        <x:v>待行业映射</x:v>
      </x:c>
      <x:c r="E528" t="n">
        <x:v>28.51</x:v>
      </x:c>
      <x:c r="F528" t="n">
        <x:v>14.71</x:v>
      </x:c>
      <x:c r="G528"/>
      <x:c r="H528" t="n">
        <x:v>59.68</x:v>
      </x:c>
      <x:c r="I528" t="n">
        <x:v>28.84</x:v>
      </x:c>
      <x:c r="J528" t="str">
        <x:v>initial_screen_pending_pb_financial_review</x:v>
      </x:c>
      <x:c r="K528" t="str">
        <x:v>AkShare / Tencent all-A market snapshot</x:v>
      </x:c>
      <x:c r="L528" t="str">
        <x:v>ProxyError: primary market source unavailable; see source_id for full audit.</x:v>
      </x:c>
      <x:c r="M528" t="str">
        <x:v>0</x:v>
      </x:c>
      <x:c r="N528" t="str">
        <x:v>0fd6ad2d-3389-4e70-8974-eb85ee223eeb</x:v>
      </x:c>
      <x:c r="O528" t="str">
        <x:v>2026-09-04</x:v>
      </x:c>
    </x:row>
    <x:row r="529">
      <x:c r="A529" t="str">
        <x:v>601928</x:v>
      </x:c>
      <x:c r="B529" t="str">
        <x:v>凤凰传媒</x:v>
      </x:c>
      <x:c r="C529" t="str">
        <x:v>主板</x:v>
      </x:c>
      <x:c r="D529" t="str">
        <x:v>待行业映射</x:v>
      </x:c>
      <x:c r="E529" t="n">
        <x:v>8.65</x:v>
      </x:c>
      <x:c r="F529" t="n">
        <x:v>16.91</x:v>
      </x:c>
      <x:c r="G529"/>
      <x:c r="H529" t="n">
        <x:v>220.13</x:v>
      </x:c>
      <x:c r="I529" t="n">
        <x:v>28.74</x:v>
      </x:c>
      <x:c r="J529" t="str">
        <x:v>initial_screen_pending_pb_financial_review</x:v>
      </x:c>
      <x:c r="K529" t="str">
        <x:v>AkShare / Tencent all-A market snapshot</x:v>
      </x:c>
      <x:c r="L529" t="str">
        <x:v>ProxyError: primary market source unavailable; see source_id for full audit.</x:v>
      </x:c>
      <x:c r="M529" t="str">
        <x:v>0</x:v>
      </x:c>
      <x:c r="N529" t="str">
        <x:v>0fd6ad2d-3389-4e70-8974-eb85ee223eeb</x:v>
      </x:c>
      <x:c r="O529" t="str">
        <x:v>2026-09-04</x:v>
      </x:c>
    </x:row>
    <x:row r="530">
      <x:c r="A530" t="str">
        <x:v>000755</x:v>
      </x:c>
      <x:c r="B530" t="str">
        <x:v>山西高速</x:v>
      </x:c>
      <x:c r="C530" t="str">
        <x:v>主板</x:v>
      </x:c>
      <x:c r="D530" t="str">
        <x:v>待行业映射</x:v>
      </x:c>
      <x:c r="E530" t="n">
        <x:v>4.77</x:v>
      </x:c>
      <x:c r="F530" t="n">
        <x:v>14.9</x:v>
      </x:c>
      <x:c r="G530"/>
      <x:c r="H530" t="n">
        <x:v>69.99</x:v>
      </x:c>
      <x:c r="I530" t="n">
        <x:v>28.71</x:v>
      </x:c>
      <x:c r="J530" t="str">
        <x:v>initial_screen_pending_pb_financial_review</x:v>
      </x:c>
      <x:c r="K530" t="str">
        <x:v>AkShare / Tencent all-A market snapshot</x:v>
      </x:c>
      <x:c r="L530" t="str">
        <x:v>ProxyError: primary market source unavailable; see source_id for full audit.</x:v>
      </x:c>
      <x:c r="M530" t="str">
        <x:v>0</x:v>
      </x:c>
      <x:c r="N530" t="str">
        <x:v>0fd6ad2d-3389-4e70-8974-eb85ee223eeb</x:v>
      </x:c>
      <x:c r="O530" t="str">
        <x:v>2026-09-04</x:v>
      </x:c>
    </x:row>
    <x:row r="531">
      <x:c r="A531" t="str">
        <x:v>300360</x:v>
      </x:c>
      <x:c r="B531" t="str">
        <x:v>炬华科技</x:v>
      </x:c>
      <x:c r="C531" t="str">
        <x:v>创业板</x:v>
      </x:c>
      <x:c r="D531" t="str">
        <x:v>待行业映射</x:v>
      </x:c>
      <x:c r="E531" t="n">
        <x:v>11.46</x:v>
      </x:c>
      <x:c r="F531" t="n">
        <x:v>14.77</x:v>
      </x:c>
      <x:c r="G531"/>
      <x:c r="H531" t="n">
        <x:v>58.93</x:v>
      </x:c>
      <x:c r="I531" t="n">
        <x:v>28.66</x:v>
      </x:c>
      <x:c r="J531" t="str">
        <x:v>initial_screen_pending_pb_financial_review</x:v>
      </x:c>
      <x:c r="K531" t="str">
        <x:v>AkShare / Tencent all-A market snapshot</x:v>
      </x:c>
      <x:c r="L531" t="str">
        <x:v>ProxyError: primary market source unavailable; see source_id for full audit.</x:v>
      </x:c>
      <x:c r="M531" t="str">
        <x:v>0</x:v>
      </x:c>
      <x:c r="N531" t="str">
        <x:v>0fd6ad2d-3389-4e70-8974-eb85ee223eeb</x:v>
      </x:c>
      <x:c r="O531" t="str">
        <x:v>2026-09-04</x:v>
      </x:c>
    </x:row>
    <x:row r="532">
      <x:c r="A532" t="str">
        <x:v>600742</x:v>
      </x:c>
      <x:c r="B532" t="str">
        <x:v>富维股份</x:v>
      </x:c>
      <x:c r="C532" t="str">
        <x:v>主板</x:v>
      </x:c>
      <x:c r="D532" t="str">
        <x:v>待行业映射</x:v>
      </x:c>
      <x:c r="E532" t="n">
        <x:v>7.76</x:v>
      </x:c>
      <x:c r="F532" t="n">
        <x:v>14.78</x:v>
      </x:c>
      <x:c r="G532"/>
      <x:c r="H532" t="n">
        <x:v>57.66</x:v>
      </x:c>
      <x:c r="I532" t="n">
        <x:v>28.59</x:v>
      </x:c>
      <x:c r="J532" t="str">
        <x:v>initial_screen_pending_pb_financial_review</x:v>
      </x:c>
      <x:c r="K532" t="str">
        <x:v>AkShare / Tencent all-A market snapshot</x:v>
      </x:c>
      <x:c r="L532" t="str">
        <x:v>ProxyError: primary market source unavailable; see source_id for full audit.</x:v>
      </x:c>
      <x:c r="M532" t="str">
        <x:v>0</x:v>
      </x:c>
      <x:c r="N532" t="str">
        <x:v>0fd6ad2d-3389-4e70-8974-eb85ee223eeb</x:v>
      </x:c>
      <x:c r="O532" t="str">
        <x:v>2026-09-04</x:v>
      </x:c>
    </x:row>
    <x:row r="533">
      <x:c r="A533" t="str">
        <x:v>600848</x:v>
      </x:c>
      <x:c r="B533" t="str">
        <x:v>上海临港</x:v>
      </x:c>
      <x:c r="C533" t="str">
        <x:v>主板</x:v>
      </x:c>
      <x:c r="D533" t="str">
        <x:v>待行业映射</x:v>
      </x:c>
      <x:c r="E533" t="n">
        <x:v>8.65</x:v>
      </x:c>
      <x:c r="F533" t="n">
        <x:v>16.96</x:v>
      </x:c>
      <x:c r="G533"/>
      <x:c r="H533" t="n">
        <x:v>218.2</x:v>
      </x:c>
      <x:c r="I533" t="n">
        <x:v>28.54</x:v>
      </x:c>
      <x:c r="J533" t="str">
        <x:v>initial_screen_pending_pb_financial_review</x:v>
      </x:c>
      <x:c r="K533" t="str">
        <x:v>AkShare / Tencent all-A market snapshot</x:v>
      </x:c>
      <x:c r="L533" t="str">
        <x:v>ProxyError: primary market source unavailable; see source_id for full audit.</x:v>
      </x:c>
      <x:c r="M533" t="str">
        <x:v>0</x:v>
      </x:c>
      <x:c r="N533" t="str">
        <x:v>0fd6ad2d-3389-4e70-8974-eb85ee223eeb</x:v>
      </x:c>
      <x:c r="O533" t="str">
        <x:v>2026-09-04</x:v>
      </x:c>
    </x:row>
    <x:row r="534">
      <x:c r="A534" t="str">
        <x:v>603111</x:v>
      </x:c>
      <x:c r="B534" t="str">
        <x:v>康尼机电</x:v>
      </x:c>
      <x:c r="C534" t="str">
        <x:v>主板</x:v>
      </x:c>
      <x:c r="D534" t="str">
        <x:v>待行业映射</x:v>
      </x:c>
      <x:c r="E534" t="n">
        <x:v>6.27</x:v>
      </x:c>
      <x:c r="F534" t="n">
        <x:v>14.75</x:v>
      </x:c>
      <x:c r="G534"/>
      <x:c r="H534" t="n">
        <x:v>54.05</x:v>
      </x:c>
      <x:c r="I534" t="n">
        <x:v>28.54</x:v>
      </x:c>
      <x:c r="J534" t="str">
        <x:v>initial_screen_pending_pb_financial_review</x:v>
      </x:c>
      <x:c r="K534" t="str">
        <x:v>AkShare / Tencent all-A market snapshot</x:v>
      </x:c>
      <x:c r="L534" t="str">
        <x:v>ProxyError: primary market source unavailable; see source_id for full audit.</x:v>
      </x:c>
      <x:c r="M534" t="str">
        <x:v>0</x:v>
      </x:c>
      <x:c r="N534" t="str">
        <x:v>0fd6ad2d-3389-4e70-8974-eb85ee223eeb</x:v>
      </x:c>
      <x:c r="O534" t="str">
        <x:v>2026-09-04</x:v>
      </x:c>
    </x:row>
    <x:row r="535">
      <x:c r="A535" t="str">
        <x:v>002705</x:v>
      </x:c>
      <x:c r="B535" t="str">
        <x:v>新宝股份</x:v>
      </x:c>
      <x:c r="C535" t="str">
        <x:v>主板</x:v>
      </x:c>
      <x:c r="D535" t="str">
        <x:v>待行业映射</x:v>
      </x:c>
      <x:c r="E535" t="n">
        <x:v>11.15</x:v>
      </x:c>
      <x:c r="F535" t="n">
        <x:v>15.26</x:v>
      </x:c>
      <x:c r="G535"/>
      <x:c r="H535" t="n">
        <x:v>90.52</x:v>
      </x:c>
      <x:c r="I535" t="n">
        <x:v>28.49</x:v>
      </x:c>
      <x:c r="J535" t="str">
        <x:v>initial_screen_pending_pb_financial_review</x:v>
      </x:c>
      <x:c r="K535" t="str">
        <x:v>AkShare / Tencent all-A market snapshot</x:v>
      </x:c>
      <x:c r="L535" t="str">
        <x:v>ProxyError: primary market source unavailable; see source_id for full audit.</x:v>
      </x:c>
      <x:c r="M535" t="str">
        <x:v>0</x:v>
      </x:c>
      <x:c r="N535" t="str">
        <x:v>0fd6ad2d-3389-4e70-8974-eb85ee223eeb</x:v>
      </x:c>
      <x:c r="O535" t="str">
        <x:v>2026-09-04</x:v>
      </x:c>
    </x:row>
    <x:row r="536">
      <x:c r="A536" t="str">
        <x:v>600132</x:v>
      </x:c>
      <x:c r="B536" t="str">
        <x:v>重庆啤酒</x:v>
      </x:c>
      <x:c r="C536" t="str">
        <x:v>主板</x:v>
      </x:c>
      <x:c r="D536" t="str">
        <x:v>待行业映射</x:v>
      </x:c>
      <x:c r="E536" t="n">
        <x:v>39.98</x:v>
      </x:c>
      <x:c r="F536" t="n">
        <x:v>16.65</x:v>
      </x:c>
      <x:c r="G536"/>
      <x:c r="H536" t="n">
        <x:v>193.49</x:v>
      </x:c>
      <x:c r="I536" t="n">
        <x:v>28.48</x:v>
      </x:c>
      <x:c r="J536" t="str">
        <x:v>initial_screen_pending_pb_financial_review</x:v>
      </x:c>
      <x:c r="K536" t="str">
        <x:v>AkShare / Tencent all-A market snapshot</x:v>
      </x:c>
      <x:c r="L536" t="str">
        <x:v>ProxyError: primary market source unavailable; see source_id for full audit.</x:v>
      </x:c>
      <x:c r="M536" t="str">
        <x:v>0</x:v>
      </x:c>
      <x:c r="N536" t="str">
        <x:v>0fd6ad2d-3389-4e70-8974-eb85ee223eeb</x:v>
      </x:c>
      <x:c r="O536" t="str">
        <x:v>2026-09-04</x:v>
      </x:c>
    </x:row>
    <x:row r="537">
      <x:c r="A537" t="str">
        <x:v>600116</x:v>
      </x:c>
      <x:c r="B537" t="str">
        <x:v>三峡水利</x:v>
      </x:c>
      <x:c r="C537" t="str">
        <x:v>主板</x:v>
      </x:c>
      <x:c r="D537" t="str">
        <x:v>待行业映射</x:v>
      </x:c>
      <x:c r="E537" t="n">
        <x:v>6.28</x:v>
      </x:c>
      <x:c r="F537" t="n">
        <x:v>15.68</x:v>
      </x:c>
      <x:c r="G537"/>
      <x:c r="H537" t="n">
        <x:v>120.08</x:v>
      </x:c>
      <x:c r="I537" t="n">
        <x:v>28.43</x:v>
      </x:c>
      <x:c r="J537" t="str">
        <x:v>initial_screen_pending_pb_financial_review</x:v>
      </x:c>
      <x:c r="K537" t="str">
        <x:v>AkShare / Tencent all-A market snapshot</x:v>
      </x:c>
      <x:c r="L537" t="str">
        <x:v>ProxyError: primary market source unavailable; see source_id for full audit.</x:v>
      </x:c>
      <x:c r="M537" t="str">
        <x:v>0</x:v>
      </x:c>
      <x:c r="N537" t="str">
        <x:v>0fd6ad2d-3389-4e70-8974-eb85ee223eeb</x:v>
      </x:c>
      <x:c r="O537" t="str">
        <x:v>2026-09-04</x:v>
      </x:c>
    </x:row>
    <x:row r="538">
      <x:c r="A538" t="str">
        <x:v>002043</x:v>
      </x:c>
      <x:c r="B538" t="str">
        <x:v>兔 宝 宝</x:v>
      </x:c>
      <x:c r="C538" t="str">
        <x:v>主板</x:v>
      </x:c>
      <x:c r="D538" t="str">
        <x:v>待行业映射</x:v>
      </x:c>
      <x:c r="E538" t="n">
        <x:v>12.73</x:v>
      </x:c>
      <x:c r="F538" t="n">
        <x:v>15.49</x:v>
      </x:c>
      <x:c r="G538"/>
      <x:c r="H538" t="n">
        <x:v>105.63</x:v>
      </x:c>
      <x:c r="I538" t="n">
        <x:v>28.42</x:v>
      </x:c>
      <x:c r="J538" t="str">
        <x:v>initial_screen_pending_pb_financial_review</x:v>
      </x:c>
      <x:c r="K538" t="str">
        <x:v>AkShare / Tencent all-A market snapshot</x:v>
      </x:c>
      <x:c r="L538" t="str">
        <x:v>ProxyError: primary market source unavailable; see source_id for full audit.</x:v>
      </x:c>
      <x:c r="M538" t="str">
        <x:v>0</x:v>
      </x:c>
      <x:c r="N538" t="str">
        <x:v>0fd6ad2d-3389-4e70-8974-eb85ee223eeb</x:v>
      </x:c>
      <x:c r="O538" t="str">
        <x:v>2026-09-04</x:v>
      </x:c>
    </x:row>
    <x:row r="539">
      <x:c r="A539" t="str">
        <x:v>000778</x:v>
      </x:c>
      <x:c r="B539" t="str">
        <x:v>新兴铸管</x:v>
      </x:c>
      <x:c r="C539" t="str">
        <x:v>主板</x:v>
      </x:c>
      <x:c r="D539" t="str">
        <x:v>待行业映射</x:v>
      </x:c>
      <x:c r="E539" t="n">
        <x:v>3.71</x:v>
      </x:c>
      <x:c r="F539" t="n">
        <x:v>16.07</x:v>
      </x:c>
      <x:c r="G539"/>
      <x:c r="H539" t="n">
        <x:v>147.03</x:v>
      </x:c>
      <x:c r="I539" t="n">
        <x:v>28.36</x:v>
      </x:c>
      <x:c r="J539" t="str">
        <x:v>initial_screen_pending_pb_financial_review</x:v>
      </x:c>
      <x:c r="K539" t="str">
        <x:v>AkShare / Tencent all-A market snapshot</x:v>
      </x:c>
      <x:c r="L539" t="str">
        <x:v>ProxyError: primary market source unavailable; see source_id for full audit.</x:v>
      </x:c>
      <x:c r="M539" t="str">
        <x:v>0</x:v>
      </x:c>
      <x:c r="N539" t="str">
        <x:v>0fd6ad2d-3389-4e70-8974-eb85ee223eeb</x:v>
      </x:c>
      <x:c r="O539" t="str">
        <x:v>2026-09-04</x:v>
      </x:c>
    </x:row>
    <x:row r="540">
      <x:c r="A540" t="str">
        <x:v>601311</x:v>
      </x:c>
      <x:c r="B540" t="str">
        <x:v>骆驼股份</x:v>
      </x:c>
      <x:c r="C540" t="str">
        <x:v>主板</x:v>
      </x:c>
      <x:c r="D540" t="str">
        <x:v>待行业映射</x:v>
      </x:c>
      <x:c r="E540" t="n">
        <x:v>7.66</x:v>
      </x:c>
      <x:c r="F540" t="n">
        <x:v>15.34</x:v>
      </x:c>
      <x:c r="G540"/>
      <x:c r="H540" t="n">
        <x:v>89.86</x:v>
      </x:c>
      <x:c r="I540" t="n">
        <x:v>28.26</x:v>
      </x:c>
      <x:c r="J540" t="str">
        <x:v>initial_screen_pending_pb_financial_review</x:v>
      </x:c>
      <x:c r="K540" t="str">
        <x:v>AkShare / Tencent all-A market snapshot</x:v>
      </x:c>
      <x:c r="L540" t="str">
        <x:v>ProxyError: primary market source unavailable; see source_id for full audit.</x:v>
      </x:c>
      <x:c r="M540" t="str">
        <x:v>0</x:v>
      </x:c>
      <x:c r="N540" t="str">
        <x:v>0fd6ad2d-3389-4e70-8974-eb85ee223eeb</x:v>
      </x:c>
      <x:c r="O540" t="str">
        <x:v>2026-09-04</x:v>
      </x:c>
    </x:row>
    <x:row r="541">
      <x:c r="A541" t="str">
        <x:v>002920</x:v>
      </x:c>
      <x:c r="B541" t="str">
        <x:v>德赛西威</x:v>
      </x:c>
      <x:c r="C541" t="str">
        <x:v>主板</x:v>
      </x:c>
      <x:c r="D541" t="str">
        <x:v>待行业映射</x:v>
      </x:c>
      <x:c r="E541" t="n">
        <x:v>88</x:v>
      </x:c>
      <x:c r="F541" t="n">
        <x:v>21.21</x:v>
      </x:c>
      <x:c r="G541"/>
      <x:c r="H541" t="n">
        <x:v>525.19</x:v>
      </x:c>
      <x:c r="I541" t="n">
        <x:v>28.24</x:v>
      </x:c>
      <x:c r="J541" t="str">
        <x:v>initial_screen_pending_pb_financial_review</x:v>
      </x:c>
      <x:c r="K541" t="str">
        <x:v>AkShare / Tencent all-A market snapshot</x:v>
      </x:c>
      <x:c r="L541" t="str">
        <x:v>ProxyError: primary market source unavailable; see source_id for full audit.</x:v>
      </x:c>
      <x:c r="M541" t="str">
        <x:v>0</x:v>
      </x:c>
      <x:c r="N541" t="str">
        <x:v>0fd6ad2d-3389-4e70-8974-eb85ee223eeb</x:v>
      </x:c>
      <x:c r="O541" t="str">
        <x:v>2026-09-04</x:v>
      </x:c>
    </x:row>
    <x:row r="542">
      <x:c r="A542" t="str">
        <x:v>600982</x:v>
      </x:c>
      <x:c r="B542" t="str">
        <x:v>宁波能源</x:v>
      </x:c>
      <x:c r="C542" t="str">
        <x:v>主板</x:v>
      </x:c>
      <x:c r="D542" t="str">
        <x:v>待行业映射</x:v>
      </x:c>
      <x:c r="E542" t="n">
        <x:v>4.88</x:v>
      </x:c>
      <x:c r="F542" t="n">
        <x:v>14.9</x:v>
      </x:c>
      <x:c r="G542"/>
      <x:c r="H542" t="n">
        <x:v>54.54</x:v>
      </x:c>
      <x:c r="I542" t="n">
        <x:v>28.17</x:v>
      </x:c>
      <x:c r="J542" t="str">
        <x:v>initial_screen_pending_pb_financial_review</x:v>
      </x:c>
      <x:c r="K542" t="str">
        <x:v>AkShare / Tencent all-A market snapshot</x:v>
      </x:c>
      <x:c r="L542" t="str">
        <x:v>ProxyError: primary market source unavailable; see source_id for full audit.</x:v>
      </x:c>
      <x:c r="M542" t="str">
        <x:v>0</x:v>
      </x:c>
      <x:c r="N542" t="str">
        <x:v>0fd6ad2d-3389-4e70-8974-eb85ee223eeb</x:v>
      </x:c>
      <x:c r="O542" t="str">
        <x:v>2026-09-04</x:v>
      </x:c>
    </x:row>
    <x:row r="543">
      <x:c r="A543" t="str">
        <x:v>002372</x:v>
      </x:c>
      <x:c r="B543" t="str">
        <x:v>伟星新材</x:v>
      </x:c>
      <x:c r="C543" t="str">
        <x:v>主板</x:v>
      </x:c>
      <x:c r="D543" t="str">
        <x:v>待行业映射</x:v>
      </x:c>
      <x:c r="E543" t="n">
        <x:v>8.67</x:v>
      </x:c>
      <x:c r="F543" t="n">
        <x:v>16.05</x:v>
      </x:c>
      <x:c r="G543"/>
      <x:c r="H543" t="n">
        <x:v>138.03</x:v>
      </x:c>
      <x:c r="I543" t="n">
        <x:v>28.1</x:v>
      </x:c>
      <x:c r="J543" t="str">
        <x:v>initial_screen_pending_pb_financial_review</x:v>
      </x:c>
      <x:c r="K543" t="str">
        <x:v>AkShare / Tencent all-A market snapshot</x:v>
      </x:c>
      <x:c r="L543" t="str">
        <x:v>ProxyError: primary market source unavailable; see source_id for full audit.</x:v>
      </x:c>
      <x:c r="M543" t="str">
        <x:v>0</x:v>
      </x:c>
      <x:c r="N543" t="str">
        <x:v>0fd6ad2d-3389-4e70-8974-eb85ee223eeb</x:v>
      </x:c>
      <x:c r="O543" t="str">
        <x:v>2026-09-04</x:v>
      </x:c>
    </x:row>
    <x:row r="544">
      <x:c r="A544" t="str">
        <x:v>002752</x:v>
      </x:c>
      <x:c r="B544" t="str">
        <x:v>昇兴股份</x:v>
      </x:c>
      <x:c r="C544" t="str">
        <x:v>主板</x:v>
      </x:c>
      <x:c r="D544" t="str">
        <x:v>待行业映射</x:v>
      </x:c>
      <x:c r="E544" t="n">
        <x:v>6.2</x:v>
      </x:c>
      <x:c r="F544" t="n">
        <x:v>15.02</x:v>
      </x:c>
      <x:c r="G544"/>
      <x:c r="H544" t="n">
        <x:v>60.57</x:v>
      </x:c>
      <x:c r="I544" t="n">
        <x:v>28.07</x:v>
      </x:c>
      <x:c r="J544" t="str">
        <x:v>initial_screen_pending_pb_financial_review</x:v>
      </x:c>
      <x:c r="K544" t="str">
        <x:v>AkShare / Tencent all-A market snapshot</x:v>
      </x:c>
      <x:c r="L544" t="str">
        <x:v>ProxyError: primary market source unavailable; see source_id for full audit.</x:v>
      </x:c>
      <x:c r="M544" t="str">
        <x:v>0</x:v>
      </x:c>
      <x:c r="N544" t="str">
        <x:v>0fd6ad2d-3389-4e70-8974-eb85ee223eeb</x:v>
      </x:c>
      <x:c r="O544" t="str">
        <x:v>2026-09-04</x:v>
      </x:c>
    </x:row>
    <x:row r="545">
      <x:c r="A545" t="str">
        <x:v>002204</x:v>
      </x:c>
      <x:c r="B545" t="str">
        <x:v>大连重工</x:v>
      </x:c>
      <x:c r="C545" t="str">
        <x:v>主板</x:v>
      </x:c>
      <x:c r="D545" t="str">
        <x:v>待行业映射</x:v>
      </x:c>
      <x:c r="E545" t="n">
        <x:v>5.17</x:v>
      </x:c>
      <x:c r="F545" t="n">
        <x:v>15.56</x:v>
      </x:c>
      <x:c r="G545"/>
      <x:c r="H545" t="n">
        <x:v>99.85</x:v>
      </x:c>
      <x:c r="I545" t="n">
        <x:v>28.04</x:v>
      </x:c>
      <x:c r="J545" t="str">
        <x:v>initial_screen_pending_pb_financial_review</x:v>
      </x:c>
      <x:c r="K545" t="str">
        <x:v>AkShare / Tencent all-A market snapshot</x:v>
      </x:c>
      <x:c r="L545" t="str">
        <x:v>ProxyError: primary market source unavailable; see source_id for full audit.</x:v>
      </x:c>
      <x:c r="M545" t="str">
        <x:v>0</x:v>
      </x:c>
      <x:c r="N545" t="str">
        <x:v>0fd6ad2d-3389-4e70-8974-eb85ee223eeb</x:v>
      </x:c>
      <x:c r="O545" t="str">
        <x:v>2026-09-04</x:v>
      </x:c>
    </x:row>
    <x:row r="546">
      <x:c r="A546" t="str">
        <x:v>603128</x:v>
      </x:c>
      <x:c r="B546" t="str">
        <x:v>华贸物流</x:v>
      </x:c>
      <x:c r="C546" t="str">
        <x:v>主板</x:v>
      </x:c>
      <x:c r="D546" t="str">
        <x:v>待行业映射</x:v>
      </x:c>
      <x:c r="E546" t="n">
        <x:v>5.6</x:v>
      </x:c>
      <x:c r="F546" t="n">
        <x:v>15.22</x:v>
      </x:c>
      <x:c r="G546"/>
      <x:c r="H546" t="n">
        <x:v>73.31</x:v>
      </x:c>
      <x:c r="I546" t="n">
        <x:v>27.99</x:v>
      </x:c>
      <x:c r="J546" t="str">
        <x:v>initial_screen_pending_pb_financial_review</x:v>
      </x:c>
      <x:c r="K546" t="str">
        <x:v>AkShare / Tencent all-A market snapshot</x:v>
      </x:c>
      <x:c r="L546" t="str">
        <x:v>ProxyError: primary market source unavailable; see source_id for full audit.</x:v>
      </x:c>
      <x:c r="M546" t="str">
        <x:v>0</x:v>
      </x:c>
      <x:c r="N546" t="str">
        <x:v>0fd6ad2d-3389-4e70-8974-eb85ee223eeb</x:v>
      </x:c>
      <x:c r="O546" t="str">
        <x:v>2026-09-04</x:v>
      </x:c>
    </x:row>
    <x:row r="547">
      <x:c r="A547" t="str">
        <x:v>688425</x:v>
      </x:c>
      <x:c r="B547" t="str">
        <x:v>铁建重工</x:v>
      </x:c>
      <x:c r="C547" t="str">
        <x:v>科创板</x:v>
      </x:c>
      <x:c r="D547" t="str">
        <x:v>待行业映射</x:v>
      </x:c>
      <x:c r="E547" t="n">
        <x:v>4.05</x:v>
      </x:c>
      <x:c r="F547" t="n">
        <x:v>17.25</x:v>
      </x:c>
      <x:c r="G547"/>
      <x:c r="H547" t="n">
        <x:v>216.01</x:v>
      </x:c>
      <x:c r="I547" t="n">
        <x:v>27.71</x:v>
      </x:c>
      <x:c r="J547" t="str">
        <x:v>initial_screen_pending_pb_financial_review</x:v>
      </x:c>
      <x:c r="K547" t="str">
        <x:v>AkShare / Tencent all-A market snapshot</x:v>
      </x:c>
      <x:c r="L547" t="str">
        <x:v>ProxyError: primary market source unavailable; see source_id for full audit.</x:v>
      </x:c>
      <x:c r="M547" t="str">
        <x:v>0</x:v>
      </x:c>
      <x:c r="N547" t="str">
        <x:v>0fd6ad2d-3389-4e70-8974-eb85ee223eeb</x:v>
      </x:c>
      <x:c r="O547" t="str">
        <x:v>2026-09-04</x:v>
      </x:c>
    </x:row>
    <x:row r="548">
      <x:c r="A548" t="str">
        <x:v>002984</x:v>
      </x:c>
      <x:c r="B548" t="str">
        <x:v>森麒麟</x:v>
      </x:c>
      <x:c r="C548" t="str">
        <x:v>主板</x:v>
      </x:c>
      <x:c r="D548" t="str">
        <x:v>待行业映射</x:v>
      </x:c>
      <x:c r="E548" t="n">
        <x:v>13.76</x:v>
      </x:c>
      <x:c r="F548" t="n">
        <x:v>16.33</x:v>
      </x:c>
      <x:c r="G548"/>
      <x:c r="H548" t="n">
        <x:v>142.59</x:v>
      </x:c>
      <x:c r="I548" t="n">
        <x:v>27.53</x:v>
      </x:c>
      <x:c r="J548" t="str">
        <x:v>initial_screen_pending_pb_financial_review</x:v>
      </x:c>
      <x:c r="K548" t="str">
        <x:v>AkShare / Tencent all-A market snapshot</x:v>
      </x:c>
      <x:c r="L548" t="str">
        <x:v>ProxyError: primary market source unavailable; see source_id for full audit.</x:v>
      </x:c>
      <x:c r="M548" t="str">
        <x:v>0</x:v>
      </x:c>
      <x:c r="N548" t="str">
        <x:v>0fd6ad2d-3389-4e70-8974-eb85ee223eeb</x:v>
      </x:c>
      <x:c r="O548" t="str">
        <x:v>2026-09-04</x:v>
      </x:c>
    </x:row>
    <x:row r="549">
      <x:c r="A549" t="str">
        <x:v>002073</x:v>
      </x:c>
      <x:c r="B549" t="str">
        <x:v>软控股份</x:v>
      </x:c>
      <x:c r="C549" t="str">
        <x:v>主板</x:v>
      </x:c>
      <x:c r="D549" t="str">
        <x:v>待行业映射</x:v>
      </x:c>
      <x:c r="E549" t="n">
        <x:v>5.85</x:v>
      </x:c>
      <x:c r="F549" t="n">
        <x:v>15.25</x:v>
      </x:c>
      <x:c r="G549"/>
      <x:c r="H549" t="n">
        <x:v>59.93</x:v>
      </x:c>
      <x:c r="I549" t="n">
        <x:v>27.45</x:v>
      </x:c>
      <x:c r="J549" t="str">
        <x:v>initial_screen_pending_pb_financial_review</x:v>
      </x:c>
      <x:c r="K549" t="str">
        <x:v>AkShare / Tencent all-A market snapshot</x:v>
      </x:c>
      <x:c r="L549" t="str">
        <x:v>ProxyError: primary market source unavailable; see source_id for full audit.</x:v>
      </x:c>
      <x:c r="M549" t="str">
        <x:v>0</x:v>
      </x:c>
      <x:c r="N549" t="str">
        <x:v>0fd6ad2d-3389-4e70-8974-eb85ee223eeb</x:v>
      </x:c>
      <x:c r="O549" t="str">
        <x:v>2026-09-04</x:v>
      </x:c>
    </x:row>
    <x:row r="550">
      <x:c r="A550" t="str">
        <x:v>002327</x:v>
      </x:c>
      <x:c r="B550" t="str">
        <x:v>富安娜</x:v>
      </x:c>
      <x:c r="C550" t="str">
        <x:v>主板</x:v>
      </x:c>
      <x:c r="D550" t="str">
        <x:v>待行业映射</x:v>
      </x:c>
      <x:c r="E550" t="n">
        <x:v>6.3</x:v>
      </x:c>
      <x:c r="F550" t="n">
        <x:v>15.16</x:v>
      </x:c>
      <x:c r="G550"/>
      <x:c r="H550" t="n">
        <x:v>52.53</x:v>
      </x:c>
      <x:c r="I550" t="n">
        <x:v>27.42</x:v>
      </x:c>
      <x:c r="J550" t="str">
        <x:v>initial_screen_pending_pb_financial_review</x:v>
      </x:c>
      <x:c r="K550" t="str">
        <x:v>AkShare / Tencent all-A market snapshot</x:v>
      </x:c>
      <x:c r="L550" t="str">
        <x:v>ProxyError: primary market source unavailable; see source_id for full audit.</x:v>
      </x:c>
      <x:c r="M550" t="str">
        <x:v>0</x:v>
      </x:c>
      <x:c r="N550" t="str">
        <x:v>0fd6ad2d-3389-4e70-8974-eb85ee223eeb</x:v>
      </x:c>
      <x:c r="O550" t="str">
        <x:v>2026-09-04</x:v>
      </x:c>
    </x:row>
    <x:row r="551">
      <x:c r="A551" t="str">
        <x:v>002595</x:v>
      </x:c>
      <x:c r="B551" t="str">
        <x:v>豪迈科技</x:v>
      </x:c>
      <x:c r="C551" t="str">
        <x:v>主板</x:v>
      </x:c>
      <x:c r="D551" t="str">
        <x:v>待行业映射</x:v>
      </x:c>
      <x:c r="E551" t="n">
        <x:v>42.4</x:v>
      </x:c>
      <x:c r="F551" t="n">
        <x:v>21.11</x:v>
      </x:c>
      <x:c r="G551"/>
      <x:c r="H551" t="n">
        <x:v>491.84</x:v>
      </x:c>
      <x:c r="I551" t="n">
        <x:v>27.33</x:v>
      </x:c>
      <x:c r="J551" t="str">
        <x:v>initial_screen_pending_pb_financial_review</x:v>
      </x:c>
      <x:c r="K551" t="str">
        <x:v>AkShare / Tencent all-A market snapshot</x:v>
      </x:c>
      <x:c r="L551" t="str">
        <x:v>ProxyError: primary market source unavailable; see source_id for full audit.</x:v>
      </x:c>
      <x:c r="M551" t="str">
        <x:v>0</x:v>
      </x:c>
      <x:c r="N551" t="str">
        <x:v>0fd6ad2d-3389-4e70-8974-eb85ee223eeb</x:v>
      </x:c>
      <x:c r="O551" t="str">
        <x:v>2026-09-04</x:v>
      </x:c>
    </x:row>
    <x:row r="552">
      <x:c r="A552" t="str">
        <x:v>603194</x:v>
      </x:c>
      <x:c r="B552" t="str">
        <x:v>中力股份</x:v>
      </x:c>
      <x:c r="C552" t="str">
        <x:v>主板</x:v>
      </x:c>
      <x:c r="D552" t="str">
        <x:v>待行业映射</x:v>
      </x:c>
      <x:c r="E552" t="n">
        <x:v>34.29</x:v>
      </x:c>
      <x:c r="F552" t="n">
        <x:v>16.38</x:v>
      </x:c>
      <x:c r="G552"/>
      <x:c r="H552" t="n">
        <x:v>137.5</x:v>
      </x:c>
      <x:c r="I552" t="n">
        <x:v>27.22</x:v>
      </x:c>
      <x:c r="J552" t="str">
        <x:v>initial_screen_pending_pb_financial_review</x:v>
      </x:c>
      <x:c r="K552" t="str">
        <x:v>AkShare / Tencent all-A market snapshot</x:v>
      </x:c>
      <x:c r="L552" t="str">
        <x:v>ProxyError: primary market source unavailable; see source_id for full audit.</x:v>
      </x:c>
      <x:c r="M552" t="str">
        <x:v>0</x:v>
      </x:c>
      <x:c r="N552" t="str">
        <x:v>0fd6ad2d-3389-4e70-8974-eb85ee223eeb</x:v>
      </x:c>
      <x:c r="O552" t="str">
        <x:v>2026-09-04</x:v>
      </x:c>
    </x:row>
    <x:row r="553">
      <x:c r="A553" t="str">
        <x:v>601330</x:v>
      </x:c>
      <x:c r="B553" t="str">
        <x:v>绿色动力</x:v>
      </x:c>
      <x:c r="C553" t="str">
        <x:v>主板</x:v>
      </x:c>
      <x:c r="D553" t="str">
        <x:v>待行业映射</x:v>
      </x:c>
      <x:c r="E553" t="n">
        <x:v>7.92</x:v>
      </x:c>
      <x:c r="F553" t="n">
        <x:v>16.07</x:v>
      </x:c>
      <x:c r="G553"/>
      <x:c r="H553" t="n">
        <x:v>113.29</x:v>
      </x:c>
      <x:c r="I553" t="n">
        <x:v>27.18</x:v>
      </x:c>
      <x:c r="J553" t="str">
        <x:v>initial_screen_pending_pb_financial_review</x:v>
      </x:c>
      <x:c r="K553" t="str">
        <x:v>AkShare / Tencent all-A market snapshot</x:v>
      </x:c>
      <x:c r="L553" t="str">
        <x:v>ProxyError: primary market source unavailable; see source_id for full audit.</x:v>
      </x:c>
      <x:c r="M553" t="str">
        <x:v>0</x:v>
      </x:c>
      <x:c r="N553" t="str">
        <x:v>0fd6ad2d-3389-4e70-8974-eb85ee223eeb</x:v>
      </x:c>
      <x:c r="O553" t="str">
        <x:v>2026-09-04</x:v>
      </x:c>
    </x:row>
    <x:row r="554">
      <x:c r="A554" t="str">
        <x:v>600361</x:v>
      </x:c>
      <x:c r="B554" t="str">
        <x:v>创新新材</x:v>
      </x:c>
      <x:c r="C554" t="str">
        <x:v>主板</x:v>
      </x:c>
      <x:c r="D554" t="str">
        <x:v>待行业映射</x:v>
      </x:c>
      <x:c r="E554" t="n">
        <x:v>3.63</x:v>
      </x:c>
      <x:c r="F554" t="n">
        <x:v>16.39</x:v>
      </x:c>
      <x:c r="G554"/>
      <x:c r="H554" t="n">
        <x:v>135.5</x:v>
      </x:c>
      <x:c r="I554" t="n">
        <x:v>27.13</x:v>
      </x:c>
      <x:c r="J554" t="str">
        <x:v>initial_screen_pending_pb_financial_review</x:v>
      </x:c>
      <x:c r="K554" t="str">
        <x:v>AkShare / Tencent all-A market snapshot</x:v>
      </x:c>
      <x:c r="L554" t="str">
        <x:v>ProxyError: primary market source unavailable; see source_id for full audit.</x:v>
      </x:c>
      <x:c r="M554" t="str">
        <x:v>0</x:v>
      </x:c>
      <x:c r="N554" t="str">
        <x:v>0fd6ad2d-3389-4e70-8974-eb85ee223eeb</x:v>
      </x:c>
      <x:c r="O554" t="str">
        <x:v>2026-09-04</x:v>
      </x:c>
    </x:row>
    <x:row r="555">
      <x:c r="A555" t="str">
        <x:v>603227</x:v>
      </x:c>
      <x:c r="B555" t="str">
        <x:v>雪峰科技</x:v>
      </x:c>
      <x:c r="C555" t="str">
        <x:v>主板</x:v>
      </x:c>
      <x:c r="D555" t="str">
        <x:v>待行业映射</x:v>
      </x:c>
      <x:c r="E555" t="n">
        <x:v>7.7</x:v>
      </x:c>
      <x:c r="F555" t="n">
        <x:v>15.68</x:v>
      </x:c>
      <x:c r="G555"/>
      <x:c r="H555" t="n">
        <x:v>82.52</x:v>
      </x:c>
      <x:c r="I555" t="n">
        <x:v>27.12</x:v>
      </x:c>
      <x:c r="J555" t="str">
        <x:v>initial_screen_pending_pb_financial_review</x:v>
      </x:c>
      <x:c r="K555" t="str">
        <x:v>AkShare / Tencent all-A market snapshot</x:v>
      </x:c>
      <x:c r="L555" t="str">
        <x:v>ProxyError: primary market source unavailable; see source_id for full audit.</x:v>
      </x:c>
      <x:c r="M555" t="str">
        <x:v>0</x:v>
      </x:c>
      <x:c r="N555" t="str">
        <x:v>0fd6ad2d-3389-4e70-8974-eb85ee223eeb</x:v>
      </x:c>
      <x:c r="O555" t="str">
        <x:v>2026-09-04</x:v>
      </x:c>
    </x:row>
    <x:row r="556">
      <x:c r="A556" t="str">
        <x:v>600300</x:v>
      </x:c>
      <x:c r="B556" t="str">
        <x:v>维维股份</x:v>
      </x:c>
      <x:c r="C556" t="str">
        <x:v>主板</x:v>
      </x:c>
      <x:c r="D556" t="str">
        <x:v>待行业映射</x:v>
      </x:c>
      <x:c r="E556" t="n">
        <x:v>3.27</x:v>
      </x:c>
      <x:c r="F556" t="n">
        <x:v>15.32</x:v>
      </x:c>
      <x:c r="G556"/>
      <x:c r="H556" t="n">
        <x:v>52.88</x:v>
      </x:c>
      <x:c r="I556" t="n">
        <x:v>27.02</x:v>
      </x:c>
      <x:c r="J556" t="str">
        <x:v>initial_screen_pending_pb_financial_review</x:v>
      </x:c>
      <x:c r="K556" t="str">
        <x:v>AkShare / Tencent all-A market snapshot</x:v>
      </x:c>
      <x:c r="L556" t="str">
        <x:v>ProxyError: primary market source unavailable; see source_id for full audit.</x:v>
      </x:c>
      <x:c r="M556" t="str">
        <x:v>0</x:v>
      </x:c>
      <x:c r="N556" t="str">
        <x:v>0fd6ad2d-3389-4e70-8974-eb85ee223eeb</x:v>
      </x:c>
      <x:c r="O556" t="str">
        <x:v>2026-09-04</x:v>
      </x:c>
    </x:row>
    <x:row r="557">
      <x:c r="A557" t="str">
        <x:v>603225</x:v>
      </x:c>
      <x:c r="B557" t="str">
        <x:v>新凤鸣</x:v>
      </x:c>
      <x:c r="C557" t="str">
        <x:v>主板</x:v>
      </x:c>
      <x:c r="D557" t="str">
        <x:v>待行业映射</x:v>
      </x:c>
      <x:c r="E557" t="n">
        <x:v>19.94</x:v>
      </x:c>
      <x:c r="F557" t="n">
        <x:v>19.12</x:v>
      </x:c>
      <x:c r="G557"/>
      <x:c r="H557" t="n">
        <x:v>334.49</x:v>
      </x:c>
      <x:c r="I557" t="n">
        <x:v>27</x:v>
      </x:c>
      <x:c r="J557" t="str">
        <x:v>initial_screen_pending_pb_financial_review</x:v>
      </x:c>
      <x:c r="K557" t="str">
        <x:v>AkShare / Tencent all-A market snapshot</x:v>
      </x:c>
      <x:c r="L557" t="str">
        <x:v>ProxyError: primary market source unavailable; see source_id for full audit.</x:v>
      </x:c>
      <x:c r="M557" t="str">
        <x:v>0</x:v>
      </x:c>
      <x:c r="N557" t="str">
        <x:v>0fd6ad2d-3389-4e70-8974-eb85ee223eeb</x:v>
      </x:c>
      <x:c r="O557" t="str">
        <x:v>2026-09-04</x:v>
      </x:c>
    </x:row>
    <x:row r="558">
      <x:c r="A558" t="str">
        <x:v>000893</x:v>
      </x:c>
      <x:c r="B558" t="str">
        <x:v>亚钾国际</x:v>
      </x:c>
      <x:c r="C558" t="str">
        <x:v>主板</x:v>
      </x:c>
      <x:c r="D558" t="str">
        <x:v>待行业映射</x:v>
      </x:c>
      <x:c r="E558" t="n">
        <x:v>48.41</x:v>
      </x:c>
      <x:c r="F558" t="n">
        <x:v>20.64</x:v>
      </x:c>
      <x:c r="G558"/>
      <x:c r="H558" t="n">
        <x:v>447.33</x:v>
      </x:c>
      <x:c r="I558" t="n">
        <x:v>26.99</x:v>
      </x:c>
      <x:c r="J558" t="str">
        <x:v>initial_screen_pending_pb_financial_review</x:v>
      </x:c>
      <x:c r="K558" t="str">
        <x:v>AkShare / Tencent all-A market snapshot</x:v>
      </x:c>
      <x:c r="L558" t="str">
        <x:v>ProxyError: primary market source unavailable; see source_id for full audit.</x:v>
      </x:c>
      <x:c r="M558" t="str">
        <x:v>0</x:v>
      </x:c>
      <x:c r="N558" t="str">
        <x:v>0fd6ad2d-3389-4e70-8974-eb85ee223eeb</x:v>
      </x:c>
      <x:c r="O558" t="str">
        <x:v>2026-09-04</x:v>
      </x:c>
    </x:row>
    <x:row r="559">
      <x:c r="A559" t="str">
        <x:v>600956</x:v>
      </x:c>
      <x:c r="B559" t="str">
        <x:v>新天绿能</x:v>
      </x:c>
      <x:c r="C559" t="str">
        <x:v>主板</x:v>
      </x:c>
      <x:c r="D559" t="str">
        <x:v>待行业映射</x:v>
      </x:c>
      <x:c r="E559" t="n">
        <x:v>7.15</x:v>
      </x:c>
      <x:c r="F559" t="n">
        <x:v>18.98</x:v>
      </x:c>
      <x:c r="G559"/>
      <x:c r="H559" t="n">
        <x:v>321.77</x:v>
      </x:c>
      <x:c r="I559" t="n">
        <x:v>26.91</x:v>
      </x:c>
      <x:c r="J559" t="str">
        <x:v>initial_screen_pending_pb_financial_review</x:v>
      </x:c>
      <x:c r="K559" t="str">
        <x:v>AkShare / Tencent all-A market snapshot</x:v>
      </x:c>
      <x:c r="L559" t="str">
        <x:v>ProxyError: primary market source unavailable; see source_id for full audit.</x:v>
      </x:c>
      <x:c r="M559" t="str">
        <x:v>0</x:v>
      </x:c>
      <x:c r="N559" t="str">
        <x:v>0fd6ad2d-3389-4e70-8974-eb85ee223eeb</x:v>
      </x:c>
      <x:c r="O559" t="str">
        <x:v>2026-09-04</x:v>
      </x:c>
    </x:row>
    <x:row r="560">
      <x:c r="A560" t="str">
        <x:v>002083</x:v>
      </x:c>
      <x:c r="B560" t="str">
        <x:v>孚日股份</x:v>
      </x:c>
      <x:c r="C560" t="str">
        <x:v>主板</x:v>
      </x:c>
      <x:c r="D560" t="str">
        <x:v>待行业映射</x:v>
      </x:c>
      <x:c r="E560" t="n">
        <x:v>9.9</x:v>
      </x:c>
      <x:c r="F560" t="n">
        <x:v>16</x:v>
      </x:c>
      <x:c r="G560"/>
      <x:c r="H560" t="n">
        <x:v>93.72</x:v>
      </x:c>
      <x:c r="I560" t="n">
        <x:v>26.68</x:v>
      </x:c>
      <x:c r="J560" t="str">
        <x:v>initial_screen_pending_pb_financial_review</x:v>
      </x:c>
      <x:c r="K560" t="str">
        <x:v>AkShare / Tencent all-A market snapshot</x:v>
      </x:c>
      <x:c r="L560" t="str">
        <x:v>ProxyError: primary market source unavailable; see source_id for full audit.</x:v>
      </x:c>
      <x:c r="M560" t="str">
        <x:v>0</x:v>
      </x:c>
      <x:c r="N560" t="str">
        <x:v>0fd6ad2d-3389-4e70-8974-eb85ee223eeb</x:v>
      </x:c>
      <x:c r="O560" t="str">
        <x:v>2026-09-04</x:v>
      </x:c>
    </x:row>
    <x:row r="561">
      <x:c r="A561" t="str">
        <x:v>600486</x:v>
      </x:c>
      <x:c r="B561" t="str">
        <x:v>扬农化工</x:v>
      </x:c>
      <x:c r="C561" t="str">
        <x:v>主板</x:v>
      </x:c>
      <x:c r="D561" t="str">
        <x:v>待行业映射</x:v>
      </x:c>
      <x:c r="E561" t="n">
        <x:v>55.86</x:v>
      </x:c>
      <x:c r="F561" t="n">
        <x:v>17.78</x:v>
      </x:c>
      <x:c r="G561"/>
      <x:c r="H561" t="n">
        <x:v>225.74</x:v>
      </x:c>
      <x:c r="I561" t="n">
        <x:v>26.67</x:v>
      </x:c>
      <x:c r="J561" t="str">
        <x:v>initial_screen_pending_pb_financial_review</x:v>
      </x:c>
      <x:c r="K561" t="str">
        <x:v>AkShare / Tencent all-A market snapshot</x:v>
      </x:c>
      <x:c r="L561" t="str">
        <x:v>ProxyError: primary market source unavailable; see source_id for full audit.</x:v>
      </x:c>
      <x:c r="M561" t="str">
        <x:v>0</x:v>
      </x:c>
      <x:c r="N561" t="str">
        <x:v>0fd6ad2d-3389-4e70-8974-eb85ee223eeb</x:v>
      </x:c>
      <x:c r="O561" t="str">
        <x:v>2026-09-04</x:v>
      </x:c>
    </x:row>
    <x:row r="562">
      <x:c r="A562" t="str">
        <x:v>601199</x:v>
      </x:c>
      <x:c r="B562" t="str">
        <x:v>江南水务</x:v>
      </x:c>
      <x:c r="C562" t="str">
        <x:v>主板</x:v>
      </x:c>
      <x:c r="D562" t="str">
        <x:v>待行业映射</x:v>
      </x:c>
      <x:c r="E562" t="n">
        <x:v>5.85</x:v>
      </x:c>
      <x:c r="F562" t="n">
        <x:v>15.48</x:v>
      </x:c>
      <x:c r="G562"/>
      <x:c r="H562" t="n">
        <x:v>54.71</x:v>
      </x:c>
      <x:c r="I562" t="n">
        <x:v>26.67</x:v>
      </x:c>
      <x:c r="J562" t="str">
        <x:v>initial_screen_pending_pb_financial_review</x:v>
      </x:c>
      <x:c r="K562" t="str">
        <x:v>AkShare / Tencent all-A market snapshot</x:v>
      </x:c>
      <x:c r="L562" t="str">
        <x:v>ProxyError: primary market source unavailable; see source_id for full audit.</x:v>
      </x:c>
      <x:c r="M562" t="str">
        <x:v>0</x:v>
      </x:c>
      <x:c r="N562" t="str">
        <x:v>0fd6ad2d-3389-4e70-8974-eb85ee223eeb</x:v>
      </x:c>
      <x:c r="O562" t="str">
        <x:v>2026-09-04</x:v>
      </x:c>
    </x:row>
    <x:row r="563">
      <x:c r="A563" t="str">
        <x:v>002479</x:v>
      </x:c>
      <x:c r="B563" t="str">
        <x:v>富春环保</x:v>
      </x:c>
      <x:c r="C563" t="str">
        <x:v>主板</x:v>
      </x:c>
      <x:c r="D563" t="str">
        <x:v>待行业映射</x:v>
      </x:c>
      <x:c r="E563" t="n">
        <x:v>6.05</x:v>
      </x:c>
      <x:c r="F563" t="n">
        <x:v>15.5</x:v>
      </x:c>
      <x:c r="G563"/>
      <x:c r="H563" t="n">
        <x:v>52.33</x:v>
      </x:c>
      <x:c r="I563" t="n">
        <x:v>26.53</x:v>
      </x:c>
      <x:c r="J563" t="str">
        <x:v>initial_screen_pending_pb_financial_review</x:v>
      </x:c>
      <x:c r="K563" t="str">
        <x:v>AkShare / Tencent all-A market snapshot</x:v>
      </x:c>
      <x:c r="L563" t="str">
        <x:v>ProxyError: primary market source unavailable; see source_id for full audit.</x:v>
      </x:c>
      <x:c r="M563" t="str">
        <x:v>0</x:v>
      </x:c>
      <x:c r="N563" t="str">
        <x:v>0fd6ad2d-3389-4e70-8974-eb85ee223eeb</x:v>
      </x:c>
      <x:c r="O563" t="str">
        <x:v>2026-09-04</x:v>
      </x:c>
    </x:row>
    <x:row r="564">
      <x:c r="A564" t="str">
        <x:v>603100</x:v>
      </x:c>
      <x:c r="B564" t="str">
        <x:v>川仪股份</x:v>
      </x:c>
      <x:c r="C564" t="str">
        <x:v>主板</x:v>
      </x:c>
      <x:c r="D564" t="str">
        <x:v>待行业映射</x:v>
      </x:c>
      <x:c r="E564" t="n">
        <x:v>18.91</x:v>
      </x:c>
      <x:c r="F564" t="n">
        <x:v>16.13</x:v>
      </x:c>
      <x:c r="G564"/>
      <x:c r="H564" t="n">
        <x:v>97.04</x:v>
      </x:c>
      <x:c r="I564" t="n">
        <x:v>26.46</x:v>
      </x:c>
      <x:c r="J564" t="str">
        <x:v>initial_screen_pending_pb_financial_review</x:v>
      </x:c>
      <x:c r="K564" t="str">
        <x:v>AkShare / Tencent all-A market snapshot</x:v>
      </x:c>
      <x:c r="L564" t="str">
        <x:v>ProxyError: primary market source unavailable; see source_id for full audit.</x:v>
      </x:c>
      <x:c r="M564" t="str">
        <x:v>0</x:v>
      </x:c>
      <x:c r="N564" t="str">
        <x:v>0fd6ad2d-3389-4e70-8974-eb85ee223eeb</x:v>
      </x:c>
      <x:c r="O564" t="str">
        <x:v>2026-09-04</x:v>
      </x:c>
    </x:row>
    <x:row r="565">
      <x:c r="A565" t="str">
        <x:v>002375</x:v>
      </x:c>
      <x:c r="B565" t="str">
        <x:v>亚厦股份</x:v>
      </x:c>
      <x:c r="C565" t="str">
        <x:v>主板</x:v>
      </x:c>
      <x:c r="D565" t="str">
        <x:v>待行业映射</x:v>
      </x:c>
      <x:c r="E565" t="n">
        <x:v>3.83</x:v>
      </x:c>
      <x:c r="F565" t="n">
        <x:v>15.53</x:v>
      </x:c>
      <x:c r="G565"/>
      <x:c r="H565" t="n">
        <x:v>51.32</x:v>
      </x:c>
      <x:c r="I565" t="n">
        <x:v>26.42</x:v>
      </x:c>
      <x:c r="J565" t="str">
        <x:v>initial_screen_pending_pb_financial_review</x:v>
      </x:c>
      <x:c r="K565" t="str">
        <x:v>AkShare / Tencent all-A market snapshot</x:v>
      </x:c>
      <x:c r="L565" t="str">
        <x:v>ProxyError: primary market source unavailable; see source_id for full audit.</x:v>
      </x:c>
      <x:c r="M565" t="str">
        <x:v>0</x:v>
      </x:c>
      <x:c r="N565" t="str">
        <x:v>0fd6ad2d-3389-4e70-8974-eb85ee223eeb</x:v>
      </x:c>
      <x:c r="O565" t="str">
        <x:v>2026-09-04</x:v>
      </x:c>
    </x:row>
    <x:row r="566">
      <x:c r="A566" t="str">
        <x:v>600995</x:v>
      </x:c>
      <x:c r="B566" t="str">
        <x:v>南网储能</x:v>
      </x:c>
      <x:c r="C566" t="str">
        <x:v>主板</x:v>
      </x:c>
      <x:c r="D566" t="str">
        <x:v>待行业映射</x:v>
      </x:c>
      <x:c r="E566" t="n">
        <x:v>12.48</x:v>
      </x:c>
      <x:c r="F566" t="n">
        <x:v>20.26</x:v>
      </x:c>
      <x:c r="G566"/>
      <x:c r="H566" t="n">
        <x:v>398.86</x:v>
      </x:c>
      <x:c r="I566" t="n">
        <x:v>26.28</x:v>
      </x:c>
      <x:c r="J566" t="str">
        <x:v>initial_screen_pending_pb_financial_review</x:v>
      </x:c>
      <x:c r="K566" t="str">
        <x:v>AkShare / Tencent all-A market snapshot</x:v>
      </x:c>
      <x:c r="L566" t="str">
        <x:v>ProxyError: primary market source unavailable; see source_id for full audit.</x:v>
      </x:c>
      <x:c r="M566" t="str">
        <x:v>0</x:v>
      </x:c>
      <x:c r="N566" t="str">
        <x:v>0fd6ad2d-3389-4e70-8974-eb85ee223eeb</x:v>
      </x:c>
      <x:c r="O566" t="str">
        <x:v>2026-09-04</x:v>
      </x:c>
    </x:row>
    <x:row r="567">
      <x:c r="A567" t="str">
        <x:v>688155</x:v>
      </x:c>
      <x:c r="B567" t="str">
        <x:v>先惠技术</x:v>
      </x:c>
      <x:c r="C567" t="str">
        <x:v>科创板</x:v>
      </x:c>
      <x:c r="D567" t="str">
        <x:v>待行业映射</x:v>
      </x:c>
      <x:c r="E567" t="n">
        <x:v>50.71</x:v>
      </x:c>
      <x:c r="F567" t="n">
        <x:v>15.76</x:v>
      </x:c>
      <x:c r="G567"/>
      <x:c r="H567" t="n">
        <x:v>64.58</x:v>
      </x:c>
      <x:c r="I567" t="n">
        <x:v>26.28</x:v>
      </x:c>
      <x:c r="J567" t="str">
        <x:v>initial_screen_pending_pb_financial_review</x:v>
      </x:c>
      <x:c r="K567" t="str">
        <x:v>AkShare / Tencent all-A market snapshot</x:v>
      </x:c>
      <x:c r="L567" t="str">
        <x:v>ProxyError: primary market source unavailable; see source_id for full audit.</x:v>
      </x:c>
      <x:c r="M567" t="str">
        <x:v>0</x:v>
      </x:c>
      <x:c r="N567" t="str">
        <x:v>0fd6ad2d-3389-4e70-8974-eb85ee223eeb</x:v>
      </x:c>
      <x:c r="O567" t="str">
        <x:v>2026-09-04</x:v>
      </x:c>
    </x:row>
    <x:row r="568">
      <x:c r="A568" t="str">
        <x:v>603969</x:v>
      </x:c>
      <x:c r="B568" t="str">
        <x:v>银龙股份</x:v>
      </x:c>
      <x:c r="C568" t="str">
        <x:v>主板</x:v>
      </x:c>
      <x:c r="D568" t="str">
        <x:v>待行业映射</x:v>
      </x:c>
      <x:c r="E568" t="n">
        <x:v>7.9</x:v>
      </x:c>
      <x:c r="F568" t="n">
        <x:v>15.83</x:v>
      </x:c>
      <x:c r="G568"/>
      <x:c r="H568" t="n">
        <x:v>68.85</x:v>
      </x:c>
      <x:c r="I568" t="n">
        <x:v>26.25</x:v>
      </x:c>
      <x:c r="J568" t="str">
        <x:v>initial_screen_pending_pb_financial_review</x:v>
      </x:c>
      <x:c r="K568" t="str">
        <x:v>AkShare / Tencent all-A market snapshot</x:v>
      </x:c>
      <x:c r="L568" t="str">
        <x:v>ProxyError: primary market source unavailable; see source_id for full audit.</x:v>
      </x:c>
      <x:c r="M568" t="str">
        <x:v>0</x:v>
      </x:c>
      <x:c r="N568" t="str">
        <x:v>0fd6ad2d-3389-4e70-8974-eb85ee223eeb</x:v>
      </x:c>
      <x:c r="O568" t="str">
        <x:v>2026-09-04</x:v>
      </x:c>
    </x:row>
    <x:row r="569">
      <x:c r="A569" t="str">
        <x:v>601002</x:v>
      </x:c>
      <x:c r="B569" t="str">
        <x:v>晋亿实业</x:v>
      </x:c>
      <x:c r="C569" t="str">
        <x:v>主板</x:v>
      </x:c>
      <x:c r="D569" t="str">
        <x:v>待行业映射</x:v>
      </x:c>
      <x:c r="E569" t="n">
        <x:v>5.4</x:v>
      </x:c>
      <x:c r="F569" t="n">
        <x:v>15.62</x:v>
      </x:c>
      <x:c r="G569"/>
      <x:c r="H569" t="n">
        <x:v>51.93</x:v>
      </x:c>
      <x:c r="I569" t="n">
        <x:v>26.21</x:v>
      </x:c>
      <x:c r="J569" t="str">
        <x:v>initial_screen_pending_pb_financial_review</x:v>
      </x:c>
      <x:c r="K569" t="str">
        <x:v>AkShare / Tencent all-A market snapshot</x:v>
      </x:c>
      <x:c r="L569" t="str">
        <x:v>ProxyError: primary market source unavailable; see source_id for full audit.</x:v>
      </x:c>
      <x:c r="M569" t="str">
        <x:v>0</x:v>
      </x:c>
      <x:c r="N569" t="str">
        <x:v>0fd6ad2d-3389-4e70-8974-eb85ee223eeb</x:v>
      </x:c>
      <x:c r="O569" t="str">
        <x:v>2026-09-04</x:v>
      </x:c>
    </x:row>
    <x:row r="570">
      <x:c r="A570" t="str">
        <x:v>002946</x:v>
      </x:c>
      <x:c r="B570" t="str">
        <x:v>新乳业</x:v>
      </x:c>
      <x:c r="C570" t="str">
        <x:v>主板</x:v>
      </x:c>
      <x:c r="D570" t="str">
        <x:v>待行业映射</x:v>
      </x:c>
      <x:c r="E570" t="n">
        <x:v>15.58</x:v>
      </x:c>
      <x:c r="F570" t="n">
        <x:v>16.77</x:v>
      </x:c>
      <x:c r="G570"/>
      <x:c r="H570" t="n">
        <x:v>134.09</x:v>
      </x:c>
      <x:c r="I570" t="n">
        <x:v>26.09</x:v>
      </x:c>
      <x:c r="J570" t="str">
        <x:v>initial_screen_pending_pb_financial_review</x:v>
      </x:c>
      <x:c r="K570" t="str">
        <x:v>AkShare / Tencent all-A market snapshot</x:v>
      </x:c>
      <x:c r="L570" t="str">
        <x:v>ProxyError: primary market source unavailable; see source_id for full audit.</x:v>
      </x:c>
      <x:c r="M570" t="str">
        <x:v>0</x:v>
      </x:c>
      <x:c r="N570" t="str">
        <x:v>0fd6ad2d-3389-4e70-8974-eb85ee223eeb</x:v>
      </x:c>
      <x:c r="O570" t="str">
        <x:v>2026-09-04</x:v>
      </x:c>
    </x:row>
    <x:row r="571">
      <x:c r="A571" t="str">
        <x:v>000887</x:v>
      </x:c>
      <x:c r="B571" t="str">
        <x:v>中鼎股份</x:v>
      </x:c>
      <x:c r="C571" t="str">
        <x:v>主板</x:v>
      </x:c>
      <x:c r="D571" t="str">
        <x:v>待行业映射</x:v>
      </x:c>
      <x:c r="E571" t="n">
        <x:v>20.56</x:v>
      </x:c>
      <x:c r="F571" t="n">
        <x:v>18.63</x:v>
      </x:c>
      <x:c r="G571"/>
      <x:c r="H571" t="n">
        <x:v>270.67</x:v>
      </x:c>
      <x:c r="I571" t="n">
        <x:v>26.04</x:v>
      </x:c>
      <x:c r="J571" t="str">
        <x:v>initial_screen_pending_pb_financial_review</x:v>
      </x:c>
      <x:c r="K571" t="str">
        <x:v>AkShare / Tencent all-A market snapshot</x:v>
      </x:c>
      <x:c r="L571" t="str">
        <x:v>ProxyError: primary market source unavailable; see source_id for full audit.</x:v>
      </x:c>
      <x:c r="M571" t="str">
        <x:v>0</x:v>
      </x:c>
      <x:c r="N571" t="str">
        <x:v>0fd6ad2d-3389-4e70-8974-eb85ee223eeb</x:v>
      </x:c>
      <x:c r="O571" t="str">
        <x:v>2026-09-04</x:v>
      </x:c>
    </x:row>
    <x:row r="572">
      <x:c r="A572" t="str">
        <x:v>002293</x:v>
      </x:c>
      <x:c r="B572" t="str">
        <x:v>罗莱生活</x:v>
      </x:c>
      <x:c r="C572" t="str">
        <x:v>主板</x:v>
      </x:c>
      <x:c r="D572" t="str">
        <x:v>待行业映射</x:v>
      </x:c>
      <x:c r="E572" t="n">
        <x:v>11.34</x:v>
      </x:c>
      <x:c r="F572" t="n">
        <x:v>16.27</x:v>
      </x:c>
      <x:c r="G572"/>
      <x:c r="H572" t="n">
        <x:v>94.97</x:v>
      </x:c>
      <x:c r="I572" t="n">
        <x:v>26.02</x:v>
      </x:c>
      <x:c r="J572" t="str">
        <x:v>initial_screen_pending_pb_financial_review</x:v>
      </x:c>
      <x:c r="K572" t="str">
        <x:v>AkShare / Tencent all-A market snapshot</x:v>
      </x:c>
      <x:c r="L572" t="str">
        <x:v>ProxyError: primary market source unavailable; see source_id for full audit.</x:v>
      </x:c>
      <x:c r="M572" t="str">
        <x:v>0</x:v>
      </x:c>
      <x:c r="N572" t="str">
        <x:v>0fd6ad2d-3389-4e70-8974-eb85ee223eeb</x:v>
      </x:c>
      <x:c r="O572" t="str">
        <x:v>2026-09-04</x:v>
      </x:c>
    </x:row>
    <x:row r="573">
      <x:c r="A573" t="str">
        <x:v>600750</x:v>
      </x:c>
      <x:c r="B573" t="str">
        <x:v>华润江中</x:v>
      </x:c>
      <x:c r="C573" t="str">
        <x:v>主板</x:v>
      </x:c>
      <x:c r="D573" t="str">
        <x:v>待行业映射</x:v>
      </x:c>
      <x:c r="E573" t="n">
        <x:v>23.44</x:v>
      </x:c>
      <x:c r="F573" t="n">
        <x:v>17.01</x:v>
      </x:c>
      <x:c r="G573"/>
      <x:c r="H573" t="n">
        <x:v>148.98</x:v>
      </x:c>
      <x:c r="I573" t="n">
        <x:v>25.99</x:v>
      </x:c>
      <x:c r="J573" t="str">
        <x:v>initial_screen_pending_pb_financial_review</x:v>
      </x:c>
      <x:c r="K573" t="str">
        <x:v>AkShare / Tencent all-A market snapshot</x:v>
      </x:c>
      <x:c r="L573" t="str">
        <x:v>ProxyError: primary market source unavailable; see source_id for full audit.</x:v>
      </x:c>
      <x:c r="M573" t="str">
        <x:v>0</x:v>
      </x:c>
      <x:c r="N573" t="str">
        <x:v>0fd6ad2d-3389-4e70-8974-eb85ee223eeb</x:v>
      </x:c>
      <x:c r="O573" t="str">
        <x:v>2026-09-04</x:v>
      </x:c>
    </x:row>
    <x:row r="574">
      <x:c r="A574" t="str">
        <x:v>600004</x:v>
      </x:c>
      <x:c r="B574" t="str">
        <x:v>白云机场</x:v>
      </x:c>
      <x:c r="C574" t="str">
        <x:v>主板</x:v>
      </x:c>
      <x:c r="D574" t="str">
        <x:v>待行业映射</x:v>
      </x:c>
      <x:c r="E574" t="n">
        <x:v>7.89</x:v>
      </x:c>
      <x:c r="F574" t="n">
        <x:v>17.76</x:v>
      </x:c>
      <x:c r="G574"/>
      <x:c r="H574" t="n">
        <x:v>203.34</x:v>
      </x:c>
      <x:c r="I574" t="n">
        <x:v>25.94</x:v>
      </x:c>
      <x:c r="J574" t="str">
        <x:v>initial_screen_pending_pb_financial_review</x:v>
      </x:c>
      <x:c r="K574" t="str">
        <x:v>AkShare / Tencent all-A market snapshot</x:v>
      </x:c>
      <x:c r="L574" t="str">
        <x:v>ProxyError: primary market source unavailable; see source_id for full audit.</x:v>
      </x:c>
      <x:c r="M574" t="str">
        <x:v>0</x:v>
      </x:c>
      <x:c r="N574" t="str">
        <x:v>0fd6ad2d-3389-4e70-8974-eb85ee223eeb</x:v>
      </x:c>
      <x:c r="O574" t="str">
        <x:v>2026-09-04</x:v>
      </x:c>
    </x:row>
    <x:row r="575">
      <x:c r="A575" t="str">
        <x:v>600535</x:v>
      </x:c>
      <x:c r="B575" t="str">
        <x:v>天士力</x:v>
      </x:c>
      <x:c r="C575" t="str">
        <x:v>主板</x:v>
      </x:c>
      <x:c r="D575" t="str">
        <x:v>待行业映射</x:v>
      </x:c>
      <x:c r="E575" t="n">
        <x:v>14.73</x:v>
      </x:c>
      <x:c r="F575" t="n">
        <x:v>17.99</x:v>
      </x:c>
      <x:c r="G575"/>
      <x:c r="H575" t="n">
        <x:v>220.06</x:v>
      </x:c>
      <x:c r="I575" t="n">
        <x:v>25.93</x:v>
      </x:c>
      <x:c r="J575" t="str">
        <x:v>initial_screen_pending_pb_financial_review</x:v>
      </x:c>
      <x:c r="K575" t="str">
        <x:v>AkShare / Tencent all-A market snapshot</x:v>
      </x:c>
      <x:c r="L575" t="str">
        <x:v>ProxyError: primary market source unavailable; see source_id for full audit.</x:v>
      </x:c>
      <x:c r="M575" t="str">
        <x:v>0</x:v>
      </x:c>
      <x:c r="N575" t="str">
        <x:v>0fd6ad2d-3389-4e70-8974-eb85ee223eeb</x:v>
      </x:c>
      <x:c r="O575" t="str">
        <x:v>2026-09-04</x:v>
      </x:c>
    </x:row>
    <x:row r="576">
      <x:c r="A576" t="str">
        <x:v>600531</x:v>
      </x:c>
      <x:c r="B576" t="str">
        <x:v>豫光金铅</x:v>
      </x:c>
      <x:c r="C576" t="str">
        <x:v>主板</x:v>
      </x:c>
      <x:c r="D576" t="str">
        <x:v>待行业映射</x:v>
      </x:c>
      <x:c r="E576" t="n">
        <x:v>13.08</x:v>
      </x:c>
      <x:c r="F576" t="n">
        <x:v>17.18</x:v>
      </x:c>
      <x:c r="G576"/>
      <x:c r="H576" t="n">
        <x:v>158.17</x:v>
      </x:c>
      <x:c r="I576" t="n">
        <x:v>25.87</x:v>
      </x:c>
      <x:c r="J576" t="str">
        <x:v>initial_screen_pending_pb_financial_review</x:v>
      </x:c>
      <x:c r="K576" t="str">
        <x:v>AkShare / Tencent all-A market snapshot</x:v>
      </x:c>
      <x:c r="L576" t="str">
        <x:v>ProxyError: primary market source unavailable; see source_id for full audit.</x:v>
      </x:c>
      <x:c r="M576" t="str">
        <x:v>0</x:v>
      </x:c>
      <x:c r="N576" t="str">
        <x:v>0fd6ad2d-3389-4e70-8974-eb85ee223eeb</x:v>
      </x:c>
      <x:c r="O576" t="str">
        <x:v>2026-09-04</x:v>
      </x:c>
    </x:row>
    <x:row r="577">
      <x:c r="A577" t="str">
        <x:v>300573</x:v>
      </x:c>
      <x:c r="B577" t="str">
        <x:v>兴齐眼药</x:v>
      </x:c>
      <x:c r="C577" t="str">
        <x:v>创业板</x:v>
      </x:c>
      <x:c r="D577" t="str">
        <x:v>待行业映射</x:v>
      </x:c>
      <x:c r="E577" t="n">
        <x:v>37.59</x:v>
      </x:c>
      <x:c r="F577" t="n">
        <x:v>16.86</x:v>
      </x:c>
      <x:c r="G577"/>
      <x:c r="H577" t="n">
        <x:v>133.41</x:v>
      </x:c>
      <x:c r="I577" t="n">
        <x:v>25.83</x:v>
      </x:c>
      <x:c r="J577" t="str">
        <x:v>initial_screen_pending_pb_financial_review</x:v>
      </x:c>
      <x:c r="K577" t="str">
        <x:v>AkShare / Tencent all-A market snapshot</x:v>
      </x:c>
      <x:c r="L577" t="str">
        <x:v>ProxyError: primary market source unavailable; see source_id for full audit.</x:v>
      </x:c>
      <x:c r="M577" t="str">
        <x:v>0</x:v>
      </x:c>
      <x:c r="N577" t="str">
        <x:v>0fd6ad2d-3389-4e70-8974-eb85ee223eeb</x:v>
      </x:c>
      <x:c r="O577" t="str">
        <x:v>2026-09-04</x:v>
      </x:c>
    </x:row>
    <x:row r="578">
      <x:c r="A578" t="str">
        <x:v>601200</x:v>
      </x:c>
      <x:c r="B578" t="str">
        <x:v>上海环境</x:v>
      </x:c>
      <x:c r="C578" t="str">
        <x:v>主板</x:v>
      </x:c>
      <x:c r="D578" t="str">
        <x:v>待行业映射</x:v>
      </x:c>
      <x:c r="E578" t="n">
        <x:v>6.96</x:v>
      </x:c>
      <x:c r="F578" t="n">
        <x:v>16.33</x:v>
      </x:c>
      <x:c r="G578"/>
      <x:c r="H578" t="n">
        <x:v>93.7</x:v>
      </x:c>
      <x:c r="I578" t="n">
        <x:v>25.82</x:v>
      </x:c>
      <x:c r="J578" t="str">
        <x:v>initial_screen_pending_pb_financial_review</x:v>
      </x:c>
      <x:c r="K578" t="str">
        <x:v>AkShare / Tencent all-A market snapshot</x:v>
      </x:c>
      <x:c r="L578" t="str">
        <x:v>ProxyError: primary market source unavailable; see source_id for full audit.</x:v>
      </x:c>
      <x:c r="M578" t="str">
        <x:v>0</x:v>
      </x:c>
      <x:c r="N578" t="str">
        <x:v>0fd6ad2d-3389-4e70-8974-eb85ee223eeb</x:v>
      </x:c>
      <x:c r="O578" t="str">
        <x:v>2026-09-04</x:v>
      </x:c>
    </x:row>
    <x:row r="579">
      <x:c r="A579" t="str">
        <x:v>002014</x:v>
      </x:c>
      <x:c r="B579" t="str">
        <x:v>永新股份</x:v>
      </x:c>
      <x:c r="C579" t="str">
        <x:v>主板</x:v>
      </x:c>
      <x:c r="D579" t="str">
        <x:v>待行业映射</x:v>
      </x:c>
      <x:c r="E579" t="n">
        <x:v>11.54</x:v>
      </x:c>
      <x:c r="F579" t="n">
        <x:v>16.1</x:v>
      </x:c>
      <x:c r="G579"/>
      <x:c r="H579" t="n">
        <x:v>70.68</x:v>
      </x:c>
      <x:c r="I579" t="n">
        <x:v>25.61</x:v>
      </x:c>
      <x:c r="J579" t="str">
        <x:v>initial_screen_pending_pb_financial_review</x:v>
      </x:c>
      <x:c r="K579" t="str">
        <x:v>AkShare / Tencent all-A market snapshot</x:v>
      </x:c>
      <x:c r="L579" t="str">
        <x:v>ProxyError: primary market source unavailable; see source_id for full audit.</x:v>
      </x:c>
      <x:c r="M579" t="str">
        <x:v>0</x:v>
      </x:c>
      <x:c r="N579" t="str">
        <x:v>0fd6ad2d-3389-4e70-8974-eb85ee223eeb</x:v>
      </x:c>
      <x:c r="O579" t="str">
        <x:v>2026-09-04</x:v>
      </x:c>
    </x:row>
    <x:row r="580">
      <x:c r="A580" t="str">
        <x:v>600582</x:v>
      </x:c>
      <x:c r="B580" t="str">
        <x:v>天地科技</x:v>
      </x:c>
      <x:c r="C580" t="str">
        <x:v>主板</x:v>
      </x:c>
      <x:c r="D580" t="str">
        <x:v>待行业映射</x:v>
      </x:c>
      <x:c r="E580" t="n">
        <x:v>4.74</x:v>
      </x:c>
      <x:c r="F580" t="n">
        <x:v>17.81</x:v>
      </x:c>
      <x:c r="G580"/>
      <x:c r="H580" t="n">
        <x:v>196.17</x:v>
      </x:c>
      <x:c r="I580" t="n">
        <x:v>25.56</x:v>
      </x:c>
      <x:c r="J580" t="str">
        <x:v>initial_screen_pending_pb_financial_review</x:v>
      </x:c>
      <x:c r="K580" t="str">
        <x:v>AkShare / Tencent all-A market snapshot</x:v>
      </x:c>
      <x:c r="L580" t="str">
        <x:v>ProxyError: primary market source unavailable; see source_id for full audit.</x:v>
      </x:c>
      <x:c r="M580" t="str">
        <x:v>0</x:v>
      </x:c>
      <x:c r="N580" t="str">
        <x:v>0fd6ad2d-3389-4e70-8974-eb85ee223eeb</x:v>
      </x:c>
      <x:c r="O580" t="str">
        <x:v>2026-09-04</x:v>
      </x:c>
    </x:row>
    <x:row r="581">
      <x:c r="A581" t="str">
        <x:v>002096</x:v>
      </x:c>
      <x:c r="B581" t="str">
        <x:v>易普力</x:v>
      </x:c>
      <x:c r="C581" t="str">
        <x:v>主板</x:v>
      </x:c>
      <x:c r="D581" t="str">
        <x:v>待行业映射</x:v>
      </x:c>
      <x:c r="E581" t="n">
        <x:v>9.64</x:v>
      </x:c>
      <x:c r="F581" t="n">
        <x:v>16.81</x:v>
      </x:c>
      <x:c r="G581"/>
      <x:c r="H581" t="n">
        <x:v>119.58</x:v>
      </x:c>
      <x:c r="I581" t="n">
        <x:v>25.48</x:v>
      </x:c>
      <x:c r="J581" t="str">
        <x:v>initial_screen_pending_pb_financial_review</x:v>
      </x:c>
      <x:c r="K581" t="str">
        <x:v>AkShare / Tencent all-A market snapshot</x:v>
      </x:c>
      <x:c r="L581" t="str">
        <x:v>ProxyError: primary market source unavailable; see source_id for full audit.</x:v>
      </x:c>
      <x:c r="M581" t="str">
        <x:v>0</x:v>
      </x:c>
      <x:c r="N581" t="str">
        <x:v>0fd6ad2d-3389-4e70-8974-eb85ee223eeb</x:v>
      </x:c>
      <x:c r="O581" t="str">
        <x:v>2026-09-04</x:v>
      </x:c>
    </x:row>
    <x:row r="582">
      <x:c r="A582" t="str">
        <x:v>600993</x:v>
      </x:c>
      <x:c r="B582" t="str">
        <x:v>马应龙</x:v>
      </x:c>
      <x:c r="C582" t="str">
        <x:v>主板</x:v>
      </x:c>
      <x:c r="D582" t="str">
        <x:v>待行业映射</x:v>
      </x:c>
      <x:c r="E582" t="n">
        <x:v>23.06</x:v>
      </x:c>
      <x:c r="F582" t="n">
        <x:v>16.54</x:v>
      </x:c>
      <x:c r="G582"/>
      <x:c r="H582" t="n">
        <x:v>99.4</x:v>
      </x:c>
      <x:c r="I582" t="n">
        <x:v>25.48</x:v>
      </x:c>
      <x:c r="J582" t="str">
        <x:v>initial_screen_pending_pb_financial_review</x:v>
      </x:c>
      <x:c r="K582" t="str">
        <x:v>AkShare / Tencent all-A market snapshot</x:v>
      </x:c>
      <x:c r="L582" t="str">
        <x:v>ProxyError: primary market source unavailable; see source_id for full audit.</x:v>
      </x:c>
      <x:c r="M582" t="str">
        <x:v>0</x:v>
      </x:c>
      <x:c r="N582" t="str">
        <x:v>0fd6ad2d-3389-4e70-8974-eb85ee223eeb</x:v>
      </x:c>
      <x:c r="O582" t="str">
        <x:v>2026-09-04</x:v>
      </x:c>
    </x:row>
    <x:row r="583">
      <x:c r="A583" t="str">
        <x:v>603279</x:v>
      </x:c>
      <x:c r="B583" t="str">
        <x:v>景津装备</x:v>
      </x:c>
      <x:c r="C583" t="str">
        <x:v>主板</x:v>
      </x:c>
      <x:c r="D583" t="str">
        <x:v>待行业映射</x:v>
      </x:c>
      <x:c r="E583" t="n">
        <x:v>11.36</x:v>
      </x:c>
      <x:c r="F583" t="n">
        <x:v>16.09</x:v>
      </x:c>
      <x:c r="G583"/>
      <x:c r="H583" t="n">
        <x:v>65.48</x:v>
      </x:c>
      <x:c r="I583" t="n">
        <x:v>25.46</x:v>
      </x:c>
      <x:c r="J583" t="str">
        <x:v>initial_screen_pending_pb_financial_review</x:v>
      </x:c>
      <x:c r="K583" t="str">
        <x:v>AkShare / Tencent all-A market snapshot</x:v>
      </x:c>
      <x:c r="L583" t="str">
        <x:v>ProxyError: primary market source unavailable; see source_id for full audit.</x:v>
      </x:c>
      <x:c r="M583" t="str">
        <x:v>0</x:v>
      </x:c>
      <x:c r="N583" t="str">
        <x:v>0fd6ad2d-3389-4e70-8974-eb85ee223eeb</x:v>
      </x:c>
      <x:c r="O583" t="str">
        <x:v>2026-09-04</x:v>
      </x:c>
    </x:row>
    <x:row r="584">
      <x:c r="A584" t="str">
        <x:v>603596</x:v>
      </x:c>
      <x:c r="B584" t="str">
        <x:v>伯特利</x:v>
      </x:c>
      <x:c r="C584" t="str">
        <x:v>主板</x:v>
      </x:c>
      <x:c r="D584" t="str">
        <x:v>待行业映射</x:v>
      </x:c>
      <x:c r="E584" t="n">
        <x:v>29.96</x:v>
      </x:c>
      <x:c r="F584" t="n">
        <x:v>18.83</x:v>
      </x:c>
      <x:c r="G584"/>
      <x:c r="H584" t="n">
        <x:v>268.93</x:v>
      </x:c>
      <x:c r="I584" t="n">
        <x:v>25.45</x:v>
      </x:c>
      <x:c r="J584" t="str">
        <x:v>initial_screen_pending_pb_financial_review</x:v>
      </x:c>
      <x:c r="K584" t="str">
        <x:v>AkShare / Tencent all-A market snapshot</x:v>
      </x:c>
      <x:c r="L584" t="str">
        <x:v>ProxyError: primary market source unavailable; see source_id for full audit.</x:v>
      </x:c>
      <x:c r="M584" t="str">
        <x:v>0</x:v>
      </x:c>
      <x:c r="N584" t="str">
        <x:v>0fd6ad2d-3389-4e70-8974-eb85ee223eeb</x:v>
      </x:c>
      <x:c r="O584" t="str">
        <x:v>2026-09-04</x:v>
      </x:c>
    </x:row>
    <x:row r="585">
      <x:c r="A585" t="str">
        <x:v>601866</x:v>
      </x:c>
      <x:c r="B585" t="str">
        <x:v>中远海发</x:v>
      </x:c>
      <x:c r="C585" t="str">
        <x:v>主板</x:v>
      </x:c>
      <x:c r="D585" t="str">
        <x:v>待行业映射</x:v>
      </x:c>
      <x:c r="E585" t="n">
        <x:v>2.44</x:v>
      </x:c>
      <x:c r="F585" t="n">
        <x:v>19.55</x:v>
      </x:c>
      <x:c r="G585"/>
      <x:c r="H585" t="n">
        <x:v>320.42</x:v>
      </x:c>
      <x:c r="I585" t="n">
        <x:v>25.38</x:v>
      </x:c>
      <x:c r="J585" t="str">
        <x:v>initial_screen_pending_pb_financial_review</x:v>
      </x:c>
      <x:c r="K585" t="str">
        <x:v>AkShare / Tencent all-A market snapshot</x:v>
      </x:c>
      <x:c r="L585" t="str">
        <x:v>ProxyError: primary market source unavailable; see source_id for full audit.</x:v>
      </x:c>
      <x:c r="M585" t="str">
        <x:v>0</x:v>
      </x:c>
      <x:c r="N585" t="str">
        <x:v>0fd6ad2d-3389-4e70-8974-eb85ee223eeb</x:v>
      </x:c>
      <x:c r="O585" t="str">
        <x:v>2026-09-04</x:v>
      </x:c>
    </x:row>
    <x:row r="586">
      <x:c r="A586" t="str">
        <x:v>002392</x:v>
      </x:c>
      <x:c r="B586" t="str">
        <x:v>北京利尔</x:v>
      </x:c>
      <x:c r="C586" t="str">
        <x:v>主板</x:v>
      </x:c>
      <x:c r="D586" t="str">
        <x:v>待行业映射</x:v>
      </x:c>
      <x:c r="E586" t="n">
        <x:v>7.87</x:v>
      </x:c>
      <x:c r="F586" t="n">
        <x:v>16.51</x:v>
      </x:c>
      <x:c r="G586"/>
      <x:c r="H586" t="n">
        <x:v>93.69</x:v>
      </x:c>
      <x:c r="I586" t="n">
        <x:v>25.35</x:v>
      </x:c>
      <x:c r="J586" t="str">
        <x:v>initial_screen_pending_pb_financial_review</x:v>
      </x:c>
      <x:c r="K586" t="str">
        <x:v>AkShare / Tencent all-A market snapshot</x:v>
      </x:c>
      <x:c r="L586" t="str">
        <x:v>ProxyError: primary market source unavailable; see source_id for full audit.</x:v>
      </x:c>
      <x:c r="M586" t="str">
        <x:v>0</x:v>
      </x:c>
      <x:c r="N586" t="str">
        <x:v>0fd6ad2d-3389-4e70-8974-eb85ee223eeb</x:v>
      </x:c>
      <x:c r="O586" t="str">
        <x:v>2026-09-04</x:v>
      </x:c>
    </x:row>
    <x:row r="587">
      <x:c r="A587" t="str">
        <x:v>601456</x:v>
      </x:c>
      <x:c r="B587" t="str">
        <x:v>国联民生</x:v>
      </x:c>
      <x:c r="C587" t="str">
        <x:v>主板</x:v>
      </x:c>
      <x:c r="D587" t="str">
        <x:v>待行业映射</x:v>
      </x:c>
      <x:c r="E587" t="n">
        <x:v>8.93</x:v>
      </x:c>
      <x:c r="F587" t="n">
        <x:v>22.08</x:v>
      </x:c>
      <x:c r="G587"/>
      <x:c r="H587" t="n">
        <x:v>507.28</x:v>
      </x:c>
      <x:c r="I587" t="n">
        <x:v>25.35</x:v>
      </x:c>
      <x:c r="J587" t="str">
        <x:v>initial_screen_pending_pb_financial_review</x:v>
      </x:c>
      <x:c r="K587" t="str">
        <x:v>AkShare / Tencent all-A market snapshot</x:v>
      </x:c>
      <x:c r="L587" t="str">
        <x:v>ProxyError: primary market source unavailable; see source_id for full audit.</x:v>
      </x:c>
      <x:c r="M587" t="str">
        <x:v>0</x:v>
      </x:c>
      <x:c r="N587" t="str">
        <x:v>0fd6ad2d-3389-4e70-8974-eb85ee223eeb</x:v>
      </x:c>
      <x:c r="O587" t="str">
        <x:v>2026-09-04</x:v>
      </x:c>
    </x:row>
    <x:row r="588">
      <x:c r="A588" t="str">
        <x:v>603418</x:v>
      </x:c>
      <x:c r="B588" t="str">
        <x:v>友升股份</x:v>
      </x:c>
      <x:c r="C588" t="str">
        <x:v>主板</x:v>
      </x:c>
      <x:c r="D588" t="str">
        <x:v>待行业映射</x:v>
      </x:c>
      <x:c r="E588" t="n">
        <x:v>44.02</x:v>
      </x:c>
      <x:c r="F588" t="n">
        <x:v>16.4</x:v>
      </x:c>
      <x:c r="G588"/>
      <x:c r="H588" t="n">
        <x:v>84.99</x:v>
      </x:c>
      <x:c r="I588" t="n">
        <x:v>25.33</x:v>
      </x:c>
      <x:c r="J588" t="str">
        <x:v>initial_screen_pending_pb_financial_review</x:v>
      </x:c>
      <x:c r="K588" t="str">
        <x:v>AkShare / Tencent all-A market snapshot</x:v>
      </x:c>
      <x:c r="L588" t="str">
        <x:v>ProxyError: primary market source unavailable; see source_id for full audit.</x:v>
      </x:c>
      <x:c r="M588" t="str">
        <x:v>0</x:v>
      </x:c>
      <x:c r="N588" t="str">
        <x:v>0fd6ad2d-3389-4e70-8974-eb85ee223eeb</x:v>
      </x:c>
      <x:c r="O588" t="str">
        <x:v>2026-09-04</x:v>
      </x:c>
    </x:row>
    <x:row r="589">
      <x:c r="A589" t="str">
        <x:v>603855</x:v>
      </x:c>
      <x:c r="B589" t="str">
        <x:v>华荣股份</x:v>
      </x:c>
      <x:c r="C589" t="str">
        <x:v>主板</x:v>
      </x:c>
      <x:c r="D589" t="str">
        <x:v>待行业映射</x:v>
      </x:c>
      <x:c r="E589" t="n">
        <x:v>17.06</x:v>
      </x:c>
      <x:c r="F589" t="n">
        <x:v>16.04</x:v>
      </x:c>
      <x:c r="G589"/>
      <x:c r="H589" t="n">
        <x:v>57.58</x:v>
      </x:c>
      <x:c r="I589" t="n">
        <x:v>25.31</x:v>
      </x:c>
      <x:c r="J589" t="str">
        <x:v>initial_screen_pending_pb_financial_review</x:v>
      </x:c>
      <x:c r="K589" t="str">
        <x:v>AkShare / Tencent all-A market snapshot</x:v>
      </x:c>
      <x:c r="L589" t="str">
        <x:v>ProxyError: primary market source unavailable; see source_id for full audit.</x:v>
      </x:c>
      <x:c r="M589" t="str">
        <x:v>0</x:v>
      </x:c>
      <x:c r="N589" t="str">
        <x:v>0fd6ad2d-3389-4e70-8974-eb85ee223eeb</x:v>
      </x:c>
      <x:c r="O589" t="str">
        <x:v>2026-09-04</x:v>
      </x:c>
    </x:row>
    <x:row r="590">
      <x:c r="A590" t="str">
        <x:v>002734</x:v>
      </x:c>
      <x:c r="B590" t="str">
        <x:v>利民股份</x:v>
      </x:c>
      <x:c r="C590" t="str">
        <x:v>主板</x:v>
      </x:c>
      <x:c r="D590" t="str">
        <x:v>待行业映射</x:v>
      </x:c>
      <x:c r="E590" t="n">
        <x:v>16.8</x:v>
      </x:c>
      <x:c r="F590" t="n">
        <x:v>16.34</x:v>
      </x:c>
      <x:c r="G590"/>
      <x:c r="H590" t="n">
        <x:v>79.23</x:v>
      </x:c>
      <x:c r="I590" t="n">
        <x:v>25.29</x:v>
      </x:c>
      <x:c r="J590" t="str">
        <x:v>initial_screen_pending_pb_financial_review</x:v>
      </x:c>
      <x:c r="K590" t="str">
        <x:v>AkShare / Tencent all-A market snapshot</x:v>
      </x:c>
      <x:c r="L590" t="str">
        <x:v>ProxyError: primary market source unavailable; see source_id for full audit.</x:v>
      </x:c>
      <x:c r="M590" t="str">
        <x:v>0</x:v>
      </x:c>
      <x:c r="N590" t="str">
        <x:v>0fd6ad2d-3389-4e70-8974-eb85ee223eeb</x:v>
      </x:c>
      <x:c r="O590" t="str">
        <x:v>2026-09-04</x:v>
      </x:c>
    </x:row>
    <x:row r="591">
      <x:c r="A591" t="str">
        <x:v>603766</x:v>
      </x:c>
      <x:c r="B591" t="str">
        <x:v>隆鑫通用</x:v>
      </x:c>
      <x:c r="C591" t="str">
        <x:v>主板</x:v>
      </x:c>
      <x:c r="D591" t="str">
        <x:v>待行业映射</x:v>
      </x:c>
      <x:c r="E591" t="n">
        <x:v>14.77</x:v>
      </x:c>
      <x:c r="F591" t="n">
        <x:v>19.38</x:v>
      </x:c>
      <x:c r="G591"/>
      <x:c r="H591" t="n">
        <x:v>303.31</x:v>
      </x:c>
      <x:c r="I591" t="n">
        <x:v>25.23</x:v>
      </x:c>
      <x:c r="J591" t="str">
        <x:v>initial_screen_pending_pb_financial_review</x:v>
      </x:c>
      <x:c r="K591" t="str">
        <x:v>AkShare / Tencent all-A market snapshot</x:v>
      </x:c>
      <x:c r="L591" t="str">
        <x:v>ProxyError: primary market source unavailable; see source_id for full audit.</x:v>
      </x:c>
      <x:c r="M591" t="str">
        <x:v>0</x:v>
      </x:c>
      <x:c r="N591" t="str">
        <x:v>0fd6ad2d-3389-4e70-8974-eb85ee223eeb</x:v>
      </x:c>
      <x:c r="O591" t="str">
        <x:v>2026-09-04</x:v>
      </x:c>
    </x:row>
    <x:row r="592">
      <x:c r="A592" t="str">
        <x:v>689009</x:v>
      </x:c>
      <x:c r="B592" t="str">
        <x:v>九号公司-WD</x:v>
      </x:c>
      <x:c r="C592" t="str">
        <x:v>科创板</x:v>
      </x:c>
      <x:c r="D592" t="str">
        <x:v>待行业映射</x:v>
      </x:c>
      <x:c r="E592" t="n">
        <x:v>39.9</x:v>
      </x:c>
      <x:c r="F592" t="n">
        <x:v>19.25</x:v>
      </x:c>
      <x:c r="G592"/>
      <x:c r="H592" t="n">
        <x:v>293.6</x:v>
      </x:c>
      <x:c r="I592" t="n">
        <x:v>25.23</x:v>
      </x:c>
      <x:c r="J592" t="str">
        <x:v>initial_screen_pending_pb_financial_review</x:v>
      </x:c>
      <x:c r="K592" t="str">
        <x:v>AkShare / Tencent all-A market snapshot</x:v>
      </x:c>
      <x:c r="L592" t="str">
        <x:v>ProxyError: primary market source unavailable; see source_id for full audit.</x:v>
      </x:c>
      <x:c r="M592" t="str">
        <x:v>0</x:v>
      </x:c>
      <x:c r="N592" t="str">
        <x:v>0fd6ad2d-3389-4e70-8974-eb85ee223eeb</x:v>
      </x:c>
      <x:c r="O592" t="str">
        <x:v>2026-09-04</x:v>
      </x:c>
    </x:row>
    <x:row r="593">
      <x:c r="A593" t="str">
        <x:v>603713</x:v>
      </x:c>
      <x:c r="B593" t="str">
        <x:v>密尔克卫</x:v>
      </x:c>
      <x:c r="C593" t="str">
        <x:v>主板</x:v>
      </x:c>
      <x:c r="D593" t="str">
        <x:v>待行业映射</x:v>
      </x:c>
      <x:c r="E593" t="n">
        <x:v>63.29</x:v>
      </x:c>
      <x:c r="F593" t="n">
        <x:v>16.79</x:v>
      </x:c>
      <x:c r="G593"/>
      <x:c r="H593" t="n">
        <x:v>110.16</x:v>
      </x:c>
      <x:c r="I593" t="n">
        <x:v>25.2</x:v>
      </x:c>
      <x:c r="J593" t="str">
        <x:v>initial_screen_pending_pb_financial_review</x:v>
      </x:c>
      <x:c r="K593" t="str">
        <x:v>AkShare / Tencent all-A market snapshot</x:v>
      </x:c>
      <x:c r="L593" t="str">
        <x:v>ProxyError: primary market source unavailable; see source_id for full audit.</x:v>
      </x:c>
      <x:c r="M593" t="str">
        <x:v>0</x:v>
      </x:c>
      <x:c r="N593" t="str">
        <x:v>0fd6ad2d-3389-4e70-8974-eb85ee223eeb</x:v>
      </x:c>
      <x:c r="O593" t="str">
        <x:v>2026-09-04</x:v>
      </x:c>
    </x:row>
    <x:row r="594">
      <x:c r="A594" t="str">
        <x:v>601801</x:v>
      </x:c>
      <x:c r="B594" t="str">
        <x:v>皖新传媒</x:v>
      </x:c>
      <x:c r="C594" t="str">
        <x:v>主板</x:v>
      </x:c>
      <x:c r="D594" t="str">
        <x:v>待行业映射</x:v>
      </x:c>
      <x:c r="E594" t="n">
        <x:v>5.24</x:v>
      </x:c>
      <x:c r="F594" t="n">
        <x:v>16.7</x:v>
      </x:c>
      <x:c r="G594"/>
      <x:c r="H594" t="n">
        <x:v>102.6</x:v>
      </x:c>
      <x:c r="I594" t="n">
        <x:v>25.17</x:v>
      </x:c>
      <x:c r="J594" t="str">
        <x:v>initial_screen_pending_pb_financial_review</x:v>
      </x:c>
      <x:c r="K594" t="str">
        <x:v>AkShare / Tencent all-A market snapshot</x:v>
      </x:c>
      <x:c r="L594" t="str">
        <x:v>ProxyError: primary market source unavailable; see source_id for full audit.</x:v>
      </x:c>
      <x:c r="M594" t="str">
        <x:v>0</x:v>
      </x:c>
      <x:c r="N594" t="str">
        <x:v>0fd6ad2d-3389-4e70-8974-eb85ee223eeb</x:v>
      </x:c>
      <x:c r="O594" t="str">
        <x:v>2026-09-04</x:v>
      </x:c>
    </x:row>
    <x:row r="595">
      <x:c r="A595" t="str">
        <x:v>600021</x:v>
      </x:c>
      <x:c r="B595" t="str">
        <x:v>上海电力</x:v>
      </x:c>
      <x:c r="C595" t="str">
        <x:v>主板</x:v>
      </x:c>
      <x:c r="D595" t="str">
        <x:v>待行业映射</x:v>
      </x:c>
      <x:c r="E595" t="n">
        <x:v>13.47</x:v>
      </x:c>
      <x:c r="F595" t="n">
        <x:v>20.44</x:v>
      </x:c>
      <x:c r="G595"/>
      <x:c r="H595" t="n">
        <x:v>380.11</x:v>
      </x:c>
      <x:c r="I595" t="n">
        <x:v>25.16</x:v>
      </x:c>
      <x:c r="J595" t="str">
        <x:v>initial_screen_pending_pb_financial_review</x:v>
      </x:c>
      <x:c r="K595" t="str">
        <x:v>AkShare / Tencent all-A market snapshot</x:v>
      </x:c>
      <x:c r="L595" t="str">
        <x:v>ProxyError: primary market source unavailable; see source_id for full audit.</x:v>
      </x:c>
      <x:c r="M595" t="str">
        <x:v>0</x:v>
      </x:c>
      <x:c r="N595" t="str">
        <x:v>0fd6ad2d-3389-4e70-8974-eb85ee223eeb</x:v>
      </x:c>
      <x:c r="O595" t="str">
        <x:v>2026-09-04</x:v>
      </x:c>
    </x:row>
    <x:row r="596">
      <x:c r="A596" t="str">
        <x:v>688128</x:v>
      </x:c>
      <x:c r="B596" t="str">
        <x:v>中国电研</x:v>
      </x:c>
      <x:c r="C596" t="str">
        <x:v>科创板</x:v>
      </x:c>
      <x:c r="D596" t="str">
        <x:v>待行业映射</x:v>
      </x:c>
      <x:c r="E596" t="n">
        <x:v>22.07</x:v>
      </x:c>
      <x:c r="F596" t="n">
        <x:v>16.53</x:v>
      </x:c>
      <x:c r="G596"/>
      <x:c r="H596" t="n">
        <x:v>89.27</x:v>
      </x:c>
      <x:c r="I596" t="n">
        <x:v>25.15</x:v>
      </x:c>
      <x:c r="J596" t="str">
        <x:v>initial_screen_pending_pb_financial_review</x:v>
      </x:c>
      <x:c r="K596" t="str">
        <x:v>AkShare / Tencent all-A market snapshot</x:v>
      </x:c>
      <x:c r="L596" t="str">
        <x:v>ProxyError: primary market source unavailable; see source_id for full audit.</x:v>
      </x:c>
      <x:c r="M596" t="str">
        <x:v>0</x:v>
      </x:c>
      <x:c r="N596" t="str">
        <x:v>0fd6ad2d-3389-4e70-8974-eb85ee223eeb</x:v>
      </x:c>
      <x:c r="O596" t="str">
        <x:v>2026-09-04</x:v>
      </x:c>
    </x:row>
    <x:row r="597">
      <x:c r="A597" t="str">
        <x:v>603043</x:v>
      </x:c>
      <x:c r="B597" t="str">
        <x:v>广州酒家</x:v>
      </x:c>
      <x:c r="C597" t="str">
        <x:v>主板</x:v>
      </x:c>
      <x:c r="D597" t="str">
        <x:v>待行业映射</x:v>
      </x:c>
      <x:c r="E597" t="n">
        <x:v>13.92</x:v>
      </x:c>
      <x:c r="F597" t="n">
        <x:v>16.41</x:v>
      </x:c>
      <x:c r="G597"/>
      <x:c r="H597" t="n">
        <x:v>78.74</x:v>
      </x:c>
      <x:c r="I597" t="n">
        <x:v>25.09</x:v>
      </x:c>
      <x:c r="J597" t="str">
        <x:v>initial_screen_pending_pb_financial_review</x:v>
      </x:c>
      <x:c r="K597" t="str">
        <x:v>AkShare / Tencent all-A market snapshot</x:v>
      </x:c>
      <x:c r="L597" t="str">
        <x:v>ProxyError: primary market source unavailable; see source_id for full audit.</x:v>
      </x:c>
      <x:c r="M597" t="str">
        <x:v>0</x:v>
      </x:c>
      <x:c r="N597" t="str">
        <x:v>0fd6ad2d-3389-4e70-8974-eb85ee223eeb</x:v>
      </x:c>
      <x:c r="O597" t="str">
        <x:v>2026-09-04</x:v>
      </x:c>
    </x:row>
    <x:row r="598">
      <x:c r="A598" t="str">
        <x:v>002318</x:v>
      </x:c>
      <x:c r="B598" t="str">
        <x:v>久立特材</x:v>
      </x:c>
      <x:c r="C598" t="str">
        <x:v>主板</x:v>
      </x:c>
      <x:c r="D598" t="str">
        <x:v>待行业映射</x:v>
      </x:c>
      <x:c r="E598" t="n">
        <x:v>19.78</x:v>
      </x:c>
      <x:c r="F598" t="n">
        <x:v>17.99</x:v>
      </x:c>
      <x:c r="G598"/>
      <x:c r="H598" t="n">
        <x:v>193.28</x:v>
      </x:c>
      <x:c r="I598" t="n">
        <x:v>24.99</x:v>
      </x:c>
      <x:c r="J598" t="str">
        <x:v>initial_screen_pending_pb_financial_review</x:v>
      </x:c>
      <x:c r="K598" t="str">
        <x:v>AkShare / Tencent all-A market snapshot</x:v>
      </x:c>
      <x:c r="L598" t="str">
        <x:v>ProxyError: primary market source unavailable; see source_id for full audit.</x:v>
      </x:c>
      <x:c r="M598" t="str">
        <x:v>0</x:v>
      </x:c>
      <x:c r="N598" t="str">
        <x:v>0fd6ad2d-3389-4e70-8974-eb85ee223eeb</x:v>
      </x:c>
      <x:c r="O598" t="str">
        <x:v>2026-09-04</x:v>
      </x:c>
    </x:row>
    <x:row r="599">
      <x:c r="A599" t="str">
        <x:v>605183</x:v>
      </x:c>
      <x:c r="B599" t="str">
        <x:v>确成股份</x:v>
      </x:c>
      <x:c r="C599" t="str">
        <x:v>主板</x:v>
      </x:c>
      <x:c r="D599" t="str">
        <x:v>待行业映射</x:v>
      </x:c>
      <x:c r="E599" t="n">
        <x:v>15.58</x:v>
      </x:c>
      <x:c r="F599" t="n">
        <x:v>16.26</x:v>
      </x:c>
      <x:c r="G599"/>
      <x:c r="H599" t="n">
        <x:v>64.69</x:v>
      </x:c>
      <x:c r="I599" t="n">
        <x:v>24.99</x:v>
      </x:c>
      <x:c r="J599" t="str">
        <x:v>initial_screen_pending_pb_financial_review</x:v>
      </x:c>
      <x:c r="K599" t="str">
        <x:v>AkShare / Tencent all-A market snapshot</x:v>
      </x:c>
      <x:c r="L599" t="str">
        <x:v>ProxyError: primary market source unavailable; see source_id for full audit.</x:v>
      </x:c>
      <x:c r="M599" t="str">
        <x:v>0</x:v>
      </x:c>
      <x:c r="N599" t="str">
        <x:v>0fd6ad2d-3389-4e70-8974-eb85ee223eeb</x:v>
      </x:c>
      <x:c r="O599" t="str">
        <x:v>2026-09-04</x:v>
      </x:c>
    </x:row>
    <x:row r="600">
      <x:c r="A600" t="str">
        <x:v>001391</x:v>
      </x:c>
      <x:c r="B600" t="str">
        <x:v>国货航</x:v>
      </x:c>
      <x:c r="C600" t="str">
        <x:v>主板</x:v>
      </x:c>
      <x:c r="D600" t="str">
        <x:v>待行业映射</x:v>
      </x:c>
      <x:c r="E600" t="n">
        <x:v>4.1</x:v>
      </x:c>
      <x:c r="F600" t="n">
        <x:v>22.13</x:v>
      </x:c>
      <x:c r="G600"/>
      <x:c r="H600" t="n">
        <x:v>500.56</x:v>
      </x:c>
      <x:c r="I600" t="n">
        <x:v>24.98</x:v>
      </x:c>
      <x:c r="J600" t="str">
        <x:v>initial_screen_pending_pb_financial_review</x:v>
      </x:c>
      <x:c r="K600" t="str">
        <x:v>AkShare / Tencent all-A market snapshot</x:v>
      </x:c>
      <x:c r="L600" t="str">
        <x:v>ProxyError: primary market source unavailable; see source_id for full audit.</x:v>
      </x:c>
      <x:c r="M600" t="str">
        <x:v>0</x:v>
      </x:c>
      <x:c r="N600" t="str">
        <x:v>0fd6ad2d-3389-4e70-8974-eb85ee223eeb</x:v>
      </x:c>
      <x:c r="O600" t="str">
        <x:v>2026-09-04</x:v>
      </x:c>
    </x:row>
    <x:row r="601">
      <x:c r="A601" t="str">
        <x:v>000960</x:v>
      </x:c>
      <x:c r="B601" t="str">
        <x:v>锡业股份</x:v>
      </x:c>
      <x:c r="C601" t="str">
        <x:v>主板</x:v>
      </x:c>
      <x:c r="D601" t="str">
        <x:v>待行业映射</x:v>
      </x:c>
      <x:c r="E601" t="n">
        <x:v>33.42</x:v>
      </x:c>
      <x:c r="F601" t="n">
        <x:v>22.84</x:v>
      </x:c>
      <x:c r="G601"/>
      <x:c r="H601" t="n">
        <x:v>549.9</x:v>
      </x:c>
      <x:c r="I601" t="n">
        <x:v>24.86</x:v>
      </x:c>
      <x:c r="J601" t="str">
        <x:v>initial_screen_pending_pb_financial_review</x:v>
      </x:c>
      <x:c r="K601" t="str">
        <x:v>AkShare / Tencent all-A market snapshot</x:v>
      </x:c>
      <x:c r="L601" t="str">
        <x:v>ProxyError: primary market source unavailable; see source_id for full audit.</x:v>
      </x:c>
      <x:c r="M601" t="str">
        <x:v>0</x:v>
      </x:c>
      <x:c r="N601" t="str">
        <x:v>0fd6ad2d-3389-4e70-8974-eb85ee223eeb</x:v>
      </x:c>
      <x:c r="O601" t="str">
        <x:v>2026-09-04</x:v>
      </x:c>
    </x:row>
    <x:row r="602">
      <x:c r="A602" t="str">
        <x:v>605099</x:v>
      </x:c>
      <x:c r="B602" t="str">
        <x:v>共创草坪</x:v>
      </x:c>
      <x:c r="C602" t="str">
        <x:v>主板</x:v>
      </x:c>
      <x:c r="D602" t="str">
        <x:v>待行业映射</x:v>
      </x:c>
      <x:c r="E602" t="n">
        <x:v>29.75</x:v>
      </x:c>
      <x:c r="F602" t="n">
        <x:v>17.07</x:v>
      </x:c>
      <x:c r="G602"/>
      <x:c r="H602" t="n">
        <x:v>119.79</x:v>
      </x:c>
      <x:c r="I602" t="n">
        <x:v>24.81</x:v>
      </x:c>
      <x:c r="J602" t="str">
        <x:v>initial_screen_pending_pb_financial_review</x:v>
      </x:c>
      <x:c r="K602" t="str">
        <x:v>AkShare / Tencent all-A market snapshot</x:v>
      </x:c>
      <x:c r="L602" t="str">
        <x:v>ProxyError: primary market source unavailable; see source_id for full audit.</x:v>
      </x:c>
      <x:c r="M602" t="str">
        <x:v>0</x:v>
      </x:c>
      <x:c r="N602" t="str">
        <x:v>0fd6ad2d-3389-4e70-8974-eb85ee223eeb</x:v>
      </x:c>
      <x:c r="O602" t="str">
        <x:v>2026-09-04</x:v>
      </x:c>
    </x:row>
    <x:row r="603">
      <x:c r="A603" t="str">
        <x:v>300705</x:v>
      </x:c>
      <x:c r="B603" t="str">
        <x:v>九典制药</x:v>
      </x:c>
      <x:c r="C603" t="str">
        <x:v>创业板</x:v>
      </x:c>
      <x:c r="D603" t="str">
        <x:v>待行业映射</x:v>
      </x:c>
      <x:c r="E603" t="n">
        <x:v>11.06</x:v>
      </x:c>
      <x:c r="F603" t="n">
        <x:v>16.22</x:v>
      </x:c>
      <x:c r="G603"/>
      <x:c r="H603" t="n">
        <x:v>55.33</x:v>
      </x:c>
      <x:c r="I603" t="n">
        <x:v>24.76</x:v>
      </x:c>
      <x:c r="J603" t="str">
        <x:v>initial_screen_pending_pb_financial_review</x:v>
      </x:c>
      <x:c r="K603" t="str">
        <x:v>AkShare / Tencent all-A market snapshot</x:v>
      </x:c>
      <x:c r="L603" t="str">
        <x:v>ProxyError: primary market source unavailable; see source_id for full audit.</x:v>
      </x:c>
      <x:c r="M603" t="str">
        <x:v>0</x:v>
      </x:c>
      <x:c r="N603" t="str">
        <x:v>0fd6ad2d-3389-4e70-8974-eb85ee223eeb</x:v>
      </x:c>
      <x:c r="O603" t="str">
        <x:v>2026-09-04</x:v>
      </x:c>
    </x:row>
    <x:row r="604">
      <x:c r="A604" t="str">
        <x:v>600335</x:v>
      </x:c>
      <x:c r="B604" t="str">
        <x:v>国机汽车</x:v>
      </x:c>
      <x:c r="C604" t="str">
        <x:v>主板</x:v>
      </x:c>
      <x:c r="D604" t="str">
        <x:v>待行业映射</x:v>
      </x:c>
      <x:c r="E604" t="n">
        <x:v>5.18</x:v>
      </x:c>
      <x:c r="F604" t="n">
        <x:v>16.52</x:v>
      </x:c>
      <x:c r="G604"/>
      <x:c r="H604" t="n">
        <x:v>77.05</x:v>
      </x:c>
      <x:c r="I604" t="n">
        <x:v>24.74</x:v>
      </x:c>
      <x:c r="J604" t="str">
        <x:v>initial_screen_pending_pb_financial_review</x:v>
      </x:c>
      <x:c r="K604" t="str">
        <x:v>AkShare / Tencent all-A market snapshot</x:v>
      </x:c>
      <x:c r="L604" t="str">
        <x:v>ProxyError: primary market source unavailable; see source_id for full audit.</x:v>
      </x:c>
      <x:c r="M604" t="str">
        <x:v>0</x:v>
      </x:c>
      <x:c r="N604" t="str">
        <x:v>0fd6ad2d-3389-4e70-8974-eb85ee223eeb</x:v>
      </x:c>
      <x:c r="O604" t="str">
        <x:v>2026-09-04</x:v>
      </x:c>
    </x:row>
    <x:row r="605">
      <x:c r="A605" t="str">
        <x:v>603112</x:v>
      </x:c>
      <x:c r="B605" t="str">
        <x:v>华翔股份</x:v>
      </x:c>
      <x:c r="C605" t="str">
        <x:v>主板</x:v>
      </x:c>
      <x:c r="D605" t="str">
        <x:v>待行业映射</x:v>
      </x:c>
      <x:c r="E605" t="n">
        <x:v>16.41</x:v>
      </x:c>
      <x:c r="F605" t="n">
        <x:v>16.75</x:v>
      </x:c>
      <x:c r="G605"/>
      <x:c r="H605" t="n">
        <x:v>88.61</x:v>
      </x:c>
      <x:c r="I605" t="n">
        <x:v>24.55</x:v>
      </x:c>
      <x:c r="J605" t="str">
        <x:v>initial_screen_pending_pb_financial_review</x:v>
      </x:c>
      <x:c r="K605" t="str">
        <x:v>AkShare / Tencent all-A market snapshot</x:v>
      </x:c>
      <x:c r="L605" t="str">
        <x:v>ProxyError: primary market source unavailable; see source_id for full audit.</x:v>
      </x:c>
      <x:c r="M605" t="str">
        <x:v>0</x:v>
      </x:c>
      <x:c r="N605" t="str">
        <x:v>0fd6ad2d-3389-4e70-8974-eb85ee223eeb</x:v>
      </x:c>
      <x:c r="O605" t="str">
        <x:v>2026-09-04</x:v>
      </x:c>
    </x:row>
    <x:row r="606">
      <x:c r="A606" t="str">
        <x:v>605507</x:v>
      </x:c>
      <x:c r="B606" t="str">
        <x:v>国邦医药</x:v>
      </x:c>
      <x:c r="C606" t="str">
        <x:v>主板</x:v>
      </x:c>
      <x:c r="D606" t="str">
        <x:v>待行业映射</x:v>
      </x:c>
      <x:c r="E606" t="n">
        <x:v>15.58</x:v>
      </x:c>
      <x:c r="F606" t="n">
        <x:v>17.25</x:v>
      </x:c>
      <x:c r="G606"/>
      <x:c r="H606" t="n">
        <x:v>121.89</x:v>
      </x:c>
      <x:c r="I606" t="n">
        <x:v>24.42</x:v>
      </x:c>
      <x:c r="J606" t="str">
        <x:v>initial_screen_pending_pb_financial_review</x:v>
      </x:c>
      <x:c r="K606" t="str">
        <x:v>AkShare / Tencent all-A market snapshot</x:v>
      </x:c>
      <x:c r="L606" t="str">
        <x:v>ProxyError: primary market source unavailable; see source_id for full audit.</x:v>
      </x:c>
      <x:c r="M606" t="str">
        <x:v>0</x:v>
      </x:c>
      <x:c r="N606" t="str">
        <x:v>0fd6ad2d-3389-4e70-8974-eb85ee223eeb</x:v>
      </x:c>
      <x:c r="O606" t="str">
        <x:v>2026-09-04</x:v>
      </x:c>
    </x:row>
    <x:row r="607">
      <x:c r="A607" t="str">
        <x:v>002801</x:v>
      </x:c>
      <x:c r="B607" t="str">
        <x:v>微光股份</x:v>
      </x:c>
      <x:c r="C607" t="str">
        <x:v>主板</x:v>
      </x:c>
      <x:c r="D607" t="str">
        <x:v>待行业映射</x:v>
      </x:c>
      <x:c r="E607" t="n">
        <x:v>27.98</x:v>
      </x:c>
      <x:c r="F607" t="n">
        <x:v>16.5</x:v>
      </x:c>
      <x:c r="G607"/>
      <x:c r="H607" t="n">
        <x:v>64.25</x:v>
      </x:c>
      <x:c r="I607" t="n">
        <x:v>24.35</x:v>
      </x:c>
      <x:c r="J607" t="str">
        <x:v>initial_screen_pending_pb_financial_review</x:v>
      </x:c>
      <x:c r="K607" t="str">
        <x:v>AkShare / Tencent all-A market snapshot</x:v>
      </x:c>
      <x:c r="L607" t="str">
        <x:v>ProxyError: primary market source unavailable; see source_id for full audit.</x:v>
      </x:c>
      <x:c r="M607" t="str">
        <x:v>0</x:v>
      </x:c>
      <x:c r="N607" t="str">
        <x:v>0fd6ad2d-3389-4e70-8974-eb85ee223eeb</x:v>
      </x:c>
      <x:c r="O607" t="str">
        <x:v>2026-09-04</x:v>
      </x:c>
    </x:row>
    <x:row r="608">
      <x:c r="A608" t="str">
        <x:v>301039</x:v>
      </x:c>
      <x:c r="B608" t="str">
        <x:v>中集车辆</x:v>
      </x:c>
      <x:c r="C608" t="str">
        <x:v>创业板</x:v>
      </x:c>
      <x:c r="D608" t="str">
        <x:v>待行业映射</x:v>
      </x:c>
      <x:c r="E608" t="n">
        <x:v>7.85</x:v>
      </x:c>
      <x:c r="F608" t="n">
        <x:v>17.62</x:v>
      </x:c>
      <x:c r="G608"/>
      <x:c r="H608" t="n">
        <x:v>147.12</x:v>
      </x:c>
      <x:c r="I608" t="n">
        <x:v>24.34</x:v>
      </x:c>
      <x:c r="J608" t="str">
        <x:v>initial_screen_pending_pb_financial_review</x:v>
      </x:c>
      <x:c r="K608" t="str">
        <x:v>AkShare / Tencent all-A market snapshot</x:v>
      </x:c>
      <x:c r="L608" t="str">
        <x:v>ProxyError: primary market source unavailable; see source_id for full audit.</x:v>
      </x:c>
      <x:c r="M608" t="str">
        <x:v>0</x:v>
      </x:c>
      <x:c r="N608" t="str">
        <x:v>0fd6ad2d-3389-4e70-8974-eb85ee223eeb</x:v>
      </x:c>
      <x:c r="O608" t="str">
        <x:v>2026-09-04</x:v>
      </x:c>
    </x:row>
    <x:row r="609">
      <x:c r="A609" t="str">
        <x:v>603181</x:v>
      </x:c>
      <x:c r="B609" t="str">
        <x:v>皇马科技</x:v>
      </x:c>
      <x:c r="C609" t="str">
        <x:v>主板</x:v>
      </x:c>
      <x:c r="D609" t="str">
        <x:v>待行业映射</x:v>
      </x:c>
      <x:c r="E609" t="n">
        <x:v>12.75</x:v>
      </x:c>
      <x:c r="F609" t="n">
        <x:v>16.68</x:v>
      </x:c>
      <x:c r="G609"/>
      <x:c r="H609" t="n">
        <x:v>75.06</x:v>
      </x:c>
      <x:c r="I609" t="n">
        <x:v>24.26</x:v>
      </x:c>
      <x:c r="J609" t="str">
        <x:v>initial_screen_pending_pb_financial_review</x:v>
      </x:c>
      <x:c r="K609" t="str">
        <x:v>AkShare / Tencent all-A market snapshot</x:v>
      </x:c>
      <x:c r="L609" t="str">
        <x:v>ProxyError: primary market source unavailable; see source_id for full audit.</x:v>
      </x:c>
      <x:c r="M609" t="str">
        <x:v>0</x:v>
      </x:c>
      <x:c r="N609" t="str">
        <x:v>0fd6ad2d-3389-4e70-8974-eb85ee223eeb</x:v>
      </x:c>
      <x:c r="O609" t="str">
        <x:v>2026-09-04</x:v>
      </x:c>
    </x:row>
    <x:row r="610">
      <x:c r="A610" t="str">
        <x:v>002287</x:v>
      </x:c>
      <x:c r="B610" t="str">
        <x:v>奇正藏药</x:v>
      </x:c>
      <x:c r="C610" t="str">
        <x:v>主板</x:v>
      </x:c>
      <x:c r="D610" t="str">
        <x:v>待行业映射</x:v>
      </x:c>
      <x:c r="E610" t="n">
        <x:v>19.9</x:v>
      </x:c>
      <x:c r="F610" t="n">
        <x:v>17.22</x:v>
      </x:c>
      <x:c r="G610"/>
      <x:c r="H610" t="n">
        <x:v>113.85</x:v>
      </x:c>
      <x:c r="I610" t="n">
        <x:v>24.21</x:v>
      </x:c>
      <x:c r="J610" t="str">
        <x:v>initial_screen_pending_pb_financial_review</x:v>
      </x:c>
      <x:c r="K610" t="str">
        <x:v>AkShare / Tencent all-A market snapshot</x:v>
      </x:c>
      <x:c r="L610" t="str">
        <x:v>ProxyError: primary market source unavailable; see source_id for full audit.</x:v>
      </x:c>
      <x:c r="M610" t="str">
        <x:v>0</x:v>
      </x:c>
      <x:c r="N610" t="str">
        <x:v>0fd6ad2d-3389-4e70-8974-eb85ee223eeb</x:v>
      </x:c>
      <x:c r="O610" t="str">
        <x:v>2026-09-04</x:v>
      </x:c>
    </x:row>
    <x:row r="611">
      <x:c r="A611" t="str">
        <x:v>002603</x:v>
      </x:c>
      <x:c r="B611" t="str">
        <x:v>以岭药业</x:v>
      </x:c>
      <x:c r="C611" t="str">
        <x:v>主板</x:v>
      </x:c>
      <x:c r="D611" t="str">
        <x:v>待行业映射</x:v>
      </x:c>
      <x:c r="E611" t="n">
        <x:v>15.87</x:v>
      </x:c>
      <x:c r="F611" t="n">
        <x:v>19.28</x:v>
      </x:c>
      <x:c r="G611"/>
      <x:c r="H611" t="n">
        <x:v>265.14</x:v>
      </x:c>
      <x:c r="I611" t="n">
        <x:v>24.15</x:v>
      </x:c>
      <x:c r="J611" t="str">
        <x:v>initial_screen_pending_pb_financial_review</x:v>
      </x:c>
      <x:c r="K611" t="str">
        <x:v>AkShare / Tencent all-A market snapshot</x:v>
      </x:c>
      <x:c r="L611" t="str">
        <x:v>ProxyError: primary market source unavailable; see source_id for full audit.</x:v>
      </x:c>
      <x:c r="M611" t="str">
        <x:v>0</x:v>
      </x:c>
      <x:c r="N611" t="str">
        <x:v>0fd6ad2d-3389-4e70-8974-eb85ee223eeb</x:v>
      </x:c>
      <x:c r="O611" t="str">
        <x:v>2026-09-04</x:v>
      </x:c>
    </x:row>
    <x:row r="612">
      <x:c r="A612" t="str">
        <x:v>002959</x:v>
      </x:c>
      <x:c r="B612" t="str">
        <x:v>小熊电器</x:v>
      </x:c>
      <x:c r="C612" t="str">
        <x:v>主板</x:v>
      </x:c>
      <x:c r="D612" t="str">
        <x:v>待行业映射</x:v>
      </x:c>
      <x:c r="E612" t="n">
        <x:v>32.42</x:v>
      </x:c>
      <x:c r="F612" t="n">
        <x:v>16.41</x:v>
      </x:c>
      <x:c r="G612"/>
      <x:c r="H612" t="n">
        <x:v>50.52</x:v>
      </x:c>
      <x:c r="I612" t="n">
        <x:v>24.1</x:v>
      </x:c>
      <x:c r="J612" t="str">
        <x:v>initial_screen_pending_pb_financial_review</x:v>
      </x:c>
      <x:c r="K612" t="str">
        <x:v>AkShare / Tencent all-A market snapshot</x:v>
      </x:c>
      <x:c r="L612" t="str">
        <x:v>ProxyError: primary market source unavailable; see source_id for full audit.</x:v>
      </x:c>
      <x:c r="M612" t="str">
        <x:v>0</x:v>
      </x:c>
      <x:c r="N612" t="str">
        <x:v>0fd6ad2d-3389-4e70-8974-eb85ee223eeb</x:v>
      </x:c>
      <x:c r="O612" t="str">
        <x:v>2026-09-04</x:v>
      </x:c>
    </x:row>
    <x:row r="613">
      <x:c r="A613" t="str">
        <x:v>002906</x:v>
      </x:c>
      <x:c r="B613" t="str">
        <x:v>华阳集团</x:v>
      </x:c>
      <x:c r="C613" t="str">
        <x:v>主板</x:v>
      </x:c>
      <x:c r="D613" t="str">
        <x:v>待行业映射</x:v>
      </x:c>
      <x:c r="E613" t="n">
        <x:v>28.45</x:v>
      </x:c>
      <x:c r="F613" t="n">
        <x:v>17.75</x:v>
      </x:c>
      <x:c r="G613"/>
      <x:c r="H613" t="n">
        <x:v>149.34</x:v>
      </x:c>
      <x:c r="I613" t="n">
        <x:v>24.08</x:v>
      </x:c>
      <x:c r="J613" t="str">
        <x:v>initial_screen_pending_pb_financial_review</x:v>
      </x:c>
      <x:c r="K613" t="str">
        <x:v>AkShare / Tencent all-A market snapshot</x:v>
      </x:c>
      <x:c r="L613" t="str">
        <x:v>ProxyError: primary market source unavailable; see source_id for full audit.</x:v>
      </x:c>
      <x:c r="M613" t="str">
        <x:v>0</x:v>
      </x:c>
      <x:c r="N613" t="str">
        <x:v>0fd6ad2d-3389-4e70-8974-eb85ee223eeb</x:v>
      </x:c>
      <x:c r="O613" t="str">
        <x:v>2026-09-04</x:v>
      </x:c>
    </x:row>
    <x:row r="614">
      <x:c r="A614" t="str">
        <x:v>603025</x:v>
      </x:c>
      <x:c r="B614" t="str">
        <x:v>大豪科技</x:v>
      </x:c>
      <x:c r="C614" t="str">
        <x:v>主板</x:v>
      </x:c>
      <x:c r="D614" t="str">
        <x:v>待行业映射</x:v>
      </x:c>
      <x:c r="E614" t="n">
        <x:v>13.43</x:v>
      </x:c>
      <x:c r="F614" t="n">
        <x:v>17.78</x:v>
      </x:c>
      <x:c r="G614"/>
      <x:c r="H614" t="n">
        <x:v>149.97</x:v>
      </x:c>
      <x:c r="I614" t="n">
        <x:v>24.02</x:v>
      </x:c>
      <x:c r="J614" t="str">
        <x:v>initial_screen_pending_pb_financial_review</x:v>
      </x:c>
      <x:c r="K614" t="str">
        <x:v>AkShare / Tencent all-A market snapshot</x:v>
      </x:c>
      <x:c r="L614" t="str">
        <x:v>ProxyError: primary market source unavailable; see source_id for full audit.</x:v>
      </x:c>
      <x:c r="M614" t="str">
        <x:v>0</x:v>
      </x:c>
      <x:c r="N614" t="str">
        <x:v>0fd6ad2d-3389-4e70-8974-eb85ee223eeb</x:v>
      </x:c>
      <x:c r="O614" t="str">
        <x:v>2026-09-04</x:v>
      </x:c>
    </x:row>
    <x:row r="615">
      <x:c r="A615" t="str">
        <x:v>300596</x:v>
      </x:c>
      <x:c r="B615" t="str">
        <x:v>利安隆</x:v>
      </x:c>
      <x:c r="C615" t="str">
        <x:v>创业板</x:v>
      </x:c>
      <x:c r="D615" t="str">
        <x:v>待行业映射</x:v>
      </x:c>
      <x:c r="E615" t="n">
        <x:v>41</x:v>
      </x:c>
      <x:c r="F615" t="n">
        <x:v>17.04</x:v>
      </x:c>
      <x:c r="G615"/>
      <x:c r="H615" t="n">
        <x:v>94.14</x:v>
      </x:c>
      <x:c r="I615" t="n">
        <x:v>23.99</x:v>
      </x:c>
      <x:c r="J615" t="str">
        <x:v>initial_screen_pending_pb_financial_review</x:v>
      </x:c>
      <x:c r="K615" t="str">
        <x:v>AkShare / Tencent all-A market snapshot</x:v>
      </x:c>
      <x:c r="L615" t="str">
        <x:v>ProxyError: primary market source unavailable; see source_id for full audit.</x:v>
      </x:c>
      <x:c r="M615" t="str">
        <x:v>0</x:v>
      </x:c>
      <x:c r="N615" t="str">
        <x:v>0fd6ad2d-3389-4e70-8974-eb85ee223eeb</x:v>
      </x:c>
      <x:c r="O615" t="str">
        <x:v>2026-09-04</x:v>
      </x:c>
    </x:row>
    <x:row r="616">
      <x:c r="A616" t="str">
        <x:v>002423</x:v>
      </x:c>
      <x:c r="B616" t="str">
        <x:v>中粮资本</x:v>
      </x:c>
      <x:c r="C616" t="str">
        <x:v>主板</x:v>
      </x:c>
      <x:c r="D616" t="str">
        <x:v>待行业映射</x:v>
      </x:c>
      <x:c r="E616" t="n">
        <x:v>9.83</x:v>
      </x:c>
      <x:c r="F616" t="n">
        <x:v>18.84</x:v>
      </x:c>
      <x:c r="G616"/>
      <x:c r="H616" t="n">
        <x:v>226.49</x:v>
      </x:c>
      <x:c r="I616" t="n">
        <x:v>23.94</x:v>
      </x:c>
      <x:c r="J616" t="str">
        <x:v>initial_screen_pending_pb_financial_review</x:v>
      </x:c>
      <x:c r="K616" t="str">
        <x:v>AkShare / Tencent all-A market snapshot</x:v>
      </x:c>
      <x:c r="L616" t="str">
        <x:v>ProxyError: primary market source unavailable; see source_id for full audit.</x:v>
      </x:c>
      <x:c r="M616" t="str">
        <x:v>0</x:v>
      </x:c>
      <x:c r="N616" t="str">
        <x:v>0fd6ad2d-3389-4e70-8974-eb85ee223eeb</x:v>
      </x:c>
      <x:c r="O616" t="str">
        <x:v>2026-09-04</x:v>
      </x:c>
    </x:row>
    <x:row r="617">
      <x:c r="A617" t="str">
        <x:v>002756</x:v>
      </x:c>
      <x:c r="B617" t="str">
        <x:v>永兴材料</x:v>
      </x:c>
      <x:c r="C617" t="str">
        <x:v>主板</x:v>
      </x:c>
      <x:c r="D617" t="str">
        <x:v>待行业映射</x:v>
      </x:c>
      <x:c r="E617" t="n">
        <x:v>42.93</x:v>
      </x:c>
      <x:c r="F617" t="n">
        <x:v>18.98</x:v>
      </x:c>
      <x:c r="G617"/>
      <x:c r="H617" t="n">
        <x:v>231.44</x:v>
      </x:c>
      <x:c r="I617" t="n">
        <x:v>23.75</x:v>
      </x:c>
      <x:c r="J617" t="str">
        <x:v>initial_screen_pending_pb_financial_review</x:v>
      </x:c>
      <x:c r="K617" t="str">
        <x:v>AkShare / Tencent all-A market snapshot</x:v>
      </x:c>
      <x:c r="L617" t="str">
        <x:v>ProxyError: primary market source unavailable; see source_id for full audit.</x:v>
      </x:c>
      <x:c r="M617" t="str">
        <x:v>0</x:v>
      </x:c>
      <x:c r="N617" t="str">
        <x:v>0fd6ad2d-3389-4e70-8974-eb85ee223eeb</x:v>
      </x:c>
      <x:c r="O617" t="str">
        <x:v>2026-09-04</x:v>
      </x:c>
    </x:row>
    <x:row r="618">
      <x:c r="A618" t="str">
        <x:v>688169</x:v>
      </x:c>
      <x:c r="B618" t="str">
        <x:v>石头科技</x:v>
      </x:c>
      <x:c r="C618" t="str">
        <x:v>科创板</x:v>
      </x:c>
      <x:c r="D618" t="str">
        <x:v>待行业映射</x:v>
      </x:c>
      <x:c r="E618" t="n">
        <x:v>132</x:v>
      </x:c>
      <x:c r="F618" t="n">
        <x:v>20.49</x:v>
      </x:c>
      <x:c r="G618"/>
      <x:c r="H618" t="n">
        <x:v>342.61</x:v>
      </x:c>
      <x:c r="I618" t="n">
        <x:v>23.72</x:v>
      </x:c>
      <x:c r="J618" t="str">
        <x:v>initial_screen_pending_pb_financial_review</x:v>
      </x:c>
      <x:c r="K618" t="str">
        <x:v>AkShare / Tencent all-A market snapshot</x:v>
      </x:c>
      <x:c r="L618" t="str">
        <x:v>ProxyError: primary market source unavailable; see source_id for full audit.</x:v>
      </x:c>
      <x:c r="M618" t="str">
        <x:v>0</x:v>
      </x:c>
      <x:c r="N618" t="str">
        <x:v>0fd6ad2d-3389-4e70-8974-eb85ee223eeb</x:v>
      </x:c>
      <x:c r="O618" t="str">
        <x:v>2026-09-04</x:v>
      </x:c>
    </x:row>
    <x:row r="619">
      <x:c r="A619" t="str">
        <x:v>600352</x:v>
      </x:c>
      <x:c r="B619" t="str">
        <x:v>浙江龙盛</x:v>
      </x:c>
      <x:c r="C619" t="str">
        <x:v>主板</x:v>
      </x:c>
      <x:c r="D619" t="str">
        <x:v>待行业映射</x:v>
      </x:c>
      <x:c r="E619" t="n">
        <x:v>12.52</x:v>
      </x:c>
      <x:c r="F619" t="n">
        <x:v>21.38</x:v>
      </x:c>
      <x:c r="G619"/>
      <x:c r="H619" t="n">
        <x:v>407.32</x:v>
      </x:c>
      <x:c r="I619" t="n">
        <x:v>23.67</x:v>
      </x:c>
      <x:c r="J619" t="str">
        <x:v>initial_screen_pending_pb_financial_review</x:v>
      </x:c>
      <x:c r="K619" t="str">
        <x:v>AkShare / Tencent all-A market snapshot</x:v>
      </x:c>
      <x:c r="L619" t="str">
        <x:v>ProxyError: primary market source unavailable; see source_id for full audit.</x:v>
      </x:c>
      <x:c r="M619" t="str">
        <x:v>0</x:v>
      </x:c>
      <x:c r="N619" t="str">
        <x:v>0fd6ad2d-3389-4e70-8974-eb85ee223eeb</x:v>
      </x:c>
      <x:c r="O619" t="str">
        <x:v>2026-09-04</x:v>
      </x:c>
    </x:row>
    <x:row r="620">
      <x:c r="A620" t="str">
        <x:v>000928</x:v>
      </x:c>
      <x:c r="B620" t="str">
        <x:v>中钢国际</x:v>
      </x:c>
      <x:c r="C620" t="str">
        <x:v>主板</x:v>
      </x:c>
      <x:c r="D620" t="str">
        <x:v>待行业映射</x:v>
      </x:c>
      <x:c r="E620" t="n">
        <x:v>5.43</x:v>
      </x:c>
      <x:c r="F620" t="n">
        <x:v>16.97</x:v>
      </x:c>
      <x:c r="G620"/>
      <x:c r="H620" t="n">
        <x:v>77.9</x:v>
      </x:c>
      <x:c r="I620" t="n">
        <x:v>23.6</x:v>
      </x:c>
      <x:c r="J620" t="str">
        <x:v>initial_screen_pending_pb_financial_review</x:v>
      </x:c>
      <x:c r="K620" t="str">
        <x:v>AkShare / Tencent all-A market snapshot</x:v>
      </x:c>
      <x:c r="L620" t="str">
        <x:v>ProxyError: primary market source unavailable; see source_id for full audit.</x:v>
      </x:c>
      <x:c r="M620" t="str">
        <x:v>0</x:v>
      </x:c>
      <x:c r="N620" t="str">
        <x:v>0fd6ad2d-3389-4e70-8974-eb85ee223eeb</x:v>
      </x:c>
      <x:c r="O620" t="str">
        <x:v>2026-09-04</x:v>
      </x:c>
    </x:row>
    <x:row r="621">
      <x:c r="A621" t="str">
        <x:v>002267</x:v>
      </x:c>
      <x:c r="B621" t="str">
        <x:v>陕天然气</x:v>
      </x:c>
      <x:c r="C621" t="str">
        <x:v>主板</x:v>
      </x:c>
      <x:c r="D621" t="str">
        <x:v>待行业映射</x:v>
      </x:c>
      <x:c r="E621" t="n">
        <x:v>7.33</x:v>
      </x:c>
      <x:c r="F621" t="n">
        <x:v>17.03</x:v>
      </x:c>
      <x:c r="G621"/>
      <x:c r="H621" t="n">
        <x:v>81.52</x:v>
      </x:c>
      <x:c r="I621" t="n">
        <x:v>23.58</x:v>
      </x:c>
      <x:c r="J621" t="str">
        <x:v>initial_screen_pending_pb_financial_review</x:v>
      </x:c>
      <x:c r="K621" t="str">
        <x:v>AkShare / Tencent all-A market snapshot</x:v>
      </x:c>
      <x:c r="L621" t="str">
        <x:v>ProxyError: primary market source unavailable; see source_id for full audit.</x:v>
      </x:c>
      <x:c r="M621" t="str">
        <x:v>0</x:v>
      </x:c>
      <x:c r="N621" t="str">
        <x:v>0fd6ad2d-3389-4e70-8974-eb85ee223eeb</x:v>
      </x:c>
      <x:c r="O621" t="str">
        <x:v>2026-09-04</x:v>
      </x:c>
    </x:row>
    <x:row r="622">
      <x:c r="A622" t="str">
        <x:v>600621</x:v>
      </x:c>
      <x:c r="B622" t="str">
        <x:v>华鑫股份</x:v>
      </x:c>
      <x:c r="C622" t="str">
        <x:v>主板</x:v>
      </x:c>
      <x:c r="D622" t="str">
        <x:v>待行业映射</x:v>
      </x:c>
      <x:c r="E622" t="n">
        <x:v>13.75</x:v>
      </x:c>
      <x:c r="F622" t="n">
        <x:v>17.92</x:v>
      </x:c>
      <x:c r="G622"/>
      <x:c r="H622" t="n">
        <x:v>145.87</x:v>
      </x:c>
      <x:c r="I622" t="n">
        <x:v>23.51</x:v>
      </x:c>
      <x:c r="J622" t="str">
        <x:v>initial_screen_pending_pb_financial_review</x:v>
      </x:c>
      <x:c r="K622" t="str">
        <x:v>AkShare / Tencent all-A market snapshot</x:v>
      </x:c>
      <x:c r="L622" t="str">
        <x:v>ProxyError: primary market source unavailable; see source_id for full audit.</x:v>
      </x:c>
      <x:c r="M622" t="str">
        <x:v>0</x:v>
      </x:c>
      <x:c r="N622" t="str">
        <x:v>0fd6ad2d-3389-4e70-8974-eb85ee223eeb</x:v>
      </x:c>
      <x:c r="O622" t="str">
        <x:v>2026-09-04</x:v>
      </x:c>
    </x:row>
    <x:row r="623">
      <x:c r="A623" t="str">
        <x:v>000900</x:v>
      </x:c>
      <x:c r="B623" t="str">
        <x:v>现代投资</x:v>
      </x:c>
      <x:c r="C623" t="str">
        <x:v>主板</x:v>
      </x:c>
      <x:c r="D623" t="str">
        <x:v>待行业映射</x:v>
      </x:c>
      <x:c r="E623" t="n">
        <x:v>3.66</x:v>
      </x:c>
      <x:c r="F623" t="n">
        <x:v>16.71</x:v>
      </x:c>
      <x:c r="G623"/>
      <x:c r="H623" t="n">
        <x:v>55.55</x:v>
      </x:c>
      <x:c r="I623" t="n">
        <x:v>23.5</x:v>
      </x:c>
      <x:c r="J623" t="str">
        <x:v>initial_screen_pending_pb_financial_review</x:v>
      </x:c>
      <x:c r="K623" t="str">
        <x:v>AkShare / Tencent all-A market snapshot</x:v>
      </x:c>
      <x:c r="L623" t="str">
        <x:v>ProxyError: primary market source unavailable; see source_id for full audit.</x:v>
      </x:c>
      <x:c r="M623" t="str">
        <x:v>0</x:v>
      </x:c>
      <x:c r="N623" t="str">
        <x:v>0fd6ad2d-3389-4e70-8974-eb85ee223eeb</x:v>
      </x:c>
      <x:c r="O623" t="str">
        <x:v>2026-09-04</x:v>
      </x:c>
    </x:row>
    <x:row r="624">
      <x:c r="A624" t="str">
        <x:v>002605</x:v>
      </x:c>
      <x:c r="B624" t="str">
        <x:v>姚记科技</x:v>
      </x:c>
      <x:c r="C624" t="str">
        <x:v>主板</x:v>
      </x:c>
      <x:c r="D624" t="str">
        <x:v>待行业映射</x:v>
      </x:c>
      <x:c r="E624" t="n">
        <x:v>17.36</x:v>
      </x:c>
      <x:c r="F624" t="n">
        <x:v>16.97</x:v>
      </x:c>
      <x:c r="G624"/>
      <x:c r="H624" t="n">
        <x:v>72.52</x:v>
      </x:c>
      <x:c r="I624" t="n">
        <x:v>23.42</x:v>
      </x:c>
      <x:c r="J624" t="str">
        <x:v>initial_screen_pending_pb_financial_review</x:v>
      </x:c>
      <x:c r="K624" t="str">
        <x:v>AkShare / Tencent all-A market snapshot</x:v>
      </x:c>
      <x:c r="L624" t="str">
        <x:v>ProxyError: primary market source unavailable; see source_id for full audit.</x:v>
      </x:c>
      <x:c r="M624" t="str">
        <x:v>0</x:v>
      </x:c>
      <x:c r="N624" t="str">
        <x:v>0fd6ad2d-3389-4e70-8974-eb85ee223eeb</x:v>
      </x:c>
      <x:c r="O624" t="str">
        <x:v>2026-09-04</x:v>
      </x:c>
    </x:row>
    <x:row r="625">
      <x:c r="A625" t="str">
        <x:v>002507</x:v>
      </x:c>
      <x:c r="B625" t="str">
        <x:v>涪陵榨菜</x:v>
      </x:c>
      <x:c r="C625" t="str">
        <x:v>主板</x:v>
      </x:c>
      <x:c r="D625" t="str">
        <x:v>待行业映射</x:v>
      </x:c>
      <x:c r="E625" t="n">
        <x:v>11.35</x:v>
      </x:c>
      <x:c r="F625" t="n">
        <x:v>17.79</x:v>
      </x:c>
      <x:c r="G625"/>
      <x:c r="H625" t="n">
        <x:v>130.97</x:v>
      </x:c>
      <x:c r="I625" t="n">
        <x:v>23.33</x:v>
      </x:c>
      <x:c r="J625" t="str">
        <x:v>initial_screen_pending_pb_financial_review</x:v>
      </x:c>
      <x:c r="K625" t="str">
        <x:v>AkShare / Tencent all-A market snapshot</x:v>
      </x:c>
      <x:c r="L625" t="str">
        <x:v>ProxyError: primary market source unavailable; see source_id for full audit.</x:v>
      </x:c>
      <x:c r="M625" t="str">
        <x:v>0</x:v>
      </x:c>
      <x:c r="N625" t="str">
        <x:v>0fd6ad2d-3389-4e70-8974-eb85ee223eeb</x:v>
      </x:c>
      <x:c r="O625" t="str">
        <x:v>2026-09-04</x:v>
      </x:c>
    </x:row>
    <x:row r="626">
      <x:c r="A626" t="str">
        <x:v>002249</x:v>
      </x:c>
      <x:c r="B626" t="str">
        <x:v>大洋电机</x:v>
      </x:c>
      <x:c r="C626" t="str">
        <x:v>主板</x:v>
      </x:c>
      <x:c r="D626" t="str">
        <x:v>待行业映射</x:v>
      </x:c>
      <x:c r="E626" t="n">
        <x:v>6.66</x:v>
      </x:c>
      <x:c r="F626" t="n">
        <x:v>18.27</x:v>
      </x:c>
      <x:c r="G626"/>
      <x:c r="H626" t="n">
        <x:v>164.3</x:v>
      </x:c>
      <x:c r="I626" t="n">
        <x:v>23.25</x:v>
      </x:c>
      <x:c r="J626" t="str">
        <x:v>initial_screen_pending_pb_financial_review</x:v>
      </x:c>
      <x:c r="K626" t="str">
        <x:v>AkShare / Tencent all-A market snapshot</x:v>
      </x:c>
      <x:c r="L626" t="str">
        <x:v>ProxyError: primary market source unavailable; see source_id for full audit.</x:v>
      </x:c>
      <x:c r="M626" t="str">
        <x:v>0</x:v>
      </x:c>
      <x:c r="N626" t="str">
        <x:v>0fd6ad2d-3389-4e70-8974-eb85ee223eeb</x:v>
      </x:c>
      <x:c r="O626" t="str">
        <x:v>2026-09-04</x:v>
      </x:c>
    </x:row>
    <x:row r="627">
      <x:c r="A627" t="str">
        <x:v>600906</x:v>
      </x:c>
      <x:c r="B627" t="str">
        <x:v>财达证券</x:v>
      </x:c>
      <x:c r="C627" t="str">
        <x:v>主板</x:v>
      </x:c>
      <x:c r="D627" t="str">
        <x:v>待行业映射</x:v>
      </x:c>
      <x:c r="E627" t="n">
        <x:v>6.66</x:v>
      </x:c>
      <x:c r="F627" t="n">
        <x:v>18.98</x:v>
      </x:c>
      <x:c r="G627"/>
      <x:c r="H627" t="n">
        <x:v>216.12</x:v>
      </x:c>
      <x:c r="I627" t="n">
        <x:v>23.22</x:v>
      </x:c>
      <x:c r="J627" t="str">
        <x:v>initial_screen_pending_pb_financial_review</x:v>
      </x:c>
      <x:c r="K627" t="str">
        <x:v>AkShare / Tencent all-A market snapshot</x:v>
      </x:c>
      <x:c r="L627" t="str">
        <x:v>ProxyError: primary market source unavailable; see source_id for full audit.</x:v>
      </x:c>
      <x:c r="M627" t="str">
        <x:v>0</x:v>
      </x:c>
      <x:c r="N627" t="str">
        <x:v>0fd6ad2d-3389-4e70-8974-eb85ee223eeb</x:v>
      </x:c>
      <x:c r="O627" t="str">
        <x:v>2026-09-04</x:v>
      </x:c>
    </x:row>
    <x:row r="628">
      <x:c r="A628" t="str">
        <x:v>603699</x:v>
      </x:c>
      <x:c r="B628" t="str">
        <x:v>纽威股份</x:v>
      </x:c>
      <x:c r="C628" t="str">
        <x:v>主板</x:v>
      </x:c>
      <x:c r="D628" t="str">
        <x:v>待行业映射</x:v>
      </x:c>
      <x:c r="E628" t="n">
        <x:v>45.62</x:v>
      </x:c>
      <x:c r="F628" t="n">
        <x:v>20.83</x:v>
      </x:c>
      <x:c r="G628"/>
      <x:c r="H628" t="n">
        <x:v>353.68</x:v>
      </x:c>
      <x:c r="I628" t="n">
        <x:v>23.22</x:v>
      </x:c>
      <x:c r="J628" t="str">
        <x:v>initial_screen_pending_pb_financial_review</x:v>
      </x:c>
      <x:c r="K628" t="str">
        <x:v>AkShare / Tencent all-A market snapshot</x:v>
      </x:c>
      <x:c r="L628" t="str">
        <x:v>ProxyError: primary market source unavailable; see source_id for full audit.</x:v>
      </x:c>
      <x:c r="M628" t="str">
        <x:v>0</x:v>
      </x:c>
      <x:c r="N628" t="str">
        <x:v>0fd6ad2d-3389-4e70-8974-eb85ee223eeb</x:v>
      </x:c>
      <x:c r="O628" t="str">
        <x:v>2026-09-04</x:v>
      </x:c>
    </x:row>
    <x:row r="629">
      <x:c r="A629" t="str">
        <x:v>002255</x:v>
      </x:c>
      <x:c r="B629" t="str">
        <x:v>海陆重工</x:v>
      </x:c>
      <x:c r="C629" t="str">
        <x:v>主板</x:v>
      </x:c>
      <x:c r="D629" t="str">
        <x:v>待行业映射</x:v>
      </x:c>
      <x:c r="E629" t="n">
        <x:v>7.89</x:v>
      </x:c>
      <x:c r="F629" t="n">
        <x:v>16.96</x:v>
      </x:c>
      <x:c r="G629"/>
      <x:c r="H629" t="n">
        <x:v>65.56</x:v>
      </x:c>
      <x:c r="I629" t="n">
        <x:v>23.2</x:v>
      </x:c>
      <x:c r="J629" t="str">
        <x:v>initial_screen_pending_pb_financial_review</x:v>
      </x:c>
      <x:c r="K629" t="str">
        <x:v>AkShare / Tencent all-A market snapshot</x:v>
      </x:c>
      <x:c r="L629" t="str">
        <x:v>ProxyError: primary market source unavailable; see source_id for full audit.</x:v>
      </x:c>
      <x:c r="M629" t="str">
        <x:v>0</x:v>
      </x:c>
      <x:c r="N629" t="str">
        <x:v>0fd6ad2d-3389-4e70-8974-eb85ee223eeb</x:v>
      </x:c>
      <x:c r="O629" t="str">
        <x:v>2026-09-04</x:v>
      </x:c>
    </x:row>
    <x:row r="630">
      <x:c r="A630" t="str">
        <x:v>300140</x:v>
      </x:c>
      <x:c r="B630" t="str">
        <x:v>节能环境</x:v>
      </x:c>
      <x:c r="C630" t="str">
        <x:v>创业板</x:v>
      </x:c>
      <x:c r="D630" t="str">
        <x:v>待行业映射</x:v>
      </x:c>
      <x:c r="E630" t="n">
        <x:v>5.41</x:v>
      </x:c>
      <x:c r="F630" t="n">
        <x:v>18.35</x:v>
      </x:c>
      <x:c r="G630"/>
      <x:c r="H630" t="n">
        <x:v>167.66</x:v>
      </x:c>
      <x:c r="I630" t="n">
        <x:v>23.16</x:v>
      </x:c>
      <x:c r="J630" t="str">
        <x:v>initial_screen_pending_pb_financial_review</x:v>
      </x:c>
      <x:c r="K630" t="str">
        <x:v>AkShare / Tencent all-A market snapshot</x:v>
      </x:c>
      <x:c r="L630" t="str">
        <x:v>ProxyError: primary market source unavailable; see source_id for full audit.</x:v>
      </x:c>
      <x:c r="M630" t="str">
        <x:v>0</x:v>
      </x:c>
      <x:c r="N630" t="str">
        <x:v>0fd6ad2d-3389-4e70-8974-eb85ee223eeb</x:v>
      </x:c>
      <x:c r="O630" t="str">
        <x:v>2026-09-04</x:v>
      </x:c>
    </x:row>
    <x:row r="631">
      <x:c r="A631" t="str">
        <x:v>301216</x:v>
      </x:c>
      <x:c r="B631" t="str">
        <x:v>万凯新材</x:v>
      </x:c>
      <x:c r="C631" t="str">
        <x:v>创业板</x:v>
      </x:c>
      <x:c r="D631" t="str">
        <x:v>待行业映射</x:v>
      </x:c>
      <x:c r="E631" t="n">
        <x:v>20.6</x:v>
      </x:c>
      <x:c r="F631" t="n">
        <x:v>17.7</x:v>
      </x:c>
      <x:c r="G631"/>
      <x:c r="H631" t="n">
        <x:v>119.52</x:v>
      </x:c>
      <x:c r="I631" t="n">
        <x:v>23.16</x:v>
      </x:c>
      <x:c r="J631" t="str">
        <x:v>initial_screen_pending_pb_financial_review</x:v>
      </x:c>
      <x:c r="K631" t="str">
        <x:v>AkShare / Tencent all-A market snapshot</x:v>
      </x:c>
      <x:c r="L631" t="str">
        <x:v>ProxyError: primary market source unavailable; see source_id for full audit.</x:v>
      </x:c>
      <x:c r="M631" t="str">
        <x:v>0</x:v>
      </x:c>
      <x:c r="N631" t="str">
        <x:v>0fd6ad2d-3389-4e70-8974-eb85ee223eeb</x:v>
      </x:c>
      <x:c r="O631" t="str">
        <x:v>2026-09-04</x:v>
      </x:c>
    </x:row>
    <x:row r="632">
      <x:c r="A632" t="str">
        <x:v>301500</x:v>
      </x:c>
      <x:c r="B632" t="str">
        <x:v>飞南资源</x:v>
      </x:c>
      <x:c r="C632" t="str">
        <x:v>创业板</x:v>
      </x:c>
      <x:c r="D632" t="str">
        <x:v>待行业映射</x:v>
      </x:c>
      <x:c r="E632" t="n">
        <x:v>24.92</x:v>
      </x:c>
      <x:c r="F632" t="n">
        <x:v>18</x:v>
      </x:c>
      <x:c r="G632"/>
      <x:c r="H632" t="n">
        <x:v>139.82</x:v>
      </x:c>
      <x:c r="I632" t="n">
        <x:v>23.09</x:v>
      </x:c>
      <x:c r="J632" t="str">
        <x:v>initial_screen_pending_pb_financial_review</x:v>
      </x:c>
      <x:c r="K632" t="str">
        <x:v>AkShare / Tencent all-A market snapshot</x:v>
      </x:c>
      <x:c r="L632" t="str">
        <x:v>ProxyError: primary market source unavailable; see source_id for full audit.</x:v>
      </x:c>
      <x:c r="M632" t="str">
        <x:v>0</x:v>
      </x:c>
      <x:c r="N632" t="str">
        <x:v>0fd6ad2d-3389-4e70-8974-eb85ee223eeb</x:v>
      </x:c>
      <x:c r="O632" t="str">
        <x:v>2026-09-04</x:v>
      </x:c>
    </x:row>
    <x:row r="633">
      <x:c r="A633" t="str">
        <x:v>301004</x:v>
      </x:c>
      <x:c r="B633" t="str">
        <x:v>嘉益股份</x:v>
      </x:c>
      <x:c r="C633" t="str">
        <x:v>创业板</x:v>
      </x:c>
      <x:c r="D633" t="str">
        <x:v>待行业映射</x:v>
      </x:c>
      <x:c r="E633" t="n">
        <x:v>34.94</x:v>
      </x:c>
      <x:c r="F633" t="n">
        <x:v>16.82</x:v>
      </x:c>
      <x:c r="G633"/>
      <x:c r="H633" t="n">
        <x:v>50.94</x:v>
      </x:c>
      <x:c r="I633" t="n">
        <x:v>23.05</x:v>
      </x:c>
      <x:c r="J633" t="str">
        <x:v>initial_screen_pending_pb_financial_review</x:v>
      </x:c>
      <x:c r="K633" t="str">
        <x:v>AkShare / Tencent all-A market snapshot</x:v>
      </x:c>
      <x:c r="L633" t="str">
        <x:v>ProxyError: primary market source unavailable; see source_id for full audit.</x:v>
      </x:c>
      <x:c r="M633" t="str">
        <x:v>0</x:v>
      </x:c>
      <x:c r="N633" t="str">
        <x:v>0fd6ad2d-3389-4e70-8974-eb85ee223eeb</x:v>
      </x:c>
      <x:c r="O633" t="str">
        <x:v>2026-09-04</x:v>
      </x:c>
    </x:row>
    <x:row r="634">
      <x:c r="A634" t="str">
        <x:v>600754</x:v>
      </x:c>
      <x:c r="B634" t="str">
        <x:v>锦江酒店</x:v>
      </x:c>
      <x:c r="C634" t="str">
        <x:v>主板</x:v>
      </x:c>
      <x:c r="D634" t="str">
        <x:v>待行业映射</x:v>
      </x:c>
      <x:c r="E634" t="n">
        <x:v>19.59</x:v>
      </x:c>
      <x:c r="F634" t="n">
        <x:v>18.95</x:v>
      </x:c>
      <x:c r="G634"/>
      <x:c r="H634" t="n">
        <x:v>208.45</x:v>
      </x:c>
      <x:c r="I634" t="n">
        <x:v>23.03</x:v>
      </x:c>
      <x:c r="J634" t="str">
        <x:v>initial_screen_pending_pb_financial_review</x:v>
      </x:c>
      <x:c r="K634" t="str">
        <x:v>AkShare / Tencent all-A market snapshot</x:v>
      </x:c>
      <x:c r="L634" t="str">
        <x:v>ProxyError: primary market source unavailable; see source_id for full audit.</x:v>
      </x:c>
      <x:c r="M634" t="str">
        <x:v>0</x:v>
      </x:c>
      <x:c r="N634" t="str">
        <x:v>0fd6ad2d-3389-4e70-8974-eb85ee223eeb</x:v>
      </x:c>
      <x:c r="O634" t="str">
        <x:v>2026-09-04</x:v>
      </x:c>
    </x:row>
    <x:row r="635">
      <x:c r="A635" t="str">
        <x:v>002216</x:v>
      </x:c>
      <x:c r="B635" t="str">
        <x:v>三全食品</x:v>
      </x:c>
      <x:c r="C635" t="str">
        <x:v>主板</x:v>
      </x:c>
      <x:c r="D635" t="str">
        <x:v>待行业映射</x:v>
      </x:c>
      <x:c r="E635" t="n">
        <x:v>11.95</x:v>
      </x:c>
      <x:c r="F635" t="n">
        <x:v>17.61</x:v>
      </x:c>
      <x:c r="G635"/>
      <x:c r="H635" t="n">
        <x:v>105.06</x:v>
      </x:c>
      <x:c r="I635" t="n">
        <x:v>22.89</x:v>
      </x:c>
      <x:c r="J635" t="str">
        <x:v>initial_screen_pending_pb_financial_review</x:v>
      </x:c>
      <x:c r="K635" t="str">
        <x:v>AkShare / Tencent all-A market snapshot</x:v>
      </x:c>
      <x:c r="L635" t="str">
        <x:v>ProxyError: primary market source unavailable; see source_id for full audit.</x:v>
      </x:c>
      <x:c r="M635" t="str">
        <x:v>0</x:v>
      </x:c>
      <x:c r="N635" t="str">
        <x:v>0fd6ad2d-3389-4e70-8974-eb85ee223eeb</x:v>
      </x:c>
      <x:c r="O635" t="str">
        <x:v>2026-09-04</x:v>
      </x:c>
    </x:row>
    <x:row r="636">
      <x:c r="A636" t="str">
        <x:v>002773</x:v>
      </x:c>
      <x:c r="B636" t="str">
        <x:v>康弘药业</x:v>
      </x:c>
      <x:c r="C636" t="str">
        <x:v>主板</x:v>
      </x:c>
      <x:c r="D636" t="str">
        <x:v>待行业映射</x:v>
      </x:c>
      <x:c r="E636" t="n">
        <x:v>20.3</x:v>
      </x:c>
      <x:c r="F636" t="n">
        <x:v>18.74</x:v>
      </x:c>
      <x:c r="G636"/>
      <x:c r="H636" t="n">
        <x:v>187.03</x:v>
      </x:c>
      <x:c r="I636" t="n">
        <x:v>22.82</x:v>
      </x:c>
      <x:c r="J636" t="str">
        <x:v>initial_screen_pending_pb_financial_review</x:v>
      </x:c>
      <x:c r="K636" t="str">
        <x:v>AkShare / Tencent all-A market snapshot</x:v>
      </x:c>
      <x:c r="L636" t="str">
        <x:v>ProxyError: primary market source unavailable; see source_id for full audit.</x:v>
      </x:c>
      <x:c r="M636" t="str">
        <x:v>0</x:v>
      </x:c>
      <x:c r="N636" t="str">
        <x:v>0fd6ad2d-3389-4e70-8974-eb85ee223eeb</x:v>
      </x:c>
      <x:c r="O636" t="str">
        <x:v>2026-09-04</x:v>
      </x:c>
    </x:row>
    <x:row r="637">
      <x:c r="A637" t="str">
        <x:v>603053</x:v>
      </x:c>
      <x:c r="B637" t="str">
        <x:v>成都燃气</x:v>
      </x:c>
      <x:c r="C637" t="str">
        <x:v>主板</x:v>
      </x:c>
      <x:c r="D637" t="str">
        <x:v>待行业映射</x:v>
      </x:c>
      <x:c r="E637" t="n">
        <x:v>8.87</x:v>
      </x:c>
      <x:c r="F637" t="n">
        <x:v>17.3</x:v>
      </x:c>
      <x:c r="G637"/>
      <x:c r="H637" t="n">
        <x:v>78.84</x:v>
      </x:c>
      <x:c r="I637" t="n">
        <x:v>22.78</x:v>
      </x:c>
      <x:c r="J637" t="str">
        <x:v>initial_screen_pending_pb_financial_review</x:v>
      </x:c>
      <x:c r="K637" t="str">
        <x:v>AkShare / Tencent all-A market snapshot</x:v>
      </x:c>
      <x:c r="L637" t="str">
        <x:v>ProxyError: primary market source unavailable; see source_id for full audit.</x:v>
      </x:c>
      <x:c r="M637" t="str">
        <x:v>0</x:v>
      </x:c>
      <x:c r="N637" t="str">
        <x:v>0fd6ad2d-3389-4e70-8974-eb85ee223eeb</x:v>
      </x:c>
      <x:c r="O637" t="str">
        <x:v>2026-09-04</x:v>
      </x:c>
    </x:row>
    <x:row r="638">
      <x:c r="A638" t="str">
        <x:v>603045</x:v>
      </x:c>
      <x:c r="B638" t="str">
        <x:v>福达合金</x:v>
      </x:c>
      <x:c r="C638" t="str">
        <x:v>主板</x:v>
      </x:c>
      <x:c r="D638" t="str">
        <x:v>待行业映射</x:v>
      </x:c>
      <x:c r="E638" t="n">
        <x:v>49.98</x:v>
      </x:c>
      <x:c r="F638" t="n">
        <x:v>17.22</x:v>
      </x:c>
      <x:c r="G638"/>
      <x:c r="H638" t="n">
        <x:v>67.7</x:v>
      </x:c>
      <x:c r="I638" t="n">
        <x:v>22.6</x:v>
      </x:c>
      <x:c r="J638" t="str">
        <x:v>initial_screen_pending_pb_financial_review</x:v>
      </x:c>
      <x:c r="K638" t="str">
        <x:v>AkShare / Tencent all-A market snapshot</x:v>
      </x:c>
      <x:c r="L638" t="str">
        <x:v>ProxyError: primary market source unavailable; see source_id for full audit.</x:v>
      </x:c>
      <x:c r="M638" t="str">
        <x:v>0</x:v>
      </x:c>
      <x:c r="N638" t="str">
        <x:v>0fd6ad2d-3389-4e70-8974-eb85ee223eeb</x:v>
      </x:c>
      <x:c r="O638" t="str">
        <x:v>2026-09-04</x:v>
      </x:c>
    </x:row>
    <x:row r="639">
      <x:c r="A639" t="str">
        <x:v>000833</x:v>
      </x:c>
      <x:c r="B639" t="str">
        <x:v>粤桂股份</x:v>
      </x:c>
      <x:c r="C639" t="str">
        <x:v>主板</x:v>
      </x:c>
      <x:c r="D639" t="str">
        <x:v>待行业映射</x:v>
      </x:c>
      <x:c r="E639" t="n">
        <x:v>19.84</x:v>
      </x:c>
      <x:c r="F639" t="n">
        <x:v>18.68</x:v>
      </x:c>
      <x:c r="G639"/>
      <x:c r="H639" t="n">
        <x:v>169.66</x:v>
      </x:c>
      <x:c r="I639" t="n">
        <x:v>22.37</x:v>
      </x:c>
      <x:c r="J639" t="str">
        <x:v>initial_screen_pending_pb_financial_review</x:v>
      </x:c>
      <x:c r="K639" t="str">
        <x:v>AkShare / Tencent all-A market snapshot</x:v>
      </x:c>
      <x:c r="L639" t="str">
        <x:v>ProxyError: primary market source unavailable; see source_id for full audit.</x:v>
      </x:c>
      <x:c r="M639" t="str">
        <x:v>0</x:v>
      </x:c>
      <x:c r="N639" t="str">
        <x:v>0fd6ad2d-3389-4e70-8974-eb85ee223eeb</x:v>
      </x:c>
      <x:c r="O639" t="str">
        <x:v>2026-09-04</x:v>
      </x:c>
    </x:row>
    <x:row r="640">
      <x:c r="A640" t="str">
        <x:v>603658</x:v>
      </x:c>
      <x:c r="B640" t="str">
        <x:v>安图生物</x:v>
      </x:c>
      <x:c r="C640" t="str">
        <x:v>主板</x:v>
      </x:c>
      <x:c r="D640" t="str">
        <x:v>待行业映射</x:v>
      </x:c>
      <x:c r="E640" t="n">
        <x:v>32.98</x:v>
      </x:c>
      <x:c r="F640" t="n">
        <x:v>18.96</x:v>
      </x:c>
      <x:c r="G640"/>
      <x:c r="H640" t="n">
        <x:v>188.46</x:v>
      </x:c>
      <x:c r="I640" t="n">
        <x:v>22.3</x:v>
      </x:c>
      <x:c r="J640" t="str">
        <x:v>initial_screen_pending_pb_financial_review</x:v>
      </x:c>
      <x:c r="K640" t="str">
        <x:v>AkShare / Tencent all-A market snapshot</x:v>
      </x:c>
      <x:c r="L640" t="str">
        <x:v>ProxyError: primary market source unavailable; see source_id for full audit.</x:v>
      </x:c>
      <x:c r="M640" t="str">
        <x:v>0</x:v>
      </x:c>
      <x:c r="N640" t="str">
        <x:v>0fd6ad2d-3389-4e70-8974-eb85ee223eeb</x:v>
      </x:c>
      <x:c r="O640" t="str">
        <x:v>2026-09-04</x:v>
      </x:c>
    </x:row>
    <x:row r="641">
      <x:c r="A641" t="str">
        <x:v>600299</x:v>
      </x:c>
      <x:c r="B641" t="str">
        <x:v>安迪苏</x:v>
      </x:c>
      <x:c r="C641" t="str">
        <x:v>主板</x:v>
      </x:c>
      <x:c r="D641" t="str">
        <x:v>待行业映射</x:v>
      </x:c>
      <x:c r="E641" t="n">
        <x:v>8.57</x:v>
      </x:c>
      <x:c r="F641" t="n">
        <x:v>20.01</x:v>
      </x:c>
      <x:c r="G641"/>
      <x:c r="H641" t="n">
        <x:v>263.94</x:v>
      </x:c>
      <x:c r="I641" t="n">
        <x:v>22.21</x:v>
      </x:c>
      <x:c r="J641" t="str">
        <x:v>initial_screen_pending_pb_financial_review</x:v>
      </x:c>
      <x:c r="K641" t="str">
        <x:v>AkShare / Tencent all-A market snapshot</x:v>
      </x:c>
      <x:c r="L641" t="str">
        <x:v>ProxyError: primary market source unavailable; see source_id for full audit.</x:v>
      </x:c>
      <x:c r="M641" t="str">
        <x:v>0</x:v>
      </x:c>
      <x:c r="N641" t="str">
        <x:v>0fd6ad2d-3389-4e70-8974-eb85ee223eeb</x:v>
      </x:c>
      <x:c r="O641" t="str">
        <x:v>2026-09-04</x:v>
      </x:c>
    </x:row>
    <x:row r="642">
      <x:c r="A642" t="str">
        <x:v>600548</x:v>
      </x:c>
      <x:c r="B642" t="str">
        <x:v>深高速</x:v>
      </x:c>
      <x:c r="C642" t="str">
        <x:v>主板</x:v>
      </x:c>
      <x:c r="D642" t="str">
        <x:v>待行业映射</x:v>
      </x:c>
      <x:c r="E642" t="n">
        <x:v>8.47</x:v>
      </x:c>
      <x:c r="F642" t="n">
        <x:v>19.4</x:v>
      </x:c>
      <x:c r="G642"/>
      <x:c r="H642" t="n">
        <x:v>214.96</x:v>
      </x:c>
      <x:c r="I642" t="n">
        <x:v>22.08</x:v>
      </x:c>
      <x:c r="J642" t="str">
        <x:v>initial_screen_pending_pb_financial_review</x:v>
      </x:c>
      <x:c r="K642" t="str">
        <x:v>AkShare / Tencent all-A market snapshot</x:v>
      </x:c>
      <x:c r="L642" t="str">
        <x:v>ProxyError: primary market source unavailable; see source_id for full audit.</x:v>
      </x:c>
      <x:c r="M642" t="str">
        <x:v>0</x:v>
      </x:c>
      <x:c r="N642" t="str">
        <x:v>0fd6ad2d-3389-4e70-8974-eb85ee223eeb</x:v>
      </x:c>
      <x:c r="O642" t="str">
        <x:v>2026-09-04</x:v>
      </x:c>
    </x:row>
    <x:row r="643">
      <x:c r="A643" t="str">
        <x:v>002478</x:v>
      </x:c>
      <x:c r="B643" t="str">
        <x:v>常宝股份</x:v>
      </x:c>
      <x:c r="C643" t="str">
        <x:v>主板</x:v>
      </x:c>
      <x:c r="D643" t="str">
        <x:v>待行业映射</x:v>
      </x:c>
      <x:c r="E643" t="n">
        <x:v>7.01</x:v>
      </x:c>
      <x:c r="F643" t="n">
        <x:v>17.46</x:v>
      </x:c>
      <x:c r="G643"/>
      <x:c r="H643" t="n">
        <x:v>63.15</x:v>
      </x:c>
      <x:c r="I643" t="n">
        <x:v>21.81</x:v>
      </x:c>
      <x:c r="J643" t="str">
        <x:v>initial_screen_pending_pb_financial_review</x:v>
      </x:c>
      <x:c r="K643" t="str">
        <x:v>AkShare / Tencent all-A market snapshot</x:v>
      </x:c>
      <x:c r="L643" t="str">
        <x:v>ProxyError: primary market source unavailable; see source_id for full audit.</x:v>
      </x:c>
      <x:c r="M643" t="str">
        <x:v>0</x:v>
      </x:c>
      <x:c r="N643" t="str">
        <x:v>0fd6ad2d-3389-4e70-8974-eb85ee223eeb</x:v>
      </x:c>
      <x:c r="O643" t="str">
        <x:v>2026-09-04</x:v>
      </x:c>
    </x:row>
    <x:row r="644">
      <x:c r="A644" t="str">
        <x:v>002541</x:v>
      </x:c>
      <x:c r="B644" t="str">
        <x:v>鸿路钢构</x:v>
      </x:c>
      <x:c r="C644" t="str">
        <x:v>主板</x:v>
      </x:c>
      <x:c r="D644" t="str">
        <x:v>待行业映射</x:v>
      </x:c>
      <x:c r="E644" t="n">
        <x:v>20.65</x:v>
      </x:c>
      <x:c r="F644" t="n">
        <x:v>18.62</x:v>
      </x:c>
      <x:c r="G644"/>
      <x:c r="H644" t="n">
        <x:v>145.47</x:v>
      </x:c>
      <x:c r="I644" t="n">
        <x:v>21.68</x:v>
      </x:c>
      <x:c r="J644" t="str">
        <x:v>initial_screen_pending_pb_financial_review</x:v>
      </x:c>
      <x:c r="K644" t="str">
        <x:v>AkShare / Tencent all-A market snapshot</x:v>
      </x:c>
      <x:c r="L644" t="str">
        <x:v>ProxyError: primary market source unavailable; see source_id for full audit.</x:v>
      </x:c>
      <x:c r="M644" t="str">
        <x:v>0</x:v>
      </x:c>
      <x:c r="N644" t="str">
        <x:v>0fd6ad2d-3389-4e70-8974-eb85ee223eeb</x:v>
      </x:c>
      <x:c r="O644" t="str">
        <x:v>2026-09-04</x:v>
      </x:c>
    </x:row>
    <x:row r="645">
      <x:c r="A645" t="str">
        <x:v>300470</x:v>
      </x:c>
      <x:c r="B645" t="str">
        <x:v>中密控股</x:v>
      </x:c>
      <x:c r="C645" t="str">
        <x:v>创业板</x:v>
      </x:c>
      <x:c r="D645" t="str">
        <x:v>待行业映射</x:v>
      </x:c>
      <x:c r="E645" t="n">
        <x:v>27.95</x:v>
      </x:c>
      <x:c r="F645" t="n">
        <x:v>17.46</x:v>
      </x:c>
      <x:c r="G645"/>
      <x:c r="H645" t="n">
        <x:v>58.12</x:v>
      </x:c>
      <x:c r="I645" t="n">
        <x:v>21.64</x:v>
      </x:c>
      <x:c r="J645" t="str">
        <x:v>initial_screen_pending_pb_financial_review</x:v>
      </x:c>
      <x:c r="K645" t="str">
        <x:v>AkShare / Tencent all-A market snapshot</x:v>
      </x:c>
      <x:c r="L645" t="str">
        <x:v>ProxyError: primary market source unavailable; see source_id for full audit.</x:v>
      </x:c>
      <x:c r="M645" t="str">
        <x:v>0</x:v>
      </x:c>
      <x:c r="N645" t="str">
        <x:v>0fd6ad2d-3389-4e70-8974-eb85ee223eeb</x:v>
      </x:c>
      <x:c r="O645" t="str">
        <x:v>2026-09-04</x:v>
      </x:c>
    </x:row>
    <x:row r="646">
      <x:c r="A646" t="str">
        <x:v>600529</x:v>
      </x:c>
      <x:c r="B646" t="str">
        <x:v>山东药玻</x:v>
      </x:c>
      <x:c r="C646" t="str">
        <x:v>主板</x:v>
      </x:c>
      <x:c r="D646" t="str">
        <x:v>待行业映射</x:v>
      </x:c>
      <x:c r="E646" t="n">
        <x:v>19.1</x:v>
      </x:c>
      <x:c r="F646" t="n">
        <x:v>18.39</x:v>
      </x:c>
      <x:c r="G646"/>
      <x:c r="H646" t="n">
        <x:v>126.75</x:v>
      </x:c>
      <x:c r="I646" t="n">
        <x:v>21.62</x:v>
      </x:c>
      <x:c r="J646" t="str">
        <x:v>initial_screen_pending_pb_financial_review</x:v>
      </x:c>
      <x:c r="K646" t="str">
        <x:v>AkShare / Tencent all-A market snapshot</x:v>
      </x:c>
      <x:c r="L646" t="str">
        <x:v>ProxyError: primary market source unavailable; see source_id for full audit.</x:v>
      </x:c>
      <x:c r="M646" t="str">
        <x:v>0</x:v>
      </x:c>
      <x:c r="N646" t="str">
        <x:v>0fd6ad2d-3389-4e70-8974-eb85ee223eeb</x:v>
      </x:c>
      <x:c r="O646" t="str">
        <x:v>2026-09-04</x:v>
      </x:c>
    </x:row>
    <x:row r="647">
      <x:c r="A647" t="str">
        <x:v>300138</x:v>
      </x:c>
      <x:c r="B647" t="str">
        <x:v>晨光生物</x:v>
      </x:c>
      <x:c r="C647" t="str">
        <x:v>创业板</x:v>
      </x:c>
      <x:c r="D647" t="str">
        <x:v>待行业映射</x:v>
      </x:c>
      <x:c r="E647" t="n">
        <x:v>12.03</x:v>
      </x:c>
      <x:c r="F647" t="n">
        <x:v>17.48</x:v>
      </x:c>
      <x:c r="G647"/>
      <x:c r="H647" t="n">
        <x:v>58.12</x:v>
      </x:c>
      <x:c r="I647" t="n">
        <x:v>21.59</x:v>
      </x:c>
      <x:c r="J647" t="str">
        <x:v>initial_screen_pending_pb_financial_review</x:v>
      </x:c>
      <x:c r="K647" t="str">
        <x:v>AkShare / Tencent all-A market snapshot</x:v>
      </x:c>
      <x:c r="L647" t="str">
        <x:v>ProxyError: primary market source unavailable; see source_id for full audit.</x:v>
      </x:c>
      <x:c r="M647" t="str">
        <x:v>0</x:v>
      </x:c>
      <x:c r="N647" t="str">
        <x:v>0fd6ad2d-3389-4e70-8974-eb85ee223eeb</x:v>
      </x:c>
      <x:c r="O647" t="str">
        <x:v>2026-09-04</x:v>
      </x:c>
    </x:row>
    <x:row r="648">
      <x:c r="A648" t="str">
        <x:v>000422</x:v>
      </x:c>
      <x:c r="B648" t="str">
        <x:v>湖北宜化</x:v>
      </x:c>
      <x:c r="C648" t="str">
        <x:v>主板</x:v>
      </x:c>
      <x:c r="D648" t="str">
        <x:v>待行业映射</x:v>
      </x:c>
      <x:c r="E648" t="n">
        <x:v>12.44</x:v>
      </x:c>
      <x:c r="F648" t="n">
        <x:v>18.56</x:v>
      </x:c>
      <x:c r="G648"/>
      <x:c r="H648" t="n">
        <x:v>135.3</x:v>
      </x:c>
      <x:c r="I648" t="n">
        <x:v>21.48</x:v>
      </x:c>
      <x:c r="J648" t="str">
        <x:v>initial_screen_pending_pb_financial_review</x:v>
      </x:c>
      <x:c r="K648" t="str">
        <x:v>AkShare / Tencent all-A market snapshot</x:v>
      </x:c>
      <x:c r="L648" t="str">
        <x:v>ProxyError: primary market source unavailable; see source_id for full audit.</x:v>
      </x:c>
      <x:c r="M648" t="str">
        <x:v>0</x:v>
      </x:c>
      <x:c r="N648" t="str">
        <x:v>0fd6ad2d-3389-4e70-8974-eb85ee223eeb</x:v>
      </x:c>
      <x:c r="O648" t="str">
        <x:v>2026-09-04</x:v>
      </x:c>
    </x:row>
    <x:row r="649">
      <x:c r="A649" t="str">
        <x:v>002500</x:v>
      </x:c>
      <x:c r="B649" t="str">
        <x:v>山西证券</x:v>
      </x:c>
      <x:c r="C649" t="str">
        <x:v>主板</x:v>
      </x:c>
      <x:c r="D649" t="str">
        <x:v>待行业映射</x:v>
      </x:c>
      <x:c r="E649" t="n">
        <x:v>5.42</x:v>
      </x:c>
      <x:c r="F649" t="n">
        <x:v>19.4</x:v>
      </x:c>
      <x:c r="G649"/>
      <x:c r="H649" t="n">
        <x:v>194.57</x:v>
      </x:c>
      <x:c r="I649" t="n">
        <x:v>21.37</x:v>
      </x:c>
      <x:c r="J649" t="str">
        <x:v>initial_screen_pending_pb_financial_review</x:v>
      </x:c>
      <x:c r="K649" t="str">
        <x:v>AkShare / Tencent all-A market snapshot</x:v>
      </x:c>
      <x:c r="L649" t="str">
        <x:v>ProxyError: primary market source unavailable; see source_id for full audit.</x:v>
      </x:c>
      <x:c r="M649" t="str">
        <x:v>0</x:v>
      </x:c>
      <x:c r="N649" t="str">
        <x:v>0fd6ad2d-3389-4e70-8974-eb85ee223eeb</x:v>
      </x:c>
      <x:c r="O649" t="str">
        <x:v>2026-09-04</x:v>
      </x:c>
    </x:row>
    <x:row r="650">
      <x:c r="A650" t="str">
        <x:v>603556</x:v>
      </x:c>
      <x:c r="B650" t="str">
        <x:v>海兴电力</x:v>
      </x:c>
      <x:c r="C650" t="str">
        <x:v>主板</x:v>
      </x:c>
      <x:c r="D650" t="str">
        <x:v>待行业映射</x:v>
      </x:c>
      <x:c r="E650" t="n">
        <x:v>25.2</x:v>
      </x:c>
      <x:c r="F650" t="n">
        <x:v>18.45</x:v>
      </x:c>
      <x:c r="G650"/>
      <x:c r="H650" t="n">
        <x:v>122.54</x:v>
      </x:c>
      <x:c r="I650" t="n">
        <x:v>21.32</x:v>
      </x:c>
      <x:c r="J650" t="str">
        <x:v>initial_screen_pending_pb_financial_review</x:v>
      </x:c>
      <x:c r="K650" t="str">
        <x:v>AkShare / Tencent all-A market snapshot</x:v>
      </x:c>
      <x:c r="L650" t="str">
        <x:v>ProxyError: primary market source unavailable; see source_id for full audit.</x:v>
      </x:c>
      <x:c r="M650" t="str">
        <x:v>0</x:v>
      </x:c>
      <x:c r="N650" t="str">
        <x:v>0fd6ad2d-3389-4e70-8974-eb85ee223eeb</x:v>
      </x:c>
      <x:c r="O650" t="str">
        <x:v>2026-09-04</x:v>
      </x:c>
    </x:row>
    <x:row r="651">
      <x:c r="A651" t="str">
        <x:v>001386</x:v>
      </x:c>
      <x:c r="B651" t="str">
        <x:v>马可波罗</x:v>
      </x:c>
      <x:c r="C651" t="str">
        <x:v>主板</x:v>
      </x:c>
      <x:c r="D651" t="str">
        <x:v>待行业映射</x:v>
      </x:c>
      <x:c r="E651" t="n">
        <x:v>16.02</x:v>
      </x:c>
      <x:c r="F651" t="n">
        <x:v>19.4</x:v>
      </x:c>
      <x:c r="G651"/>
      <x:c r="H651" t="n">
        <x:v>191.43</x:v>
      </x:c>
      <x:c r="I651" t="n">
        <x:v>21.26</x:v>
      </x:c>
      <x:c r="J651" t="str">
        <x:v>initial_screen_pending_pb_financial_review</x:v>
      </x:c>
      <x:c r="K651" t="str">
        <x:v>AkShare / Tencent all-A market snapshot</x:v>
      </x:c>
      <x:c r="L651" t="str">
        <x:v>ProxyError: primary market source unavailable; see source_id for full audit.</x:v>
      </x:c>
      <x:c r="M651" t="str">
        <x:v>0</x:v>
      </x:c>
      <x:c r="N651" t="str">
        <x:v>0fd6ad2d-3389-4e70-8974-eb85ee223eeb</x:v>
      </x:c>
      <x:c r="O651" t="str">
        <x:v>2026-09-04</x:v>
      </x:c>
    </x:row>
    <x:row r="652">
      <x:c r="A652" t="str">
        <x:v>603606</x:v>
      </x:c>
      <x:c r="B652" t="str">
        <x:v>东方电缆</x:v>
      </x:c>
      <x:c r="C652" t="str">
        <x:v>主板</x:v>
      </x:c>
      <x:c r="D652" t="str">
        <x:v>待行业映射</x:v>
      </x:c>
      <x:c r="E652" t="n">
        <x:v>34.07</x:v>
      </x:c>
      <x:c r="F652" t="n">
        <x:v>20.61</x:v>
      </x:c>
      <x:c r="G652"/>
      <x:c r="H652" t="n">
        <x:v>281.01</x:v>
      </x:c>
      <x:c r="I652" t="n">
        <x:v>21.25</x:v>
      </x:c>
      <x:c r="J652" t="str">
        <x:v>initial_screen_pending_pb_financial_review</x:v>
      </x:c>
      <x:c r="K652" t="str">
        <x:v>AkShare / Tencent all-A market snapshot</x:v>
      </x:c>
      <x:c r="L652" t="str">
        <x:v>ProxyError: primary market source unavailable; see source_id for full audit.</x:v>
      </x:c>
      <x:c r="M652" t="str">
        <x:v>0</x:v>
      </x:c>
      <x:c r="N652" t="str">
        <x:v>0fd6ad2d-3389-4e70-8974-eb85ee223eeb</x:v>
      </x:c>
      <x:c r="O652" t="str">
        <x:v>2026-09-04</x:v>
      </x:c>
    </x:row>
    <x:row r="653">
      <x:c r="A653" t="str">
        <x:v>000997</x:v>
      </x:c>
      <x:c r="B653" t="str">
        <x:v>新 大 陆</x:v>
      </x:c>
      <x:c r="C653" t="str">
        <x:v>主板</x:v>
      </x:c>
      <x:c r="D653" t="str">
        <x:v>待行业映射</x:v>
      </x:c>
      <x:c r="E653" t="n">
        <x:v>21.6</x:v>
      </x:c>
      <x:c r="F653" t="n">
        <x:v>19.8</x:v>
      </x:c>
      <x:c r="G653"/>
      <x:c r="H653" t="n">
        <x:v>218.83</x:v>
      </x:c>
      <x:c r="I653" t="n">
        <x:v>21.18</x:v>
      </x:c>
      <x:c r="J653" t="str">
        <x:v>initial_screen_pending_pb_financial_review</x:v>
      </x:c>
      <x:c r="K653" t="str">
        <x:v>AkShare / Tencent all-A market snapshot</x:v>
      </x:c>
      <x:c r="L653" t="str">
        <x:v>ProxyError: primary market source unavailable; see source_id for full audit.</x:v>
      </x:c>
      <x:c r="M653" t="str">
        <x:v>0</x:v>
      </x:c>
      <x:c r="N653" t="str">
        <x:v>0fd6ad2d-3389-4e70-8974-eb85ee223eeb</x:v>
      </x:c>
      <x:c r="O653" t="str">
        <x:v>2026-09-04</x:v>
      </x:c>
    </x:row>
    <x:row r="654">
      <x:c r="A654" t="str">
        <x:v>002275</x:v>
      </x:c>
      <x:c r="B654" t="str">
        <x:v>桂林三金</x:v>
      </x:c>
      <x:c r="C654" t="str">
        <x:v>主板</x:v>
      </x:c>
      <x:c r="D654" t="str">
        <x:v>待行业映射</x:v>
      </x:c>
      <x:c r="E654" t="n">
        <x:v>12.36</x:v>
      </x:c>
      <x:c r="F654" t="n">
        <x:v>17.84</x:v>
      </x:c>
      <x:c r="G654"/>
      <x:c r="H654" t="n">
        <x:v>72.62</x:v>
      </x:c>
      <x:c r="I654" t="n">
        <x:v>21.16</x:v>
      </x:c>
      <x:c r="J654" t="str">
        <x:v>initial_screen_pending_pb_financial_review</x:v>
      </x:c>
      <x:c r="K654" t="str">
        <x:v>AkShare / Tencent all-A market snapshot</x:v>
      </x:c>
      <x:c r="L654" t="str">
        <x:v>ProxyError: primary market source unavailable; see source_id for full audit.</x:v>
      </x:c>
      <x:c r="M654" t="str">
        <x:v>0</x:v>
      </x:c>
      <x:c r="N654" t="str">
        <x:v>0fd6ad2d-3389-4e70-8974-eb85ee223eeb</x:v>
      </x:c>
      <x:c r="O654" t="str">
        <x:v>2026-09-04</x:v>
      </x:c>
    </x:row>
    <x:row r="655">
      <x:c r="A655" t="str">
        <x:v>002842</x:v>
      </x:c>
      <x:c r="B655" t="str">
        <x:v>翔鹭钨业</x:v>
      </x:c>
      <x:c r="C655" t="str">
        <x:v>主板</x:v>
      </x:c>
      <x:c r="D655" t="str">
        <x:v>待行业映射</x:v>
      </x:c>
      <x:c r="E655" t="n">
        <x:v>34.14</x:v>
      </x:c>
      <x:c r="F655" t="n">
        <x:v>18.39</x:v>
      </x:c>
      <x:c r="G655"/>
      <x:c r="H655" t="n">
        <x:v>111.7</x:v>
      </x:c>
      <x:c r="I655" t="n">
        <x:v>21.1</x:v>
      </x:c>
      <x:c r="J655" t="str">
        <x:v>initial_screen_pending_pb_financial_review</x:v>
      </x:c>
      <x:c r="K655" t="str">
        <x:v>AkShare / Tencent all-A market snapshot</x:v>
      </x:c>
      <x:c r="L655" t="str">
        <x:v>ProxyError: primary market source unavailable; see source_id for full audit.</x:v>
      </x:c>
      <x:c r="M655" t="str">
        <x:v>0</x:v>
      </x:c>
      <x:c r="N655" t="str">
        <x:v>0fd6ad2d-3389-4e70-8974-eb85ee223eeb</x:v>
      </x:c>
      <x:c r="O655" t="str">
        <x:v>2026-09-04</x:v>
      </x:c>
    </x:row>
    <x:row r="656">
      <x:c r="A656" t="str">
        <x:v>603317</x:v>
      </x:c>
      <x:c r="B656" t="str">
        <x:v>天味食品</x:v>
      </x:c>
      <x:c r="C656" t="str">
        <x:v>主板</x:v>
      </x:c>
      <x:c r="D656" t="str">
        <x:v>待行业映射</x:v>
      </x:c>
      <x:c r="E656" t="n">
        <x:v>13.55</x:v>
      </x:c>
      <x:c r="F656" t="n">
        <x:v>18.92</x:v>
      </x:c>
      <x:c r="G656"/>
      <x:c r="H656" t="n">
        <x:v>143.91</x:v>
      </x:c>
      <x:c r="I656" t="n">
        <x:v>20.84</x:v>
      </x:c>
      <x:c r="J656" t="str">
        <x:v>initial_screen_pending_pb_financial_review</x:v>
      </x:c>
      <x:c r="K656" t="str">
        <x:v>AkShare / Tencent all-A market snapshot</x:v>
      </x:c>
      <x:c r="L656" t="str">
        <x:v>ProxyError: primary market source unavailable; see source_id for full audit.</x:v>
      </x:c>
      <x:c r="M656" t="str">
        <x:v>0</x:v>
      </x:c>
      <x:c r="N656" t="str">
        <x:v>0fd6ad2d-3389-4e70-8974-eb85ee223eeb</x:v>
      </x:c>
      <x:c r="O656" t="str">
        <x:v>2026-09-04</x:v>
      </x:c>
    </x:row>
    <x:row r="657">
      <x:c r="A657" t="str">
        <x:v>000060</x:v>
      </x:c>
      <x:c r="B657" t="str">
        <x:v>中金岭南</x:v>
      </x:c>
      <x:c r="C657" t="str">
        <x:v>主板</x:v>
      </x:c>
      <x:c r="D657" t="str">
        <x:v>待行业映射</x:v>
      </x:c>
      <x:c r="E657" t="n">
        <x:v>6.51</x:v>
      </x:c>
      <x:c r="F657" t="n">
        <x:v>20.88</x:v>
      </x:c>
      <x:c r="G657"/>
      <x:c r="H657" t="n">
        <x:v>289.12</x:v>
      </x:c>
      <x:c r="I657" t="n">
        <x:v>20.83</x:v>
      </x:c>
      <x:c r="J657" t="str">
        <x:v>initial_screen_pending_pb_financial_review</x:v>
      </x:c>
      <x:c r="K657" t="str">
        <x:v>AkShare / Tencent all-A market snapshot</x:v>
      </x:c>
      <x:c r="L657" t="str">
        <x:v>ProxyError: primary market source unavailable; see source_id for full audit.</x:v>
      </x:c>
      <x:c r="M657" t="str">
        <x:v>0</x:v>
      </x:c>
      <x:c r="N657" t="str">
        <x:v>0fd6ad2d-3389-4e70-8974-eb85ee223eeb</x:v>
      </x:c>
      <x:c r="O657" t="str">
        <x:v>2026-09-04</x:v>
      </x:c>
    </x:row>
    <x:row r="658">
      <x:c r="A658" t="str">
        <x:v>000531</x:v>
      </x:c>
      <x:c r="B658" t="str">
        <x:v>穗恒运Ａ</x:v>
      </x:c>
      <x:c r="C658" t="str">
        <x:v>主板</x:v>
      </x:c>
      <x:c r="D658" t="str">
        <x:v>待行业映射</x:v>
      </x:c>
      <x:c r="E658" t="n">
        <x:v>5.62</x:v>
      </x:c>
      <x:c r="F658" t="n">
        <x:v>17.8</x:v>
      </x:c>
      <x:c r="G658"/>
      <x:c r="H658" t="n">
        <x:v>58.53</x:v>
      </x:c>
      <x:c r="I658" t="n">
        <x:v>20.77</x:v>
      </x:c>
      <x:c r="J658" t="str">
        <x:v>initial_screen_pending_pb_financial_review</x:v>
      </x:c>
      <x:c r="K658" t="str">
        <x:v>AkShare / Tencent all-A market snapshot</x:v>
      </x:c>
      <x:c r="L658" t="str">
        <x:v>ProxyError: primary market source unavailable; see source_id for full audit.</x:v>
      </x:c>
      <x:c r="M658" t="str">
        <x:v>0</x:v>
      </x:c>
      <x:c r="N658" t="str">
        <x:v>0fd6ad2d-3389-4e70-8974-eb85ee223eeb</x:v>
      </x:c>
      <x:c r="O658" t="str">
        <x:v>2026-09-04</x:v>
      </x:c>
    </x:row>
    <x:row r="659">
      <x:c r="A659" t="str">
        <x:v>600587</x:v>
      </x:c>
      <x:c r="B659" t="str">
        <x:v>新华医疗</x:v>
      </x:c>
      <x:c r="C659" t="str">
        <x:v>主板</x:v>
      </x:c>
      <x:c r="D659" t="str">
        <x:v>待行业映射</x:v>
      </x:c>
      <x:c r="E659" t="n">
        <x:v>12.67</x:v>
      </x:c>
      <x:c r="F659" t="n">
        <x:v>18.05</x:v>
      </x:c>
      <x:c r="G659"/>
      <x:c r="H659" t="n">
        <x:v>76.86</x:v>
      </x:c>
      <x:c r="I659" t="n">
        <x:v>20.76</x:v>
      </x:c>
      <x:c r="J659" t="str">
        <x:v>initial_screen_pending_pb_financial_review</x:v>
      </x:c>
      <x:c r="K659" t="str">
        <x:v>AkShare / Tencent all-A market snapshot</x:v>
      </x:c>
      <x:c r="L659" t="str">
        <x:v>ProxyError: primary market source unavailable; see source_id for full audit.</x:v>
      </x:c>
      <x:c r="M659" t="str">
        <x:v>0</x:v>
      </x:c>
      <x:c r="N659" t="str">
        <x:v>0fd6ad2d-3389-4e70-8974-eb85ee223eeb</x:v>
      </x:c>
      <x:c r="O659" t="str">
        <x:v>2026-09-04</x:v>
      </x:c>
    </x:row>
    <x:row r="660">
      <x:c r="A660" t="str">
        <x:v>688208</x:v>
      </x:c>
      <x:c r="B660" t="str">
        <x:v>道通科技</x:v>
      </x:c>
      <x:c r="C660" t="str">
        <x:v>科创板</x:v>
      </x:c>
      <x:c r="D660" t="str">
        <x:v>待行业映射</x:v>
      </x:c>
      <x:c r="E660" t="n">
        <x:v>25.68</x:v>
      </x:c>
      <x:c r="F660" t="n">
        <x:v>19.36</x:v>
      </x:c>
      <x:c r="G660"/>
      <x:c r="H660" t="n">
        <x:v>172.1</x:v>
      </x:c>
      <x:c r="I660" t="n">
        <x:v>20.69</x:v>
      </x:c>
      <x:c r="J660" t="str">
        <x:v>initial_screen_pending_pb_financial_review</x:v>
      </x:c>
      <x:c r="K660" t="str">
        <x:v>AkShare / Tencent all-A market snapshot</x:v>
      </x:c>
      <x:c r="L660" t="str">
        <x:v>ProxyError: primary market source unavailable; see source_id for full audit.</x:v>
      </x:c>
      <x:c r="M660" t="str">
        <x:v>0</x:v>
      </x:c>
      <x:c r="N660" t="str">
        <x:v>0fd6ad2d-3389-4e70-8974-eb85ee223eeb</x:v>
      </x:c>
      <x:c r="O660" t="str">
        <x:v>2026-09-04</x:v>
      </x:c>
    </x:row>
    <x:row r="661">
      <x:c r="A661" t="str">
        <x:v>002833</x:v>
      </x:c>
      <x:c r="B661" t="str">
        <x:v>弘亚数控</x:v>
      </x:c>
      <x:c r="C661" t="str">
        <x:v>主板</x:v>
      </x:c>
      <x:c r="D661" t="str">
        <x:v>待行业映射</x:v>
      </x:c>
      <x:c r="E661" t="n">
        <x:v>18.75</x:v>
      </x:c>
      <x:c r="F661" t="n">
        <x:v>18.16</x:v>
      </x:c>
      <x:c r="G661"/>
      <x:c r="H661" t="n">
        <x:v>80.45</x:v>
      </x:c>
      <x:c r="I661" t="n">
        <x:v>20.6</x:v>
      </x:c>
      <x:c r="J661" t="str">
        <x:v>initial_screen_pending_pb_financial_review</x:v>
      </x:c>
      <x:c r="K661" t="str">
        <x:v>AkShare / Tencent all-A market snapshot</x:v>
      </x:c>
      <x:c r="L661" t="str">
        <x:v>ProxyError: primary market source unavailable; see source_id for full audit.</x:v>
      </x:c>
      <x:c r="M661" t="str">
        <x:v>0</x:v>
      </x:c>
      <x:c r="N661" t="str">
        <x:v>0fd6ad2d-3389-4e70-8974-eb85ee223eeb</x:v>
      </x:c>
      <x:c r="O661" t="str">
        <x:v>2026-09-04</x:v>
      </x:c>
    </x:row>
    <x:row r="662">
      <x:c r="A662" t="str">
        <x:v>301303</x:v>
      </x:c>
      <x:c r="B662" t="str">
        <x:v>真兰仪表</x:v>
      </x:c>
      <x:c r="C662" t="str">
        <x:v>创业板</x:v>
      </x:c>
      <x:c r="D662" t="str">
        <x:v>待行业映射</x:v>
      </x:c>
      <x:c r="E662" t="n">
        <x:v>13.78</x:v>
      </x:c>
      <x:c r="F662" t="n">
        <x:v>17.95</x:v>
      </x:c>
      <x:c r="G662"/>
      <x:c r="H662" t="n">
        <x:v>56.33</x:v>
      </x:c>
      <x:c r="I662" t="n">
        <x:v>20.3</x:v>
      </x:c>
      <x:c r="J662" t="str">
        <x:v>initial_screen_pending_pb_financial_review</x:v>
      </x:c>
      <x:c r="K662" t="str">
        <x:v>AkShare / Tencent all-A market snapshot</x:v>
      </x:c>
      <x:c r="L662" t="str">
        <x:v>ProxyError: primary market source unavailable; see source_id for full audit.</x:v>
      </x:c>
      <x:c r="M662" t="str">
        <x:v>0</x:v>
      </x:c>
      <x:c r="N662" t="str">
        <x:v>0fd6ad2d-3389-4e70-8974-eb85ee223eeb</x:v>
      </x:c>
      <x:c r="O662" t="str">
        <x:v>2026-09-04</x:v>
      </x:c>
    </x:row>
    <x:row r="663">
      <x:c r="A663" t="str">
        <x:v>002606</x:v>
      </x:c>
      <x:c r="B663" t="str">
        <x:v>大连电瓷</x:v>
      </x:c>
      <x:c r="C663" t="str">
        <x:v>主板</x:v>
      </x:c>
      <x:c r="D663" t="str">
        <x:v>待行业映射</x:v>
      </x:c>
      <x:c r="E663" t="n">
        <x:v>13.14</x:v>
      </x:c>
      <x:c r="F663" t="n">
        <x:v>18.03</x:v>
      </x:c>
      <x:c r="G663"/>
      <x:c r="H663" t="n">
        <x:v>57.69</x:v>
      </x:c>
      <x:c r="I663" t="n">
        <x:v>20.14</x:v>
      </x:c>
      <x:c r="J663" t="str">
        <x:v>initial_screen_pending_pb_financial_review</x:v>
      </x:c>
      <x:c r="K663" t="str">
        <x:v>AkShare / Tencent all-A market snapshot</x:v>
      </x:c>
      <x:c r="L663" t="str">
        <x:v>ProxyError: primary market source unavailable; see source_id for full audit.</x:v>
      </x:c>
      <x:c r="M663" t="str">
        <x:v>0</x:v>
      </x:c>
      <x:c r="N663" t="str">
        <x:v>0fd6ad2d-3389-4e70-8974-eb85ee223eeb</x:v>
      </x:c>
      <x:c r="O663" t="str">
        <x:v>2026-09-04</x:v>
      </x:c>
    </x:row>
    <x:row r="664">
      <x:c r="A664" t="str">
        <x:v>600888</x:v>
      </x:c>
      <x:c r="B664" t="str">
        <x:v>新疆众和</x:v>
      </x:c>
      <x:c r="C664" t="str">
        <x:v>主板</x:v>
      </x:c>
      <x:c r="D664" t="str">
        <x:v>待行业映射</x:v>
      </x:c>
      <x:c r="E664" t="n">
        <x:v>9.87</x:v>
      </x:c>
      <x:c r="F664" t="n">
        <x:v>19.32</x:v>
      </x:c>
      <x:c r="G664"/>
      <x:c r="H664" t="n">
        <x:v>153.29</x:v>
      </x:c>
      <x:c r="I664" t="n">
        <x:v>20.13</x:v>
      </x:c>
      <x:c r="J664" t="str">
        <x:v>initial_screen_pending_pb_financial_review</x:v>
      </x:c>
      <x:c r="K664" t="str">
        <x:v>AkShare / Tencent all-A market snapshot</x:v>
      </x:c>
      <x:c r="L664" t="str">
        <x:v>ProxyError: primary market source unavailable; see source_id for full audit.</x:v>
      </x:c>
      <x:c r="M664" t="str">
        <x:v>0</x:v>
      </x:c>
      <x:c r="N664" t="str">
        <x:v>0fd6ad2d-3389-4e70-8974-eb85ee223eeb</x:v>
      </x:c>
      <x:c r="O664" t="str">
        <x:v>2026-09-04</x:v>
      </x:c>
    </x:row>
    <x:row r="665">
      <x:c r="A665" t="str">
        <x:v>600817</x:v>
      </x:c>
      <x:c r="B665" t="str">
        <x:v>宇通重工</x:v>
      </x:c>
      <x:c r="C665" t="str">
        <x:v>主板</x:v>
      </x:c>
      <x:c r="D665" t="str">
        <x:v>待行业映射</x:v>
      </x:c>
      <x:c r="E665" t="n">
        <x:v>9.93</x:v>
      </x:c>
      <x:c r="F665" t="n">
        <x:v>17.98</x:v>
      </x:c>
      <x:c r="G665"/>
      <x:c r="H665" t="n">
        <x:v>52.83</x:v>
      </x:c>
      <x:c r="I665" t="n">
        <x:v>20.1</x:v>
      </x:c>
      <x:c r="J665" t="str">
        <x:v>initial_screen_pending_pb_financial_review</x:v>
      </x:c>
      <x:c r="K665" t="str">
        <x:v>AkShare / Tencent all-A market snapshot</x:v>
      </x:c>
      <x:c r="L665" t="str">
        <x:v>ProxyError: primary market source unavailable; see source_id for full audit.</x:v>
      </x:c>
      <x:c r="M665" t="str">
        <x:v>0</x:v>
      </x:c>
      <x:c r="N665" t="str">
        <x:v>0fd6ad2d-3389-4e70-8974-eb85ee223eeb</x:v>
      </x:c>
      <x:c r="O665" t="str">
        <x:v>2026-09-04</x:v>
      </x:c>
    </x:row>
    <x:row r="666">
      <x:c r="A666" t="str">
        <x:v>001207</x:v>
      </x:c>
      <x:c r="B666" t="str">
        <x:v>联科科技</x:v>
      </x:c>
      <x:c r="C666" t="str">
        <x:v>主板</x:v>
      </x:c>
      <x:c r="D666" t="str">
        <x:v>待行业映射</x:v>
      </x:c>
      <x:c r="E666" t="n">
        <x:v>17.54</x:v>
      </x:c>
      <x:c r="F666" t="n">
        <x:v>18.01</x:v>
      </x:c>
      <x:c r="G666"/>
      <x:c r="H666" t="n">
        <x:v>53.17</x:v>
      </x:c>
      <x:c r="I666" t="n">
        <x:v>20.03</x:v>
      </x:c>
      <x:c r="J666" t="str">
        <x:v>initial_screen_pending_pb_financial_review</x:v>
      </x:c>
      <x:c r="K666" t="str">
        <x:v>AkShare / Tencent all-A market snapshot</x:v>
      </x:c>
      <x:c r="L666" t="str">
        <x:v>ProxyError: primary market source unavailable; see source_id for full audit.</x:v>
      </x:c>
      <x:c r="M666" t="str">
        <x:v>0</x:v>
      </x:c>
      <x:c r="N666" t="str">
        <x:v>0fd6ad2d-3389-4e70-8974-eb85ee223eeb</x:v>
      </x:c>
      <x:c r="O666" t="str">
        <x:v>2026-09-04</x:v>
      </x:c>
    </x:row>
    <x:row r="667">
      <x:c r="A667" t="str">
        <x:v>002461</x:v>
      </x:c>
      <x:c r="B667" t="str">
        <x:v>珠江啤酒</x:v>
      </x:c>
      <x:c r="C667" t="str">
        <x:v>主板</x:v>
      </x:c>
      <x:c r="D667" t="str">
        <x:v>待行业映射</x:v>
      </x:c>
      <x:c r="E667" t="n">
        <x:v>8.68</x:v>
      </x:c>
      <x:c r="F667" t="n">
        <x:v>19.91</x:v>
      </x:c>
      <x:c r="G667"/>
      <x:c r="H667" t="n">
        <x:v>192.12</x:v>
      </x:c>
      <x:c r="I667" t="n">
        <x:v>19.96</x:v>
      </x:c>
      <x:c r="J667" t="str">
        <x:v>initial_screen_pending_pb_financial_review</x:v>
      </x:c>
      <x:c r="K667" t="str">
        <x:v>AkShare / Tencent all-A market snapshot</x:v>
      </x:c>
      <x:c r="L667" t="str">
        <x:v>ProxyError: primary market source unavailable; see source_id for full audit.</x:v>
      </x:c>
      <x:c r="M667" t="str">
        <x:v>0</x:v>
      </x:c>
      <x:c r="N667" t="str">
        <x:v>0fd6ad2d-3389-4e70-8974-eb85ee223eeb</x:v>
      </x:c>
      <x:c r="O667" t="str">
        <x:v>2026-09-04</x:v>
      </x:c>
    </x:row>
    <x:row r="668">
      <x:c r="A668" t="str">
        <x:v>688016</x:v>
      </x:c>
      <x:c r="B668" t="str">
        <x:v>心脉医疗</x:v>
      </x:c>
      <x:c r="C668" t="str">
        <x:v>科创板</x:v>
      </x:c>
      <x:c r="D668" t="str">
        <x:v>待行业映射</x:v>
      </x:c>
      <x:c r="E668" t="n">
        <x:v>87.08</x:v>
      </x:c>
      <x:c r="F668" t="n">
        <x:v>18.8</x:v>
      </x:c>
      <x:c r="G668"/>
      <x:c r="H668" t="n">
        <x:v>107.34</x:v>
      </x:c>
      <x:c r="I668" t="n">
        <x:v>19.88</x:v>
      </x:c>
      <x:c r="J668" t="str">
        <x:v>initial_screen_pending_pb_financial_review</x:v>
      </x:c>
      <x:c r="K668" t="str">
        <x:v>AkShare / Tencent all-A market snapshot</x:v>
      </x:c>
      <x:c r="L668" t="str">
        <x:v>ProxyError: primary market source unavailable; see source_id for full audit.</x:v>
      </x:c>
      <x:c r="M668" t="str">
        <x:v>0</x:v>
      </x:c>
      <x:c r="N668" t="str">
        <x:v>0fd6ad2d-3389-4e70-8974-eb85ee223eeb</x:v>
      </x:c>
      <x:c r="O668" t="str">
        <x:v>2026-09-04</x:v>
      </x:c>
    </x:row>
    <x:row r="669">
      <x:c r="A669" t="str">
        <x:v>002831</x:v>
      </x:c>
      <x:c r="B669" t="str">
        <x:v>裕同科技</x:v>
      </x:c>
      <x:c r="C669" t="str">
        <x:v>主板</x:v>
      </x:c>
      <x:c r="D669" t="str">
        <x:v>待行业映射</x:v>
      </x:c>
      <x:c r="E669" t="n">
        <x:v>27.53</x:v>
      </x:c>
      <x:c r="F669" t="n">
        <x:v>22.19</x:v>
      </x:c>
      <x:c r="G669"/>
      <x:c r="H669" t="n">
        <x:v>354.68</x:v>
      </x:c>
      <x:c r="I669" t="n">
        <x:v>19.72</x:v>
      </x:c>
      <x:c r="J669" t="str">
        <x:v>initial_screen_pending_pb_financial_review</x:v>
      </x:c>
      <x:c r="K669" t="str">
        <x:v>AkShare / Tencent all-A market snapshot</x:v>
      </x:c>
      <x:c r="L669" t="str">
        <x:v>ProxyError: primary market source unavailable; see source_id for full audit.</x:v>
      </x:c>
      <x:c r="M669" t="str">
        <x:v>0</x:v>
      </x:c>
      <x:c r="N669" t="str">
        <x:v>0fd6ad2d-3389-4e70-8974-eb85ee223eeb</x:v>
      </x:c>
      <x:c r="O669" t="str">
        <x:v>2026-09-04</x:v>
      </x:c>
    </x:row>
    <x:row r="670">
      <x:c r="A670" t="str">
        <x:v>002690</x:v>
      </x:c>
      <x:c r="B670" t="str">
        <x:v>美亚光电</x:v>
      </x:c>
      <x:c r="C670" t="str">
        <x:v>主板</x:v>
      </x:c>
      <x:c r="D670" t="str">
        <x:v>待行业映射</x:v>
      </x:c>
      <x:c r="E670" t="n">
        <x:v>16.04</x:v>
      </x:c>
      <x:c r="F670" t="n">
        <x:v>19.35</x:v>
      </x:c>
      <x:c r="G670"/>
      <x:c r="H670" t="n">
        <x:v>141.51</x:v>
      </x:c>
      <x:c r="I670" t="n">
        <x:v>19.64</x:v>
      </x:c>
      <x:c r="J670" t="str">
        <x:v>initial_screen_pending_pb_financial_review</x:v>
      </x:c>
      <x:c r="K670" t="str">
        <x:v>AkShare / Tencent all-A market snapshot</x:v>
      </x:c>
      <x:c r="L670" t="str">
        <x:v>ProxyError: primary market source unavailable; see source_id for full audit.</x:v>
      </x:c>
      <x:c r="M670" t="str">
        <x:v>0</x:v>
      </x:c>
      <x:c r="N670" t="str">
        <x:v>0fd6ad2d-3389-4e70-8974-eb85ee223eeb</x:v>
      </x:c>
      <x:c r="O670" t="str">
        <x:v>2026-09-04</x:v>
      </x:c>
    </x:row>
    <x:row r="671">
      <x:c r="A671" t="str">
        <x:v>603092</x:v>
      </x:c>
      <x:c r="B671" t="str">
        <x:v>德力佳</x:v>
      </x:c>
      <x:c r="C671" t="str">
        <x:v>主板</x:v>
      </x:c>
      <x:c r="D671" t="str">
        <x:v>待行业映射</x:v>
      </x:c>
      <x:c r="E671" t="n">
        <x:v>41.68</x:v>
      </x:c>
      <x:c r="F671" t="n">
        <x:v>19.72</x:v>
      </x:c>
      <x:c r="G671"/>
      <x:c r="H671" t="n">
        <x:v>166.72</x:v>
      </x:c>
      <x:c r="I671" t="n">
        <x:v>19.56</x:v>
      </x:c>
      <x:c r="J671" t="str">
        <x:v>initial_screen_pending_pb_financial_review</x:v>
      </x:c>
      <x:c r="K671" t="str">
        <x:v>AkShare / Tencent all-A market snapshot</x:v>
      </x:c>
      <x:c r="L671" t="str">
        <x:v>ProxyError: primary market source unavailable; see source_id for full audit.</x:v>
      </x:c>
      <x:c r="M671" t="str">
        <x:v>0</x:v>
      </x:c>
      <x:c r="N671" t="str">
        <x:v>0fd6ad2d-3389-4e70-8974-eb85ee223eeb</x:v>
      </x:c>
      <x:c r="O671" t="str">
        <x:v>2026-09-04</x:v>
      </x:c>
    </x:row>
    <x:row r="672">
      <x:c r="A672" t="str">
        <x:v>688093</x:v>
      </x:c>
      <x:c r="B672" t="str">
        <x:v>世华科技</x:v>
      </x:c>
      <x:c r="C672" t="str">
        <x:v>科创板</x:v>
      </x:c>
      <x:c r="D672" t="str">
        <x:v>待行业映射</x:v>
      </x:c>
      <x:c r="E672" t="n">
        <x:v>21.43</x:v>
      </x:c>
      <x:c r="F672" t="n">
        <x:v>18.31</x:v>
      </x:c>
      <x:c r="G672"/>
      <x:c r="H672" t="n">
        <x:v>60.09</x:v>
      </x:c>
      <x:c r="I672" t="n">
        <x:v>19.5</x:v>
      </x:c>
      <x:c r="J672" t="str">
        <x:v>initial_screen_pending_pb_financial_review</x:v>
      </x:c>
      <x:c r="K672" t="str">
        <x:v>AkShare / Tencent all-A market snapshot</x:v>
      </x:c>
      <x:c r="L672" t="str">
        <x:v>ProxyError: primary market source unavailable; see source_id for full audit.</x:v>
      </x:c>
      <x:c r="M672" t="str">
        <x:v>0</x:v>
      </x:c>
      <x:c r="N672" t="str">
        <x:v>0fd6ad2d-3389-4e70-8974-eb85ee223eeb</x:v>
      </x:c>
      <x:c r="O672" t="str">
        <x:v>2026-09-04</x:v>
      </x:c>
    </x:row>
    <x:row r="673">
      <x:c r="A673" t="str">
        <x:v>600298</x:v>
      </x:c>
      <x:c r="B673" t="str">
        <x:v>安琪酵母</x:v>
      </x:c>
      <x:c r="C673" t="str">
        <x:v>主板</x:v>
      </x:c>
      <x:c r="D673" t="str">
        <x:v>待行业映射</x:v>
      </x:c>
      <x:c r="E673" t="n">
        <x:v>41.98</x:v>
      </x:c>
      <x:c r="F673" t="n">
        <x:v>22.41</x:v>
      </x:c>
      <x:c r="G673"/>
      <x:c r="H673" t="n">
        <x:v>364.31</x:v>
      </x:c>
      <x:c r="I673" t="n">
        <x:v>19.48</x:v>
      </x:c>
      <x:c r="J673" t="str">
        <x:v>initial_screen_pending_pb_financial_review</x:v>
      </x:c>
      <x:c r="K673" t="str">
        <x:v>AkShare / Tencent all-A market snapshot</x:v>
      </x:c>
      <x:c r="L673" t="str">
        <x:v>ProxyError: primary market source unavailable; see source_id for full audit.</x:v>
      </x:c>
      <x:c r="M673" t="str">
        <x:v>0</x:v>
      </x:c>
      <x:c r="N673" t="str">
        <x:v>0fd6ad2d-3389-4e70-8974-eb85ee223eeb</x:v>
      </x:c>
      <x:c r="O673" t="str">
        <x:v>2026-09-04</x:v>
      </x:c>
    </x:row>
    <x:row r="674">
      <x:c r="A674" t="str">
        <x:v>600017</x:v>
      </x:c>
      <x:c r="B674" t="str">
        <x:v>日照港</x:v>
      </x:c>
      <x:c r="C674" t="str">
        <x:v>主板</x:v>
      </x:c>
      <x:c r="D674" t="str">
        <x:v>待行业映射</x:v>
      </x:c>
      <x:c r="E674" t="n">
        <x:v>2.85</x:v>
      </x:c>
      <x:c r="F674" t="n">
        <x:v>18.69</x:v>
      </x:c>
      <x:c r="G674"/>
      <x:c r="H674" t="n">
        <x:v>87.66</x:v>
      </x:c>
      <x:c r="I674" t="n">
        <x:v>19.47</x:v>
      </x:c>
      <x:c r="J674" t="str">
        <x:v>initial_screen_pending_pb_financial_review</x:v>
      </x:c>
      <x:c r="K674" t="str">
        <x:v>AkShare / Tencent all-A market snapshot</x:v>
      </x:c>
      <x:c r="L674" t="str">
        <x:v>ProxyError: primary market source unavailable; see source_id for full audit.</x:v>
      </x:c>
      <x:c r="M674" t="str">
        <x:v>0</x:v>
      </x:c>
      <x:c r="N674" t="str">
        <x:v>0fd6ad2d-3389-4e70-8974-eb85ee223eeb</x:v>
      </x:c>
      <x:c r="O674" t="str">
        <x:v>2026-09-04</x:v>
      </x:c>
    </x:row>
    <x:row r="675">
      <x:c r="A675" t="str">
        <x:v>000758</x:v>
      </x:c>
      <x:c r="B675" t="str">
        <x:v>中色股份</x:v>
      </x:c>
      <x:c r="C675" t="str">
        <x:v>主板</x:v>
      </x:c>
      <x:c r="D675" t="str">
        <x:v>待行业映射</x:v>
      </x:c>
      <x:c r="E675" t="n">
        <x:v>6.18</x:v>
      </x:c>
      <x:c r="F675" t="n">
        <x:v>19.22</x:v>
      </x:c>
      <x:c r="G675"/>
      <x:c r="H675" t="n">
        <x:v>122.97</x:v>
      </x:c>
      <x:c r="I675" t="n">
        <x:v>19.33</x:v>
      </x:c>
      <x:c r="J675" t="str">
        <x:v>initial_screen_pending_pb_financial_review</x:v>
      </x:c>
      <x:c r="K675" t="str">
        <x:v>AkShare / Tencent all-A market snapshot</x:v>
      </x:c>
      <x:c r="L675" t="str">
        <x:v>ProxyError: primary market source unavailable; see source_id for full audit.</x:v>
      </x:c>
      <x:c r="M675" t="str">
        <x:v>0</x:v>
      </x:c>
      <x:c r="N675" t="str">
        <x:v>0fd6ad2d-3389-4e70-8974-eb85ee223eeb</x:v>
      </x:c>
      <x:c r="O675" t="str">
        <x:v>2026-09-04</x:v>
      </x:c>
    </x:row>
    <x:row r="676">
      <x:c r="A676" t="str">
        <x:v>002130</x:v>
      </x:c>
      <x:c r="B676" t="str">
        <x:v>沃尔核材</x:v>
      </x:c>
      <x:c r="C676" t="str">
        <x:v>主板</x:v>
      </x:c>
      <x:c r="D676" t="str">
        <x:v>待行业映射</x:v>
      </x:c>
      <x:c r="E676" t="n">
        <x:v>17.17</x:v>
      </x:c>
      <x:c r="F676" t="n">
        <x:v>20.86</x:v>
      </x:c>
      <x:c r="G676"/>
      <x:c r="H676" t="n">
        <x:v>240.36</x:v>
      </x:c>
      <x:c r="I676" t="n">
        <x:v>19.18</x:v>
      </x:c>
      <x:c r="J676" t="str">
        <x:v>initial_screen_pending_pb_financial_review</x:v>
      </x:c>
      <x:c r="K676" t="str">
        <x:v>AkShare / Tencent all-A market snapshot</x:v>
      </x:c>
      <x:c r="L676" t="str">
        <x:v>ProxyError: primary market source unavailable; see source_id for full audit.</x:v>
      </x:c>
      <x:c r="M676" t="str">
        <x:v>0</x:v>
      </x:c>
      <x:c r="N676" t="str">
        <x:v>0fd6ad2d-3389-4e70-8974-eb85ee223eeb</x:v>
      </x:c>
      <x:c r="O676" t="str">
        <x:v>2026-09-04</x:v>
      </x:c>
    </x:row>
    <x:row r="677">
      <x:c r="A677" t="str">
        <x:v>601038</x:v>
      </x:c>
      <x:c r="B677" t="str">
        <x:v>一拖股份</x:v>
      </x:c>
      <x:c r="C677" t="str">
        <x:v>主板</x:v>
      </x:c>
      <x:c r="D677" t="str">
        <x:v>待行业映射</x:v>
      </x:c>
      <x:c r="E677" t="n">
        <x:v>14.59</x:v>
      </x:c>
      <x:c r="F677" t="n">
        <x:v>19.87</x:v>
      </x:c>
      <x:c r="G677"/>
      <x:c r="H677" t="n">
        <x:v>163.94</x:v>
      </x:c>
      <x:c r="I677" t="n">
        <x:v>19.08</x:v>
      </x:c>
      <x:c r="J677" t="str">
        <x:v>initial_screen_pending_pb_financial_review</x:v>
      </x:c>
      <x:c r="K677" t="str">
        <x:v>AkShare / Tencent all-A market snapshot</x:v>
      </x:c>
      <x:c r="L677" t="str">
        <x:v>ProxyError: primary market source unavailable; see source_id for full audit.</x:v>
      </x:c>
      <x:c r="M677" t="str">
        <x:v>0</x:v>
      </x:c>
      <x:c r="N677" t="str">
        <x:v>0fd6ad2d-3389-4e70-8974-eb85ee223eeb</x:v>
      </x:c>
      <x:c r="O677" t="str">
        <x:v>2026-09-04</x:v>
      </x:c>
    </x:row>
    <x:row r="678">
      <x:c r="A678" t="str">
        <x:v>600699</x:v>
      </x:c>
      <x:c r="B678" t="str">
        <x:v>均胜电子</x:v>
      </x:c>
      <x:c r="C678" t="str">
        <x:v>主板</x:v>
      </x:c>
      <x:c r="D678" t="str">
        <x:v>待行业映射</x:v>
      </x:c>
      <x:c r="E678" t="n">
        <x:v>19.12</x:v>
      </x:c>
      <x:c r="F678" t="n">
        <x:v>21.69</x:v>
      </x:c>
      <x:c r="G678"/>
      <x:c r="H678" t="n">
        <x:v>296.51</x:v>
      </x:c>
      <x:c r="I678" t="n">
        <x:v>18.98</x:v>
      </x:c>
      <x:c r="J678" t="str">
        <x:v>initial_screen_pending_pb_financial_review</x:v>
      </x:c>
      <x:c r="K678" t="str">
        <x:v>AkShare / Tencent all-A market snapshot</x:v>
      </x:c>
      <x:c r="L678" t="str">
        <x:v>ProxyError: primary market source unavailable; see source_id for full audit.</x:v>
      </x:c>
      <x:c r="M678" t="str">
        <x:v>0</x:v>
      </x:c>
      <x:c r="N678" t="str">
        <x:v>0fd6ad2d-3389-4e70-8974-eb85ee223eeb</x:v>
      </x:c>
      <x:c r="O678" t="str">
        <x:v>2026-09-04</x:v>
      </x:c>
    </x:row>
    <x:row r="679">
      <x:c r="A679" t="str">
        <x:v>002262</x:v>
      </x:c>
      <x:c r="B679" t="str">
        <x:v>恩华药业</x:v>
      </x:c>
      <x:c r="C679" t="str">
        <x:v>主板</x:v>
      </x:c>
      <x:c r="D679" t="str">
        <x:v>待行业映射</x:v>
      </x:c>
      <x:c r="E679" t="n">
        <x:v>22.56</x:v>
      </x:c>
      <x:c r="F679" t="n">
        <x:v>20.82</x:v>
      </x:c>
      <x:c r="G679"/>
      <x:c r="H679" t="n">
        <x:v>228.53</x:v>
      </x:c>
      <x:c r="I679" t="n">
        <x:v>18.87</x:v>
      </x:c>
      <x:c r="J679" t="str">
        <x:v>initial_screen_pending_pb_financial_review</x:v>
      </x:c>
      <x:c r="K679" t="str">
        <x:v>AkShare / Tencent all-A market snapshot</x:v>
      </x:c>
      <x:c r="L679" t="str">
        <x:v>ProxyError: primary market source unavailable; see source_id for full audit.</x:v>
      </x:c>
      <x:c r="M679" t="str">
        <x:v>0</x:v>
      </x:c>
      <x:c r="N679" t="str">
        <x:v>0fd6ad2d-3389-4e70-8974-eb85ee223eeb</x:v>
      </x:c>
      <x:c r="O679" t="str">
        <x:v>2026-09-04</x:v>
      </x:c>
    </x:row>
    <x:row r="680">
      <x:c r="A680" t="str">
        <x:v>002155</x:v>
      </x:c>
      <x:c r="B680" t="str">
        <x:v>湖南黄金</x:v>
      </x:c>
      <x:c r="C680" t="str">
        <x:v>主板</x:v>
      </x:c>
      <x:c r="D680" t="str">
        <x:v>待行业映射</x:v>
      </x:c>
      <x:c r="E680" t="n">
        <x:v>26.78</x:v>
      </x:c>
      <x:c r="F680" t="n">
        <x:v>23.38</x:v>
      </x:c>
      <x:c r="G680"/>
      <x:c r="H680" t="n">
        <x:v>418.48</x:v>
      </x:c>
      <x:c r="I680" t="n">
        <x:v>18.86</x:v>
      </x:c>
      <x:c r="J680" t="str">
        <x:v>initial_screen_pending_pb_financial_review</x:v>
      </x:c>
      <x:c r="K680" t="str">
        <x:v>AkShare / Tencent all-A market snapshot</x:v>
      </x:c>
      <x:c r="L680" t="str">
        <x:v>ProxyError: primary market source unavailable; see source_id for full audit.</x:v>
      </x:c>
      <x:c r="M680" t="str">
        <x:v>0</x:v>
      </x:c>
      <x:c r="N680" t="str">
        <x:v>0fd6ad2d-3389-4e70-8974-eb85ee223eeb</x:v>
      </x:c>
      <x:c r="O680" t="str">
        <x:v>2026-09-04</x:v>
      </x:c>
    </x:row>
    <x:row r="681">
      <x:c r="A681" t="str">
        <x:v>600141</x:v>
      </x:c>
      <x:c r="B681" t="str">
        <x:v>兴发集团</x:v>
      </x:c>
      <x:c r="C681" t="str">
        <x:v>主板</x:v>
      </x:c>
      <x:c r="D681" t="str">
        <x:v>待行业映射</x:v>
      </x:c>
      <x:c r="E681" t="n">
        <x:v>30.19</x:v>
      </x:c>
      <x:c r="F681" t="n">
        <x:v>22.66</x:v>
      </x:c>
      <x:c r="G681"/>
      <x:c r="H681" t="n">
        <x:v>362.81</x:v>
      </x:c>
      <x:c r="I681" t="n">
        <x:v>18.78</x:v>
      </x:c>
      <x:c r="J681" t="str">
        <x:v>initial_screen_pending_pb_financial_review</x:v>
      </x:c>
      <x:c r="K681" t="str">
        <x:v>AkShare / Tencent all-A market snapshot</x:v>
      </x:c>
      <x:c r="L681" t="str">
        <x:v>ProxyError: primary market source unavailable; see source_id for full audit.</x:v>
      </x:c>
      <x:c r="M681" t="str">
        <x:v>0</x:v>
      </x:c>
      <x:c r="N681" t="str">
        <x:v>0fd6ad2d-3389-4e70-8974-eb85ee223eeb</x:v>
      </x:c>
      <x:c r="O681" t="str">
        <x:v>2026-09-04</x:v>
      </x:c>
    </x:row>
    <x:row r="682">
      <x:c r="A682" t="str">
        <x:v>920174</x:v>
      </x:c>
      <x:c r="B682" t="str">
        <x:v>五新智能</x:v>
      </x:c>
      <x:c r="C682" t="str">
        <x:v>北交所</x:v>
      </x:c>
      <x:c r="D682" t="str">
        <x:v>待行业映射</x:v>
      </x:c>
      <x:c r="E682" t="n">
        <x:v>34.28</x:v>
      </x:c>
      <x:c r="F682" t="n">
        <x:v>18.89</x:v>
      </x:c>
      <x:c r="G682"/>
      <x:c r="H682" t="n">
        <x:v>74.35</x:v>
      </x:c>
      <x:c r="I682" t="n">
        <x:v>18.49</x:v>
      </x:c>
      <x:c r="J682" t="str">
        <x:v>initial_screen_pending_pb_financial_review</x:v>
      </x:c>
      <x:c r="K682" t="str">
        <x:v>AkShare / Tencent all-A market snapshot</x:v>
      </x:c>
      <x:c r="L682" t="str">
        <x:v>ProxyError: primary market source unavailable; see source_id for full audit.</x:v>
      </x:c>
      <x:c r="M682" t="str">
        <x:v>0</x:v>
      </x:c>
      <x:c r="N682" t="str">
        <x:v>0fd6ad2d-3389-4e70-8974-eb85ee223eeb</x:v>
      </x:c>
      <x:c r="O682" t="str">
        <x:v>2026-09-04</x:v>
      </x:c>
    </x:row>
    <x:row r="683">
      <x:c r="A683" t="str">
        <x:v>000709</x:v>
      </x:c>
      <x:c r="B683" t="str">
        <x:v>河钢股份</x:v>
      </x:c>
      <x:c r="C683" t="str">
        <x:v>主板</x:v>
      </x:c>
      <x:c r="D683" t="str">
        <x:v>待行业映射</x:v>
      </x:c>
      <x:c r="E683" t="n">
        <x:v>2.1</x:v>
      </x:c>
      <x:c r="F683" t="n">
        <x:v>20.84</x:v>
      </x:c>
      <x:c r="G683"/>
      <x:c r="H683" t="n">
        <x:v>217.08</x:v>
      </x:c>
      <x:c r="I683" t="n">
        <x:v>18.41</x:v>
      </x:c>
      <x:c r="J683" t="str">
        <x:v>initial_screen_pending_pb_financial_review</x:v>
      </x:c>
      <x:c r="K683" t="str">
        <x:v>AkShare / Tencent all-A market snapshot</x:v>
      </x:c>
      <x:c r="L683" t="str">
        <x:v>ProxyError: primary market source unavailable; see source_id for full audit.</x:v>
      </x:c>
      <x:c r="M683" t="str">
        <x:v>0</x:v>
      </x:c>
      <x:c r="N683" t="str">
        <x:v>0fd6ad2d-3389-4e70-8974-eb85ee223eeb</x:v>
      </x:c>
      <x:c r="O683" t="str">
        <x:v>2026-09-04</x:v>
      </x:c>
    </x:row>
    <x:row r="684">
      <x:c r="A684" t="str">
        <x:v>002487</x:v>
      </x:c>
      <x:c r="B684" t="str">
        <x:v>大金重工</x:v>
      </x:c>
      <x:c r="C684" t="str">
        <x:v>主板</x:v>
      </x:c>
      <x:c r="D684" t="str">
        <x:v>待行业映射</x:v>
      </x:c>
      <x:c r="E684" t="n">
        <x:v>33.22</x:v>
      </x:c>
      <x:c r="F684" t="n">
        <x:v>21.24</x:v>
      </x:c>
      <x:c r="G684"/>
      <x:c r="H684" t="n">
        <x:v>245.86</x:v>
      </x:c>
      <x:c r="I684" t="n">
        <x:v>18.38</x:v>
      </x:c>
      <x:c r="J684" t="str">
        <x:v>initial_screen_pending_pb_financial_review</x:v>
      </x:c>
      <x:c r="K684" t="str">
        <x:v>AkShare / Tencent all-A market snapshot</x:v>
      </x:c>
      <x:c r="L684" t="str">
        <x:v>ProxyError: primary market source unavailable; see source_id for full audit.</x:v>
      </x:c>
      <x:c r="M684" t="str">
        <x:v>0</x:v>
      </x:c>
      <x:c r="N684" t="str">
        <x:v>0fd6ad2d-3389-4e70-8974-eb85ee223eeb</x:v>
      </x:c>
      <x:c r="O684" t="str">
        <x:v>2026-09-04</x:v>
      </x:c>
    </x:row>
    <x:row r="685">
      <x:c r="A685" t="str">
        <x:v>300009</x:v>
      </x:c>
      <x:c r="B685" t="str">
        <x:v>安科生物</x:v>
      </x:c>
      <x:c r="C685" t="str">
        <x:v>创业板</x:v>
      </x:c>
      <x:c r="D685" t="str">
        <x:v>待行业映射</x:v>
      </x:c>
      <x:c r="E685" t="n">
        <x:v>8.32</x:v>
      </x:c>
      <x:c r="F685" t="n">
        <x:v>19.83</x:v>
      </x:c>
      <x:c r="G685"/>
      <x:c r="H685" t="n">
        <x:v>139</x:v>
      </x:c>
      <x:c r="I685" t="n">
        <x:v>18.31</x:v>
      </x:c>
      <x:c r="J685" t="str">
        <x:v>initial_screen_pending_pb_financial_review</x:v>
      </x:c>
      <x:c r="K685" t="str">
        <x:v>AkShare / Tencent all-A market snapshot</x:v>
      </x:c>
      <x:c r="L685" t="str">
        <x:v>ProxyError: primary market source unavailable; see source_id for full audit.</x:v>
      </x:c>
      <x:c r="M685" t="str">
        <x:v>0</x:v>
      </x:c>
      <x:c r="N685" t="str">
        <x:v>0fd6ad2d-3389-4e70-8974-eb85ee223eeb</x:v>
      </x:c>
      <x:c r="O685" t="str">
        <x:v>2026-09-04</x:v>
      </x:c>
    </x:row>
    <x:row r="686">
      <x:c r="A686" t="str">
        <x:v>688819</x:v>
      </x:c>
      <x:c r="B686" t="str">
        <x:v>天能股份</x:v>
      </x:c>
      <x:c r="C686" t="str">
        <x:v>科创板</x:v>
      </x:c>
      <x:c r="D686" t="str">
        <x:v>待行业映射</x:v>
      </x:c>
      <x:c r="E686" t="n">
        <x:v>21.46</x:v>
      </x:c>
      <x:c r="F686" t="n">
        <x:v>20.78</x:v>
      </x:c>
      <x:c r="G686"/>
      <x:c r="H686" t="n">
        <x:v>208.61</x:v>
      </x:c>
      <x:c r="I686" t="n">
        <x:v>18.27</x:v>
      </x:c>
      <x:c r="J686" t="str">
        <x:v>initial_screen_pending_pb_financial_review</x:v>
      </x:c>
      <x:c r="K686" t="str">
        <x:v>AkShare / Tencent all-A market snapshot</x:v>
      </x:c>
      <x:c r="L686" t="str">
        <x:v>ProxyError: primary market source unavailable; see source_id for full audit.</x:v>
      </x:c>
      <x:c r="M686" t="str">
        <x:v>0</x:v>
      </x:c>
      <x:c r="N686" t="str">
        <x:v>0fd6ad2d-3389-4e70-8974-eb85ee223eeb</x:v>
      </x:c>
      <x:c r="O686" t="str">
        <x:v>2026-09-04</x:v>
      </x:c>
    </x:row>
    <x:row r="687">
      <x:c r="A687" t="str">
        <x:v>000551</x:v>
      </x:c>
      <x:c r="B687" t="str">
        <x:v>创元科技</x:v>
      </x:c>
      <x:c r="C687" t="str">
        <x:v>主板</x:v>
      </x:c>
      <x:c r="D687" t="str">
        <x:v>待行业映射</x:v>
      </x:c>
      <x:c r="E687" t="n">
        <x:v>12.14</x:v>
      </x:c>
      <x:c r="F687" t="n">
        <x:v>18.77</x:v>
      </x:c>
      <x:c r="G687"/>
      <x:c r="H687" t="n">
        <x:v>58.85</x:v>
      </x:c>
      <x:c r="I687" t="n">
        <x:v>18.26</x:v>
      </x:c>
      <x:c r="J687" t="str">
        <x:v>initial_screen_pending_pb_financial_review</x:v>
      </x:c>
      <x:c r="K687" t="str">
        <x:v>AkShare / Tencent all-A market snapshot</x:v>
      </x:c>
      <x:c r="L687" t="str">
        <x:v>ProxyError: primary market source unavailable; see source_id for full audit.</x:v>
      </x:c>
      <x:c r="M687" t="str">
        <x:v>0</x:v>
      </x:c>
      <x:c r="N687" t="str">
        <x:v>0fd6ad2d-3389-4e70-8974-eb85ee223eeb</x:v>
      </x:c>
      <x:c r="O687" t="str">
        <x:v>2026-09-04</x:v>
      </x:c>
    </x:row>
    <x:row r="688">
      <x:c r="A688" t="str">
        <x:v>601022</x:v>
      </x:c>
      <x:c r="B688" t="str">
        <x:v>宁波远洋</x:v>
      </x:c>
      <x:c r="C688" t="str">
        <x:v>主板</x:v>
      </x:c>
      <x:c r="D688" t="str">
        <x:v>待行业映射</x:v>
      </x:c>
      <x:c r="E688" t="n">
        <x:v>8.35</x:v>
      </x:c>
      <x:c r="F688" t="n">
        <x:v>19.61</x:v>
      </x:c>
      <x:c r="G688"/>
      <x:c r="H688" t="n">
        <x:v>121.41</x:v>
      </x:c>
      <x:c r="I688" t="n">
        <x:v>18.26</x:v>
      </x:c>
      <x:c r="J688" t="str">
        <x:v>initial_screen_pending_pb_financial_review</x:v>
      </x:c>
      <x:c r="K688" t="str">
        <x:v>AkShare / Tencent all-A market snapshot</x:v>
      </x:c>
      <x:c r="L688" t="str">
        <x:v>ProxyError: primary market source unavailable; see source_id for full audit.</x:v>
      </x:c>
      <x:c r="M688" t="str">
        <x:v>0</x:v>
      </x:c>
      <x:c r="N688" t="str">
        <x:v>0fd6ad2d-3389-4e70-8974-eb85ee223eeb</x:v>
      </x:c>
      <x:c r="O688" t="str">
        <x:v>2026-09-04</x:v>
      </x:c>
    </x:row>
    <x:row r="689">
      <x:c r="A689" t="str">
        <x:v>301035</x:v>
      </x:c>
      <x:c r="B689" t="str">
        <x:v>润丰股份</x:v>
      </x:c>
      <x:c r="C689" t="str">
        <x:v>创业板</x:v>
      </x:c>
      <x:c r="D689" t="str">
        <x:v>待行业映射</x:v>
      </x:c>
      <x:c r="E689" t="n">
        <x:v>56.48</x:v>
      </x:c>
      <x:c r="F689" t="n">
        <x:v>20.78</x:v>
      </x:c>
      <x:c r="G689"/>
      <x:c r="H689" t="n">
        <x:v>205.87</x:v>
      </x:c>
      <x:c r="I689" t="n">
        <x:v>18.18</x:v>
      </x:c>
      <x:c r="J689" t="str">
        <x:v>initial_screen_pending_pb_financial_review</x:v>
      </x:c>
      <x:c r="K689" t="str">
        <x:v>AkShare / Tencent all-A market snapshot</x:v>
      </x:c>
      <x:c r="L689" t="str">
        <x:v>ProxyError: primary market source unavailable; see source_id for full audit.</x:v>
      </x:c>
      <x:c r="M689" t="str">
        <x:v>0</x:v>
      </x:c>
      <x:c r="N689" t="str">
        <x:v>0fd6ad2d-3389-4e70-8974-eb85ee223eeb</x:v>
      </x:c>
      <x:c r="O689" t="str">
        <x:v>2026-09-04</x:v>
      </x:c>
    </x:row>
    <x:row r="690">
      <x:c r="A690" t="str">
        <x:v>605098</x:v>
      </x:c>
      <x:c r="B690" t="str">
        <x:v>行动教育</x:v>
      </x:c>
      <x:c r="C690" t="str">
        <x:v>主板</x:v>
      </x:c>
      <x:c r="D690" t="str">
        <x:v>待行业映射</x:v>
      </x:c>
      <x:c r="E690" t="n">
        <x:v>57.18</x:v>
      </x:c>
      <x:c r="F690" t="n">
        <x:v>18.93</x:v>
      </x:c>
      <x:c r="G690"/>
      <x:c r="H690" t="n">
        <x:v>68.19</x:v>
      </x:c>
      <x:c r="I690" t="n">
        <x:v>18.17</x:v>
      </x:c>
      <x:c r="J690" t="str">
        <x:v>initial_screen_pending_pb_financial_review</x:v>
      </x:c>
      <x:c r="K690" t="str">
        <x:v>AkShare / Tencent all-A market snapshot</x:v>
      </x:c>
      <x:c r="L690" t="str">
        <x:v>ProxyError: primary market source unavailable; see source_id for full audit.</x:v>
      </x:c>
      <x:c r="M690" t="str">
        <x:v>0</x:v>
      </x:c>
      <x:c r="N690" t="str">
        <x:v>0fd6ad2d-3389-4e70-8974-eb85ee223eeb</x:v>
      </x:c>
      <x:c r="O690" t="str">
        <x:v>2026-09-04</x:v>
      </x:c>
    </x:row>
    <x:row r="691">
      <x:c r="A691" t="str">
        <x:v>600312</x:v>
      </x:c>
      <x:c r="B691" t="str">
        <x:v>平高电气</x:v>
      </x:c>
      <x:c r="C691" t="str">
        <x:v>主板</x:v>
      </x:c>
      <x:c r="D691" t="str">
        <x:v>待行业映射</x:v>
      </x:c>
      <x:c r="E691" t="n">
        <x:v>20.38</x:v>
      </x:c>
      <x:c r="F691" t="n">
        <x:v>21.74</x:v>
      </x:c>
      <x:c r="G691"/>
      <x:c r="H691" t="n">
        <x:v>276.54</x:v>
      </x:c>
      <x:c r="I691" t="n">
        <x:v>18.15</x:v>
      </x:c>
      <x:c r="J691" t="str">
        <x:v>initial_screen_pending_pb_financial_review</x:v>
      </x:c>
      <x:c r="K691" t="str">
        <x:v>AkShare / Tencent all-A market snapshot</x:v>
      </x:c>
      <x:c r="L691" t="str">
        <x:v>ProxyError: primary market source unavailable; see source_id for full audit.</x:v>
      </x:c>
      <x:c r="M691" t="str">
        <x:v>0</x:v>
      </x:c>
      <x:c r="N691" t="str">
        <x:v>0fd6ad2d-3389-4e70-8974-eb85ee223eeb</x:v>
      </x:c>
      <x:c r="O691" t="str">
        <x:v>2026-09-04</x:v>
      </x:c>
    </x:row>
    <x:row r="692">
      <x:c r="A692" t="str">
        <x:v>000650</x:v>
      </x:c>
      <x:c r="B692" t="str">
        <x:v>仁和药业</x:v>
      </x:c>
      <x:c r="C692" t="str">
        <x:v>主板</x:v>
      </x:c>
      <x:c r="D692" t="str">
        <x:v>待行业映射</x:v>
      </x:c>
      <x:c r="E692" t="n">
        <x:v>5.38</x:v>
      </x:c>
      <x:c r="F692" t="n">
        <x:v>19.08</x:v>
      </x:c>
      <x:c r="G692"/>
      <x:c r="H692" t="n">
        <x:v>75.32</x:v>
      </x:c>
      <x:c r="I692" t="n">
        <x:v>18.03</x:v>
      </x:c>
      <x:c r="J692" t="str">
        <x:v>initial_screen_pending_pb_financial_review</x:v>
      </x:c>
      <x:c r="K692" t="str">
        <x:v>AkShare / Tencent all-A market snapshot</x:v>
      </x:c>
      <x:c r="L692" t="str">
        <x:v>ProxyError: primary market source unavailable; see source_id for full audit.</x:v>
      </x:c>
      <x:c r="M692" t="str">
        <x:v>0</x:v>
      </x:c>
      <x:c r="N692" t="str">
        <x:v>0fd6ad2d-3389-4e70-8974-eb85ee223eeb</x:v>
      </x:c>
      <x:c r="O692" t="str">
        <x:v>2026-09-04</x:v>
      </x:c>
    </x:row>
    <x:row r="693">
      <x:c r="A693" t="str">
        <x:v>002328</x:v>
      </x:c>
      <x:c r="B693" t="str">
        <x:v>新朋股份</x:v>
      </x:c>
      <x:c r="C693" t="str">
        <x:v>主板</x:v>
      </x:c>
      <x:c r="D693" t="str">
        <x:v>待行业映射</x:v>
      </x:c>
      <x:c r="E693" t="n">
        <x:v>9.96</x:v>
      </x:c>
      <x:c r="F693" t="n">
        <x:v>19.1</x:v>
      </x:c>
      <x:c r="G693"/>
      <x:c r="H693" t="n">
        <x:v>76.87</x:v>
      </x:c>
      <x:c r="I693" t="n">
        <x:v>18.03</x:v>
      </x:c>
      <x:c r="J693" t="str">
        <x:v>initial_screen_pending_pb_financial_review</x:v>
      </x:c>
      <x:c r="K693" t="str">
        <x:v>AkShare / Tencent all-A market snapshot</x:v>
      </x:c>
      <x:c r="L693" t="str">
        <x:v>ProxyError: primary market source unavailable; see source_id for full audit.</x:v>
      </x:c>
      <x:c r="M693" t="str">
        <x:v>0</x:v>
      </x:c>
      <x:c r="N693" t="str">
        <x:v>0fd6ad2d-3389-4e70-8974-eb85ee223eeb</x:v>
      </x:c>
      <x:c r="O693" t="str">
        <x:v>2026-09-04</x:v>
      </x:c>
    </x:row>
    <x:row r="694">
      <x:c r="A694" t="str">
        <x:v>603170</x:v>
      </x:c>
      <x:c r="B694" t="str">
        <x:v>宝立食品</x:v>
      </x:c>
      <x:c r="C694" t="str">
        <x:v>主板</x:v>
      </x:c>
      <x:c r="D694" t="str">
        <x:v>待行业映射</x:v>
      </x:c>
      <x:c r="E694" t="n">
        <x:v>12.87</x:v>
      </x:c>
      <x:c r="F694" t="n">
        <x:v>18.76</x:v>
      </x:c>
      <x:c r="G694"/>
      <x:c r="H694" t="n">
        <x:v>51.48</x:v>
      </x:c>
      <x:c r="I694" t="n">
        <x:v>18.03</x:v>
      </x:c>
      <x:c r="J694" t="str">
        <x:v>initial_screen_pending_pb_financial_review</x:v>
      </x:c>
      <x:c r="K694" t="str">
        <x:v>AkShare / Tencent all-A market snapshot</x:v>
      </x:c>
      <x:c r="L694" t="str">
        <x:v>ProxyError: primary market source unavailable; see source_id for full audit.</x:v>
      </x:c>
      <x:c r="M694" t="str">
        <x:v>0</x:v>
      </x:c>
      <x:c r="N694" t="str">
        <x:v>0fd6ad2d-3389-4e70-8974-eb85ee223eeb</x:v>
      </x:c>
      <x:c r="O694" t="str">
        <x:v>2026-09-04</x:v>
      </x:c>
    </x:row>
    <x:row r="695">
      <x:c r="A695" t="str">
        <x:v>603197</x:v>
      </x:c>
      <x:c r="B695" t="str">
        <x:v>保隆科技</x:v>
      </x:c>
      <x:c r="C695" t="str">
        <x:v>主板</x:v>
      </x:c>
      <x:c r="D695" t="str">
        <x:v>待行业映射</x:v>
      </x:c>
      <x:c r="E695" t="n">
        <x:v>30.27</x:v>
      </x:c>
      <x:c r="F695" t="n">
        <x:v>18.96</x:v>
      </x:c>
      <x:c r="G695"/>
      <x:c r="H695" t="n">
        <x:v>64.79</x:v>
      </x:c>
      <x:c r="I695" t="n">
        <x:v>17.97</x:v>
      </x:c>
      <x:c r="J695" t="str">
        <x:v>initial_screen_pending_pb_financial_review</x:v>
      </x:c>
      <x:c r="K695" t="str">
        <x:v>AkShare / Tencent all-A market snapshot</x:v>
      </x:c>
      <x:c r="L695" t="str">
        <x:v>ProxyError: primary market source unavailable; see source_id for full audit.</x:v>
      </x:c>
      <x:c r="M695" t="str">
        <x:v>0</x:v>
      </x:c>
      <x:c r="N695" t="str">
        <x:v>0fd6ad2d-3389-4e70-8974-eb85ee223eeb</x:v>
      </x:c>
      <x:c r="O695" t="str">
        <x:v>2026-09-04</x:v>
      </x:c>
    </x:row>
    <x:row r="696">
      <x:c r="A696" t="str">
        <x:v>603235</x:v>
      </x:c>
      <x:c r="B696" t="str">
        <x:v>天新药业</x:v>
      </x:c>
      <x:c r="C696" t="str">
        <x:v>主板</x:v>
      </x:c>
      <x:c r="D696" t="str">
        <x:v>待行业映射</x:v>
      </x:c>
      <x:c r="E696" t="n">
        <x:v>24.8</x:v>
      </x:c>
      <x:c r="F696" t="n">
        <x:v>19.57</x:v>
      </x:c>
      <x:c r="G696"/>
      <x:c r="H696" t="n">
        <x:v>108.57</x:v>
      </x:c>
      <x:c r="I696" t="n">
        <x:v>17.92</x:v>
      </x:c>
      <x:c r="J696" t="str">
        <x:v>initial_screen_pending_pb_financial_review</x:v>
      </x:c>
      <x:c r="K696" t="str">
        <x:v>AkShare / Tencent all-A market snapshot</x:v>
      </x:c>
      <x:c r="L696" t="str">
        <x:v>ProxyError: primary market source unavailable; see source_id for full audit.</x:v>
      </x:c>
      <x:c r="M696" t="str">
        <x:v>0</x:v>
      </x:c>
      <x:c r="N696" t="str">
        <x:v>0fd6ad2d-3389-4e70-8974-eb85ee223eeb</x:v>
      </x:c>
      <x:c r="O696" t="str">
        <x:v>2026-09-04</x:v>
      </x:c>
    </x:row>
    <x:row r="697">
      <x:c r="A697" t="str">
        <x:v>300832</x:v>
      </x:c>
      <x:c r="B697" t="str">
        <x:v>新产业</x:v>
      </x:c>
      <x:c r="C697" t="str">
        <x:v>创业板</x:v>
      </x:c>
      <x:c r="D697" t="str">
        <x:v>待行业映射</x:v>
      </x:c>
      <x:c r="E697" t="n">
        <x:v>51.5</x:v>
      </x:c>
      <x:c r="F697" t="n">
        <x:v>23.57</x:v>
      </x:c>
      <x:c r="G697"/>
      <x:c r="H697" t="n">
        <x:v>404.65</x:v>
      </x:c>
      <x:c r="I697" t="n">
        <x:v>17.88</x:v>
      </x:c>
      <x:c r="J697" t="str">
        <x:v>initial_screen_pending_pb_financial_review</x:v>
      </x:c>
      <x:c r="K697" t="str">
        <x:v>AkShare / Tencent all-A market snapshot</x:v>
      </x:c>
      <x:c r="L697" t="str">
        <x:v>ProxyError: primary market source unavailable; see source_id for full audit.</x:v>
      </x:c>
      <x:c r="M697" t="str">
        <x:v>0</x:v>
      </x:c>
      <x:c r="N697" t="str">
        <x:v>0fd6ad2d-3389-4e70-8974-eb85ee223eeb</x:v>
      </x:c>
      <x:c r="O697" t="str">
        <x:v>2026-09-04</x:v>
      </x:c>
    </x:row>
    <x:row r="698">
      <x:c r="A698" t="str">
        <x:v>600816</x:v>
      </x:c>
      <x:c r="B698" t="str">
        <x:v>建元信托</x:v>
      </x:c>
      <x:c r="C698" t="str">
        <x:v>主板</x:v>
      </x:c>
      <x:c r="D698" t="str">
        <x:v>待行业映射</x:v>
      </x:c>
      <x:c r="E698" t="n">
        <x:v>2.5</x:v>
      </x:c>
      <x:c r="F698" t="n">
        <x:v>21.44</x:v>
      </x:c>
      <x:c r="G698"/>
      <x:c r="H698" t="n">
        <x:v>246.11</x:v>
      </x:c>
      <x:c r="I698" t="n">
        <x:v>17.87</x:v>
      </x:c>
      <x:c r="J698" t="str">
        <x:v>initial_screen_pending_pb_financial_review</x:v>
      </x:c>
      <x:c r="K698" t="str">
        <x:v>AkShare / Tencent all-A market snapshot</x:v>
      </x:c>
      <x:c r="L698" t="str">
        <x:v>ProxyError: primary market source unavailable; see source_id for full audit.</x:v>
      </x:c>
      <x:c r="M698" t="str">
        <x:v>0</x:v>
      </x:c>
      <x:c r="N698" t="str">
        <x:v>0fd6ad2d-3389-4e70-8974-eb85ee223eeb</x:v>
      </x:c>
      <x:c r="O698" t="str">
        <x:v>2026-09-04</x:v>
      </x:c>
    </x:row>
    <x:row r="699">
      <x:c r="A699" t="str">
        <x:v>688526</x:v>
      </x:c>
      <x:c r="B699" t="str">
        <x:v>科前生物</x:v>
      </x:c>
      <x:c r="C699" t="str">
        <x:v>科创板</x:v>
      </x:c>
      <x:c r="D699" t="str">
        <x:v>待行业映射</x:v>
      </x:c>
      <x:c r="E699" t="n">
        <x:v>12.78</x:v>
      </x:c>
      <x:c r="F699" t="n">
        <x:v>18.94</x:v>
      </x:c>
      <x:c r="G699"/>
      <x:c r="H699" t="n">
        <x:v>59.57</x:v>
      </x:c>
      <x:c r="I699" t="n">
        <x:v>17.84</x:v>
      </x:c>
      <x:c r="J699" t="str">
        <x:v>initial_screen_pending_pb_financial_review</x:v>
      </x:c>
      <x:c r="K699" t="str">
        <x:v>AkShare / Tencent all-A market snapshot</x:v>
      </x:c>
      <x:c r="L699" t="str">
        <x:v>ProxyError: primary market source unavailable; see source_id for full audit.</x:v>
      </x:c>
      <x:c r="M699" t="str">
        <x:v>0</x:v>
      </x:c>
      <x:c r="N699" t="str">
        <x:v>0fd6ad2d-3389-4e70-8974-eb85ee223eeb</x:v>
      </x:c>
      <x:c r="O699" t="str">
        <x:v>2026-09-04</x:v>
      </x:c>
    </x:row>
    <x:row r="700">
      <x:c r="A700" t="str">
        <x:v>600363</x:v>
      </x:c>
      <x:c r="B700" t="str">
        <x:v>联创光电</x:v>
      </x:c>
      <x:c r="C700" t="str">
        <x:v>主板</x:v>
      </x:c>
      <x:c r="D700" t="str">
        <x:v>待行业映射</x:v>
      </x:c>
      <x:c r="E700" t="n">
        <x:v>16.31</x:v>
      </x:c>
      <x:c r="F700" t="n">
        <x:v>19.17</x:v>
      </x:c>
      <x:c r="G700"/>
      <x:c r="H700" t="n">
        <x:v>73.54</x:v>
      </x:c>
      <x:c r="I700" t="n">
        <x:v>17.73</x:v>
      </x:c>
      <x:c r="J700" t="str">
        <x:v>initial_screen_pending_pb_financial_review</x:v>
      </x:c>
      <x:c r="K700" t="str">
        <x:v>AkShare / Tencent all-A market snapshot</x:v>
      </x:c>
      <x:c r="L700" t="str">
        <x:v>ProxyError: primary market source unavailable; see source_id for full audit.</x:v>
      </x:c>
      <x:c r="M700" t="str">
        <x:v>0</x:v>
      </x:c>
      <x:c r="N700" t="str">
        <x:v>0fd6ad2d-3389-4e70-8974-eb85ee223eeb</x:v>
      </x:c>
      <x:c r="O700" t="str">
        <x:v>2026-09-04</x:v>
      </x:c>
    </x:row>
    <x:row r="701">
      <x:c r="A701" t="str">
        <x:v>600479</x:v>
      </x:c>
      <x:c r="B701" t="str">
        <x:v>千金药业</x:v>
      </x:c>
      <x:c r="C701" t="str">
        <x:v>主板</x:v>
      </x:c>
      <x:c r="D701" t="str">
        <x:v>待行业映射</x:v>
      </x:c>
      <x:c r="E701" t="n">
        <x:v>13.15</x:v>
      </x:c>
      <x:c r="F701" t="n">
        <x:v>19.07</x:v>
      </x:c>
      <x:c r="G701"/>
      <x:c r="H701" t="n">
        <x:v>64.73</x:v>
      </x:c>
      <x:c r="I701" t="n">
        <x:v>17.68</x:v>
      </x:c>
      <x:c r="J701" t="str">
        <x:v>initial_screen_pending_pb_financial_review</x:v>
      </x:c>
      <x:c r="K701" t="str">
        <x:v>AkShare / Tencent all-A market snapshot</x:v>
      </x:c>
      <x:c r="L701" t="str">
        <x:v>ProxyError: primary market source unavailable; see source_id for full audit.</x:v>
      </x:c>
      <x:c r="M701" t="str">
        <x:v>0</x:v>
      </x:c>
      <x:c r="N701" t="str">
        <x:v>0fd6ad2d-3389-4e70-8974-eb85ee223eeb</x:v>
      </x:c>
      <x:c r="O701" t="str">
        <x:v>2026-09-04</x:v>
      </x:c>
    </x:row>
    <x:row r="702">
      <x:c r="A702" t="str">
        <x:v>002978</x:v>
      </x:c>
      <x:c r="B702" t="str">
        <x:v>安宁股份</x:v>
      </x:c>
      <x:c r="C702" t="str">
        <x:v>主板</x:v>
      </x:c>
      <x:c r="D702" t="str">
        <x:v>待行业映射</x:v>
      </x:c>
      <x:c r="E702" t="n">
        <x:v>26.08</x:v>
      </x:c>
      <x:c r="F702" t="n">
        <x:v>19.86</x:v>
      </x:c>
      <x:c r="G702"/>
      <x:c r="H702" t="n">
        <x:v>123.09</x:v>
      </x:c>
      <x:c r="I702" t="n">
        <x:v>17.67</x:v>
      </x:c>
      <x:c r="J702" t="str">
        <x:v>initial_screen_pending_pb_financial_review</x:v>
      </x:c>
      <x:c r="K702" t="str">
        <x:v>AkShare / Tencent all-A market snapshot</x:v>
      </x:c>
      <x:c r="L702" t="str">
        <x:v>ProxyError: primary market source unavailable; see source_id for full audit.</x:v>
      </x:c>
      <x:c r="M702" t="str">
        <x:v>0</x:v>
      </x:c>
      <x:c r="N702" t="str">
        <x:v>0fd6ad2d-3389-4e70-8974-eb85ee223eeb</x:v>
      </x:c>
      <x:c r="O702" t="str">
        <x:v>2026-09-04</x:v>
      </x:c>
    </x:row>
    <x:row r="703">
      <x:c r="A703" t="str">
        <x:v>600458</x:v>
      </x:c>
      <x:c r="B703" t="str">
        <x:v>时代新材</x:v>
      </x:c>
      <x:c r="C703" t="str">
        <x:v>主板</x:v>
      </x:c>
      <x:c r="D703" t="str">
        <x:v>待行业映射</x:v>
      </x:c>
      <x:c r="E703" t="n">
        <x:v>11.51</x:v>
      </x:c>
      <x:c r="F703" t="n">
        <x:v>19.7</x:v>
      </x:c>
      <x:c r="G703"/>
      <x:c r="H703" t="n">
        <x:v>109.59</x:v>
      </x:c>
      <x:c r="I703" t="n">
        <x:v>17.62</x:v>
      </x:c>
      <x:c r="J703" t="str">
        <x:v>initial_screen_pending_pb_financial_review</x:v>
      </x:c>
      <x:c r="K703" t="str">
        <x:v>AkShare / Tencent all-A market snapshot</x:v>
      </x:c>
      <x:c r="L703" t="str">
        <x:v>ProxyError: primary market source unavailable; see source_id for full audit.</x:v>
      </x:c>
      <x:c r="M703" t="str">
        <x:v>0</x:v>
      </x:c>
      <x:c r="N703" t="str">
        <x:v>0fd6ad2d-3389-4e70-8974-eb85ee223eeb</x:v>
      </x:c>
      <x:c r="O703" t="str">
        <x:v>2026-09-04</x:v>
      </x:c>
    </x:row>
    <x:row r="704">
      <x:c r="A704" t="str">
        <x:v>301305</x:v>
      </x:c>
      <x:c r="B704" t="str">
        <x:v>朗坤科技</x:v>
      </x:c>
      <x:c r="C704" t="str">
        <x:v>创业板</x:v>
      </x:c>
      <x:c r="D704" t="str">
        <x:v>待行业映射</x:v>
      </x:c>
      <x:c r="E704" t="n">
        <x:v>24.39</x:v>
      </x:c>
      <x:c r="F704" t="n">
        <x:v>19.02</x:v>
      </x:c>
      <x:c r="G704"/>
      <x:c r="H704" t="n">
        <x:v>59.01</x:v>
      </x:c>
      <x:c r="I704" t="n">
        <x:v>17.61</x:v>
      </x:c>
      <x:c r="J704" t="str">
        <x:v>initial_screen_pending_pb_financial_review</x:v>
      </x:c>
      <x:c r="K704" t="str">
        <x:v>AkShare / Tencent all-A market snapshot</x:v>
      </x:c>
      <x:c r="L704" t="str">
        <x:v>ProxyError: primary market source unavailable; see source_id for full audit.</x:v>
      </x:c>
      <x:c r="M704" t="str">
        <x:v>0</x:v>
      </x:c>
      <x:c r="N704" t="str">
        <x:v>0fd6ad2d-3389-4e70-8974-eb85ee223eeb</x:v>
      </x:c>
      <x:c r="O704" t="str">
        <x:v>2026-09-04</x:v>
      </x:c>
    </x:row>
    <x:row r="705">
      <x:c r="A705" t="str">
        <x:v>603393</x:v>
      </x:c>
      <x:c r="B705" t="str">
        <x:v>新天然气</x:v>
      </x:c>
      <x:c r="C705" t="str">
        <x:v>主板</x:v>
      </x:c>
      <x:c r="D705" t="str">
        <x:v>待行业映射</x:v>
      </x:c>
      <x:c r="E705" t="n">
        <x:v>26.61</x:v>
      </x:c>
      <x:c r="F705" t="n">
        <x:v>19.76</x:v>
      </x:c>
      <x:c r="G705"/>
      <x:c r="H705" t="n">
        <x:v>112.81</x:v>
      </x:c>
      <x:c r="I705" t="n">
        <x:v>17.57</x:v>
      </x:c>
      <x:c r="J705" t="str">
        <x:v>initial_screen_pending_pb_financial_review</x:v>
      </x:c>
      <x:c r="K705" t="str">
        <x:v>AkShare / Tencent all-A market snapshot</x:v>
      </x:c>
      <x:c r="L705" t="str">
        <x:v>ProxyError: primary market source unavailable; see source_id for full audit.</x:v>
      </x:c>
      <x:c r="M705" t="str">
        <x:v>0</x:v>
      </x:c>
      <x:c r="N705" t="str">
        <x:v>0fd6ad2d-3389-4e70-8974-eb85ee223eeb</x:v>
      </x:c>
      <x:c r="O705" t="str">
        <x:v>2026-09-04</x:v>
      </x:c>
    </x:row>
    <x:row r="706">
      <x:c r="A706" t="str">
        <x:v>600369</x:v>
      </x:c>
      <x:c r="B706" t="str">
        <x:v>西南证券</x:v>
      </x:c>
      <x:c r="C706" t="str">
        <x:v>主板</x:v>
      </x:c>
      <x:c r="D706" t="str">
        <x:v>待行业映射</x:v>
      </x:c>
      <x:c r="E706" t="n">
        <x:v>4.12</x:v>
      </x:c>
      <x:c r="F706" t="n">
        <x:v>22.01</x:v>
      </x:c>
      <x:c r="G706"/>
      <x:c r="H706" t="n">
        <x:v>273.78</x:v>
      </x:c>
      <x:c r="I706" t="n">
        <x:v>17.36</x:v>
      </x:c>
      <x:c r="J706" t="str">
        <x:v>initial_screen_pending_pb_financial_review</x:v>
      </x:c>
      <x:c r="K706" t="str">
        <x:v>AkShare / Tencent all-A market snapshot</x:v>
      </x:c>
      <x:c r="L706" t="str">
        <x:v>ProxyError: primary market source unavailable; see source_id for full audit.</x:v>
      </x:c>
      <x:c r="M706" t="str">
        <x:v>0</x:v>
      </x:c>
      <x:c r="N706" t="str">
        <x:v>0fd6ad2d-3389-4e70-8974-eb85ee223eeb</x:v>
      </x:c>
      <x:c r="O706" t="str">
        <x:v>2026-09-04</x:v>
      </x:c>
    </x:row>
    <x:row r="707">
      <x:c r="A707" t="str">
        <x:v>600388</x:v>
      </x:c>
      <x:c r="B707" t="str">
        <x:v>紫金龙净</x:v>
      </x:c>
      <x:c r="C707" t="str">
        <x:v>主板</x:v>
      </x:c>
      <x:c r="D707" t="str">
        <x:v>待行业映射</x:v>
      </x:c>
      <x:c r="E707" t="n">
        <x:v>19.01</x:v>
      </x:c>
      <x:c r="F707" t="n">
        <x:v>21.94</x:v>
      </x:c>
      <x:c r="G707"/>
      <x:c r="H707" t="n">
        <x:v>268.48</x:v>
      </x:c>
      <x:c r="I707" t="n">
        <x:v>17.35</x:v>
      </x:c>
      <x:c r="J707" t="str">
        <x:v>initial_screen_pending_pb_financial_review</x:v>
      </x:c>
      <x:c r="K707" t="str">
        <x:v>AkShare / Tencent all-A market snapshot</x:v>
      </x:c>
      <x:c r="L707" t="str">
        <x:v>ProxyError: primary market source unavailable; see source_id for full audit.</x:v>
      </x:c>
      <x:c r="M707" t="str">
        <x:v>0</x:v>
      </x:c>
      <x:c r="N707" t="str">
        <x:v>0fd6ad2d-3389-4e70-8974-eb85ee223eeb</x:v>
      </x:c>
      <x:c r="O707" t="str">
        <x:v>2026-09-04</x:v>
      </x:c>
    </x:row>
    <x:row r="708">
      <x:c r="A708" t="str">
        <x:v>605319</x:v>
      </x:c>
      <x:c r="B708" t="str">
        <x:v>无锡振华</x:v>
      </x:c>
      <x:c r="C708" t="str">
        <x:v>主板</x:v>
      </x:c>
      <x:c r="D708" t="str">
        <x:v>待行业映射</x:v>
      </x:c>
      <x:c r="E708" t="n">
        <x:v>26.23</x:v>
      </x:c>
      <x:c r="F708" t="n">
        <x:v>19.58</x:v>
      </x:c>
      <x:c r="G708"/>
      <x:c r="H708" t="n">
        <x:v>91.83</x:v>
      </x:c>
      <x:c r="I708" t="n">
        <x:v>17.31</x:v>
      </x:c>
      <x:c r="J708" t="str">
        <x:v>initial_screen_pending_pb_financial_review</x:v>
      </x:c>
      <x:c r="K708" t="str">
        <x:v>AkShare / Tencent all-A market snapshot</x:v>
      </x:c>
      <x:c r="L708" t="str">
        <x:v>ProxyError: primary market source unavailable; see source_id for full audit.</x:v>
      </x:c>
      <x:c r="M708" t="str">
        <x:v>0</x:v>
      </x:c>
      <x:c r="N708" t="str">
        <x:v>0fd6ad2d-3389-4e70-8974-eb85ee223eeb</x:v>
      </x:c>
      <x:c r="O708" t="str">
        <x:v>2026-09-04</x:v>
      </x:c>
    </x:row>
    <x:row r="709">
      <x:c r="A709" t="str">
        <x:v>603337</x:v>
      </x:c>
      <x:c r="B709" t="str">
        <x:v>杰克科技</x:v>
      </x:c>
      <x:c r="C709" t="str">
        <x:v>主板</x:v>
      </x:c>
      <x:c r="D709" t="str">
        <x:v>待行业映射</x:v>
      </x:c>
      <x:c r="E709" t="n">
        <x:v>37.96</x:v>
      </x:c>
      <x:c r="F709" t="n">
        <x:v>20.78</x:v>
      </x:c>
      <x:c r="G709"/>
      <x:c r="H709" t="n">
        <x:v>180.84</x:v>
      </x:c>
      <x:c r="I709" t="n">
        <x:v>17.3</x:v>
      </x:c>
      <x:c r="J709" t="str">
        <x:v>initial_screen_pending_pb_financial_review</x:v>
      </x:c>
      <x:c r="K709" t="str">
        <x:v>AkShare / Tencent all-A market snapshot</x:v>
      </x:c>
      <x:c r="L709" t="str">
        <x:v>ProxyError: primary market source unavailable; see source_id for full audit.</x:v>
      </x:c>
      <x:c r="M709" t="str">
        <x:v>0</x:v>
      </x:c>
      <x:c r="N709" t="str">
        <x:v>0fd6ad2d-3389-4e70-8974-eb85ee223eeb</x:v>
      </x:c>
      <x:c r="O709" t="str">
        <x:v>2026-09-04</x:v>
      </x:c>
    </x:row>
    <x:row r="710">
      <x:c r="A710" t="str">
        <x:v>603897</x:v>
      </x:c>
      <x:c r="B710" t="str">
        <x:v>长城科技</x:v>
      </x:c>
      <x:c r="C710" t="str">
        <x:v>主板</x:v>
      </x:c>
      <x:c r="D710" t="str">
        <x:v>待行业映射</x:v>
      </x:c>
      <x:c r="E710" t="n">
        <x:v>29.81</x:v>
      </x:c>
      <x:c r="F710" t="n">
        <x:v>19.23</x:v>
      </x:c>
      <x:c r="G710"/>
      <x:c r="H710" t="n">
        <x:v>61.54</x:v>
      </x:c>
      <x:c r="I710" t="n">
        <x:v>17.16</x:v>
      </x:c>
      <x:c r="J710" t="str">
        <x:v>initial_screen_pending_pb_financial_review</x:v>
      </x:c>
      <x:c r="K710" t="str">
        <x:v>AkShare / Tencent all-A market snapshot</x:v>
      </x:c>
      <x:c r="L710" t="str">
        <x:v>ProxyError: primary market source unavailable; see source_id for full audit.</x:v>
      </x:c>
      <x:c r="M710" t="str">
        <x:v>0</x:v>
      </x:c>
      <x:c r="N710" t="str">
        <x:v>0fd6ad2d-3389-4e70-8974-eb85ee223eeb</x:v>
      </x:c>
      <x:c r="O710" t="str">
        <x:v>2026-09-04</x:v>
      </x:c>
    </x:row>
    <x:row r="711">
      <x:c r="A711" t="str">
        <x:v>688278</x:v>
      </x:c>
      <x:c r="B711" t="str">
        <x:v>特宝生物</x:v>
      </x:c>
      <x:c r="C711" t="str">
        <x:v>科创板</x:v>
      </x:c>
      <x:c r="D711" t="str">
        <x:v>待行业映射</x:v>
      </x:c>
      <x:c r="E711" t="n">
        <x:v>56.96</x:v>
      </x:c>
      <x:c r="F711" t="n">
        <x:v>21.53</x:v>
      </x:c>
      <x:c r="G711"/>
      <x:c r="H711" t="n">
        <x:v>232.5</x:v>
      </x:c>
      <x:c r="I711" t="n">
        <x:v>17.16</x:v>
      </x:c>
      <x:c r="J711" t="str">
        <x:v>initial_screen_pending_pb_financial_review</x:v>
      </x:c>
      <x:c r="K711" t="str">
        <x:v>AkShare / Tencent all-A market snapshot</x:v>
      </x:c>
      <x:c r="L711" t="str">
        <x:v>ProxyError: primary market source unavailable; see source_id for full audit.</x:v>
      </x:c>
      <x:c r="M711" t="str">
        <x:v>0</x:v>
      </x:c>
      <x:c r="N711" t="str">
        <x:v>0fd6ad2d-3389-4e70-8974-eb85ee223eeb</x:v>
      </x:c>
      <x:c r="O711" t="str">
        <x:v>2026-09-04</x:v>
      </x:c>
    </x:row>
    <x:row r="712">
      <x:c r="A712" t="str">
        <x:v>300206</x:v>
      </x:c>
      <x:c r="B712" t="str">
        <x:v>理邦仪器</x:v>
      </x:c>
      <x:c r="C712" t="str">
        <x:v>创业板</x:v>
      </x:c>
      <x:c r="D712" t="str">
        <x:v>待行业映射</x:v>
      </x:c>
      <x:c r="E712" t="n">
        <x:v>11.79</x:v>
      </x:c>
      <x:c r="F712" t="n">
        <x:v>19.36</x:v>
      </x:c>
      <x:c r="G712"/>
      <x:c r="H712" t="n">
        <x:v>68.34</x:v>
      </x:c>
      <x:c r="I712" t="n">
        <x:v>17.06</x:v>
      </x:c>
      <x:c r="J712" t="str">
        <x:v>initial_screen_pending_pb_financial_review</x:v>
      </x:c>
      <x:c r="K712" t="str">
        <x:v>AkShare / Tencent all-A market snapshot</x:v>
      </x:c>
      <x:c r="L712" t="str">
        <x:v>ProxyError: primary market source unavailable; see source_id for full audit.</x:v>
      </x:c>
      <x:c r="M712" t="str">
        <x:v>0</x:v>
      </x:c>
      <x:c r="N712" t="str">
        <x:v>0fd6ad2d-3389-4e70-8974-eb85ee223eeb</x:v>
      </x:c>
      <x:c r="O712" t="str">
        <x:v>2026-09-04</x:v>
      </x:c>
    </x:row>
    <x:row r="713">
      <x:c r="A713" t="str">
        <x:v>000830</x:v>
      </x:c>
      <x:c r="B713" t="str">
        <x:v>鲁西化工</x:v>
      </x:c>
      <x:c r="C713" t="str">
        <x:v>主板</x:v>
      </x:c>
      <x:c r="D713" t="str">
        <x:v>待行业映射</x:v>
      </x:c>
      <x:c r="E713" t="n">
        <x:v>12.74</x:v>
      </x:c>
      <x:c r="F713" t="n">
        <x:v>21.71</x:v>
      </x:c>
      <x:c r="G713"/>
      <x:c r="H713" t="n">
        <x:v>242.61</x:v>
      </x:c>
      <x:c r="I713" t="n">
        <x:v>17.05</x:v>
      </x:c>
      <x:c r="J713" t="str">
        <x:v>initial_screen_pending_pb_financial_review</x:v>
      </x:c>
      <x:c r="K713" t="str">
        <x:v>AkShare / Tencent all-A market snapshot</x:v>
      </x:c>
      <x:c r="L713" t="str">
        <x:v>ProxyError: primary market source unavailable; see source_id for full audit.</x:v>
      </x:c>
      <x:c r="M713" t="str">
        <x:v>0</x:v>
      </x:c>
      <x:c r="N713" t="str">
        <x:v>0fd6ad2d-3389-4e70-8974-eb85ee223eeb</x:v>
      </x:c>
      <x:c r="O713" t="str">
        <x:v>2026-09-04</x:v>
      </x:c>
    </x:row>
    <x:row r="714">
      <x:c r="A714" t="str">
        <x:v>600256</x:v>
      </x:c>
      <x:c r="B714" t="str">
        <x:v>广汇能源</x:v>
      </x:c>
      <x:c r="C714" t="str">
        <x:v>主板</x:v>
      </x:c>
      <x:c r="D714" t="str">
        <x:v>待行业映射</x:v>
      </x:c>
      <x:c r="E714" t="n">
        <x:v>6.71</x:v>
      </x:c>
      <x:c r="F714" t="n">
        <x:v>24.23</x:v>
      </x:c>
      <x:c r="G714"/>
      <x:c r="H714" t="n">
        <x:v>428.9</x:v>
      </x:c>
      <x:c r="I714" t="n">
        <x:v>17.01</x:v>
      </x:c>
      <x:c r="J714" t="str">
        <x:v>initial_screen_pending_pb_financial_review</x:v>
      </x:c>
      <x:c r="K714" t="str">
        <x:v>AkShare / Tencent all-A market snapshot</x:v>
      </x:c>
      <x:c r="L714" t="str">
        <x:v>ProxyError: primary market source unavailable; see source_id for full audit.</x:v>
      </x:c>
      <x:c r="M714" t="str">
        <x:v>0</x:v>
      </x:c>
      <x:c r="N714" t="str">
        <x:v>0fd6ad2d-3389-4e70-8974-eb85ee223eeb</x:v>
      </x:c>
      <x:c r="O714" t="str">
        <x:v>2026-09-04</x:v>
      </x:c>
    </x:row>
    <x:row r="715">
      <x:c r="A715" t="str">
        <x:v>002928</x:v>
      </x:c>
      <x:c r="B715" t="str">
        <x:v>华夏航空</x:v>
      </x:c>
      <x:c r="C715" t="str">
        <x:v>主板</x:v>
      </x:c>
      <x:c r="D715" t="str">
        <x:v>待行业映射</x:v>
      </x:c>
      <x:c r="E715" t="n">
        <x:v>6.43</x:v>
      </x:c>
      <x:c r="F715" t="n">
        <x:v>19.63</x:v>
      </x:c>
      <x:c r="G715"/>
      <x:c r="H715" t="n">
        <x:v>82.19</x:v>
      </x:c>
      <x:c r="I715" t="n">
        <x:v>16.84</x:v>
      </x:c>
      <x:c r="J715" t="str">
        <x:v>initial_screen_pending_pb_financial_review</x:v>
      </x:c>
      <x:c r="K715" t="str">
        <x:v>AkShare / Tencent all-A market snapshot</x:v>
      </x:c>
      <x:c r="L715" t="str">
        <x:v>ProxyError: primary market source unavailable; see source_id for full audit.</x:v>
      </x:c>
      <x:c r="M715" t="str">
        <x:v>0</x:v>
      </x:c>
      <x:c r="N715" t="str">
        <x:v>0fd6ad2d-3389-4e70-8974-eb85ee223eeb</x:v>
      </x:c>
      <x:c r="O715" t="str">
        <x:v>2026-09-04</x:v>
      </x:c>
    </x:row>
    <x:row r="716">
      <x:c r="A716" t="str">
        <x:v>301665</x:v>
      </x:c>
      <x:c r="B716" t="str">
        <x:v>泰禾股份</x:v>
      </x:c>
      <x:c r="C716" t="str">
        <x:v>创业板</x:v>
      </x:c>
      <x:c r="D716" t="str">
        <x:v>待行业映射</x:v>
      </x:c>
      <x:c r="E716" t="n">
        <x:v>23.3</x:v>
      </x:c>
      <x:c r="F716" t="n">
        <x:v>19.99</x:v>
      </x:c>
      <x:c r="G716"/>
      <x:c r="H716" t="n">
        <x:v>104.85</x:v>
      </x:c>
      <x:c r="I716" t="n">
        <x:v>16.7</x:v>
      </x:c>
      <x:c r="J716" t="str">
        <x:v>initial_screen_pending_pb_financial_review</x:v>
      </x:c>
      <x:c r="K716" t="str">
        <x:v>AkShare / Tencent all-A market snapshot</x:v>
      </x:c>
      <x:c r="L716" t="str">
        <x:v>ProxyError: primary market source unavailable; see source_id for full audit.</x:v>
      </x:c>
      <x:c r="M716" t="str">
        <x:v>0</x:v>
      </x:c>
      <x:c r="N716" t="str">
        <x:v>0fd6ad2d-3389-4e70-8974-eb85ee223eeb</x:v>
      </x:c>
      <x:c r="O716" t="str">
        <x:v>2026-09-04</x:v>
      </x:c>
    </x:row>
    <x:row r="717">
      <x:c r="A717" t="str">
        <x:v>002237</x:v>
      </x:c>
      <x:c r="B717" t="str">
        <x:v>恒邦股份</x:v>
      </x:c>
      <x:c r="C717" t="str">
        <x:v>主板</x:v>
      </x:c>
      <x:c r="D717" t="str">
        <x:v>待行业映射</x:v>
      </x:c>
      <x:c r="E717" t="n">
        <x:v>14.96</x:v>
      </x:c>
      <x:c r="F717" t="n">
        <x:v>21.53</x:v>
      </x:c>
      <x:c r="G717"/>
      <x:c r="H717" t="n">
        <x:v>213.92</x:v>
      </x:c>
      <x:c r="I717" t="n">
        <x:v>16.51</x:v>
      </x:c>
      <x:c r="J717" t="str">
        <x:v>initial_screen_pending_pb_financial_review</x:v>
      </x:c>
      <x:c r="K717" t="str">
        <x:v>AkShare / Tencent all-A market snapshot</x:v>
      </x:c>
      <x:c r="L717" t="str">
        <x:v>ProxyError: primary market source unavailable; see source_id for full audit.</x:v>
      </x:c>
      <x:c r="M717" t="str">
        <x:v>0</x:v>
      </x:c>
      <x:c r="N717" t="str">
        <x:v>0fd6ad2d-3389-4e70-8974-eb85ee223eeb</x:v>
      </x:c>
      <x:c r="O717" t="str">
        <x:v>2026-09-04</x:v>
      </x:c>
    </x:row>
    <x:row r="718">
      <x:c r="A718" t="str">
        <x:v>688789</x:v>
      </x:c>
      <x:c r="B718" t="str">
        <x:v>宏华数科</x:v>
      </x:c>
      <x:c r="C718" t="str">
        <x:v>科创板</x:v>
      </x:c>
      <x:c r="D718" t="str">
        <x:v>待行业映射</x:v>
      </x:c>
      <x:c r="E718" t="n">
        <x:v>42.5</x:v>
      </x:c>
      <x:c r="F718" t="n">
        <x:v>19.7</x:v>
      </x:c>
      <x:c r="G718"/>
      <x:c r="H718" t="n">
        <x:v>76.61</x:v>
      </x:c>
      <x:c r="I718" t="n">
        <x:v>16.46</x:v>
      </x:c>
      <x:c r="J718" t="str">
        <x:v>initial_screen_pending_pb_financial_review</x:v>
      </x:c>
      <x:c r="K718" t="str">
        <x:v>AkShare / Tencent all-A market snapshot</x:v>
      </x:c>
      <x:c r="L718" t="str">
        <x:v>ProxyError: primary market source unavailable; see source_id for full audit.</x:v>
      </x:c>
      <x:c r="M718" t="str">
        <x:v>0</x:v>
      </x:c>
      <x:c r="N718" t="str">
        <x:v>0fd6ad2d-3389-4e70-8974-eb85ee223eeb</x:v>
      </x:c>
      <x:c r="O718" t="str">
        <x:v>2026-09-04</x:v>
      </x:c>
    </x:row>
    <x:row r="719">
      <x:c r="A719" t="str">
        <x:v>000878</x:v>
      </x:c>
      <x:c r="B719" t="str">
        <x:v>云南铜业</x:v>
      </x:c>
      <x:c r="C719" t="str">
        <x:v>主板</x:v>
      </x:c>
      <x:c r="D719" t="str">
        <x:v>待行业映射</x:v>
      </x:c>
      <x:c r="E719" t="n">
        <x:v>17.35</x:v>
      </x:c>
      <x:c r="F719" t="n">
        <x:v>24.34</x:v>
      </x:c>
      <x:c r="G719"/>
      <x:c r="H719" t="n">
        <x:v>420.77</x:v>
      </x:c>
      <x:c r="I719" t="n">
        <x:v>16.44</x:v>
      </x:c>
      <x:c r="J719" t="str">
        <x:v>initial_screen_pending_pb_financial_review</x:v>
      </x:c>
      <x:c r="K719" t="str">
        <x:v>AkShare / Tencent all-A market snapshot</x:v>
      </x:c>
      <x:c r="L719" t="str">
        <x:v>ProxyError: primary market source unavailable; see source_id for full audit.</x:v>
      </x:c>
      <x:c r="M719" t="str">
        <x:v>0</x:v>
      </x:c>
      <x:c r="N719" t="str">
        <x:v>0fd6ad2d-3389-4e70-8974-eb85ee223eeb</x:v>
      </x:c>
      <x:c r="O719" t="str">
        <x:v>2026-09-04</x:v>
      </x:c>
    </x:row>
    <x:row r="720">
      <x:c r="A720" t="str">
        <x:v>605020</x:v>
      </x:c>
      <x:c r="B720" t="str">
        <x:v>永和股份</x:v>
      </x:c>
      <x:c r="C720" t="str">
        <x:v>主板</x:v>
      </x:c>
      <x:c r="D720" t="str">
        <x:v>待行业映射</x:v>
      </x:c>
      <x:c r="E720" t="n">
        <x:v>32.96</x:v>
      </x:c>
      <x:c r="F720" t="n">
        <x:v>20.96</x:v>
      </x:c>
      <x:c r="G720"/>
      <x:c r="H720" t="n">
        <x:v>168.37</x:v>
      </x:c>
      <x:c r="I720" t="n">
        <x:v>16.4</x:v>
      </x:c>
      <x:c r="J720" t="str">
        <x:v>initial_screen_pending_pb_financial_review</x:v>
      </x:c>
      <x:c r="K720" t="str">
        <x:v>AkShare / Tencent all-A market snapshot</x:v>
      </x:c>
      <x:c r="L720" t="str">
        <x:v>ProxyError: primary market source unavailable; see source_id for full audit.</x:v>
      </x:c>
      <x:c r="M720" t="str">
        <x:v>0</x:v>
      </x:c>
      <x:c r="N720" t="str">
        <x:v>0fd6ad2d-3389-4e70-8974-eb85ee223eeb</x:v>
      </x:c>
      <x:c r="O720" t="str">
        <x:v>2026-09-04</x:v>
      </x:c>
    </x:row>
    <x:row r="721">
      <x:c r="A721" t="str">
        <x:v>600872</x:v>
      </x:c>
      <x:c r="B721" t="str">
        <x:v>中炬高新</x:v>
      </x:c>
      <x:c r="C721" t="str">
        <x:v>主板</x:v>
      </x:c>
      <x:c r="D721" t="str">
        <x:v>待行业映射</x:v>
      </x:c>
      <x:c r="E721" t="n">
        <x:v>18.51</x:v>
      </x:c>
      <x:c r="F721" t="n">
        <x:v>20.64</x:v>
      </x:c>
      <x:c r="G721"/>
      <x:c r="H721" t="n">
        <x:v>143.32</x:v>
      </x:c>
      <x:c r="I721" t="n">
        <x:v>16.35</x:v>
      </x:c>
      <x:c r="J721" t="str">
        <x:v>initial_screen_pending_pb_financial_review</x:v>
      </x:c>
      <x:c r="K721" t="str">
        <x:v>AkShare / Tencent all-A market snapshot</x:v>
      </x:c>
      <x:c r="L721" t="str">
        <x:v>ProxyError: primary market source unavailable; see source_id for full audit.</x:v>
      </x:c>
      <x:c r="M721" t="str">
        <x:v>0</x:v>
      </x:c>
      <x:c r="N721" t="str">
        <x:v>0fd6ad2d-3389-4e70-8974-eb85ee223eeb</x:v>
      </x:c>
      <x:c r="O721" t="str">
        <x:v>2026-09-04</x:v>
      </x:c>
    </x:row>
    <x:row r="722">
      <x:c r="A722" t="str">
        <x:v>600826</x:v>
      </x:c>
      <x:c r="B722" t="str">
        <x:v>兰生股份</x:v>
      </x:c>
      <x:c r="C722" t="str">
        <x:v>主板</x:v>
      </x:c>
      <x:c r="D722" t="str">
        <x:v>待行业映射</x:v>
      </x:c>
      <x:c r="E722" t="n">
        <x:v>7.71</x:v>
      </x:c>
      <x:c r="F722" t="n">
        <x:v>19.51</x:v>
      </x:c>
      <x:c r="G722"/>
      <x:c r="H722" t="n">
        <x:v>55.83</x:v>
      </x:c>
      <x:c r="I722" t="n">
        <x:v>16.23</x:v>
      </x:c>
      <x:c r="J722" t="str">
        <x:v>initial_screen_pending_pb_financial_review</x:v>
      </x:c>
      <x:c r="K722" t="str">
        <x:v>AkShare / Tencent all-A market snapshot</x:v>
      </x:c>
      <x:c r="L722" t="str">
        <x:v>ProxyError: primary market source unavailable; see source_id for full audit.</x:v>
      </x:c>
      <x:c r="M722" t="str">
        <x:v>0</x:v>
      </x:c>
      <x:c r="N722" t="str">
        <x:v>0fd6ad2d-3389-4e70-8974-eb85ee223eeb</x:v>
      </x:c>
      <x:c r="O722" t="str">
        <x:v>2026-09-04</x:v>
      </x:c>
    </x:row>
    <x:row r="723">
      <x:c r="A723" t="str">
        <x:v>002233</x:v>
      </x:c>
      <x:c r="B723" t="str">
        <x:v>塔牌集团</x:v>
      </x:c>
      <x:c r="C723" t="str">
        <x:v>主板</x:v>
      </x:c>
      <x:c r="D723" t="str">
        <x:v>待行业映射</x:v>
      </x:c>
      <x:c r="E723" t="n">
        <x:v>7.09</x:v>
      </x:c>
      <x:c r="F723" t="n">
        <x:v>19.91</x:v>
      </x:c>
      <x:c r="G723"/>
      <x:c r="H723" t="n">
        <x:v>83.25</x:v>
      </x:c>
      <x:c r="I723" t="n">
        <x:v>16.15</x:v>
      </x:c>
      <x:c r="J723" t="str">
        <x:v>initial_screen_pending_pb_financial_review</x:v>
      </x:c>
      <x:c r="K723" t="str">
        <x:v>AkShare / Tencent all-A market snapshot</x:v>
      </x:c>
      <x:c r="L723" t="str">
        <x:v>ProxyError: primary market source unavailable; see source_id for full audit.</x:v>
      </x:c>
      <x:c r="M723" t="str">
        <x:v>0</x:v>
      </x:c>
      <x:c r="N723" t="str">
        <x:v>0fd6ad2d-3389-4e70-8974-eb85ee223eeb</x:v>
      </x:c>
      <x:c r="O723" t="str">
        <x:v>2026-09-04</x:v>
      </x:c>
    </x:row>
    <x:row r="724">
      <x:c r="A724" t="str">
        <x:v>000700</x:v>
      </x:c>
      <x:c r="B724" t="str">
        <x:v>模塑科技</x:v>
      </x:c>
      <x:c r="C724" t="str">
        <x:v>主板</x:v>
      </x:c>
      <x:c r="D724" t="str">
        <x:v>待行业映射</x:v>
      </x:c>
      <x:c r="E724" t="n">
        <x:v>11.1</x:v>
      </x:c>
      <x:c r="F724" t="n">
        <x:v>20.19</x:v>
      </x:c>
      <x:c r="G724"/>
      <x:c r="H724" t="n">
        <x:v>101.9</x:v>
      </x:c>
      <x:c r="I724" t="n">
        <x:v>16.07</x:v>
      </x:c>
      <x:c r="J724" t="str">
        <x:v>initial_screen_pending_pb_financial_review</x:v>
      </x:c>
      <x:c r="K724" t="str">
        <x:v>AkShare / Tencent all-A market snapshot</x:v>
      </x:c>
      <x:c r="L724" t="str">
        <x:v>ProxyError: primary market source unavailable; see source_id for full audit.</x:v>
      </x:c>
      <x:c r="M724" t="str">
        <x:v>0</x:v>
      </x:c>
      <x:c r="N724" t="str">
        <x:v>0fd6ad2d-3389-4e70-8974-eb85ee223eeb</x:v>
      </x:c>
      <x:c r="O724" t="str">
        <x:v>2026-09-04</x:v>
      </x:c>
    </x:row>
    <x:row r="725">
      <x:c r="A725" t="str">
        <x:v>301175</x:v>
      </x:c>
      <x:c r="B725" t="str">
        <x:v>中科环保</x:v>
      </x:c>
      <x:c r="C725" t="str">
        <x:v>创业板</x:v>
      </x:c>
      <x:c r="D725" t="str">
        <x:v>待行业映射</x:v>
      </x:c>
      <x:c r="E725" t="n">
        <x:v>5.6</x:v>
      </x:c>
      <x:c r="F725" t="n">
        <x:v>19.95</x:v>
      </x:c>
      <x:c r="G725"/>
      <x:c r="H725" t="n">
        <x:v>82.43</x:v>
      </x:c>
      <x:c r="I725" t="n">
        <x:v>16.02</x:v>
      </x:c>
      <x:c r="J725" t="str">
        <x:v>initial_screen_pending_pb_financial_review</x:v>
      </x:c>
      <x:c r="K725" t="str">
        <x:v>AkShare / Tencent all-A market snapshot</x:v>
      </x:c>
      <x:c r="L725" t="str">
        <x:v>ProxyError: primary market source unavailable; see source_id for full audit.</x:v>
      </x:c>
      <x:c r="M725" t="str">
        <x:v>0</x:v>
      </x:c>
      <x:c r="N725" t="str">
        <x:v>0fd6ad2d-3389-4e70-8974-eb85ee223eeb</x:v>
      </x:c>
      <x:c r="O725" t="str">
        <x:v>2026-09-04</x:v>
      </x:c>
    </x:row>
    <x:row r="726">
      <x:c r="A726" t="str">
        <x:v>300685</x:v>
      </x:c>
      <x:c r="B726" t="str">
        <x:v>艾德生物</x:v>
      </x:c>
      <x:c r="C726" t="str">
        <x:v>创业板</x:v>
      </x:c>
      <x:c r="D726" t="str">
        <x:v>待行业映射</x:v>
      </x:c>
      <x:c r="E726" t="n">
        <x:v>17.13</x:v>
      </x:c>
      <x:c r="F726" t="n">
        <x:v>19.75</x:v>
      </x:c>
      <x:c r="G726"/>
      <x:c r="H726" t="n">
        <x:v>66.83</x:v>
      </x:c>
      <x:c r="I726" t="n">
        <x:v>15.99</x:v>
      </x:c>
      <x:c r="J726" t="str">
        <x:v>initial_screen_pending_pb_financial_review</x:v>
      </x:c>
      <x:c r="K726" t="str">
        <x:v>AkShare / Tencent all-A market snapshot</x:v>
      </x:c>
      <x:c r="L726" t="str">
        <x:v>ProxyError: primary market source unavailable; see source_id for full audit.</x:v>
      </x:c>
      <x:c r="M726" t="str">
        <x:v>0</x:v>
      </x:c>
      <x:c r="N726" t="str">
        <x:v>0fd6ad2d-3389-4e70-8974-eb85ee223eeb</x:v>
      </x:c>
      <x:c r="O726" t="str">
        <x:v>2026-09-04</x:v>
      </x:c>
    </x:row>
    <x:row r="727">
      <x:c r="A727" t="str">
        <x:v>002557</x:v>
      </x:c>
      <x:c r="B727" t="str">
        <x:v>洽洽食品</x:v>
      </x:c>
      <x:c r="C727" t="str">
        <x:v>主板</x:v>
      </x:c>
      <x:c r="D727" t="str">
        <x:v>待行业映射</x:v>
      </x:c>
      <x:c r="E727" t="n">
        <x:v>18.95</x:v>
      </x:c>
      <x:c r="F727" t="n">
        <x:v>20.15</x:v>
      </x:c>
      <x:c r="G727"/>
      <x:c r="H727" t="n">
        <x:v>95.86</x:v>
      </x:c>
      <x:c r="I727" t="n">
        <x:v>15.97</x:v>
      </x:c>
      <x:c r="J727" t="str">
        <x:v>initial_screen_pending_pb_financial_review</x:v>
      </x:c>
      <x:c r="K727" t="str">
        <x:v>AkShare / Tencent all-A market snapshot</x:v>
      </x:c>
      <x:c r="L727" t="str">
        <x:v>ProxyError: primary market source unavailable; see source_id for full audit.</x:v>
      </x:c>
      <x:c r="M727" t="str">
        <x:v>0</x:v>
      </x:c>
      <x:c r="N727" t="str">
        <x:v>0fd6ad2d-3389-4e70-8974-eb85ee223eeb</x:v>
      </x:c>
      <x:c r="O727" t="str">
        <x:v>2026-09-04</x:v>
      </x:c>
    </x:row>
    <x:row r="728">
      <x:c r="A728" t="str">
        <x:v>688236</x:v>
      </x:c>
      <x:c r="B728" t="str">
        <x:v>春立医疗</x:v>
      </x:c>
      <x:c r="C728" t="str">
        <x:v>科创板</x:v>
      </x:c>
      <x:c r="D728" t="str">
        <x:v>待行业映射</x:v>
      </x:c>
      <x:c r="E728" t="n">
        <x:v>14.2</x:v>
      </x:c>
      <x:c r="F728" t="n">
        <x:v>19.59</x:v>
      </x:c>
      <x:c r="G728"/>
      <x:c r="H728" t="n">
        <x:v>54.47</x:v>
      </x:c>
      <x:c r="I728" t="n">
        <x:v>15.97</x:v>
      </x:c>
      <x:c r="J728" t="str">
        <x:v>initial_screen_pending_pb_financial_review</x:v>
      </x:c>
      <x:c r="K728" t="str">
        <x:v>AkShare / Tencent all-A market snapshot</x:v>
      </x:c>
      <x:c r="L728" t="str">
        <x:v>ProxyError: primary market source unavailable; see source_id for full audit.</x:v>
      </x:c>
      <x:c r="M728" t="str">
        <x:v>0</x:v>
      </x:c>
      <x:c r="N728" t="str">
        <x:v>0fd6ad2d-3389-4e70-8974-eb85ee223eeb</x:v>
      </x:c>
      <x:c r="O728" t="str">
        <x:v>2026-09-04</x:v>
      </x:c>
    </x:row>
    <x:row r="729">
      <x:c r="A729" t="str">
        <x:v>600163</x:v>
      </x:c>
      <x:c r="B729" t="str">
        <x:v>中闽能源</x:v>
      </x:c>
      <x:c r="C729" t="str">
        <x:v>主板</x:v>
      </x:c>
      <x:c r="D729" t="str">
        <x:v>待行业映射</x:v>
      </x:c>
      <x:c r="E729" t="n">
        <x:v>5.26</x:v>
      </x:c>
      <x:c r="F729" t="n">
        <x:v>20.25</x:v>
      </x:c>
      <x:c r="G729"/>
      <x:c r="H729" t="n">
        <x:v>100.1</x:v>
      </x:c>
      <x:c r="I729" t="n">
        <x:v>15.85</x:v>
      </x:c>
      <x:c r="J729" t="str">
        <x:v>initial_screen_pending_pb_financial_review</x:v>
      </x:c>
      <x:c r="K729" t="str">
        <x:v>AkShare / Tencent all-A market snapshot</x:v>
      </x:c>
      <x:c r="L729" t="str">
        <x:v>ProxyError: primary market source unavailable; see source_id for full audit.</x:v>
      </x:c>
      <x:c r="M729" t="str">
        <x:v>0</x:v>
      </x:c>
      <x:c r="N729" t="str">
        <x:v>0fd6ad2d-3389-4e70-8974-eb85ee223eeb</x:v>
      </x:c>
      <x:c r="O729" t="str">
        <x:v>2026-09-04</x:v>
      </x:c>
    </x:row>
    <x:row r="730">
      <x:c r="A730" t="str">
        <x:v>300144</x:v>
      </x:c>
      <x:c r="B730" t="str">
        <x:v>宋城演艺</x:v>
      </x:c>
      <x:c r="C730" t="str">
        <x:v>创业板</x:v>
      </x:c>
      <x:c r="D730" t="str">
        <x:v>待行业映射</x:v>
      </x:c>
      <x:c r="E730" t="n">
        <x:v>6.13</x:v>
      </x:c>
      <x:c r="F730" t="n">
        <x:v>21.06</x:v>
      </x:c>
      <x:c r="G730"/>
      <x:c r="H730" t="n">
        <x:v>159.92</x:v>
      </x:c>
      <x:c r="I730" t="n">
        <x:v>15.84</x:v>
      </x:c>
      <x:c r="J730" t="str">
        <x:v>initial_screen_pending_pb_financial_review</x:v>
      </x:c>
      <x:c r="K730" t="str">
        <x:v>AkShare / Tencent all-A market snapshot</x:v>
      </x:c>
      <x:c r="L730" t="str">
        <x:v>ProxyError: primary market source unavailable; see source_id for full audit.</x:v>
      </x:c>
      <x:c r="M730" t="str">
        <x:v>0</x:v>
      </x:c>
      <x:c r="N730" t="str">
        <x:v>0fd6ad2d-3389-4e70-8974-eb85ee223eeb</x:v>
      </x:c>
      <x:c r="O730" t="str">
        <x:v>2026-09-04</x:v>
      </x:c>
    </x:row>
    <x:row r="731">
      <x:c r="A731" t="str">
        <x:v>600170</x:v>
      </x:c>
      <x:c r="B731" t="str">
        <x:v>上海建工</x:v>
      </x:c>
      <x:c r="C731" t="str">
        <x:v>主板</x:v>
      </x:c>
      <x:c r="D731" t="str">
        <x:v>待行业映射</x:v>
      </x:c>
      <x:c r="E731" t="n">
        <x:v>2.28</x:v>
      </x:c>
      <x:c r="F731" t="n">
        <x:v>21.66</x:v>
      </x:c>
      <x:c r="G731"/>
      <x:c r="H731" t="n">
        <x:v>202.6</x:v>
      </x:c>
      <x:c r="I731" t="n">
        <x:v>15.78</x:v>
      </x:c>
      <x:c r="J731" t="str">
        <x:v>initial_screen_pending_pb_financial_review</x:v>
      </x:c>
      <x:c r="K731" t="str">
        <x:v>AkShare / Tencent all-A market snapshot</x:v>
      </x:c>
      <x:c r="L731" t="str">
        <x:v>ProxyError: primary market source unavailable; see source_id for full audit.</x:v>
      </x:c>
      <x:c r="M731" t="str">
        <x:v>0</x:v>
      </x:c>
      <x:c r="N731" t="str">
        <x:v>0fd6ad2d-3389-4e70-8974-eb85ee223eeb</x:v>
      </x:c>
      <x:c r="O731" t="str">
        <x:v>2026-09-04</x:v>
      </x:c>
    </x:row>
    <x:row r="732">
      <x:c r="A732" t="str">
        <x:v>002941</x:v>
      </x:c>
      <x:c r="B732" t="str">
        <x:v>新疆交建</x:v>
      </x:c>
      <x:c r="C732" t="str">
        <x:v>主板</x:v>
      </x:c>
      <x:c r="D732" t="str">
        <x:v>待行业映射</x:v>
      </x:c>
      <x:c r="E732" t="n">
        <x:v>10.98</x:v>
      </x:c>
      <x:c r="F732" t="n">
        <x:v>20.04</x:v>
      </x:c>
      <x:c r="G732"/>
      <x:c r="H732" t="n">
        <x:v>80.13</x:v>
      </x:c>
      <x:c r="I732" t="n">
        <x:v>15.7</x:v>
      </x:c>
      <x:c r="J732" t="str">
        <x:v>initial_screen_pending_pb_financial_review</x:v>
      </x:c>
      <x:c r="K732" t="str">
        <x:v>AkShare / Tencent all-A market snapshot</x:v>
      </x:c>
      <x:c r="L732" t="str">
        <x:v>ProxyError: primary market source unavailable; see source_id for full audit.</x:v>
      </x:c>
      <x:c r="M732" t="str">
        <x:v>0</x:v>
      </x:c>
      <x:c r="N732" t="str">
        <x:v>0fd6ad2d-3389-4e70-8974-eb85ee223eeb</x:v>
      </x:c>
      <x:c r="O732" t="str">
        <x:v>2026-09-04</x:v>
      </x:c>
    </x:row>
    <x:row r="733">
      <x:c r="A733" t="str">
        <x:v>600284</x:v>
      </x:c>
      <x:c r="B733" t="str">
        <x:v>浦东建设</x:v>
      </x:c>
      <x:c r="C733" t="str">
        <x:v>主板</x:v>
      </x:c>
      <x:c r="D733" t="str">
        <x:v>待行业映射</x:v>
      </x:c>
      <x:c r="E733" t="n">
        <x:v>5.22</x:v>
      </x:c>
      <x:c r="F733" t="n">
        <x:v>19.66</x:v>
      </x:c>
      <x:c r="G733"/>
      <x:c r="H733" t="n">
        <x:v>50.65</x:v>
      </x:c>
      <x:c r="I733" t="n">
        <x:v>15.66</x:v>
      </x:c>
      <x:c r="J733" t="str">
        <x:v>initial_screen_pending_pb_financial_review</x:v>
      </x:c>
      <x:c r="K733" t="str">
        <x:v>AkShare / Tencent all-A market snapshot</x:v>
      </x:c>
      <x:c r="L733" t="str">
        <x:v>ProxyError: primary market source unavailable; see source_id for full audit.</x:v>
      </x:c>
      <x:c r="M733" t="str">
        <x:v>0</x:v>
      </x:c>
      <x:c r="N733" t="str">
        <x:v>0fd6ad2d-3389-4e70-8974-eb85ee223eeb</x:v>
      </x:c>
      <x:c r="O733" t="str">
        <x:v>2026-09-04</x:v>
      </x:c>
    </x:row>
    <x:row r="734">
      <x:c r="A734" t="str">
        <x:v>920119</x:v>
      </x:c>
      <x:c r="B734" t="str">
        <x:v>美德乐</x:v>
      </x:c>
      <x:c r="C734" t="str">
        <x:v>北交所</x:v>
      </x:c>
      <x:c r="D734" t="str">
        <x:v>待行业映射</x:v>
      </x:c>
      <x:c r="E734" t="n">
        <x:v>55.37</x:v>
      </x:c>
      <x:c r="F734" t="n">
        <x:v>19.75</x:v>
      </x:c>
      <x:c r="G734"/>
      <x:c r="H734" t="n">
        <x:v>55.91</x:v>
      </x:c>
      <x:c r="I734" t="n">
        <x:v>15.61</x:v>
      </x:c>
      <x:c r="J734" t="str">
        <x:v>initial_screen_pending_pb_financial_review</x:v>
      </x:c>
      <x:c r="K734" t="str">
        <x:v>AkShare / Tencent all-A market snapshot</x:v>
      </x:c>
      <x:c r="L734" t="str">
        <x:v>ProxyError: primary market source unavailable; see source_id for full audit.</x:v>
      </x:c>
      <x:c r="M734" t="str">
        <x:v>0</x:v>
      </x:c>
      <x:c r="N734" t="str">
        <x:v>0fd6ad2d-3389-4e70-8974-eb85ee223eeb</x:v>
      </x:c>
      <x:c r="O734" t="str">
        <x:v>2026-09-04</x:v>
      </x:c>
    </x:row>
    <x:row r="735">
      <x:c r="A735" t="str">
        <x:v>605007</x:v>
      </x:c>
      <x:c r="B735" t="str">
        <x:v>五洲特纸</x:v>
      </x:c>
      <x:c r="C735" t="str">
        <x:v>主板</x:v>
      </x:c>
      <x:c r="D735" t="str">
        <x:v>待行业映射</x:v>
      </x:c>
      <x:c r="E735" t="n">
        <x:v>14.81</x:v>
      </x:c>
      <x:c r="F735" t="n">
        <x:v>19.96</x:v>
      </x:c>
      <x:c r="G735"/>
      <x:c r="H735" t="n">
        <x:v>70.46</x:v>
      </x:c>
      <x:c r="I735" t="n">
        <x:v>15.57</x:v>
      </x:c>
      <x:c r="J735" t="str">
        <x:v>initial_screen_pending_pb_financial_review</x:v>
      </x:c>
      <x:c r="K735" t="str">
        <x:v>AkShare / Tencent all-A market snapshot</x:v>
      </x:c>
      <x:c r="L735" t="str">
        <x:v>ProxyError: primary market source unavailable; see source_id for full audit.</x:v>
      </x:c>
      <x:c r="M735" t="str">
        <x:v>0</x:v>
      </x:c>
      <x:c r="N735" t="str">
        <x:v>0fd6ad2d-3389-4e70-8974-eb85ee223eeb</x:v>
      </x:c>
      <x:c r="O735" t="str">
        <x:v>2026-09-04</x:v>
      </x:c>
    </x:row>
    <x:row r="736">
      <x:c r="A736" t="str">
        <x:v>300012</x:v>
      </x:c>
      <x:c r="B736" t="str">
        <x:v>华测检测</x:v>
      </x:c>
      <x:c r="C736" t="str">
        <x:v>创业板</x:v>
      </x:c>
      <x:c r="D736" t="str">
        <x:v>待行业映射</x:v>
      </x:c>
      <x:c r="E736" t="n">
        <x:v>14.79</x:v>
      </x:c>
      <x:c r="F736" t="n">
        <x:v>22.37</x:v>
      </x:c>
      <x:c r="G736"/>
      <x:c r="H736" t="n">
        <x:v>248.89</x:v>
      </x:c>
      <x:c r="I736" t="n">
        <x:v>15.55</x:v>
      </x:c>
      <x:c r="J736" t="str">
        <x:v>initial_screen_pending_pb_financial_review</x:v>
      </x:c>
      <x:c r="K736" t="str">
        <x:v>AkShare / Tencent all-A market snapshot</x:v>
      </x:c>
      <x:c r="L736" t="str">
        <x:v>ProxyError: primary market source unavailable; see source_id for full audit.</x:v>
      </x:c>
      <x:c r="M736" t="str">
        <x:v>0</x:v>
      </x:c>
      <x:c r="N736" t="str">
        <x:v>0fd6ad2d-3389-4e70-8974-eb85ee223eeb</x:v>
      </x:c>
      <x:c r="O736" t="str">
        <x:v>2026-09-04</x:v>
      </x:c>
    </x:row>
    <x:row r="737">
      <x:c r="A737" t="str">
        <x:v>601886</x:v>
      </x:c>
      <x:c r="B737" t="str">
        <x:v>江河集团</x:v>
      </x:c>
      <x:c r="C737" t="str">
        <x:v>主板</x:v>
      </x:c>
      <x:c r="D737" t="str">
        <x:v>待行业映射</x:v>
      </x:c>
      <x:c r="E737" t="n">
        <x:v>13.46</x:v>
      </x:c>
      <x:c r="F737" t="n">
        <x:v>21.1</x:v>
      </x:c>
      <x:c r="G737"/>
      <x:c r="H737" t="n">
        <x:v>152.5</x:v>
      </x:c>
      <x:c r="I737" t="n">
        <x:v>15.48</x:v>
      </x:c>
      <x:c r="J737" t="str">
        <x:v>initial_screen_pending_pb_financial_review</x:v>
      </x:c>
      <x:c r="K737" t="str">
        <x:v>AkShare / Tencent all-A market snapshot</x:v>
      </x:c>
      <x:c r="L737" t="str">
        <x:v>ProxyError: primary market source unavailable; see source_id for full audit.</x:v>
      </x:c>
      <x:c r="M737" t="str">
        <x:v>0</x:v>
      </x:c>
      <x:c r="N737" t="str">
        <x:v>0fd6ad2d-3389-4e70-8974-eb85ee223eeb</x:v>
      </x:c>
      <x:c r="O737" t="str">
        <x:v>2026-09-04</x:v>
      </x:c>
    </x:row>
    <x:row r="738">
      <x:c r="A738" t="str">
        <x:v>002738</x:v>
      </x:c>
      <x:c r="B738" t="str">
        <x:v>中矿资源</x:v>
      </x:c>
      <x:c r="C738" t="str">
        <x:v>主板</x:v>
      </x:c>
      <x:c r="D738" t="str">
        <x:v>待行业映射</x:v>
      </x:c>
      <x:c r="E738" t="n">
        <x:v>48.39</x:v>
      </x:c>
      <x:c r="F738" t="n">
        <x:v>23.85</x:v>
      </x:c>
      <x:c r="G738"/>
      <x:c r="H738" t="n">
        <x:v>352.95</x:v>
      </x:c>
      <x:c r="I738" t="n">
        <x:v>15.34</x:v>
      </x:c>
      <x:c r="J738" t="str">
        <x:v>initial_screen_pending_pb_financial_review</x:v>
      </x:c>
      <x:c r="K738" t="str">
        <x:v>AkShare / Tencent all-A market snapshot</x:v>
      </x:c>
      <x:c r="L738" t="str">
        <x:v>ProxyError: primary market source unavailable; see source_id for full audit.</x:v>
      </x:c>
      <x:c r="M738" t="str">
        <x:v>0</x:v>
      </x:c>
      <x:c r="N738" t="str">
        <x:v>0fd6ad2d-3389-4e70-8974-eb85ee223eeb</x:v>
      </x:c>
      <x:c r="O738" t="str">
        <x:v>2026-09-04</x:v>
      </x:c>
    </x:row>
    <x:row r="739">
      <x:c r="A739" t="str">
        <x:v>601089</x:v>
      </x:c>
      <x:c r="B739" t="str">
        <x:v>福元医药</x:v>
      </x:c>
      <x:c r="C739" t="str">
        <x:v>主板</x:v>
      </x:c>
      <x:c r="D739" t="str">
        <x:v>待行业映射</x:v>
      </x:c>
      <x:c r="E739" t="n">
        <x:v>16.28</x:v>
      </x:c>
      <x:c r="F739" t="n">
        <x:v>20.16</x:v>
      </x:c>
      <x:c r="G739"/>
      <x:c r="H739" t="n">
        <x:v>78.14</x:v>
      </x:c>
      <x:c r="I739" t="n">
        <x:v>15.32</x:v>
      </x:c>
      <x:c r="J739" t="str">
        <x:v>initial_screen_pending_pb_financial_review</x:v>
      </x:c>
      <x:c r="K739" t="str">
        <x:v>AkShare / Tencent all-A market snapshot</x:v>
      </x:c>
      <x:c r="L739" t="str">
        <x:v>ProxyError: primary market source unavailable; see source_id for full audit.</x:v>
      </x:c>
      <x:c r="M739" t="str">
        <x:v>0</x:v>
      </x:c>
      <x:c r="N739" t="str">
        <x:v>0fd6ad2d-3389-4e70-8974-eb85ee223eeb</x:v>
      </x:c>
      <x:c r="O739" t="str">
        <x:v>2026-09-04</x:v>
      </x:c>
    </x:row>
    <x:row r="740">
      <x:c r="A740" t="str">
        <x:v>003013</x:v>
      </x:c>
      <x:c r="B740" t="str">
        <x:v>地铁设计</x:v>
      </x:c>
      <x:c r="C740" t="str">
        <x:v>主板</x:v>
      </x:c>
      <x:c r="D740" t="str">
        <x:v>待行业映射</x:v>
      </x:c>
      <x:c r="E740" t="n">
        <x:v>16.33</x:v>
      </x:c>
      <x:c r="F740" t="n">
        <x:v>20.14</x:v>
      </x:c>
      <x:c r="G740"/>
      <x:c r="H740" t="n">
        <x:v>74.94</x:v>
      </x:c>
      <x:c r="I740" t="n">
        <x:v>15.26</x:v>
      </x:c>
      <x:c r="J740" t="str">
        <x:v>initial_screen_pending_pb_financial_review</x:v>
      </x:c>
      <x:c r="K740" t="str">
        <x:v>AkShare / Tencent all-A market snapshot</x:v>
      </x:c>
      <x:c r="L740" t="str">
        <x:v>ProxyError: primary market source unavailable; see source_id for full audit.</x:v>
      </x:c>
      <x:c r="M740" t="str">
        <x:v>0</x:v>
      </x:c>
      <x:c r="N740" t="str">
        <x:v>0fd6ad2d-3389-4e70-8974-eb85ee223eeb</x:v>
      </x:c>
      <x:c r="O740" t="str">
        <x:v>2026-09-04</x:v>
      </x:c>
    </x:row>
    <x:row r="741">
      <x:c r="A741" t="str">
        <x:v>002003</x:v>
      </x:c>
      <x:c r="B741" t="str">
        <x:v>伟星股份</x:v>
      </x:c>
      <x:c r="C741" t="str">
        <x:v>主板</x:v>
      </x:c>
      <x:c r="D741" t="str">
        <x:v>待行业映射</x:v>
      </x:c>
      <x:c r="E741" t="n">
        <x:v>12.23</x:v>
      </x:c>
      <x:c r="F741" t="n">
        <x:v>21.12</x:v>
      </x:c>
      <x:c r="G741"/>
      <x:c r="H741" t="n">
        <x:v>145.4</x:v>
      </x:c>
      <x:c r="I741" t="n">
        <x:v>15.18</x:v>
      </x:c>
      <x:c r="J741" t="str">
        <x:v>initial_screen_pending_pb_financial_review</x:v>
      </x:c>
      <x:c r="K741" t="str">
        <x:v>AkShare / Tencent all-A market snapshot</x:v>
      </x:c>
      <x:c r="L741" t="str">
        <x:v>ProxyError: primary market source unavailable; see source_id for full audit.</x:v>
      </x:c>
      <x:c r="M741" t="str">
        <x:v>0</x:v>
      </x:c>
      <x:c r="N741" t="str">
        <x:v>0fd6ad2d-3389-4e70-8974-eb85ee223eeb</x:v>
      </x:c>
      <x:c r="O741" t="str">
        <x:v>2026-09-04</x:v>
      </x:c>
    </x:row>
    <x:row r="742">
      <x:c r="A742" t="str">
        <x:v>002351</x:v>
      </x:c>
      <x:c r="B742" t="str">
        <x:v>漫步者</x:v>
      </x:c>
      <x:c r="C742" t="str">
        <x:v>主板</x:v>
      </x:c>
      <x:c r="D742" t="str">
        <x:v>待行业映射</x:v>
      </x:c>
      <x:c r="E742" t="n">
        <x:v>10.14</x:v>
      </x:c>
      <x:c r="F742" t="n">
        <x:v>20.39</x:v>
      </x:c>
      <x:c r="G742"/>
      <x:c r="H742" t="n">
        <x:v>90.16</x:v>
      </x:c>
      <x:c r="I742" t="n">
        <x:v>15.14</x:v>
      </x:c>
      <x:c r="J742" t="str">
        <x:v>initial_screen_pending_pb_financial_review</x:v>
      </x:c>
      <x:c r="K742" t="str">
        <x:v>AkShare / Tencent all-A market snapshot</x:v>
      </x:c>
      <x:c r="L742" t="str">
        <x:v>ProxyError: primary market source unavailable; see source_id for full audit.</x:v>
      </x:c>
      <x:c r="M742" t="str">
        <x:v>0</x:v>
      </x:c>
      <x:c r="N742" t="str">
        <x:v>0fd6ad2d-3389-4e70-8974-eb85ee223eeb</x:v>
      </x:c>
      <x:c r="O742" t="str">
        <x:v>2026-09-04</x:v>
      </x:c>
    </x:row>
    <x:row r="743">
      <x:c r="A743" t="str">
        <x:v>002299</x:v>
      </x:c>
      <x:c r="B743" t="str">
        <x:v>圣农发展</x:v>
      </x:c>
      <x:c r="C743" t="str">
        <x:v>主板</x:v>
      </x:c>
      <x:c r="D743" t="str">
        <x:v>待行业映射</x:v>
      </x:c>
      <x:c r="E743" t="n">
        <x:v>17.27</x:v>
      </x:c>
      <x:c r="F743" t="n">
        <x:v>22.07</x:v>
      </x:c>
      <x:c r="G743"/>
      <x:c r="H743" t="n">
        <x:v>214.63</x:v>
      </x:c>
      <x:c r="I743" t="n">
        <x:v>15.13</x:v>
      </x:c>
      <x:c r="J743" t="str">
        <x:v>initial_screen_pending_pb_financial_review</x:v>
      </x:c>
      <x:c r="K743" t="str">
        <x:v>AkShare / Tencent all-A market snapshot</x:v>
      </x:c>
      <x:c r="L743" t="str">
        <x:v>ProxyError: primary market source unavailable; see source_id for full audit.</x:v>
      </x:c>
      <x:c r="M743" t="str">
        <x:v>0</x:v>
      </x:c>
      <x:c r="N743" t="str">
        <x:v>0fd6ad2d-3389-4e70-8974-eb85ee223eeb</x:v>
      </x:c>
      <x:c r="O743" t="str">
        <x:v>2026-09-04</x:v>
      </x:c>
    </x:row>
    <x:row r="744">
      <x:c r="A744" t="str">
        <x:v>001233</x:v>
      </x:c>
      <x:c r="B744" t="str">
        <x:v>海安集团</x:v>
      </x:c>
      <x:c r="C744" t="str">
        <x:v>主板</x:v>
      </x:c>
      <x:c r="D744" t="str">
        <x:v>待行业映射</x:v>
      </x:c>
      <x:c r="E744" t="n">
        <x:v>44</x:v>
      </x:c>
      <x:c r="F744" t="n">
        <x:v>20.33</x:v>
      </x:c>
      <x:c r="G744"/>
      <x:c r="H744" t="n">
        <x:v>81.83</x:v>
      </x:c>
      <x:c r="I744" t="n">
        <x:v>15.01</x:v>
      </x:c>
      <x:c r="J744" t="str">
        <x:v>initial_screen_pending_pb_financial_review</x:v>
      </x:c>
      <x:c r="K744" t="str">
        <x:v>AkShare / Tencent all-A market snapshot</x:v>
      </x:c>
      <x:c r="L744" t="str">
        <x:v>ProxyError: primary market source unavailable; see source_id for full audit.</x:v>
      </x:c>
      <x:c r="M744" t="str">
        <x:v>0</x:v>
      </x:c>
      <x:c r="N744" t="str">
        <x:v>0fd6ad2d-3389-4e70-8974-eb85ee223eeb</x:v>
      </x:c>
      <x:c r="O744" t="str">
        <x:v>2026-09-04</x:v>
      </x:c>
    </x:row>
    <x:row r="745">
      <x:c r="A745" t="str">
        <x:v>601177</x:v>
      </x:c>
      <x:c r="B745" t="str">
        <x:v>杭齿前进</x:v>
      </x:c>
      <x:c r="C745" t="str">
        <x:v>主板</x:v>
      </x:c>
      <x:c r="D745" t="str">
        <x:v>待行业映射</x:v>
      </x:c>
      <x:c r="E745" t="n">
        <x:v>13.98</x:v>
      </x:c>
      <x:c r="F745" t="n">
        <x:v>20.01</x:v>
      </x:c>
      <x:c r="G745"/>
      <x:c r="H745" t="n">
        <x:v>57</x:v>
      </x:c>
      <x:c r="I745" t="n">
        <x:v>14.97</x:v>
      </x:c>
      <x:c r="J745" t="str">
        <x:v>initial_screen_pending_pb_financial_review</x:v>
      </x:c>
      <x:c r="K745" t="str">
        <x:v>AkShare / Tencent all-A market snapshot</x:v>
      </x:c>
      <x:c r="L745" t="str">
        <x:v>ProxyError: primary market source unavailable; see source_id for full audit.</x:v>
      </x:c>
      <x:c r="M745" t="str">
        <x:v>0</x:v>
      </x:c>
      <x:c r="N745" t="str">
        <x:v>0fd6ad2d-3389-4e70-8974-eb85ee223eeb</x:v>
      </x:c>
      <x:c r="O745" t="str">
        <x:v>2026-09-04</x:v>
      </x:c>
    </x:row>
    <x:row r="746">
      <x:c r="A746" t="str">
        <x:v>002033</x:v>
      </x:c>
      <x:c r="B746" t="str">
        <x:v>丽江股份</x:v>
      </x:c>
      <x:c r="C746" t="str">
        <x:v>主板</x:v>
      </x:c>
      <x:c r="D746" t="str">
        <x:v>待行业映射</x:v>
      </x:c>
      <x:c r="E746" t="n">
        <x:v>9.14</x:v>
      </x:c>
      <x:c r="F746" t="n">
        <x:v>19.95</x:v>
      </x:c>
      <x:c r="G746"/>
      <x:c r="H746" t="n">
        <x:v>50.22</x:v>
      </x:c>
      <x:c r="I746" t="n">
        <x:v>14.89</x:v>
      </x:c>
      <x:c r="J746" t="str">
        <x:v>initial_screen_pending_pb_financial_review</x:v>
      </x:c>
      <x:c r="K746" t="str">
        <x:v>AkShare / Tencent all-A market snapshot</x:v>
      </x:c>
      <x:c r="L746" t="str">
        <x:v>ProxyError: primary market source unavailable; see source_id for full audit.</x:v>
      </x:c>
      <x:c r="M746" t="str">
        <x:v>0</x:v>
      </x:c>
      <x:c r="N746" t="str">
        <x:v>0fd6ad2d-3389-4e70-8974-eb85ee223eeb</x:v>
      </x:c>
      <x:c r="O746" t="str">
        <x:v>2026-09-04</x:v>
      </x:c>
    </x:row>
    <x:row r="747">
      <x:c r="A747" t="str">
        <x:v>002768</x:v>
      </x:c>
      <x:c r="B747" t="str">
        <x:v>国恩股份</x:v>
      </x:c>
      <x:c r="C747" t="str">
        <x:v>主板</x:v>
      </x:c>
      <x:c r="D747" t="str">
        <x:v>待行业映射</x:v>
      </x:c>
      <x:c r="E747" t="n">
        <x:v>60.17</x:v>
      </x:c>
      <x:c r="F747" t="n">
        <x:v>22.84</x:v>
      </x:c>
      <x:c r="G747"/>
      <x:c r="H747" t="n">
        <x:v>262.7</x:v>
      </x:c>
      <x:c r="I747" t="n">
        <x:v>14.81</x:v>
      </x:c>
      <x:c r="J747" t="str">
        <x:v>initial_screen_pending_pb_financial_review</x:v>
      </x:c>
      <x:c r="K747" t="str">
        <x:v>AkShare / Tencent all-A market snapshot</x:v>
      </x:c>
      <x:c r="L747" t="str">
        <x:v>ProxyError: primary market source unavailable; see source_id for full audit.</x:v>
      </x:c>
      <x:c r="M747" t="str">
        <x:v>0</x:v>
      </x:c>
      <x:c r="N747" t="str">
        <x:v>0fd6ad2d-3389-4e70-8974-eb85ee223eeb</x:v>
      </x:c>
      <x:c r="O747" t="str">
        <x:v>2026-09-04</x:v>
      </x:c>
    </x:row>
    <x:row r="748">
      <x:c r="A748" t="str">
        <x:v>002101</x:v>
      </x:c>
      <x:c r="B748" t="str">
        <x:v>广东鸿图</x:v>
      </x:c>
      <x:c r="C748" t="str">
        <x:v>主板</x:v>
      </x:c>
      <x:c r="D748" t="str">
        <x:v>待行业映射</x:v>
      </x:c>
      <x:c r="E748" t="n">
        <x:v>8.73</x:v>
      </x:c>
      <x:c r="F748" t="n">
        <x:v>20.09</x:v>
      </x:c>
      <x:c r="G748"/>
      <x:c r="H748" t="n">
        <x:v>57.86</x:v>
      </x:c>
      <x:c r="I748" t="n">
        <x:v>14.79</x:v>
      </x:c>
      <x:c r="J748" t="str">
        <x:v>initial_screen_pending_pb_financial_review</x:v>
      </x:c>
      <x:c r="K748" t="str">
        <x:v>AkShare / Tencent all-A market snapshot</x:v>
      </x:c>
      <x:c r="L748" t="str">
        <x:v>ProxyError: primary market source unavailable; see source_id for full audit.</x:v>
      </x:c>
      <x:c r="M748" t="str">
        <x:v>0</x:v>
      </x:c>
      <x:c r="N748" t="str">
        <x:v>0fd6ad2d-3389-4e70-8974-eb85ee223eeb</x:v>
      </x:c>
      <x:c r="O748" t="str">
        <x:v>2026-09-04</x:v>
      </x:c>
    </x:row>
    <x:row r="749">
      <x:c r="A749" t="str">
        <x:v>600563</x:v>
      </x:c>
      <x:c r="B749" t="str">
        <x:v>法拉电子</x:v>
      </x:c>
      <x:c r="C749" t="str">
        <x:v>主板</x:v>
      </x:c>
      <x:c r="D749" t="str">
        <x:v>待行业映射</x:v>
      </x:c>
      <x:c r="E749" t="n">
        <x:v>123.48</x:v>
      </x:c>
      <x:c r="F749" t="n">
        <x:v>23.06</x:v>
      </x:c>
      <x:c r="G749"/>
      <x:c r="H749" t="n">
        <x:v>277.83</x:v>
      </x:c>
      <x:c r="I749" t="n">
        <x:v>14.77</x:v>
      </x:c>
      <x:c r="J749" t="str">
        <x:v>initial_screen_pending_pb_financial_review</x:v>
      </x:c>
      <x:c r="K749" t="str">
        <x:v>AkShare / Tencent all-A market snapshot</x:v>
      </x:c>
      <x:c r="L749" t="str">
        <x:v>ProxyError: primary market source unavailable; see source_id for full audit.</x:v>
      </x:c>
      <x:c r="M749" t="str">
        <x:v>0</x:v>
      </x:c>
      <x:c r="N749" t="str">
        <x:v>0fd6ad2d-3389-4e70-8974-eb85ee223eeb</x:v>
      </x:c>
      <x:c r="O749" t="str">
        <x:v>2026-09-04</x:v>
      </x:c>
    </x:row>
    <x:row r="750">
      <x:c r="A750" t="str">
        <x:v>600420</x:v>
      </x:c>
      <x:c r="B750" t="str">
        <x:v>国药现代</x:v>
      </x:c>
      <x:c r="C750" t="str">
        <x:v>主板</x:v>
      </x:c>
      <x:c r="D750" t="str">
        <x:v>待行业映射</x:v>
      </x:c>
      <x:c r="E750" t="n">
        <x:v>8.49</x:v>
      </x:c>
      <x:c r="F750" t="n">
        <x:v>20.89</x:v>
      </x:c>
      <x:c r="G750"/>
      <x:c r="H750" t="n">
        <x:v>113.87</x:v>
      </x:c>
      <x:c r="I750" t="n">
        <x:v>14.67</x:v>
      </x:c>
      <x:c r="J750" t="str">
        <x:v>initial_screen_pending_pb_financial_review</x:v>
      </x:c>
      <x:c r="K750" t="str">
        <x:v>AkShare / Tencent all-A market snapshot</x:v>
      </x:c>
      <x:c r="L750" t="str">
        <x:v>ProxyError: primary market source unavailable; see source_id for full audit.</x:v>
      </x:c>
      <x:c r="M750" t="str">
        <x:v>0</x:v>
      </x:c>
      <x:c r="N750" t="str">
        <x:v>0fd6ad2d-3389-4e70-8974-eb85ee223eeb</x:v>
      </x:c>
      <x:c r="O750" t="str">
        <x:v>2026-09-04</x:v>
      </x:c>
    </x:row>
    <x:row r="751">
      <x:c r="A751" t="str">
        <x:v>600268</x:v>
      </x:c>
      <x:c r="B751" t="str">
        <x:v>国电南自</x:v>
      </x:c>
      <x:c r="C751" t="str">
        <x:v>主板</x:v>
      </x:c>
      <x:c r="D751" t="str">
        <x:v>待行业映射</x:v>
      </x:c>
      <x:c r="E751" t="n">
        <x:v>10.58</x:v>
      </x:c>
      <x:c r="F751" t="n">
        <x:v>20.86</x:v>
      </x:c>
      <x:c r="G751"/>
      <x:c r="H751" t="n">
        <x:v>107.45</x:v>
      </x:c>
      <x:c r="I751" t="n">
        <x:v>14.52</x:v>
      </x:c>
      <x:c r="J751" t="str">
        <x:v>initial_screen_pending_pb_financial_review</x:v>
      </x:c>
      <x:c r="K751" t="str">
        <x:v>AkShare / Tencent all-A market snapshot</x:v>
      </x:c>
      <x:c r="L751" t="str">
        <x:v>ProxyError: primary market source unavailable; see source_id for full audit.</x:v>
      </x:c>
      <x:c r="M751" t="str">
        <x:v>0</x:v>
      </x:c>
      <x:c r="N751" t="str">
        <x:v>0fd6ad2d-3389-4e70-8974-eb85ee223eeb</x:v>
      </x:c>
      <x:c r="O751" t="str">
        <x:v>2026-09-04</x:v>
      </x:c>
    </x:row>
    <x:row r="752">
      <x:c r="A752" t="str">
        <x:v>601388</x:v>
      </x:c>
      <x:c r="B752" t="str">
        <x:v>怡球资源</x:v>
      </x:c>
      <x:c r="C752" t="str">
        <x:v>主板</x:v>
      </x:c>
      <x:c r="D752" t="str">
        <x:v>待行业映射</x:v>
      </x:c>
      <x:c r="E752" t="n">
        <x:v>3.4</x:v>
      </x:c>
      <x:c r="F752" t="n">
        <x:v>20.45</x:v>
      </x:c>
      <x:c r="G752"/>
      <x:c r="H752" t="n">
        <x:v>74.84</x:v>
      </x:c>
      <x:c r="I752" t="n">
        <x:v>14.45</x:v>
      </x:c>
      <x:c r="J752" t="str">
        <x:v>initial_screen_pending_pb_financial_review</x:v>
      </x:c>
      <x:c r="K752" t="str">
        <x:v>AkShare / Tencent all-A market snapshot</x:v>
      </x:c>
      <x:c r="L752" t="str">
        <x:v>ProxyError: primary market source unavailable; see source_id for full audit.</x:v>
      </x:c>
      <x:c r="M752" t="str">
        <x:v>0</x:v>
      </x:c>
      <x:c r="N752" t="str">
        <x:v>0fd6ad2d-3389-4e70-8974-eb85ee223eeb</x:v>
      </x:c>
      <x:c r="O752" t="str">
        <x:v>2026-09-04</x:v>
      </x:c>
    </x:row>
    <x:row r="753">
      <x:c r="A753" t="str">
        <x:v>601949</x:v>
      </x:c>
      <x:c r="B753" t="str">
        <x:v>中国出版</x:v>
      </x:c>
      <x:c r="C753" t="str">
        <x:v>主板</x:v>
      </x:c>
      <x:c r="D753" t="str">
        <x:v>待行业映射</x:v>
      </x:c>
      <x:c r="E753" t="n">
        <x:v>5.83</x:v>
      </x:c>
      <x:c r="F753" t="n">
        <x:v>20.95</x:v>
      </x:c>
      <x:c r="G753"/>
      <x:c r="H753" t="n">
        <x:v>111</x:v>
      </x:c>
      <x:c r="I753" t="n">
        <x:v>14.42</x:v>
      </x:c>
      <x:c r="J753" t="str">
        <x:v>initial_screen_pending_pb_financial_review</x:v>
      </x:c>
      <x:c r="K753" t="str">
        <x:v>AkShare / Tencent all-A market snapshot</x:v>
      </x:c>
      <x:c r="L753" t="str">
        <x:v>ProxyError: primary market source unavailable; see source_id for full audit.</x:v>
      </x:c>
      <x:c r="M753" t="str">
        <x:v>0</x:v>
      </x:c>
      <x:c r="N753" t="str">
        <x:v>0fd6ad2d-3389-4e70-8974-eb85ee223eeb</x:v>
      </x:c>
      <x:c r="O753" t="str">
        <x:v>2026-09-04</x:v>
      </x:c>
    </x:row>
    <x:row r="754">
      <x:c r="A754" t="str">
        <x:v>301589</x:v>
      </x:c>
      <x:c r="B754" t="str">
        <x:v>诺瓦星云</x:v>
      </x:c>
      <x:c r="C754" t="str">
        <x:v>创业板</x:v>
      </x:c>
      <x:c r="D754" t="str">
        <x:v>待行业映射</x:v>
      </x:c>
      <x:c r="E754" t="n">
        <x:v>144</x:v>
      </x:c>
      <x:c r="F754" t="n">
        <x:v>21.28</x:v>
      </x:c>
      <x:c r="G754"/>
      <x:c r="H754" t="n">
        <x:v>133.13</x:v>
      </x:c>
      <x:c r="I754" t="n">
        <x:v>14.33</x:v>
      </x:c>
      <x:c r="J754" t="str">
        <x:v>initial_screen_pending_pb_financial_review</x:v>
      </x:c>
      <x:c r="K754" t="str">
        <x:v>AkShare / Tencent all-A market snapshot</x:v>
      </x:c>
      <x:c r="L754" t="str">
        <x:v>ProxyError: primary market source unavailable; see source_id for full audit.</x:v>
      </x:c>
      <x:c r="M754" t="str">
        <x:v>0</x:v>
      </x:c>
      <x:c r="N754" t="str">
        <x:v>0fd6ad2d-3389-4e70-8974-eb85ee223eeb</x:v>
      </x:c>
      <x:c r="O754" t="str">
        <x:v>2026-09-04</x:v>
      </x:c>
    </x:row>
    <x:row r="755">
      <x:c r="A755" t="str">
        <x:v>002746</x:v>
      </x:c>
      <x:c r="B755" t="str">
        <x:v>仙坛股份</x:v>
      </x:c>
      <x:c r="C755" t="str">
        <x:v>主板</x:v>
      </x:c>
      <x:c r="D755" t="str">
        <x:v>待行业映射</x:v>
      </x:c>
      <x:c r="E755" t="n">
        <x:v>6.76</x:v>
      </x:c>
      <x:c r="F755" t="n">
        <x:v>20.29</x:v>
      </x:c>
      <x:c r="G755"/>
      <x:c r="H755" t="n">
        <x:v>58.17</x:v>
      </x:c>
      <x:c r="I755" t="n">
        <x:v>14.28</x:v>
      </x:c>
      <x:c r="J755" t="str">
        <x:v>initial_screen_pending_pb_financial_review</x:v>
      </x:c>
      <x:c r="K755" t="str">
        <x:v>AkShare / Tencent all-A market snapshot</x:v>
      </x:c>
      <x:c r="L755" t="str">
        <x:v>ProxyError: primary market source unavailable; see source_id for full audit.</x:v>
      </x:c>
      <x:c r="M755" t="str">
        <x:v>0</x:v>
      </x:c>
      <x:c r="N755" t="str">
        <x:v>0fd6ad2d-3389-4e70-8974-eb85ee223eeb</x:v>
      </x:c>
      <x:c r="O755" t="str">
        <x:v>2026-09-04</x:v>
      </x:c>
    </x:row>
    <x:row r="756">
      <x:c r="A756" t="str">
        <x:v>300888</x:v>
      </x:c>
      <x:c r="B756" t="str">
        <x:v>稳健医疗</x:v>
      </x:c>
      <x:c r="C756" t="str">
        <x:v>创业板</x:v>
      </x:c>
      <x:c r="D756" t="str">
        <x:v>待行业映射</x:v>
      </x:c>
      <x:c r="E756" t="n">
        <x:v>29.6</x:v>
      </x:c>
      <x:c r="F756" t="n">
        <x:v>21.86</x:v>
      </x:c>
      <x:c r="G756"/>
      <x:c r="H756" t="n">
        <x:v>172.56</x:v>
      </x:c>
      <x:c r="I756" t="n">
        <x:v>14.2</x:v>
      </x:c>
      <x:c r="J756" t="str">
        <x:v>initial_screen_pending_pb_financial_review</x:v>
      </x:c>
      <x:c r="K756" t="str">
        <x:v>AkShare / Tencent all-A market snapshot</x:v>
      </x:c>
      <x:c r="L756" t="str">
        <x:v>ProxyError: primary market source unavailable; see source_id for full audit.</x:v>
      </x:c>
      <x:c r="M756" t="str">
        <x:v>0</x:v>
      </x:c>
      <x:c r="N756" t="str">
        <x:v>0fd6ad2d-3389-4e70-8974-eb85ee223eeb</x:v>
      </x:c>
      <x:c r="O756" t="str">
        <x:v>2026-09-04</x:v>
      </x:c>
    </x:row>
    <x:row r="757">
      <x:c r="A757" t="str">
        <x:v>001237</x:v>
      </x:c>
      <x:c r="B757" t="str">
        <x:v>惠康科技</x:v>
      </x:c>
      <x:c r="C757" t="str">
        <x:v>主板</x:v>
      </x:c>
      <x:c r="D757" t="str">
        <x:v>待行业映射</x:v>
      </x:c>
      <x:c r="E757" t="n">
        <x:v>51.05</x:v>
      </x:c>
      <x:c r="F757" t="n">
        <x:v>20.56</x:v>
      </x:c>
      <x:c r="G757"/>
      <x:c r="H757" t="n">
        <x:v>75.73</x:v>
      </x:c>
      <x:c r="I757" t="n">
        <x:v>14.19</x:v>
      </x:c>
      <x:c r="J757" t="str">
        <x:v>initial_screen_pending_pb_financial_review</x:v>
      </x:c>
      <x:c r="K757" t="str">
        <x:v>AkShare / Tencent all-A market snapshot</x:v>
      </x:c>
      <x:c r="L757" t="str">
        <x:v>ProxyError: primary market source unavailable; see source_id for full audit.</x:v>
      </x:c>
      <x:c r="M757" t="str">
        <x:v>0</x:v>
      </x:c>
      <x:c r="N757" t="str">
        <x:v>0fd6ad2d-3389-4e70-8974-eb85ee223eeb</x:v>
      </x:c>
      <x:c r="O757" t="str">
        <x:v>2026-09-04</x:v>
      </x:c>
    </x:row>
    <x:row r="758">
      <x:c r="A758" t="str">
        <x:v>002223</x:v>
      </x:c>
      <x:c r="B758" t="str">
        <x:v>鱼跃医疗</x:v>
      </x:c>
      <x:c r="C758" t="str">
        <x:v>主板</x:v>
      </x:c>
      <x:c r="D758" t="str">
        <x:v>待行业映射</x:v>
      </x:c>
      <x:c r="E758" t="n">
        <x:v>25.79</x:v>
      </x:c>
      <x:c r="F758" t="n">
        <x:v>23.04</x:v>
      </x:c>
      <x:c r="G758"/>
      <x:c r="H758" t="n">
        <x:v>258.54</x:v>
      </x:c>
      <x:c r="I758" t="n">
        <x:v>14.14</x:v>
      </x:c>
      <x:c r="J758" t="str">
        <x:v>initial_screen_pending_pb_financial_review</x:v>
      </x:c>
      <x:c r="K758" t="str">
        <x:v>AkShare / Tencent all-A market snapshot</x:v>
      </x:c>
      <x:c r="L758" t="str">
        <x:v>ProxyError: primary market source unavailable; see source_id for full audit.</x:v>
      </x:c>
      <x:c r="M758" t="str">
        <x:v>0</x:v>
      </x:c>
      <x:c r="N758" t="str">
        <x:v>0fd6ad2d-3389-4e70-8974-eb85ee223eeb</x:v>
      </x:c>
      <x:c r="O758" t="str">
        <x:v>2026-09-04</x:v>
      </x:c>
    </x:row>
    <x:row r="759">
      <x:c r="A759" t="str">
        <x:v>000932</x:v>
      </x:c>
      <x:c r="B759" t="str">
        <x:v>华菱钢铁</x:v>
      </x:c>
      <x:c r="C759" t="str">
        <x:v>主板</x:v>
      </x:c>
      <x:c r="D759" t="str">
        <x:v>待行业映射</x:v>
      </x:c>
      <x:c r="E759" t="n">
        <x:v>3.64</x:v>
      </x:c>
      <x:c r="F759" t="n">
        <x:v>22.93</x:v>
      </x:c>
      <x:c r="G759"/>
      <x:c r="H759" t="n">
        <x:v>249.43</x:v>
      </x:c>
      <x:c r="I759" t="n">
        <x:v>14.11</x:v>
      </x:c>
      <x:c r="J759" t="str">
        <x:v>initial_screen_pending_pb_financial_review</x:v>
      </x:c>
      <x:c r="K759" t="str">
        <x:v>AkShare / Tencent all-A market snapshot</x:v>
      </x:c>
      <x:c r="L759" t="str">
        <x:v>ProxyError: primary market source unavailable; see source_id for full audit.</x:v>
      </x:c>
      <x:c r="M759" t="str">
        <x:v>0</x:v>
      </x:c>
      <x:c r="N759" t="str">
        <x:v>0fd6ad2d-3389-4e70-8974-eb85ee223eeb</x:v>
      </x:c>
      <x:c r="O759" t="str">
        <x:v>2026-09-04</x:v>
      </x:c>
    </x:row>
    <x:row r="760">
      <x:c r="A760" t="str">
        <x:v>001221</x:v>
      </x:c>
      <x:c r="B760" t="str">
        <x:v>悍高集团</x:v>
      </x:c>
      <x:c r="C760" t="str">
        <x:v>主板</x:v>
      </x:c>
      <x:c r="D760" t="str">
        <x:v>待行业映射</x:v>
      </x:c>
      <x:c r="E760" t="n">
        <x:v>39.65</x:v>
      </x:c>
      <x:c r="F760" t="n">
        <x:v>21.72</x:v>
      </x:c>
      <x:c r="G760"/>
      <x:c r="H760" t="n">
        <x:v>158.6</x:v>
      </x:c>
      <x:c r="I760" t="n">
        <x:v>14.08</x:v>
      </x:c>
      <x:c r="J760" t="str">
        <x:v>initial_screen_pending_pb_financial_review</x:v>
      </x:c>
      <x:c r="K760" t="str">
        <x:v>AkShare / Tencent all-A market snapshot</x:v>
      </x:c>
      <x:c r="L760" t="str">
        <x:v>ProxyError: primary market source unavailable; see source_id for full audit.</x:v>
      </x:c>
      <x:c r="M760" t="str">
        <x:v>0</x:v>
      </x:c>
      <x:c r="N760" t="str">
        <x:v>0fd6ad2d-3389-4e70-8974-eb85ee223eeb</x:v>
      </x:c>
      <x:c r="O760" t="str">
        <x:v>2026-09-04</x:v>
      </x:c>
    </x:row>
    <x:row r="761">
      <x:c r="A761" t="str">
        <x:v>603162</x:v>
      </x:c>
      <x:c r="B761" t="str">
        <x:v>海通发展</x:v>
      </x:c>
      <x:c r="C761" t="str">
        <x:v>主板</x:v>
      </x:c>
      <x:c r="D761" t="str">
        <x:v>待行业映射</x:v>
      </x:c>
      <x:c r="E761" t="n">
        <x:v>14.64</x:v>
      </x:c>
      <x:c r="F761" t="n">
        <x:v>22.33</x:v>
      </x:c>
      <x:c r="G761"/>
      <x:c r="H761" t="n">
        <x:v>201.3</x:v>
      </x:c>
      <x:c r="I761" t="n">
        <x:v>13.99</x:v>
      </x:c>
      <x:c r="J761" t="str">
        <x:v>initial_screen_pending_pb_financial_review</x:v>
      </x:c>
      <x:c r="K761" t="str">
        <x:v>AkShare / Tencent all-A market snapshot</x:v>
      </x:c>
      <x:c r="L761" t="str">
        <x:v>ProxyError: primary market source unavailable; see source_id for full audit.</x:v>
      </x:c>
      <x:c r="M761" t="str">
        <x:v>0</x:v>
      </x:c>
      <x:c r="N761" t="str">
        <x:v>0fd6ad2d-3389-4e70-8974-eb85ee223eeb</x:v>
      </x:c>
      <x:c r="O761" t="str">
        <x:v>2026-09-04</x:v>
      </x:c>
    </x:row>
    <x:row r="762">
      <x:c r="A762" t="str">
        <x:v>603587</x:v>
      </x:c>
      <x:c r="B762" t="str">
        <x:v>地素时尚</x:v>
      </x:c>
      <x:c r="C762" t="str">
        <x:v>主板</x:v>
      </x:c>
      <x:c r="D762" t="str">
        <x:v>待行业映射</x:v>
      </x:c>
      <x:c r="E762" t="n">
        <x:v>12.99</x:v>
      </x:c>
      <x:c r="F762" t="n">
        <x:v>20.47</x:v>
      </x:c>
      <x:c r="G762"/>
      <x:c r="H762" t="n">
        <x:v>61.4</x:v>
      </x:c>
      <x:c r="I762" t="n">
        <x:v>13.93</x:v>
      </x:c>
      <x:c r="J762" t="str">
        <x:v>initial_screen_pending_pb_financial_review</x:v>
      </x:c>
      <x:c r="K762" t="str">
        <x:v>AkShare / Tencent all-A market snapshot</x:v>
      </x:c>
      <x:c r="L762" t="str">
        <x:v>ProxyError: primary market source unavailable; see source_id for full audit.</x:v>
      </x:c>
      <x:c r="M762" t="str">
        <x:v>0</x:v>
      </x:c>
      <x:c r="N762" t="str">
        <x:v>0fd6ad2d-3389-4e70-8974-eb85ee223eeb</x:v>
      </x:c>
      <x:c r="O762" t="str">
        <x:v>2026-09-04</x:v>
      </x:c>
    </x:row>
    <x:row r="763">
      <x:c r="A763" t="str">
        <x:v>603223</x:v>
      </x:c>
      <x:c r="B763" t="str">
        <x:v>恒通股份</x:v>
      </x:c>
      <x:c r="C763" t="str">
        <x:v>主板</x:v>
      </x:c>
      <x:c r="D763" t="str">
        <x:v>待行业映射</x:v>
      </x:c>
      <x:c r="E763" t="n">
        <x:v>10.29</x:v>
      </x:c>
      <x:c r="F763" t="n">
        <x:v>20.68</x:v>
      </x:c>
      <x:c r="G763"/>
      <x:c r="H763" t="n">
        <x:v>72.63</x:v>
      </x:c>
      <x:c r="I763" t="n">
        <x:v>13.77</x:v>
      </x:c>
      <x:c r="J763" t="str">
        <x:v>initial_screen_pending_pb_financial_review</x:v>
      </x:c>
      <x:c r="K763" t="str">
        <x:v>AkShare / Tencent all-A market snapshot</x:v>
      </x:c>
      <x:c r="L763" t="str">
        <x:v>ProxyError: primary market source unavailable; see source_id for full audit.</x:v>
      </x:c>
      <x:c r="M763" t="str">
        <x:v>0</x:v>
      </x:c>
      <x:c r="N763" t="str">
        <x:v>0fd6ad2d-3389-4e70-8974-eb85ee223eeb</x:v>
      </x:c>
      <x:c r="O763" t="str">
        <x:v>2026-09-04</x:v>
      </x:c>
    </x:row>
    <x:row r="764">
      <x:c r="A764" t="str">
        <x:v>300893</x:v>
      </x:c>
      <x:c r="B764" t="str">
        <x:v>松原安全</x:v>
      </x:c>
      <x:c r="C764" t="str">
        <x:v>创业板</x:v>
      </x:c>
      <x:c r="D764" t="str">
        <x:v>待行业映射</x:v>
      </x:c>
      <x:c r="E764" t="n">
        <x:v>14.36</x:v>
      </x:c>
      <x:c r="F764" t="n">
        <x:v>20.63</x:v>
      </x:c>
      <x:c r="G764"/>
      <x:c r="H764" t="n">
        <x:v>67.92</x:v>
      </x:c>
      <x:c r="I764" t="n">
        <x:v>13.74</x:v>
      </x:c>
      <x:c r="J764" t="str">
        <x:v>initial_screen_pending_pb_financial_review</x:v>
      </x:c>
      <x:c r="K764" t="str">
        <x:v>AkShare / Tencent all-A market snapshot</x:v>
      </x:c>
      <x:c r="L764" t="str">
        <x:v>ProxyError: primary market source unavailable; see source_id for full audit.</x:v>
      </x:c>
      <x:c r="M764" t="str">
        <x:v>0</x:v>
      </x:c>
      <x:c r="N764" t="str">
        <x:v>0fd6ad2d-3389-4e70-8974-eb85ee223eeb</x:v>
      </x:c>
      <x:c r="O764" t="str">
        <x:v>2026-09-04</x:v>
      </x:c>
    </x:row>
    <x:row r="765">
      <x:c r="A765" t="str">
        <x:v>600425</x:v>
      </x:c>
      <x:c r="B765" t="str">
        <x:v>青松建化</x:v>
      </x:c>
      <x:c r="C765" t="str">
        <x:v>主板</x:v>
      </x:c>
      <x:c r="D765" t="str">
        <x:v>待行业映射</x:v>
      </x:c>
      <x:c r="E765" t="n">
        <x:v>3.72</x:v>
      </x:c>
      <x:c r="F765" t="n">
        <x:v>20.52</x:v>
      </x:c>
      <x:c r="G765"/>
      <x:c r="H765" t="n">
        <x:v>59.69</x:v>
      </x:c>
      <x:c r="I765" t="n">
        <x:v>13.74</x:v>
      </x:c>
      <x:c r="J765" t="str">
        <x:v>initial_screen_pending_pb_financial_review</x:v>
      </x:c>
      <x:c r="K765" t="str">
        <x:v>AkShare / Tencent all-A market snapshot</x:v>
      </x:c>
      <x:c r="L765" t="str">
        <x:v>ProxyError: primary market source unavailable; see source_id for full audit.</x:v>
      </x:c>
      <x:c r="M765" t="str">
        <x:v>0</x:v>
      </x:c>
      <x:c r="N765" t="str">
        <x:v>0fd6ad2d-3389-4e70-8974-eb85ee223eeb</x:v>
      </x:c>
      <x:c r="O765" t="str">
        <x:v>2026-09-04</x:v>
      </x:c>
    </x:row>
    <x:row r="766">
      <x:c r="A766" t="str">
        <x:v>000683</x:v>
      </x:c>
      <x:c r="B766" t="str">
        <x:v>博源化工</x:v>
      </x:c>
      <x:c r="C766" t="str">
        <x:v>主板</x:v>
      </x:c>
      <x:c r="D766" t="str">
        <x:v>待行业映射</x:v>
      </x:c>
      <x:c r="E766" t="n">
        <x:v>6.37</x:v>
      </x:c>
      <x:c r="F766" t="n">
        <x:v>22.91</x:v>
      </x:c>
      <x:c r="G766"/>
      <x:c r="H766" t="n">
        <x:v>236.76</x:v>
      </x:c>
      <x:c r="I766" t="n">
        <x:v>13.72</x:v>
      </x:c>
      <x:c r="J766" t="str">
        <x:v>initial_screen_pending_pb_financial_review</x:v>
      </x:c>
      <x:c r="K766" t="str">
        <x:v>AkShare / Tencent all-A market snapshot</x:v>
      </x:c>
      <x:c r="L766" t="str">
        <x:v>ProxyError: primary market source unavailable; see source_id for full audit.</x:v>
      </x:c>
      <x:c r="M766" t="str">
        <x:v>0</x:v>
      </x:c>
      <x:c r="N766" t="str">
        <x:v>0fd6ad2d-3389-4e70-8974-eb85ee223eeb</x:v>
      </x:c>
      <x:c r="O766" t="str">
        <x:v>2026-09-04</x:v>
      </x:c>
    </x:row>
    <x:row r="767">
      <x:c r="A767" t="str">
        <x:v>002283</x:v>
      </x:c>
      <x:c r="B767" t="str">
        <x:v>天润工业</x:v>
      </x:c>
      <x:c r="C767" t="str">
        <x:v>主板</x:v>
      </x:c>
      <x:c r="D767" t="str">
        <x:v>待行业映射</x:v>
      </x:c>
      <x:c r="E767" t="n">
        <x:v>8.17</x:v>
      </x:c>
      <x:c r="F767" t="n">
        <x:v>21.1</x:v>
      </x:c>
      <x:c r="G767"/>
      <x:c r="H767" t="n">
        <x:v>93.09</x:v>
      </x:c>
      <x:c r="I767" t="n">
        <x:v>13.4</x:v>
      </x:c>
      <x:c r="J767" t="str">
        <x:v>initial_screen_pending_pb_financial_review</x:v>
      </x:c>
      <x:c r="K767" t="str">
        <x:v>AkShare / Tencent all-A market snapshot</x:v>
      </x:c>
      <x:c r="L767" t="str">
        <x:v>ProxyError: primary market source unavailable; see source_id for full audit.</x:v>
      </x:c>
      <x:c r="M767" t="str">
        <x:v>0</x:v>
      </x:c>
      <x:c r="N767" t="str">
        <x:v>0fd6ad2d-3389-4e70-8974-eb85ee223eeb</x:v>
      </x:c>
      <x:c r="O767" t="str">
        <x:v>2026-09-04</x:v>
      </x:c>
    </x:row>
    <x:row r="768">
      <x:c r="A768" t="str">
        <x:v>603093</x:v>
      </x:c>
      <x:c r="B768" t="str">
        <x:v>南华期货</x:v>
      </x:c>
      <x:c r="C768" t="str">
        <x:v>主板</x:v>
      </x:c>
      <x:c r="D768" t="str">
        <x:v>待行业映射</x:v>
      </x:c>
      <x:c r="E768" t="n">
        <x:v>13.49</x:v>
      </x:c>
      <x:c r="F768" t="n">
        <x:v>21.77</x:v>
      </x:c>
      <x:c r="G768"/>
      <x:c r="H768" t="n">
        <x:v>140.05</x:v>
      </x:c>
      <x:c r="I768" t="n">
        <x:v>13.3</x:v>
      </x:c>
      <x:c r="J768" t="str">
        <x:v>initial_screen_pending_pb_financial_review</x:v>
      </x:c>
      <x:c r="K768" t="str">
        <x:v>AkShare / Tencent all-A market snapshot</x:v>
      </x:c>
      <x:c r="L768" t="str">
        <x:v>ProxyError: primary market source unavailable; see source_id for full audit.</x:v>
      </x:c>
      <x:c r="M768" t="str">
        <x:v>0</x:v>
      </x:c>
      <x:c r="N768" t="str">
        <x:v>0fd6ad2d-3389-4e70-8974-eb85ee223eeb</x:v>
      </x:c>
      <x:c r="O768" t="str">
        <x:v>2026-09-04</x:v>
      </x:c>
    </x:row>
    <x:row r="769">
      <x:c r="A769" t="str">
        <x:v>600390</x:v>
      </x:c>
      <x:c r="B769" t="str">
        <x:v>五矿资本</x:v>
      </x:c>
      <x:c r="C769" t="str">
        <x:v>主板</x:v>
      </x:c>
      <x:c r="D769" t="str">
        <x:v>待行业映射</x:v>
      </x:c>
      <x:c r="E769" t="n">
        <x:v>5.03</x:v>
      </x:c>
      <x:c r="F769" t="n">
        <x:v>22.96</x:v>
      </x:c>
      <x:c r="G769"/>
      <x:c r="H769" t="n">
        <x:v>226.25</x:v>
      </x:c>
      <x:c r="I769" t="n">
        <x:v>13.22</x:v>
      </x:c>
      <x:c r="J769" t="str">
        <x:v>initial_screen_pending_pb_financial_review</x:v>
      </x:c>
      <x:c r="K769" t="str">
        <x:v>AkShare / Tencent all-A market snapshot</x:v>
      </x:c>
      <x:c r="L769" t="str">
        <x:v>ProxyError: primary market source unavailable; see source_id for full audit.</x:v>
      </x:c>
      <x:c r="M769" t="str">
        <x:v>0</x:v>
      </x:c>
      <x:c r="N769" t="str">
        <x:v>0fd6ad2d-3389-4e70-8974-eb85ee223eeb</x:v>
      </x:c>
      <x:c r="O769" t="str">
        <x:v>2026-09-04</x:v>
      </x:c>
    </x:row>
    <x:row r="770">
      <x:c r="A770" t="str">
        <x:v>603997</x:v>
      </x:c>
      <x:c r="B770" t="str">
        <x:v>继峰股份</x:v>
      </x:c>
      <x:c r="C770" t="str">
        <x:v>主板</x:v>
      </x:c>
      <x:c r="D770" t="str">
        <x:v>待行业映射</x:v>
      </x:c>
      <x:c r="E770" t="n">
        <x:v>11.43</x:v>
      </x:c>
      <x:c r="F770" t="n">
        <x:v>21.88</x:v>
      </x:c>
      <x:c r="G770"/>
      <x:c r="H770" t="n">
        <x:v>145.42</x:v>
      </x:c>
      <x:c r="I770" t="n">
        <x:v>13.2</x:v>
      </x:c>
      <x:c r="J770" t="str">
        <x:v>initial_screen_pending_pb_financial_review</x:v>
      </x:c>
      <x:c r="K770" t="str">
        <x:v>AkShare / Tencent all-A market snapshot</x:v>
      </x:c>
      <x:c r="L770" t="str">
        <x:v>ProxyError: primary market source unavailable; see source_id for full audit.</x:v>
      </x:c>
      <x:c r="M770" t="str">
        <x:v>0</x:v>
      </x:c>
      <x:c r="N770" t="str">
        <x:v>0fd6ad2d-3389-4e70-8974-eb85ee223eeb</x:v>
      </x:c>
      <x:c r="O770" t="str">
        <x:v>2026-09-04</x:v>
      </x:c>
    </x:row>
    <x:row r="771">
      <x:c r="A771" t="str">
        <x:v>601990</x:v>
      </x:c>
      <x:c r="B771" t="str">
        <x:v>南京证券</x:v>
      </x:c>
      <x:c r="C771" t="str">
        <x:v>主板</x:v>
      </x:c>
      <x:c r="D771" t="str">
        <x:v>待行业映射</x:v>
      </x:c>
      <x:c r="E771" t="n">
        <x:v>6.85</x:v>
      </x:c>
      <x:c r="F771" t="n">
        <x:v>24.06</x:v>
      </x:c>
      <x:c r="G771"/>
      <x:c r="H771" t="n">
        <x:v>301.37</x:v>
      </x:c>
      <x:c r="I771" t="n">
        <x:v>12.99</x:v>
      </x:c>
      <x:c r="J771" t="str">
        <x:v>initial_screen_pending_pb_financial_review</x:v>
      </x:c>
      <x:c r="K771" t="str">
        <x:v>AkShare / Tencent all-A market snapshot</x:v>
      </x:c>
      <x:c r="L771" t="str">
        <x:v>ProxyError: primary market source unavailable; see source_id for full audit.</x:v>
      </x:c>
      <x:c r="M771" t="str">
        <x:v>0</x:v>
      </x:c>
      <x:c r="N771" t="str">
        <x:v>0fd6ad2d-3389-4e70-8974-eb85ee223eeb</x:v>
      </x:c>
      <x:c r="O771" t="str">
        <x:v>2026-09-04</x:v>
      </x:c>
    </x:row>
    <x:row r="772">
      <x:c r="A772" t="str">
        <x:v>300595</x:v>
      </x:c>
      <x:c r="B772" t="str">
        <x:v>欧普康视</x:v>
      </x:c>
      <x:c r="C772" t="str">
        <x:v>创业板</x:v>
      </x:c>
      <x:c r="D772" t="str">
        <x:v>待行业映射</x:v>
      </x:c>
      <x:c r="E772" t="n">
        <x:v>11.04</x:v>
      </x:c>
      <x:c r="F772" t="n">
        <x:v>21.4</x:v>
      </x:c>
      <x:c r="G772"/>
      <x:c r="H772" t="n">
        <x:v>98.74</x:v>
      </x:c>
      <x:c r="I772" t="n">
        <x:v>12.82</x:v>
      </x:c>
      <x:c r="J772" t="str">
        <x:v>initial_screen_pending_pb_financial_review</x:v>
      </x:c>
      <x:c r="K772" t="str">
        <x:v>AkShare / Tencent all-A market snapshot</x:v>
      </x:c>
      <x:c r="L772" t="str">
        <x:v>ProxyError: primary market source unavailable; see source_id for full audit.</x:v>
      </x:c>
      <x:c r="M772" t="str">
        <x:v>0</x:v>
      </x:c>
      <x:c r="N772" t="str">
        <x:v>0fd6ad2d-3389-4e70-8974-eb85ee223eeb</x:v>
      </x:c>
      <x:c r="O772" t="str">
        <x:v>2026-09-04</x:v>
      </x:c>
    </x:row>
    <x:row r="773">
      <x:c r="A773" t="str">
        <x:v>600338</x:v>
      </x:c>
      <x:c r="B773" t="str">
        <x:v>西藏珠峰</x:v>
      </x:c>
      <x:c r="C773" t="str">
        <x:v>主板</x:v>
      </x:c>
      <x:c r="D773" t="str">
        <x:v>待行业映射</x:v>
      </x:c>
      <x:c r="E773" t="n">
        <x:v>13.48</x:v>
      </x:c>
      <x:c r="F773" t="n">
        <x:v>21.76</x:v>
      </x:c>
      <x:c r="G773"/>
      <x:c r="H773" t="n">
        <x:v>123.24</x:v>
      </x:c>
      <x:c r="I773" t="n">
        <x:v>12.74</x:v>
      </x:c>
      <x:c r="J773" t="str">
        <x:v>initial_screen_pending_pb_financial_review</x:v>
      </x:c>
      <x:c r="K773" t="str">
        <x:v>AkShare / Tencent all-A market snapshot</x:v>
      </x:c>
      <x:c r="L773" t="str">
        <x:v>ProxyError: primary market source unavailable; see source_id for full audit.</x:v>
      </x:c>
      <x:c r="M773" t="str">
        <x:v>0</x:v>
      </x:c>
      <x:c r="N773" t="str">
        <x:v>0fd6ad2d-3389-4e70-8974-eb85ee223eeb</x:v>
      </x:c>
      <x:c r="O773" t="str">
        <x:v>2026-09-04</x:v>
      </x:c>
    </x:row>
    <x:row r="774">
      <x:c r="A774" t="str">
        <x:v>601369</x:v>
      </x:c>
      <x:c r="B774" t="str">
        <x:v>陕鼓动力</x:v>
      </x:c>
      <x:c r="C774" t="str">
        <x:v>主板</x:v>
      </x:c>
      <x:c r="D774" t="str">
        <x:v>待行业映射</x:v>
      </x:c>
      <x:c r="E774" t="n">
        <x:v>8.55</x:v>
      </x:c>
      <x:c r="F774" t="n">
        <x:v>22.14</x:v>
      </x:c>
      <x:c r="G774"/>
      <x:c r="H774" t="n">
        <x:v>147.36</x:v>
      </x:c>
      <x:c r="I774" t="n">
        <x:v>12.59</x:v>
      </x:c>
      <x:c r="J774" t="str">
        <x:v>initial_screen_pending_pb_financial_review</x:v>
      </x:c>
      <x:c r="K774" t="str">
        <x:v>AkShare / Tencent all-A market snapshot</x:v>
      </x:c>
      <x:c r="L774" t="str">
        <x:v>ProxyError: primary market source unavailable; see source_id for full audit.</x:v>
      </x:c>
      <x:c r="M774" t="str">
        <x:v>0</x:v>
      </x:c>
      <x:c r="N774" t="str">
        <x:v>0fd6ad2d-3389-4e70-8974-eb85ee223eeb</x:v>
      </x:c>
      <x:c r="O774" t="str">
        <x:v>2026-09-04</x:v>
      </x:c>
    </x:row>
    <x:row r="775">
      <x:c r="A775" t="str">
        <x:v>001285</x:v>
      </x:c>
      <x:c r="B775" t="str">
        <x:v>瑞立科密</x:v>
      </x:c>
      <x:c r="C775" t="str">
        <x:v>主板</x:v>
      </x:c>
      <x:c r="D775" t="str">
        <x:v>待行业映射</x:v>
      </x:c>
      <x:c r="E775" t="n">
        <x:v>44.4</x:v>
      </x:c>
      <x:c r="F775" t="n">
        <x:v>21.27</x:v>
      </x:c>
      <x:c r="G775"/>
      <x:c r="H775" t="n">
        <x:v>80.16</x:v>
      </x:c>
      <x:c r="I775" t="n">
        <x:v>12.5</x:v>
      </x:c>
      <x:c r="J775" t="str">
        <x:v>initial_screen_pending_pb_financial_review</x:v>
      </x:c>
      <x:c r="K775" t="str">
        <x:v>AkShare / Tencent all-A market snapshot</x:v>
      </x:c>
      <x:c r="L775" t="str">
        <x:v>ProxyError: primary market source unavailable; see source_id for full audit.</x:v>
      </x:c>
      <x:c r="M775" t="str">
        <x:v>0</x:v>
      </x:c>
      <x:c r="N775" t="str">
        <x:v>0fd6ad2d-3389-4e70-8974-eb85ee223eeb</x:v>
      </x:c>
      <x:c r="O775" t="str">
        <x:v>2026-09-04</x:v>
      </x:c>
    </x:row>
    <x:row r="776">
      <x:c r="A776" t="str">
        <x:v>000733</x:v>
      </x:c>
      <x:c r="B776" t="str">
        <x:v>振华科技</x:v>
      </x:c>
      <x:c r="C776" t="str">
        <x:v>主板</x:v>
      </x:c>
      <x:c r="D776" t="str">
        <x:v>待行业映射</x:v>
      </x:c>
      <x:c r="E776" t="n">
        <x:v>40.28</x:v>
      </x:c>
      <x:c r="F776" t="n">
        <x:v>23.25</x:v>
      </x:c>
      <x:c r="G776"/>
      <x:c r="H776" t="n">
        <x:v>223.22</x:v>
      </x:c>
      <x:c r="I776" t="n">
        <x:v>12.36</x:v>
      </x:c>
      <x:c r="J776" t="str">
        <x:v>initial_screen_pending_pb_financial_review</x:v>
      </x:c>
      <x:c r="K776" t="str">
        <x:v>AkShare / Tencent all-A market snapshot</x:v>
      </x:c>
      <x:c r="L776" t="str">
        <x:v>ProxyError: primary market source unavailable; see source_id for full audit.</x:v>
      </x:c>
      <x:c r="M776" t="str">
        <x:v>0</x:v>
      </x:c>
      <x:c r="N776" t="str">
        <x:v>0fd6ad2d-3389-4e70-8974-eb85ee223eeb</x:v>
      </x:c>
      <x:c r="O776" t="str">
        <x:v>2026-09-04</x:v>
      </x:c>
    </x:row>
    <x:row r="777">
      <x:c r="A777" t="str">
        <x:v>605116</x:v>
      </x:c>
      <x:c r="B777" t="str">
        <x:v>奥锐特</x:v>
      </x:c>
      <x:c r="C777" t="str">
        <x:v>主板</x:v>
      </x:c>
      <x:c r="D777" t="str">
        <x:v>待行业映射</x:v>
      </x:c>
      <x:c r="E777" t="n">
        <x:v>19.64</x:v>
      </x:c>
      <x:c r="F777" t="n">
        <x:v>21.38</x:v>
      </x:c>
      <x:c r="G777"/>
      <x:c r="H777" t="n">
        <x:v>79.77</x:v>
      </x:c>
      <x:c r="I777" t="n">
        <x:v>12.2</x:v>
      </x:c>
      <x:c r="J777" t="str">
        <x:v>initial_screen_pending_pb_financial_review</x:v>
      </x:c>
      <x:c r="K777" t="str">
        <x:v>AkShare / Tencent all-A market snapshot</x:v>
      </x:c>
      <x:c r="L777" t="str">
        <x:v>ProxyError: primary market source unavailable; see source_id for full audit.</x:v>
      </x:c>
      <x:c r="M777" t="str">
        <x:v>0</x:v>
      </x:c>
      <x:c r="N777" t="str">
        <x:v>0fd6ad2d-3389-4e70-8974-eb85ee223eeb</x:v>
      </x:c>
      <x:c r="O777" t="str">
        <x:v>2026-09-04</x:v>
      </x:c>
    </x:row>
    <x:row r="778">
      <x:c r="A778" t="str">
        <x:v>603786</x:v>
      </x:c>
      <x:c r="B778" t="str">
        <x:v>科博达</x:v>
      </x:c>
      <x:c r="C778" t="str">
        <x:v>主板</x:v>
      </x:c>
      <x:c r="D778" t="str">
        <x:v>待行业映射</x:v>
      </x:c>
      <x:c r="E778" t="n">
        <x:v>39.52</x:v>
      </x:c>
      <x:c r="F778" t="n">
        <x:v>22.48</x:v>
      </x:c>
      <x:c r="G778"/>
      <x:c r="H778" t="n">
        <x:v>159.6</x:v>
      </x:c>
      <x:c r="I778" t="n">
        <x:v>12.14</x:v>
      </x:c>
      <x:c r="J778" t="str">
        <x:v>initial_screen_pending_pb_financial_review</x:v>
      </x:c>
      <x:c r="K778" t="str">
        <x:v>AkShare / Tencent all-A market snapshot</x:v>
      </x:c>
      <x:c r="L778" t="str">
        <x:v>ProxyError: primary market source unavailable; see source_id for full audit.</x:v>
      </x:c>
      <x:c r="M778" t="str">
        <x:v>0</x:v>
      </x:c>
      <x:c r="N778" t="str">
        <x:v>0fd6ad2d-3389-4e70-8974-eb85ee223eeb</x:v>
      </x:c>
      <x:c r="O778" t="str">
        <x:v>2026-09-04</x:v>
      </x:c>
    </x:row>
    <x:row r="779">
      <x:c r="A779" t="str">
        <x:v>601020</x:v>
      </x:c>
      <x:c r="B779" t="str">
        <x:v>华钰矿业</x:v>
      </x:c>
      <x:c r="C779" t="str">
        <x:v>主板</x:v>
      </x:c>
      <x:c r="D779" t="str">
        <x:v>待行业映射</x:v>
      </x:c>
      <x:c r="E779" t="n">
        <x:v>22.61</x:v>
      </x:c>
      <x:c r="F779" t="n">
        <x:v>22.86</x:v>
      </x:c>
      <x:c r="G779"/>
      <x:c r="H779" t="n">
        <x:v>185.39</x:v>
      </x:c>
      <x:c r="I779" t="n">
        <x:v>12.05</x:v>
      </x:c>
      <x:c r="J779" t="str">
        <x:v>initial_screen_pending_pb_financial_review</x:v>
      </x:c>
      <x:c r="K779" t="str">
        <x:v>AkShare / Tencent all-A market snapshot</x:v>
      </x:c>
      <x:c r="L779" t="str">
        <x:v>ProxyError: primary market source unavailable; see source_id for full audit.</x:v>
      </x:c>
      <x:c r="M779" t="str">
        <x:v>0</x:v>
      </x:c>
      <x:c r="N779" t="str">
        <x:v>0fd6ad2d-3389-4e70-8974-eb85ee223eeb</x:v>
      </x:c>
      <x:c r="O779" t="str">
        <x:v>2026-09-04</x:v>
      </x:c>
    </x:row>
    <x:row r="780">
      <x:c r="A780" t="str">
        <x:v>603876</x:v>
      </x:c>
      <x:c r="B780" t="str">
        <x:v>鼎胜新材</x:v>
      </x:c>
      <x:c r="C780" t="str">
        <x:v>主板</x:v>
      </x:c>
      <x:c r="D780" t="str">
        <x:v>待行业映射</x:v>
      </x:c>
      <x:c r="E780" t="n">
        <x:v>19.82</x:v>
      </x:c>
      <x:c r="F780" t="n">
        <x:v>22.88</x:v>
      </x:c>
      <x:c r="G780"/>
      <x:c r="H780" t="n">
        <x:v>184.18</x:v>
      </x:c>
      <x:c r="I780" t="n">
        <x:v>11.96</x:v>
      </x:c>
      <x:c r="J780" t="str">
        <x:v>initial_screen_pending_pb_financial_review</x:v>
      </x:c>
      <x:c r="K780" t="str">
        <x:v>AkShare / Tencent all-A market snapshot</x:v>
      </x:c>
      <x:c r="L780" t="str">
        <x:v>ProxyError: primary market source unavailable; see source_id for full audit.</x:v>
      </x:c>
      <x:c r="M780" t="str">
        <x:v>0</x:v>
      </x:c>
      <x:c r="N780" t="str">
        <x:v>0fd6ad2d-3389-4e70-8974-eb85ee223eeb</x:v>
      </x:c>
      <x:c r="O780" t="str">
        <x:v>2026-09-04</x:v>
      </x:c>
    </x:row>
    <x:row r="781">
      <x:c r="A781" t="str">
        <x:v>000400</x:v>
      </x:c>
      <x:c r="B781" t="str">
        <x:v>许继电气</x:v>
      </x:c>
      <x:c r="C781" t="str">
        <x:v>主板</x:v>
      </x:c>
      <x:c r="D781" t="str">
        <x:v>待行业映射</x:v>
      </x:c>
      <x:c r="E781" t="n">
        <x:v>21.92</x:v>
      </x:c>
      <x:c r="F781" t="n">
        <x:v>23.52</x:v>
      </x:c>
      <x:c r="G781"/>
      <x:c r="H781" t="n">
        <x:v>223.28</x:v>
      </x:c>
      <x:c r="I781" t="n">
        <x:v>11.66</x:v>
      </x:c>
      <x:c r="J781" t="str">
        <x:v>initial_screen_pending_pb_financial_review</x:v>
      </x:c>
      <x:c r="K781" t="str">
        <x:v>AkShare / Tencent all-A market snapshot</x:v>
      </x:c>
      <x:c r="L781" t="str">
        <x:v>ProxyError: primary market source unavailable; see source_id for full audit.</x:v>
      </x:c>
      <x:c r="M781" t="str">
        <x:v>0</x:v>
      </x:c>
      <x:c r="N781" t="str">
        <x:v>0fd6ad2d-3389-4e70-8974-eb85ee223eeb</x:v>
      </x:c>
      <x:c r="O781" t="str">
        <x:v>2026-09-04</x:v>
      </x:c>
    </x:row>
    <x:row r="782">
      <x:c r="A782" t="str">
        <x:v>603091</x:v>
      </x:c>
      <x:c r="B782" t="str">
        <x:v>众鑫股份</x:v>
      </x:c>
      <x:c r="C782" t="str">
        <x:v>主板</x:v>
      </x:c>
      <x:c r="D782" t="str">
        <x:v>待行业映射</x:v>
      </x:c>
      <x:c r="E782" t="n">
        <x:v>51.9</x:v>
      </x:c>
      <x:c r="F782" t="n">
        <x:v>21.61</x:v>
      </x:c>
      <x:c r="G782"/>
      <x:c r="H782" t="n">
        <x:v>74.29</x:v>
      </x:c>
      <x:c r="I782" t="n">
        <x:v>11.41</x:v>
      </x:c>
      <x:c r="J782" t="str">
        <x:v>initial_screen_pending_pb_financial_review</x:v>
      </x:c>
      <x:c r="K782" t="str">
        <x:v>AkShare / Tencent all-A market snapshot</x:v>
      </x:c>
      <x:c r="L782" t="str">
        <x:v>ProxyError: primary market source unavailable; see source_id for full audit.</x:v>
      </x:c>
      <x:c r="M782" t="str">
        <x:v>0</x:v>
      </x:c>
      <x:c r="N782" t="str">
        <x:v>0fd6ad2d-3389-4e70-8974-eb85ee223eeb</x:v>
      </x:c>
      <x:c r="O782" t="str">
        <x:v>2026-09-04</x:v>
      </x:c>
    </x:row>
    <x:row r="783">
      <x:c r="A783" t="str">
        <x:v>300457</x:v>
      </x:c>
      <x:c r="B783" t="str">
        <x:v>赢合科技</x:v>
      </x:c>
      <x:c r="C783" t="str">
        <x:v>创业板</x:v>
      </x:c>
      <x:c r="D783" t="str">
        <x:v>待行业映射</x:v>
      </x:c>
      <x:c r="E783" t="n">
        <x:v>21.54</x:v>
      </x:c>
      <x:c r="F783" t="n">
        <x:v>22.49</x:v>
      </x:c>
      <x:c r="G783"/>
      <x:c r="H783" t="n">
        <x:v>138.95</x:v>
      </x:c>
      <x:c r="I783" t="n">
        <x:v>11.39</x:v>
      </x:c>
      <x:c r="J783" t="str">
        <x:v>initial_screen_pending_pb_financial_review</x:v>
      </x:c>
      <x:c r="K783" t="str">
        <x:v>AkShare / Tencent all-A market snapshot</x:v>
      </x:c>
      <x:c r="L783" t="str">
        <x:v>ProxyError: primary market source unavailable; see source_id for full audit.</x:v>
      </x:c>
      <x:c r="M783" t="str">
        <x:v>0</x:v>
      </x:c>
      <x:c r="N783" t="str">
        <x:v>0fd6ad2d-3389-4e70-8974-eb85ee223eeb</x:v>
      </x:c>
      <x:c r="O783" t="str">
        <x:v>2026-09-04</x:v>
      </x:c>
    </x:row>
    <x:row r="784">
      <x:c r="A784" t="str">
        <x:v>300196</x:v>
      </x:c>
      <x:c r="B784" t="str">
        <x:v>长海股份</x:v>
      </x:c>
      <x:c r="C784" t="str">
        <x:v>创业板</x:v>
      </x:c>
      <x:c r="D784" t="str">
        <x:v>待行业映射</x:v>
      </x:c>
      <x:c r="E784" t="n">
        <x:v>16.28</x:v>
      </x:c>
      <x:c r="F784" t="n">
        <x:v>21.53</x:v>
      </x:c>
      <x:c r="G784"/>
      <x:c r="H784" t="n">
        <x:v>66.58</x:v>
      </x:c>
      <x:c r="I784" t="n">
        <x:v>11.35</x:v>
      </x:c>
      <x:c r="J784" t="str">
        <x:v>initial_screen_pending_pb_financial_review</x:v>
      </x:c>
      <x:c r="K784" t="str">
        <x:v>AkShare / Tencent all-A market snapshot</x:v>
      </x:c>
      <x:c r="L784" t="str">
        <x:v>ProxyError: primary market source unavailable; see source_id for full audit.</x:v>
      </x:c>
      <x:c r="M784" t="str">
        <x:v>0</x:v>
      </x:c>
      <x:c r="N784" t="str">
        <x:v>0fd6ad2d-3389-4e70-8974-eb85ee223eeb</x:v>
      </x:c>
      <x:c r="O784" t="str">
        <x:v>2026-09-04</x:v>
      </x:c>
    </x:row>
    <x:row r="785">
      <x:c r="A785" t="str">
        <x:v>603456</x:v>
      </x:c>
      <x:c r="B785" t="str">
        <x:v>九洲药业</x:v>
      </x:c>
      <x:c r="C785" t="str">
        <x:v>主板</x:v>
      </x:c>
      <x:c r="D785" t="str">
        <x:v>待行业映射</x:v>
      </x:c>
      <x:c r="E785" t="n">
        <x:v>15.07</x:v>
      </x:c>
      <x:c r="F785" t="n">
        <x:v>22.46</x:v>
      </x:c>
      <x:c r="G785"/>
      <x:c r="H785" t="n">
        <x:v>132.87</x:v>
      </x:c>
      <x:c r="I785" t="n">
        <x:v>11.25</x:v>
      </x:c>
      <x:c r="J785" t="str">
        <x:v>initial_screen_pending_pb_financial_review</x:v>
      </x:c>
      <x:c r="K785" t="str">
        <x:v>AkShare / Tencent all-A market snapshot</x:v>
      </x:c>
      <x:c r="L785" t="str">
        <x:v>ProxyError: primary market source unavailable; see source_id for full audit.</x:v>
      </x:c>
      <x:c r="M785" t="str">
        <x:v>0</x:v>
      </x:c>
      <x:c r="N785" t="str">
        <x:v>0fd6ad2d-3389-4e70-8974-eb85ee223eeb</x:v>
      </x:c>
      <x:c r="O785" t="str">
        <x:v>2026-09-04</x:v>
      </x:c>
    </x:row>
    <x:row r="786">
      <x:c r="A786" t="str">
        <x:v>002540</x:v>
      </x:c>
      <x:c r="B786" t="str">
        <x:v>亚太科技</x:v>
      </x:c>
      <x:c r="C786" t="str">
        <x:v>主板</x:v>
      </x:c>
      <x:c r="D786" t="str">
        <x:v>待行业映射</x:v>
      </x:c>
      <x:c r="E786" t="n">
        <x:v>5.14</x:v>
      </x:c>
      <x:c r="F786" t="n">
        <x:v>21.54</x:v>
      </x:c>
      <x:c r="G786"/>
      <x:c r="H786" t="n">
        <x:v>64.13</x:v>
      </x:c>
      <x:c r="I786" t="n">
        <x:v>11.24</x:v>
      </x:c>
      <x:c r="J786" t="str">
        <x:v>initial_screen_pending_pb_financial_review</x:v>
      </x:c>
      <x:c r="K786" t="str">
        <x:v>AkShare / Tencent all-A market snapshot</x:v>
      </x:c>
      <x:c r="L786" t="str">
        <x:v>ProxyError: primary market source unavailable; see source_id for full audit.</x:v>
      </x:c>
      <x:c r="M786" t="str">
        <x:v>0</x:v>
      </x:c>
      <x:c r="N786" t="str">
        <x:v>0fd6ad2d-3389-4e70-8974-eb85ee223eeb</x:v>
      </x:c>
      <x:c r="O786" t="str">
        <x:v>2026-09-04</x:v>
      </x:c>
    </x:row>
    <x:row r="787">
      <x:c r="A787" t="str">
        <x:v>600884</x:v>
      </x:c>
      <x:c r="B787" t="str">
        <x:v>杉杉股份</x:v>
      </x:c>
      <x:c r="C787" t="str">
        <x:v>主板</x:v>
      </x:c>
      <x:c r="D787" t="str">
        <x:v>待行业映射</x:v>
      </x:c>
      <x:c r="E787" t="n">
        <x:v>11.55</x:v>
      </x:c>
      <x:c r="F787" t="n">
        <x:v>24.17</x:v>
      </x:c>
      <x:c r="G787"/>
      <x:c r="H787" t="n">
        <x:v>259.37</x:v>
      </x:c>
      <x:c r="I787" t="n">
        <x:v>11.24</x:v>
      </x:c>
      <x:c r="J787" t="str">
        <x:v>initial_screen_pending_pb_financial_review</x:v>
      </x:c>
      <x:c r="K787" t="str">
        <x:v>AkShare / Tencent all-A market snapshot</x:v>
      </x:c>
      <x:c r="L787" t="str">
        <x:v>ProxyError: primary market source unavailable; see source_id for full audit.</x:v>
      </x:c>
      <x:c r="M787" t="str">
        <x:v>0</x:v>
      </x:c>
      <x:c r="N787" t="str">
        <x:v>0fd6ad2d-3389-4e70-8974-eb85ee223eeb</x:v>
      </x:c>
      <x:c r="O787" t="str">
        <x:v>2026-09-04</x:v>
      </x:c>
    </x:row>
    <x:row r="788">
      <x:c r="A788" t="str">
        <x:v>605056</x:v>
      </x:c>
      <x:c r="B788" t="str">
        <x:v>咸亨国际</x:v>
      </x:c>
      <x:c r="C788" t="str">
        <x:v>主板</x:v>
      </x:c>
      <x:c r="D788" t="str">
        <x:v>待行业映射</x:v>
      </x:c>
      <x:c r="E788" t="n">
        <x:v>13.68</x:v>
      </x:c>
      <x:c r="F788" t="n">
        <x:v>21.43</x:v>
      </x:c>
      <x:c r="G788"/>
      <x:c r="H788" t="n">
        <x:v>56</x:v>
      </x:c>
      <x:c r="I788" t="n">
        <x:v>11.24</x:v>
      </x:c>
      <x:c r="J788" t="str">
        <x:v>initial_screen_pending_pb_financial_review</x:v>
      </x:c>
      <x:c r="K788" t="str">
        <x:v>AkShare / Tencent all-A market snapshot</x:v>
      </x:c>
      <x:c r="L788" t="str">
        <x:v>ProxyError: primary market source unavailable; see source_id for full audit.</x:v>
      </x:c>
      <x:c r="M788" t="str">
        <x:v>0</x:v>
      </x:c>
      <x:c r="N788" t="str">
        <x:v>0fd6ad2d-3389-4e70-8974-eb85ee223eeb</x:v>
      </x:c>
      <x:c r="O788" t="str">
        <x:v>2026-09-04</x:v>
      </x:c>
    </x:row>
    <x:row r="789">
      <x:c r="A789" t="str">
        <x:v>002437</x:v>
      </x:c>
      <x:c r="B789" t="str">
        <x:v>誉衡药业</x:v>
      </x:c>
      <x:c r="C789" t="str">
        <x:v>主板</x:v>
      </x:c>
      <x:c r="D789" t="str">
        <x:v>待行业映射</x:v>
      </x:c>
      <x:c r="E789" t="n">
        <x:v>3.94</x:v>
      </x:c>
      <x:c r="F789" t="n">
        <x:v>21.88</x:v>
      </x:c>
      <x:c r="G789"/>
      <x:c r="H789" t="n">
        <x:v>87.86</x:v>
      </x:c>
      <x:c r="I789" t="n">
        <x:v>11.19</x:v>
      </x:c>
      <x:c r="J789" t="str">
        <x:v>initial_screen_pending_pb_financial_review</x:v>
      </x:c>
      <x:c r="K789" t="str">
        <x:v>AkShare / Tencent all-A market snapshot</x:v>
      </x:c>
      <x:c r="L789" t="str">
        <x:v>ProxyError: primary market source unavailable; see source_id for full audit.</x:v>
      </x:c>
      <x:c r="M789" t="str">
        <x:v>0</x:v>
      </x:c>
      <x:c r="N789" t="str">
        <x:v>0fd6ad2d-3389-4e70-8974-eb85ee223eeb</x:v>
      </x:c>
      <x:c r="O789" t="str">
        <x:v>2026-09-04</x:v>
      </x:c>
    </x:row>
    <x:row r="790">
      <x:c r="A790" t="str">
        <x:v>001301</x:v>
      </x:c>
      <x:c r="B790" t="str">
        <x:v>尚太科技</x:v>
      </x:c>
      <x:c r="C790" t="str">
        <x:v>主板</x:v>
      </x:c>
      <x:c r="D790" t="str">
        <x:v>待行业映射</x:v>
      </x:c>
      <x:c r="E790" t="n">
        <x:v>55.74</x:v>
      </x:c>
      <x:c r="F790" t="n">
        <x:v>23.46</x:v>
      </x:c>
      <x:c r="G790"/>
      <x:c r="H790" t="n">
        <x:v>203.24</x:v>
      </x:c>
      <x:c r="I790" t="n">
        <x:v>11.12</x:v>
      </x:c>
      <x:c r="J790" t="str">
        <x:v>initial_screen_pending_pb_financial_review</x:v>
      </x:c>
      <x:c r="K790" t="str">
        <x:v>AkShare / Tencent all-A market snapshot</x:v>
      </x:c>
      <x:c r="L790" t="str">
        <x:v>ProxyError: primary market source unavailable; see source_id for full audit.</x:v>
      </x:c>
      <x:c r="M790" t="str">
        <x:v>0</x:v>
      </x:c>
      <x:c r="N790" t="str">
        <x:v>0fd6ad2d-3389-4e70-8974-eb85ee223eeb</x:v>
      </x:c>
      <x:c r="O790" t="str">
        <x:v>2026-09-04</x:v>
      </x:c>
    </x:row>
    <x:row r="791">
      <x:c r="A791" t="str">
        <x:v>002925</x:v>
      </x:c>
      <x:c r="B791" t="str">
        <x:v>盈趣科技</x:v>
      </x:c>
      <x:c r="C791" t="str">
        <x:v>主板</x:v>
      </x:c>
      <x:c r="D791" t="str">
        <x:v>待行业映射</x:v>
      </x:c>
      <x:c r="E791" t="n">
        <x:v>23.33</x:v>
      </x:c>
      <x:c r="F791" t="n">
        <x:v>23.16</x:v>
      </x:c>
      <x:c r="G791"/>
      <x:c r="H791" t="n">
        <x:v>180.03</x:v>
      </x:c>
      <x:c r="I791" t="n">
        <x:v>11.09</x:v>
      </x:c>
      <x:c r="J791" t="str">
        <x:v>initial_screen_pending_pb_financial_review</x:v>
      </x:c>
      <x:c r="K791" t="str">
        <x:v>AkShare / Tencent all-A market snapshot</x:v>
      </x:c>
      <x:c r="L791" t="str">
        <x:v>ProxyError: primary market source unavailable; see source_id for full audit.</x:v>
      </x:c>
      <x:c r="M791" t="str">
        <x:v>0</x:v>
      </x:c>
      <x:c r="N791" t="str">
        <x:v>0fd6ad2d-3389-4e70-8974-eb85ee223eeb</x:v>
      </x:c>
      <x:c r="O791" t="str">
        <x:v>2026-09-04</x:v>
      </x:c>
    </x:row>
    <x:row r="792">
      <x:c r="A792" t="str">
        <x:v>603218</x:v>
      </x:c>
      <x:c r="B792" t="str">
        <x:v>日月股份</x:v>
      </x:c>
      <x:c r="C792" t="str">
        <x:v>主板</x:v>
      </x:c>
      <x:c r="D792" t="str">
        <x:v>待行业映射</x:v>
      </x:c>
      <x:c r="E792" t="n">
        <x:v>9.24</x:v>
      </x:c>
      <x:c r="F792" t="n">
        <x:v>22.03</x:v>
      </x:c>
      <x:c r="G792"/>
      <x:c r="H792" t="n">
        <x:v>95.16</x:v>
      </x:c>
      <x:c r="I792" t="n">
        <x:v>11.05</x:v>
      </x:c>
      <x:c r="J792" t="str">
        <x:v>initial_screen_pending_pb_financial_review</x:v>
      </x:c>
      <x:c r="K792" t="str">
        <x:v>AkShare / Tencent all-A market snapshot</x:v>
      </x:c>
      <x:c r="L792" t="str">
        <x:v>ProxyError: primary market source unavailable; see source_id for full audit.</x:v>
      </x:c>
      <x:c r="M792" t="str">
        <x:v>0</x:v>
      </x:c>
      <x:c r="N792" t="str">
        <x:v>0fd6ad2d-3389-4e70-8974-eb85ee223eeb</x:v>
      </x:c>
      <x:c r="O792" t="str">
        <x:v>2026-09-04</x:v>
      </x:c>
    </x:row>
    <x:row r="793">
      <x:c r="A793" t="str">
        <x:v>688275</x:v>
      </x:c>
      <x:c r="B793" t="str">
        <x:v>万润新能</x:v>
      </x:c>
      <x:c r="C793" t="str">
        <x:v>科创板</x:v>
      </x:c>
      <x:c r="D793" t="str">
        <x:v>待行业映射</x:v>
      </x:c>
      <x:c r="E793" t="n">
        <x:v>71.58</x:v>
      </x:c>
      <x:c r="F793" t="n">
        <x:v>22.04</x:v>
      </x:c>
      <x:c r="G793"/>
      <x:c r="H793" t="n">
        <x:v>90.28</x:v>
      </x:c>
      <x:c r="I793" t="n">
        <x:v>10.86</x:v>
      </x:c>
      <x:c r="J793" t="str">
        <x:v>initial_screen_pending_pb_financial_review</x:v>
      </x:c>
      <x:c r="K793" t="str">
        <x:v>AkShare / Tencent all-A market snapshot</x:v>
      </x:c>
      <x:c r="L793" t="str">
        <x:v>ProxyError: primary market source unavailable; see source_id for full audit.</x:v>
      </x:c>
      <x:c r="M793" t="str">
        <x:v>0</x:v>
      </x:c>
      <x:c r="N793" t="str">
        <x:v>0fd6ad2d-3389-4e70-8974-eb85ee223eeb</x:v>
      </x:c>
      <x:c r="O793" t="str">
        <x:v>2026-09-04</x:v>
      </x:c>
    </x:row>
    <x:row r="794">
      <x:c r="A794" t="str">
        <x:v>600345</x:v>
      </x:c>
      <x:c r="B794" t="str">
        <x:v>长江通信</x:v>
      </x:c>
      <x:c r="C794" t="str">
        <x:v>主板</x:v>
      </x:c>
      <x:c r="D794" t="str">
        <x:v>待行业映射</x:v>
      </x:c>
      <x:c r="E794" t="n">
        <x:v>46.59</x:v>
      </x:c>
      <x:c r="F794" t="n">
        <x:v>22.9</x:v>
      </x:c>
      <x:c r="G794"/>
      <x:c r="H794" t="n">
        <x:v>153.57</x:v>
      </x:c>
      <x:c r="I794" t="n">
        <x:v>10.83</x:v>
      </x:c>
      <x:c r="J794" t="str">
        <x:v>initial_screen_pending_pb_financial_review</x:v>
      </x:c>
      <x:c r="K794" t="str">
        <x:v>AkShare / Tencent all-A market snapshot</x:v>
      </x:c>
      <x:c r="L794" t="str">
        <x:v>ProxyError: primary market source unavailable; see source_id for full audit.</x:v>
      </x:c>
      <x:c r="M794" t="str">
        <x:v>0</x:v>
      </x:c>
      <x:c r="N794" t="str">
        <x:v>0fd6ad2d-3389-4e70-8974-eb85ee223eeb</x:v>
      </x:c>
      <x:c r="O794" t="str">
        <x:v>2026-09-04</x:v>
      </x:c>
    </x:row>
    <x:row r="795">
      <x:c r="A795" t="str">
        <x:v>301015</x:v>
      </x:c>
      <x:c r="B795" t="str">
        <x:v>百洋医药</x:v>
      </x:c>
      <x:c r="C795" t="str">
        <x:v>创业板</x:v>
      </x:c>
      <x:c r="D795" t="str">
        <x:v>待行业映射</x:v>
      </x:c>
      <x:c r="E795" t="n">
        <x:v>22.92</x:v>
      </x:c>
      <x:c r="F795" t="n">
        <x:v>22.47</x:v>
      </x:c>
      <x:c r="G795"/>
      <x:c r="H795" t="n">
        <x:v>120.47</x:v>
      </x:c>
      <x:c r="I795" t="n">
        <x:v>10.79</x:v>
      </x:c>
      <x:c r="J795" t="str">
        <x:v>initial_screen_pending_pb_financial_review</x:v>
      </x:c>
      <x:c r="K795" t="str">
        <x:v>AkShare / Tencent all-A market snapshot</x:v>
      </x:c>
      <x:c r="L795" t="str">
        <x:v>ProxyError: primary market source unavailable; see source_id for full audit.</x:v>
      </x:c>
      <x:c r="M795" t="str">
        <x:v>0</x:v>
      </x:c>
      <x:c r="N795" t="str">
        <x:v>0fd6ad2d-3389-4e70-8974-eb85ee223eeb</x:v>
      </x:c>
      <x:c r="O795" t="str">
        <x:v>2026-09-04</x:v>
      </x:c>
    </x:row>
    <x:row r="796">
      <x:c r="A796" t="str">
        <x:v>600572</x:v>
      </x:c>
      <x:c r="B796" t="str">
        <x:v>康恩贝</x:v>
      </x:c>
      <x:c r="C796" t="str">
        <x:v>主板</x:v>
      </x:c>
      <x:c r="D796" t="str">
        <x:v>待行业映射</x:v>
      </x:c>
      <x:c r="E796" t="n">
        <x:v>4.39</x:v>
      </x:c>
      <x:c r="F796" t="n">
        <x:v>22.35</x:v>
      </x:c>
      <x:c r="G796"/>
      <x:c r="H796" t="n">
        <x:v>111.44</x:v>
      </x:c>
      <x:c r="I796" t="n">
        <x:v>10.79</x:v>
      </x:c>
      <x:c r="J796" t="str">
        <x:v>initial_screen_pending_pb_financial_review</x:v>
      </x:c>
      <x:c r="K796" t="str">
        <x:v>AkShare / Tencent all-A market snapshot</x:v>
      </x:c>
      <x:c r="L796" t="str">
        <x:v>ProxyError: primary market source unavailable; see source_id for full audit.</x:v>
      </x:c>
      <x:c r="M796" t="str">
        <x:v>0</x:v>
      </x:c>
      <x:c r="N796" t="str">
        <x:v>0fd6ad2d-3389-4e70-8974-eb85ee223eeb</x:v>
      </x:c>
      <x:c r="O796" t="str">
        <x:v>2026-09-04</x:v>
      </x:c>
    </x:row>
    <x:row r="797">
      <x:c r="A797" t="str">
        <x:v>603166</x:v>
      </x:c>
      <x:c r="B797" t="str">
        <x:v>福达股份</x:v>
      </x:c>
      <x:c r="C797" t="str">
        <x:v>主板</x:v>
      </x:c>
      <x:c r="D797" t="str">
        <x:v>待行业映射</x:v>
      </x:c>
      <x:c r="E797" t="n">
        <x:v>11.06</x:v>
      </x:c>
      <x:c r="F797" t="n">
        <x:v>21.81</x:v>
      </x:c>
      <x:c r="G797"/>
      <x:c r="H797" t="n">
        <x:v>71.41</x:v>
      </x:c>
      <x:c r="I797" t="n">
        <x:v>10.79</x:v>
      </x:c>
      <x:c r="J797" t="str">
        <x:v>initial_screen_pending_pb_financial_review</x:v>
      </x:c>
      <x:c r="K797" t="str">
        <x:v>AkShare / Tencent all-A market snapshot</x:v>
      </x:c>
      <x:c r="L797" t="str">
        <x:v>ProxyError: primary market source unavailable; see source_id for full audit.</x:v>
      </x:c>
      <x:c r="M797" t="str">
        <x:v>0</x:v>
      </x:c>
      <x:c r="N797" t="str">
        <x:v>0fd6ad2d-3389-4e70-8974-eb85ee223eeb</x:v>
      </x:c>
      <x:c r="O797" t="str">
        <x:v>2026-09-04</x:v>
      </x:c>
    </x:row>
    <x:row r="798">
      <x:c r="A798" t="str">
        <x:v>300975</x:v>
      </x:c>
      <x:c r="B798" t="str">
        <x:v>商络电子</x:v>
      </x:c>
      <x:c r="C798" t="str">
        <x:v>创业板</x:v>
      </x:c>
      <x:c r="D798" t="str">
        <x:v>待行业映射</x:v>
      </x:c>
      <x:c r="E798" t="n">
        <x:v>24.28</x:v>
      </x:c>
      <x:c r="F798" t="n">
        <x:v>23.13</x:v>
      </x:c>
      <x:c r="G798"/>
      <x:c r="H798" t="n">
        <x:v>166.8</x:v>
      </x:c>
      <x:c r="I798" t="n">
        <x:v>10.7</x:v>
      </x:c>
      <x:c r="J798" t="str">
        <x:v>initial_screen_pending_pb_financial_review</x:v>
      </x:c>
      <x:c r="K798" t="str">
        <x:v>AkShare / Tencent all-A market snapshot</x:v>
      </x:c>
      <x:c r="L798" t="str">
        <x:v>ProxyError: primary market source unavailable; see source_id for full audit.</x:v>
      </x:c>
      <x:c r="M798" t="str">
        <x:v>0</x:v>
      </x:c>
      <x:c r="N798" t="str">
        <x:v>0fd6ad2d-3389-4e70-8974-eb85ee223eeb</x:v>
      </x:c>
      <x:c r="O798" t="str">
        <x:v>2026-09-04</x:v>
      </x:c>
    </x:row>
    <x:row r="799">
      <x:c r="A799" t="str">
        <x:v>301028</x:v>
      </x:c>
      <x:c r="B799" t="str">
        <x:v>鼎熔岩</x:v>
      </x:c>
      <x:c r="C799" t="str">
        <x:v>创业板</x:v>
      </x:c>
      <x:c r="D799" t="str">
        <x:v>待行业映射</x:v>
      </x:c>
      <x:c r="E799" t="n">
        <x:v>13.46</x:v>
      </x:c>
      <x:c r="F799" t="n">
        <x:v>21.62</x:v>
      </x:c>
      <x:c r="G799"/>
      <x:c r="H799" t="n">
        <x:v>52</x:v>
      </x:c>
      <x:c r="I799" t="n">
        <x:v>10.61</x:v>
      </x:c>
      <x:c r="J799" t="str">
        <x:v>initial_screen_pending_pb_financial_review</x:v>
      </x:c>
      <x:c r="K799" t="str">
        <x:v>AkShare / Tencent all-A market snapshot</x:v>
      </x:c>
      <x:c r="L799" t="str">
        <x:v>ProxyError: primary market source unavailable; see source_id for full audit.</x:v>
      </x:c>
      <x:c r="M799" t="str">
        <x:v>0</x:v>
      </x:c>
      <x:c r="N799" t="str">
        <x:v>0fd6ad2d-3389-4e70-8974-eb85ee223eeb</x:v>
      </x:c>
      <x:c r="O799" t="str">
        <x:v>2026-09-04</x:v>
      </x:c>
    </x:row>
    <x:row r="800">
      <x:c r="A800" t="str">
        <x:v>688100</x:v>
      </x:c>
      <x:c r="B800" t="str">
        <x:v>威胜信息</x:v>
      </x:c>
      <x:c r="C800" t="str">
        <x:v>科创板</x:v>
      </x:c>
      <x:c r="D800" t="str">
        <x:v>待行业映射</x:v>
      </x:c>
      <x:c r="E800" t="n">
        <x:v>25.97</x:v>
      </x:c>
      <x:c r="F800" t="n">
        <x:v>22.66</x:v>
      </x:c>
      <x:c r="G800"/>
      <x:c r="H800" t="n">
        <x:v>127.69</x:v>
      </x:c>
      <x:c r="I800" t="n">
        <x:v>10.55</x:v>
      </x:c>
      <x:c r="J800" t="str">
        <x:v>initial_screen_pending_pb_financial_review</x:v>
      </x:c>
      <x:c r="K800" t="str">
        <x:v>AkShare / Tencent all-A market snapshot</x:v>
      </x:c>
      <x:c r="L800" t="str">
        <x:v>ProxyError: primary market source unavailable; see source_id for full audit.</x:v>
      </x:c>
      <x:c r="M800" t="str">
        <x:v>0</x:v>
      </x:c>
      <x:c r="N800" t="str">
        <x:v>0fd6ad2d-3389-4e70-8974-eb85ee223eeb</x:v>
      </x:c>
      <x:c r="O800" t="str">
        <x:v>2026-09-04</x:v>
      </x:c>
    </x:row>
    <x:row r="801">
      <x:c r="A801" t="str">
        <x:v>300039</x:v>
      </x:c>
      <x:c r="B801" t="str">
        <x:v>上海凯宝</x:v>
      </x:c>
      <x:c r="C801" t="str">
        <x:v>创业板</x:v>
      </x:c>
      <x:c r="D801" t="str">
        <x:v>待行业映射</x:v>
      </x:c>
      <x:c r="E801" t="n">
        <x:v>5.37</x:v>
      </x:c>
      <x:c r="F801" t="n">
        <x:v>21.72</x:v>
      </x:c>
      <x:c r="G801"/>
      <x:c r="H801" t="n">
        <x:v>56.17</x:v>
      </x:c>
      <x:c r="I801" t="n">
        <x:v>10.49</x:v>
      </x:c>
      <x:c r="J801" t="str">
        <x:v>initial_screen_pending_pb_financial_review</x:v>
      </x:c>
      <x:c r="K801" t="str">
        <x:v>AkShare / Tencent all-A market snapshot</x:v>
      </x:c>
      <x:c r="L801" t="str">
        <x:v>ProxyError: primary market source unavailable; see source_id for full audit.</x:v>
      </x:c>
      <x:c r="M801" t="str">
        <x:v>0</x:v>
      </x:c>
      <x:c r="N801" t="str">
        <x:v>0fd6ad2d-3389-4e70-8974-eb85ee223eeb</x:v>
      </x:c>
      <x:c r="O801" t="str">
        <x:v>2026-09-04</x:v>
      </x:c>
    </x:row>
    <x:row r="802">
      <x:c r="A802" t="str">
        <x:v>002683</x:v>
      </x:c>
      <x:c r="B802" t="str">
        <x:v>广东宏大</x:v>
      </x:c>
      <x:c r="C802" t="str">
        <x:v>主板</x:v>
      </x:c>
      <x:c r="D802" t="str">
        <x:v>待行业映射</x:v>
      </x:c>
      <x:c r="E802" t="n">
        <x:v>30.94</x:v>
      </x:c>
      <x:c r="F802" t="n">
        <x:v>24.15</x:v>
      </x:c>
      <x:c r="G802"/>
      <x:c r="H802" t="n">
        <x:v>235.11</x:v>
      </x:c>
      <x:c r="I802" t="n">
        <x:v>10.44</x:v>
      </x:c>
      <x:c r="J802" t="str">
        <x:v>initial_screen_pending_pb_financial_review</x:v>
      </x:c>
      <x:c r="K802" t="str">
        <x:v>AkShare / Tencent all-A market snapshot</x:v>
      </x:c>
      <x:c r="L802" t="str">
        <x:v>ProxyError: primary market source unavailable; see source_id for full audit.</x:v>
      </x:c>
      <x:c r="M802" t="str">
        <x:v>0</x:v>
      </x:c>
      <x:c r="N802" t="str">
        <x:v>0fd6ad2d-3389-4e70-8974-eb85ee223eeb</x:v>
      </x:c>
      <x:c r="O802" t="str">
        <x:v>2026-09-04</x:v>
      </x:c>
    </x:row>
    <x:row r="803">
      <x:c r="A803" t="str">
        <x:v>000049</x:v>
      </x:c>
      <x:c r="B803" t="str">
        <x:v>德赛电池</x:v>
      </x:c>
      <x:c r="C803" t="str">
        <x:v>主板</x:v>
      </x:c>
      <x:c r="D803" t="str">
        <x:v>待行业映射</x:v>
      </x:c>
      <x:c r="E803" t="n">
        <x:v>23.13</x:v>
      </x:c>
      <x:c r="F803" t="n">
        <x:v>22.24</x:v>
      </x:c>
      <x:c r="G803"/>
      <x:c r="H803" t="n">
        <x:v>88.97</x:v>
      </x:c>
      <x:c r="I803" t="n">
        <x:v>10.29</x:v>
      </x:c>
      <x:c r="J803" t="str">
        <x:v>initial_screen_pending_pb_financial_review</x:v>
      </x:c>
      <x:c r="K803" t="str">
        <x:v>AkShare / Tencent all-A market snapshot</x:v>
      </x:c>
      <x:c r="L803" t="str">
        <x:v>ProxyError: primary market source unavailable; see source_id for full audit.</x:v>
      </x:c>
      <x:c r="M803" t="str">
        <x:v>0</x:v>
      </x:c>
      <x:c r="N803" t="str">
        <x:v>0fd6ad2d-3389-4e70-8974-eb85ee223eeb</x:v>
      </x:c>
      <x:c r="O803" t="str">
        <x:v>2026-09-04</x:v>
      </x:c>
    </x:row>
    <x:row r="804">
      <x:c r="A804" t="str">
        <x:v>603277</x:v>
      </x:c>
      <x:c r="B804" t="str">
        <x:v>银都股份</x:v>
      </x:c>
      <x:c r="C804" t="str">
        <x:v>主板</x:v>
      </x:c>
      <x:c r="D804" t="str">
        <x:v>待行业映射</x:v>
      </x:c>
      <x:c r="E804" t="n">
        <x:v>11.35</x:v>
      </x:c>
      <x:c r="F804" t="n">
        <x:v>21.99</x:v>
      </x:c>
      <x:c r="G804"/>
      <x:c r="H804" t="n">
        <x:v>69.43</x:v>
      </x:c>
      <x:c r="I804" t="n">
        <x:v>10.26</x:v>
      </x:c>
      <x:c r="J804" t="str">
        <x:v>initial_screen_pending_pb_financial_review</x:v>
      </x:c>
      <x:c r="K804" t="str">
        <x:v>AkShare / Tencent all-A market snapshot</x:v>
      </x:c>
      <x:c r="L804" t="str">
        <x:v>ProxyError: primary market source unavailable; see source_id for full audit.</x:v>
      </x:c>
      <x:c r="M804" t="str">
        <x:v>0</x:v>
      </x:c>
      <x:c r="N804" t="str">
        <x:v>0fd6ad2d-3389-4e70-8974-eb85ee223eeb</x:v>
      </x:c>
      <x:c r="O804" t="str">
        <x:v>2026-09-04</x:v>
      </x:c>
    </x:row>
    <x:row r="805">
      <x:c r="A805" t="str">
        <x:v>603507</x:v>
      </x:c>
      <x:c r="B805" t="str">
        <x:v>振江股份</x:v>
      </x:c>
      <x:c r="C805" t="str">
        <x:v>主板</x:v>
      </x:c>
      <x:c r="D805" t="str">
        <x:v>待行业映射</x:v>
      </x:c>
      <x:c r="E805" t="n">
        <x:v>22.41</x:v>
      </x:c>
      <x:c r="F805" t="n">
        <x:v>21.81</x:v>
      </x:c>
      <x:c r="G805"/>
      <x:c r="H805" t="n">
        <x:v>53.55</x:v>
      </x:c>
      <x:c r="I805" t="n">
        <x:v>10.17</x:v>
      </x:c>
      <x:c r="J805" t="str">
        <x:v>initial_screen_pending_pb_financial_review</x:v>
      </x:c>
      <x:c r="K805" t="str">
        <x:v>AkShare / Tencent all-A market snapshot</x:v>
      </x:c>
      <x:c r="L805" t="str">
        <x:v>ProxyError: primary market source unavailable; see source_id for full audit.</x:v>
      </x:c>
      <x:c r="M805" t="str">
        <x:v>0</x:v>
      </x:c>
      <x:c r="N805" t="str">
        <x:v>0fd6ad2d-3389-4e70-8974-eb85ee223eeb</x:v>
      </x:c>
      <x:c r="O805" t="str">
        <x:v>2026-09-04</x:v>
      </x:c>
    </x:row>
    <x:row r="806">
      <x:c r="A806" t="str">
        <x:v>002332</x:v>
      </x:c>
      <x:c r="B806" t="str">
        <x:v>仙琚制药</x:v>
      </x:c>
      <x:c r="C806" t="str">
        <x:v>主板</x:v>
      </x:c>
      <x:c r="D806" t="str">
        <x:v>待行业映射</x:v>
      </x:c>
      <x:c r="E806" t="n">
        <x:v>8.68</x:v>
      </x:c>
      <x:c r="F806" t="n">
        <x:v>22.25</x:v>
      </x:c>
      <x:c r="G806"/>
      <x:c r="H806" t="n">
        <x:v>85.86</x:v>
      </x:c>
      <x:c r="I806" t="n">
        <x:v>10.16</x:v>
      </x:c>
      <x:c r="J806" t="str">
        <x:v>initial_screen_pending_pb_financial_review</x:v>
      </x:c>
      <x:c r="K806" t="str">
        <x:v>AkShare / Tencent all-A market snapshot</x:v>
      </x:c>
      <x:c r="L806" t="str">
        <x:v>ProxyError: primary market source unavailable; see source_id for full audit.</x:v>
      </x:c>
      <x:c r="M806" t="str">
        <x:v>0</x:v>
      </x:c>
      <x:c r="N806" t="str">
        <x:v>0fd6ad2d-3389-4e70-8974-eb85ee223eeb</x:v>
      </x:c>
      <x:c r="O806" t="str">
        <x:v>2026-09-04</x:v>
      </x:c>
    </x:row>
    <x:row r="807">
      <x:c r="A807" t="str">
        <x:v>300438</x:v>
      </x:c>
      <x:c r="B807" t="str">
        <x:v>鹏辉能源</x:v>
      </x:c>
      <x:c r="C807" t="str">
        <x:v>创业板</x:v>
      </x:c>
      <x:c r="D807" t="str">
        <x:v>待行业映射</x:v>
      </x:c>
      <x:c r="E807" t="n">
        <x:v>54.82</x:v>
      </x:c>
      <x:c r="F807" t="n">
        <x:v>24.84</x:v>
      </x:c>
      <x:c r="G807"/>
      <x:c r="H807" t="n">
        <x:v>275.93</x:v>
      </x:c>
      <x:c r="I807" t="n">
        <x:v>10.07</x:v>
      </x:c>
      <x:c r="J807" t="str">
        <x:v>initial_screen_pending_pb_financial_review</x:v>
      </x:c>
      <x:c r="K807" t="str">
        <x:v>AkShare / Tencent all-A market snapshot</x:v>
      </x:c>
      <x:c r="L807" t="str">
        <x:v>ProxyError: primary market source unavailable; see source_id for full audit.</x:v>
      </x:c>
      <x:c r="M807" t="str">
        <x:v>0</x:v>
      </x:c>
      <x:c r="N807" t="str">
        <x:v>0fd6ad2d-3389-4e70-8974-eb85ee223eeb</x:v>
      </x:c>
      <x:c r="O807" t="str">
        <x:v>2026-09-04</x:v>
      </x:c>
    </x:row>
    <x:row r="808">
      <x:c r="A808" t="str">
        <x:v>002270</x:v>
      </x:c>
      <x:c r="B808" t="str">
        <x:v>华明装备</x:v>
      </x:c>
      <x:c r="C808" t="str">
        <x:v>主板</x:v>
      </x:c>
      <x:c r="D808" t="str">
        <x:v>待行业映射</x:v>
      </x:c>
      <x:c r="E808" t="n">
        <x:v>19.12</x:v>
      </x:c>
      <x:c r="F808" t="n">
        <x:v>23.44</x:v>
      </x:c>
      <x:c r="G808"/>
      <x:c r="H808" t="n">
        <x:v>171.36</x:v>
      </x:c>
      <x:c r="I808" t="n">
        <x:v>10.05</x:v>
      </x:c>
      <x:c r="J808" t="str">
        <x:v>initial_screen_pending_pb_financial_review</x:v>
      </x:c>
      <x:c r="K808" t="str">
        <x:v>AkShare / Tencent all-A market snapshot</x:v>
      </x:c>
      <x:c r="L808" t="str">
        <x:v>ProxyError: primary market source unavailable; see source_id for full audit.</x:v>
      </x:c>
      <x:c r="M808" t="str">
        <x:v>0</x:v>
      </x:c>
      <x:c r="N808" t="str">
        <x:v>0fd6ad2d-3389-4e70-8974-eb85ee223eeb</x:v>
      </x:c>
      <x:c r="O808" t="str">
        <x:v>2026-09-04</x:v>
      </x:c>
    </x:row>
    <x:row r="809">
      <x:c r="A809" t="str">
        <x:v>601158</x:v>
      </x:c>
      <x:c r="B809" t="str">
        <x:v>重庆水务</x:v>
      </x:c>
      <x:c r="C809" t="str">
        <x:v>主板</x:v>
      </x:c>
      <x:c r="D809" t="str">
        <x:v>待行业映射</x:v>
      </x:c>
      <x:c r="E809" t="n">
        <x:v>4.12</x:v>
      </x:c>
      <x:c r="F809" t="n">
        <x:v>23.81</x:v>
      </x:c>
      <x:c r="G809"/>
      <x:c r="H809" t="n">
        <x:v>197.76</x:v>
      </x:c>
      <x:c r="I809" t="n">
        <x:v>10.02</x:v>
      </x:c>
      <x:c r="J809" t="str">
        <x:v>initial_screen_pending_pb_financial_review</x:v>
      </x:c>
      <x:c r="K809" t="str">
        <x:v>AkShare / Tencent all-A market snapshot</x:v>
      </x:c>
      <x:c r="L809" t="str">
        <x:v>ProxyError: primary market source unavailable; see source_id for full audit.</x:v>
      </x:c>
      <x:c r="M809" t="str">
        <x:v>0</x:v>
      </x:c>
      <x:c r="N809" t="str">
        <x:v>0fd6ad2d-3389-4e70-8974-eb85ee223eeb</x:v>
      </x:c>
      <x:c r="O809" t="str">
        <x:v>2026-09-04</x:v>
      </x:c>
    </x:row>
    <x:row r="810">
      <x:c r="A810" t="str">
        <x:v>301345</x:v>
      </x:c>
      <x:c r="B810" t="str">
        <x:v>涛涛车业</x:v>
      </x:c>
      <x:c r="C810" t="str">
        <x:v>创业板</x:v>
      </x:c>
      <x:c r="D810" t="str">
        <x:v>待行业映射</x:v>
      </x:c>
      <x:c r="E810" t="n">
        <x:v>229.01</x:v>
      </x:c>
      <x:c r="F810" t="n">
        <x:v>24.61</x:v>
      </x:c>
      <x:c r="G810"/>
      <x:c r="H810" t="n">
        <x:v>249.73</x:v>
      </x:c>
      <x:c r="I810" t="n">
        <x:v>9.75</x:v>
      </x:c>
      <x:c r="J810" t="str">
        <x:v>initial_screen_pending_pb_financial_review</x:v>
      </x:c>
      <x:c r="K810" t="str">
        <x:v>AkShare / Tencent all-A market snapshot</x:v>
      </x:c>
      <x:c r="L810" t="str">
        <x:v>ProxyError: primary market source unavailable; see source_id for full audit.</x:v>
      </x:c>
      <x:c r="M810" t="str">
        <x:v>0</x:v>
      </x:c>
      <x:c r="N810" t="str">
        <x:v>0fd6ad2d-3389-4e70-8974-eb85ee223eeb</x:v>
      </x:c>
      <x:c r="O810" t="str">
        <x:v>2026-09-04</x:v>
      </x:c>
    </x:row>
    <x:row r="811">
      <x:c r="A811" t="str">
        <x:v>002956</x:v>
      </x:c>
      <x:c r="B811" t="str">
        <x:v>西麦食品</x:v>
      </x:c>
      <x:c r="C811" t="str">
        <x:v>主板</x:v>
      </x:c>
      <x:c r="D811" t="str">
        <x:v>待行业映射</x:v>
      </x:c>
      <x:c r="E811" t="n">
        <x:v>16.77</x:v>
      </x:c>
      <x:c r="F811" t="n">
        <x:v>21.98</x:v>
      </x:c>
      <x:c r="G811"/>
      <x:c r="H811" t="n">
        <x:v>52.41</x:v>
      </x:c>
      <x:c r="I811" t="n">
        <x:v>9.69</x:v>
      </x:c>
      <x:c r="J811" t="str">
        <x:v>initial_screen_pending_pb_financial_review</x:v>
      </x:c>
      <x:c r="K811" t="str">
        <x:v>AkShare / Tencent all-A market snapshot</x:v>
      </x:c>
      <x:c r="L811" t="str">
        <x:v>ProxyError: primary market source unavailable; see source_id for full audit.</x:v>
      </x:c>
      <x:c r="M811" t="str">
        <x:v>0</x:v>
      </x:c>
      <x:c r="N811" t="str">
        <x:v>0fd6ad2d-3389-4e70-8974-eb85ee223eeb</x:v>
      </x:c>
      <x:c r="O811" t="str">
        <x:v>2026-09-04</x:v>
      </x:c>
    </x:row>
    <x:row r="812">
      <x:c r="A812" t="str">
        <x:v>300693</x:v>
      </x:c>
      <x:c r="B812" t="str">
        <x:v>盛弘股份</x:v>
      </x:c>
      <x:c r="C812" t="str">
        <x:v>创业板</x:v>
      </x:c>
      <x:c r="D812" t="str">
        <x:v>待行业映射</x:v>
      </x:c>
      <x:c r="E812" t="n">
        <x:v>40.13</x:v>
      </x:c>
      <x:c r="F812" t="n">
        <x:v>23</x:v>
      </x:c>
      <x:c r="G812"/>
      <x:c r="H812" t="n">
        <x:v>125.52</x:v>
      </x:c>
      <x:c r="I812" t="n">
        <x:v>9.59</x:v>
      </x:c>
      <x:c r="J812" t="str">
        <x:v>initial_screen_pending_pb_financial_review</x:v>
      </x:c>
      <x:c r="K812" t="str">
        <x:v>AkShare / Tencent all-A market snapshot</x:v>
      </x:c>
      <x:c r="L812" t="str">
        <x:v>ProxyError: primary market source unavailable; see source_id for full audit.</x:v>
      </x:c>
      <x:c r="M812" t="str">
        <x:v>0</x:v>
      </x:c>
      <x:c r="N812" t="str">
        <x:v>0fd6ad2d-3389-4e70-8974-eb85ee223eeb</x:v>
      </x:c>
      <x:c r="O812" t="str">
        <x:v>2026-09-04</x:v>
      </x:c>
    </x:row>
    <x:row r="813">
      <x:c r="A813" t="str">
        <x:v>300443</x:v>
      </x:c>
      <x:c r="B813" t="str">
        <x:v>金雷股份</x:v>
      </x:c>
      <x:c r="C813" t="str">
        <x:v>创业板</x:v>
      </x:c>
      <x:c r="D813" t="str">
        <x:v>待行业映射</x:v>
      </x:c>
      <x:c r="E813" t="n">
        <x:v>18.62</x:v>
      </x:c>
      <x:c r="F813" t="n">
        <x:v>22.12</x:v>
      </x:c>
      <x:c r="G813"/>
      <x:c r="H813" t="n">
        <x:v>59.61</x:v>
      </x:c>
      <x:c r="I813" t="n">
        <x:v>9.57</x:v>
      </x:c>
      <x:c r="J813" t="str">
        <x:v>initial_screen_pending_pb_financial_review</x:v>
      </x:c>
      <x:c r="K813" t="str">
        <x:v>AkShare / Tencent all-A market snapshot</x:v>
      </x:c>
      <x:c r="L813" t="str">
        <x:v>ProxyError: primary market source unavailable; see source_id for full audit.</x:v>
      </x:c>
      <x:c r="M813" t="str">
        <x:v>0</x:v>
      </x:c>
      <x:c r="N813" t="str">
        <x:v>0fd6ad2d-3389-4e70-8974-eb85ee223eeb</x:v>
      </x:c>
      <x:c r="O813" t="str">
        <x:v>2026-09-04</x:v>
      </x:c>
    </x:row>
    <x:row r="814">
      <x:c r="A814" t="str">
        <x:v>600320</x:v>
      </x:c>
      <x:c r="B814" t="str">
        <x:v>振华重工</x:v>
      </x:c>
      <x:c r="C814" t="str">
        <x:v>主板</x:v>
      </x:c>
      <x:c r="D814" t="str">
        <x:v>待行业映射</x:v>
      </x:c>
      <x:c r="E814" t="n">
        <x:v>4.13</x:v>
      </x:c>
      <x:c r="F814" t="n">
        <x:v>24.39</x:v>
      </x:c>
      <x:c r="G814"/>
      <x:c r="H814" t="n">
        <x:v>217.1</x:v>
      </x:c>
      <x:c r="I814" t="n">
        <x:v>9.18</x:v>
      </x:c>
      <x:c r="J814" t="str">
        <x:v>initial_screen_pending_pb_financial_review</x:v>
      </x:c>
      <x:c r="K814" t="str">
        <x:v>AkShare / Tencent all-A market snapshot</x:v>
      </x:c>
      <x:c r="L814" t="str">
        <x:v>ProxyError: primary market source unavailable; see source_id for full audit.</x:v>
      </x:c>
      <x:c r="M814" t="str">
        <x:v>0</x:v>
      </x:c>
      <x:c r="N814" t="str">
        <x:v>0fd6ad2d-3389-4e70-8974-eb85ee223eeb</x:v>
      </x:c>
      <x:c r="O814" t="str">
        <x:v>2026-09-04</x:v>
      </x:c>
    </x:row>
    <x:row r="815">
      <x:c r="A815" t="str">
        <x:v>002085</x:v>
      </x:c>
      <x:c r="B815" t="str">
        <x:v>万丰奥威</x:v>
      </x:c>
      <x:c r="C815" t="str">
        <x:v>主板</x:v>
      </x:c>
      <x:c r="D815" t="str">
        <x:v>待行业映射</x:v>
      </x:c>
      <x:c r="E815" t="n">
        <x:v>10.45</x:v>
      </x:c>
      <x:c r="F815" t="n">
        <x:v>24.52</x:v>
      </x:c>
      <x:c r="G815"/>
      <x:c r="H815" t="n">
        <x:v>221.88</x:v>
      </x:c>
      <x:c r="I815" t="n">
        <x:v>9.01</x:v>
      </x:c>
      <x:c r="J815" t="str">
        <x:v>initial_screen_pending_pb_financial_review</x:v>
      </x:c>
      <x:c r="K815" t="str">
        <x:v>AkShare / Tencent all-A market snapshot</x:v>
      </x:c>
      <x:c r="L815" t="str">
        <x:v>ProxyError: primary market source unavailable; see source_id for full audit.</x:v>
      </x:c>
      <x:c r="M815" t="str">
        <x:v>0</x:v>
      </x:c>
      <x:c r="N815" t="str">
        <x:v>0fd6ad2d-3389-4e70-8974-eb85ee223eeb</x:v>
      </x:c>
      <x:c r="O815" t="str">
        <x:v>2026-09-04</x:v>
      </x:c>
    </x:row>
    <x:row r="816">
      <x:c r="A816" t="str">
        <x:v>605016</x:v>
      </x:c>
      <x:c r="B816" t="str">
        <x:v>百龙创园</x:v>
      </x:c>
      <x:c r="C816" t="str">
        <x:v>主板</x:v>
      </x:c>
      <x:c r="D816" t="str">
        <x:v>待行业映射</x:v>
      </x:c>
      <x:c r="E816" t="n">
        <x:v>22.25</x:v>
      </x:c>
      <x:c r="F816" t="n">
        <x:v>22.83</x:v>
      </x:c>
      <x:c r="G816"/>
      <x:c r="H816" t="n">
        <x:v>93.45</x:v>
      </x:c>
      <x:c r="I816" t="n">
        <x:v>8.91</x:v>
      </x:c>
      <x:c r="J816" t="str">
        <x:v>initial_screen_pending_pb_financial_review</x:v>
      </x:c>
      <x:c r="K816" t="str">
        <x:v>AkShare / Tencent all-A market snapshot</x:v>
      </x:c>
      <x:c r="L816" t="str">
        <x:v>ProxyError: primary market source unavailable; see source_id for full audit.</x:v>
      </x:c>
      <x:c r="M816" t="str">
        <x:v>0</x:v>
      </x:c>
      <x:c r="N816" t="str">
        <x:v>0fd6ad2d-3389-4e70-8974-eb85ee223eeb</x:v>
      </x:c>
      <x:c r="O816" t="str">
        <x:v>2026-09-04</x:v>
      </x:c>
    </x:row>
    <x:row r="817">
      <x:c r="A817" t="str">
        <x:v>688779</x:v>
      </x:c>
      <x:c r="B817" t="str">
        <x:v>五矿新能</x:v>
      </x:c>
      <x:c r="C817" t="str">
        <x:v>科创板</x:v>
      </x:c>
      <x:c r="D817" t="str">
        <x:v>待行业映射</x:v>
      </x:c>
      <x:c r="E817" t="n">
        <x:v>7.74</x:v>
      </x:c>
      <x:c r="F817" t="n">
        <x:v>23.61</x:v>
      </x:c>
      <x:c r="G817"/>
      <x:c r="H817" t="n">
        <x:v>149.32</x:v>
      </x:c>
      <x:c r="I817" t="n">
        <x:v>8.84</x:v>
      </x:c>
      <x:c r="J817" t="str">
        <x:v>initial_screen_pending_pb_financial_review</x:v>
      </x:c>
      <x:c r="K817" t="str">
        <x:v>AkShare / Tencent all-A market snapshot</x:v>
      </x:c>
      <x:c r="L817" t="str">
        <x:v>ProxyError: primary market source unavailable; see source_id for full audit.</x:v>
      </x:c>
      <x:c r="M817" t="str">
        <x:v>0</x:v>
      </x:c>
      <x:c r="N817" t="str">
        <x:v>0fd6ad2d-3389-4e70-8974-eb85ee223eeb</x:v>
      </x:c>
      <x:c r="O817" t="str">
        <x:v>2026-09-04</x:v>
      </x:c>
    </x:row>
    <x:row r="818">
      <x:c r="A818" t="str">
        <x:v>000155</x:v>
      </x:c>
      <x:c r="B818" t="str">
        <x:v>川能动力</x:v>
      </x:c>
      <x:c r="C818" t="str">
        <x:v>主板</x:v>
      </x:c>
      <x:c r="D818" t="str">
        <x:v>待行业映射</x:v>
      </x:c>
      <x:c r="E818" t="n">
        <x:v>12.02</x:v>
      </x:c>
      <x:c r="F818" t="n">
        <x:v>24.59</x:v>
      </x:c>
      <x:c r="G818"/>
      <x:c r="H818" t="n">
        <x:v>221.91</x:v>
      </x:c>
      <x:c r="I818" t="n">
        <x:v>8.83</x:v>
      </x:c>
      <x:c r="J818" t="str">
        <x:v>initial_screen_pending_pb_financial_review</x:v>
      </x:c>
      <x:c r="K818" t="str">
        <x:v>AkShare / Tencent all-A market snapshot</x:v>
      </x:c>
      <x:c r="L818" t="str">
        <x:v>ProxyError: primary market source unavailable; see source_id for full audit.</x:v>
      </x:c>
      <x:c r="M818" t="str">
        <x:v>0</x:v>
      </x:c>
      <x:c r="N818" t="str">
        <x:v>0fd6ad2d-3389-4e70-8974-eb85ee223eeb</x:v>
      </x:c>
      <x:c r="O818" t="str">
        <x:v>2026-09-04</x:v>
      </x:c>
    </x:row>
    <x:row r="819">
      <x:c r="A819" t="str">
        <x:v>300861</x:v>
      </x:c>
      <x:c r="B819" t="str">
        <x:v>美畅股份</x:v>
      </x:c>
      <x:c r="C819" t="str">
        <x:v>创业板</x:v>
      </x:c>
      <x:c r="D819" t="str">
        <x:v>待行业映射</x:v>
      </x:c>
      <x:c r="E819" t="n">
        <x:v>16.17</x:v>
      </x:c>
      <x:c r="F819" t="n">
        <x:v>23.17</x:v>
      </x:c>
      <x:c r="G819"/>
      <x:c r="H819" t="n">
        <x:v>108.64</x:v>
      </x:c>
      <x:c r="I819" t="n">
        <x:v>8.56</x:v>
      </x:c>
      <x:c r="J819" t="str">
        <x:v>initial_screen_pending_pb_financial_review</x:v>
      </x:c>
      <x:c r="K819" t="str">
        <x:v>AkShare / Tencent all-A market snapshot</x:v>
      </x:c>
      <x:c r="L819" t="str">
        <x:v>ProxyError: primary market source unavailable; see source_id for full audit.</x:v>
      </x:c>
      <x:c r="M819" t="str">
        <x:v>0</x:v>
      </x:c>
      <x:c r="N819" t="str">
        <x:v>0fd6ad2d-3389-4e70-8974-eb85ee223eeb</x:v>
      </x:c>
      <x:c r="O819" t="str">
        <x:v>2026-09-04</x:v>
      </x:c>
    </x:row>
    <x:row r="820">
      <x:c r="A820" t="str">
        <x:v>600927</x:v>
      </x:c>
      <x:c r="B820" t="str">
        <x:v>永安期货</x:v>
      </x:c>
      <x:c r="C820" t="str">
        <x:v>主板</x:v>
      </x:c>
      <x:c r="D820" t="str">
        <x:v>待行业映射</x:v>
      </x:c>
      <x:c r="E820" t="n">
        <x:v>12.88</x:v>
      </x:c>
      <x:c r="F820" t="n">
        <x:v>24.25</x:v>
      </x:c>
      <x:c r="G820"/>
      <x:c r="H820" t="n">
        <x:v>186.82</x:v>
      </x:c>
      <x:c r="I820" t="n">
        <x:v>8.49</x:v>
      </x:c>
      <x:c r="J820" t="str">
        <x:v>initial_screen_pending_pb_financial_review</x:v>
      </x:c>
      <x:c r="K820" t="str">
        <x:v>AkShare / Tencent all-A market snapshot</x:v>
      </x:c>
      <x:c r="L820" t="str">
        <x:v>ProxyError: primary market source unavailable; see source_id for full audit.</x:v>
      </x:c>
      <x:c r="M820" t="str">
        <x:v>0</x:v>
      </x:c>
      <x:c r="N820" t="str">
        <x:v>0fd6ad2d-3389-4e70-8974-eb85ee223eeb</x:v>
      </x:c>
      <x:c r="O820" t="str">
        <x:v>2026-09-04</x:v>
      </x:c>
    </x:row>
    <x:row r="821">
      <x:c r="A821" t="str">
        <x:v>001323</x:v>
      </x:c>
      <x:c r="B821" t="str">
        <x:v>慕思股份</x:v>
      </x:c>
      <x:c r="C821" t="str">
        <x:v>主板</x:v>
      </x:c>
      <x:c r="D821" t="str">
        <x:v>待行业映射</x:v>
      </x:c>
      <x:c r="E821" t="n">
        <x:v>19.09</x:v>
      </x:c>
      <x:c r="F821" t="n">
        <x:v>22.86</x:v>
      </x:c>
      <x:c r="G821"/>
      <x:c r="H821" t="n">
        <x:v>83.06</x:v>
      </x:c>
      <x:c r="I821" t="n">
        <x:v>8.47</x:v>
      </x:c>
      <x:c r="J821" t="str">
        <x:v>initial_screen_pending_pb_financial_review</x:v>
      </x:c>
      <x:c r="K821" t="str">
        <x:v>AkShare / Tencent all-A market snapshot</x:v>
      </x:c>
      <x:c r="L821" t="str">
        <x:v>ProxyError: primary market source unavailable; see source_id for full audit.</x:v>
      </x:c>
      <x:c r="M821" t="str">
        <x:v>0</x:v>
      </x:c>
      <x:c r="N821" t="str">
        <x:v>0fd6ad2d-3389-4e70-8974-eb85ee223eeb</x:v>
      </x:c>
      <x:c r="O821" t="str">
        <x:v>2026-09-04</x:v>
      </x:c>
    </x:row>
    <x:row r="822">
      <x:c r="A822" t="str">
        <x:v>002901</x:v>
      </x:c>
      <x:c r="B822" t="str">
        <x:v>大博医疗</x:v>
      </x:c>
      <x:c r="C822" t="str">
        <x:v>主板</x:v>
      </x:c>
      <x:c r="D822" t="str">
        <x:v>待行业映射</x:v>
      </x:c>
      <x:c r="E822" t="n">
        <x:v>41.22</x:v>
      </x:c>
      <x:c r="F822" t="n">
        <x:v>24.08</x:v>
      </x:c>
      <x:c r="G822"/>
      <x:c r="H822" t="n">
        <x:v>170.66</x:v>
      </x:c>
      <x:c r="I822" t="n">
        <x:v>8.37</x:v>
      </x:c>
      <x:c r="J822" t="str">
        <x:v>initial_screen_pending_pb_financial_review</x:v>
      </x:c>
      <x:c r="K822" t="str">
        <x:v>AkShare / Tencent all-A market snapshot</x:v>
      </x:c>
      <x:c r="L822" t="str">
        <x:v>ProxyError: primary market source unavailable; see source_id for full audit.</x:v>
      </x:c>
      <x:c r="M822" t="str">
        <x:v>0</x:v>
      </x:c>
      <x:c r="N822" t="str">
        <x:v>0fd6ad2d-3389-4e70-8974-eb85ee223eeb</x:v>
      </x:c>
      <x:c r="O822" t="str">
        <x:v>2026-09-04</x:v>
      </x:c>
    </x:row>
    <x:row r="823">
      <x:c r="A823" t="str">
        <x:v>603300</x:v>
      </x:c>
      <x:c r="B823" t="str">
        <x:v>海南华铁</x:v>
      </x:c>
      <x:c r="C823" t="str">
        <x:v>主板</x:v>
      </x:c>
      <x:c r="D823" t="str">
        <x:v>待行业映射</x:v>
      </x:c>
      <x:c r="E823" t="n">
        <x:v>4.9</x:v>
      </x:c>
      <x:c r="F823" t="n">
        <x:v>23.11</x:v>
      </x:c>
      <x:c r="G823"/>
      <x:c r="H823" t="n">
        <x:v>97.96</x:v>
      </x:c>
      <x:c r="I823" t="n">
        <x:v>8.34</x:v>
      </x:c>
      <x:c r="J823" t="str">
        <x:v>initial_screen_pending_pb_financial_review</x:v>
      </x:c>
      <x:c r="K823" t="str">
        <x:v>AkShare / Tencent all-A market snapshot</x:v>
      </x:c>
      <x:c r="L823" t="str">
        <x:v>ProxyError: primary market source unavailable; see source_id for full audit.</x:v>
      </x:c>
      <x:c r="M823" t="str">
        <x:v>0</x:v>
      </x:c>
      <x:c r="N823" t="str">
        <x:v>0fd6ad2d-3389-4e70-8974-eb85ee223eeb</x:v>
      </x:c>
      <x:c r="O823" t="str">
        <x:v>2026-09-04</x:v>
      </x:c>
    </x:row>
    <x:row r="824">
      <x:c r="A824" t="str">
        <x:v>002698</x:v>
      </x:c>
      <x:c r="B824" t="str">
        <x:v>博实股份</x:v>
      </x:c>
      <x:c r="C824" t="str">
        <x:v>主板</x:v>
      </x:c>
      <x:c r="D824" t="str">
        <x:v>待行业映射</x:v>
      </x:c>
      <x:c r="E824" t="n">
        <x:v>11.94</x:v>
      </x:c>
      <x:c r="F824" t="n">
        <x:v>23.44</x:v>
      </x:c>
      <x:c r="G824"/>
      <x:c r="H824" t="n">
        <x:v>122.09</x:v>
      </x:c>
      <x:c r="I824" t="n">
        <x:v>8.33</x:v>
      </x:c>
      <x:c r="J824" t="str">
        <x:v>initial_screen_pending_pb_financial_review</x:v>
      </x:c>
      <x:c r="K824" t="str">
        <x:v>AkShare / Tencent all-A market snapshot</x:v>
      </x:c>
      <x:c r="L824" t="str">
        <x:v>ProxyError: primary market source unavailable; see source_id for full audit.</x:v>
      </x:c>
      <x:c r="M824" t="str">
        <x:v>0</x:v>
      </x:c>
      <x:c r="N824" t="str">
        <x:v>0fd6ad2d-3389-4e70-8974-eb85ee223eeb</x:v>
      </x:c>
      <x:c r="O824" t="str">
        <x:v>2026-09-04</x:v>
      </x:c>
    </x:row>
    <x:row r="825">
      <x:c r="A825" t="str">
        <x:v>002315</x:v>
      </x:c>
      <x:c r="B825" t="str">
        <x:v>焦点科技</x:v>
      </x:c>
      <x:c r="C825" t="str">
        <x:v>主板</x:v>
      </x:c>
      <x:c r="D825" t="str">
        <x:v>待行业映射</x:v>
      </x:c>
      <x:c r="E825" t="n">
        <x:v>26.46</x:v>
      </x:c>
      <x:c r="F825" t="n">
        <x:v>23.31</x:v>
      </x:c>
      <x:c r="G825"/>
      <x:c r="H825" t="n">
        <x:v>109.33</x:v>
      </x:c>
      <x:c r="I825" t="n">
        <x:v>8.22</x:v>
      </x:c>
      <x:c r="J825" t="str">
        <x:v>initial_screen_pending_pb_financial_review</x:v>
      </x:c>
      <x:c r="K825" t="str">
        <x:v>AkShare / Tencent all-A market snapshot</x:v>
      </x:c>
      <x:c r="L825" t="str">
        <x:v>ProxyError: primary market source unavailable; see source_id for full audit.</x:v>
      </x:c>
      <x:c r="M825" t="str">
        <x:v>0</x:v>
      </x:c>
      <x:c r="N825" t="str">
        <x:v>0fd6ad2d-3389-4e70-8974-eb85ee223eeb</x:v>
      </x:c>
      <x:c r="O825" t="str">
        <x:v>2026-09-04</x:v>
      </x:c>
    </x:row>
    <x:row r="826">
      <x:c r="A826" t="str">
        <x:v>605009</x:v>
      </x:c>
      <x:c r="B826" t="str">
        <x:v>豪悦护理</x:v>
      </x:c>
      <x:c r="C826" t="str">
        <x:v>主板</x:v>
      </x:c>
      <x:c r="D826" t="str">
        <x:v>待行业映射</x:v>
      </x:c>
      <x:c r="E826" t="n">
        <x:v>24.94</x:v>
      </x:c>
      <x:c r="F826" t="n">
        <x:v>22.59</x:v>
      </x:c>
      <x:c r="G826"/>
      <x:c r="H826" t="n">
        <x:v>53.61</x:v>
      </x:c>
      <x:c r="I826" t="n">
        <x:v>8.14</x:v>
      </x:c>
      <x:c r="J826" t="str">
        <x:v>initial_screen_pending_pb_financial_review</x:v>
      </x:c>
      <x:c r="K826" t="str">
        <x:v>AkShare / Tencent all-A market snapshot</x:v>
      </x:c>
      <x:c r="L826" t="str">
        <x:v>ProxyError: primary market source unavailable; see source_id for full audit.</x:v>
      </x:c>
      <x:c r="M826" t="str">
        <x:v>0</x:v>
      </x:c>
      <x:c r="N826" t="str">
        <x:v>0fd6ad2d-3389-4e70-8974-eb85ee223eeb</x:v>
      </x:c>
      <x:c r="O826" t="str">
        <x:v>2026-09-04</x:v>
      </x:c>
    </x:row>
    <x:row r="827">
      <x:c r="A827" t="str">
        <x:v>600063</x:v>
      </x:c>
      <x:c r="B827" t="str">
        <x:v>皖维高新</x:v>
      </x:c>
      <x:c r="C827" t="str">
        <x:v>主板</x:v>
      </x:c>
      <x:c r="D827" t="str">
        <x:v>待行业映射</x:v>
      </x:c>
      <x:c r="E827" t="n">
        <x:v>5.57</x:v>
      </x:c>
      <x:c r="F827" t="n">
        <x:v>23.45</x:v>
      </x:c>
      <x:c r="G827"/>
      <x:c r="H827" t="n">
        <x:v>115.25</x:v>
      </x:c>
      <x:c r="I827" t="n">
        <x:v>8.06</x:v>
      </x:c>
      <x:c r="J827" t="str">
        <x:v>initial_screen_pending_pb_financial_review</x:v>
      </x:c>
      <x:c r="K827" t="str">
        <x:v>AkShare / Tencent all-A market snapshot</x:v>
      </x:c>
      <x:c r="L827" t="str">
        <x:v>ProxyError: primary market source unavailable; see source_id for full audit.</x:v>
      </x:c>
      <x:c r="M827" t="str">
        <x:v>0</x:v>
      </x:c>
      <x:c r="N827" t="str">
        <x:v>0fd6ad2d-3389-4e70-8974-eb85ee223eeb</x:v>
      </x:c>
      <x:c r="O827" t="str">
        <x:v>2026-09-04</x:v>
      </x:c>
    </x:row>
    <x:row r="828">
      <x:c r="A828" t="str">
        <x:v>002511</x:v>
      </x:c>
      <x:c r="B828" t="str">
        <x:v>中顺洁柔</x:v>
      </x:c>
      <x:c r="C828" t="str">
        <x:v>主板</x:v>
      </x:c>
      <x:c r="D828" t="str">
        <x:v>待行业映射</x:v>
      </x:c>
      <x:c r="E828" t="n">
        <x:v>7.11</x:v>
      </x:c>
      <x:c r="F828" t="n">
        <x:v>23.13</x:v>
      </x:c>
      <x:c r="G828"/>
      <x:c r="H828" t="n">
        <x:v>91.09</x:v>
      </x:c>
      <x:c r="I828" t="n">
        <x:v>8.05</x:v>
      </x:c>
      <x:c r="J828" t="str">
        <x:v>initial_screen_pending_pb_financial_review</x:v>
      </x:c>
      <x:c r="K828" t="str">
        <x:v>AkShare / Tencent all-A market snapshot</x:v>
      </x:c>
      <x:c r="L828" t="str">
        <x:v>ProxyError: primary market source unavailable; see source_id for full audit.</x:v>
      </x:c>
      <x:c r="M828" t="str">
        <x:v>0</x:v>
      </x:c>
      <x:c r="N828" t="str">
        <x:v>0fd6ad2d-3389-4e70-8974-eb85ee223eeb</x:v>
      </x:c>
      <x:c r="O828" t="str">
        <x:v>2026-09-04</x:v>
      </x:c>
    </x:row>
    <x:row r="829">
      <x:c r="A829" t="str">
        <x:v>601500</x:v>
      </x:c>
      <x:c r="B829" t="str">
        <x:v>通用股份</x:v>
      </x:c>
      <x:c r="C829" t="str">
        <x:v>主板</x:v>
      </x:c>
      <x:c r="D829" t="str">
        <x:v>待行业映射</x:v>
      </x:c>
      <x:c r="E829" t="n">
        <x:v>3.96</x:v>
      </x:c>
      <x:c r="F829" t="n">
        <x:v>22.78</x:v>
      </x:c>
      <x:c r="G829"/>
      <x:c r="H829" t="n">
        <x:v>62.69</x:v>
      </x:c>
      <x:c r="I829" t="n">
        <x:v>7.97</x:v>
      </x:c>
      <x:c r="J829" t="str">
        <x:v>initial_screen_pending_pb_financial_review</x:v>
      </x:c>
      <x:c r="K829" t="str">
        <x:v>AkShare / Tencent all-A market snapshot</x:v>
      </x:c>
      <x:c r="L829" t="str">
        <x:v>ProxyError: primary market source unavailable; see source_id for full audit.</x:v>
      </x:c>
      <x:c r="M829" t="str">
        <x:v>0</x:v>
      </x:c>
      <x:c r="N829" t="str">
        <x:v>0fd6ad2d-3389-4e70-8974-eb85ee223eeb</x:v>
      </x:c>
      <x:c r="O829" t="str">
        <x:v>2026-09-04</x:v>
      </x:c>
    </x:row>
    <x:row r="830">
      <x:c r="A830" t="str">
        <x:v>300641</x:v>
      </x:c>
      <x:c r="B830" t="str">
        <x:v>正丹股份</x:v>
      </x:c>
      <x:c r="C830" t="str">
        <x:v>创业板</x:v>
      </x:c>
      <x:c r="D830" t="str">
        <x:v>待行业映射</x:v>
      </x:c>
      <x:c r="E830" t="n">
        <x:v>14.02</x:v>
      </x:c>
      <x:c r="F830" t="n">
        <x:v>22.96</x:v>
      </x:c>
      <x:c r="G830"/>
      <x:c r="H830" t="n">
        <x:v>73.68</x:v>
      </x:c>
      <x:c r="I830" t="n">
        <x:v>7.88</x:v>
      </x:c>
      <x:c r="J830" t="str">
        <x:v>initial_screen_pending_pb_financial_review</x:v>
      </x:c>
      <x:c r="K830" t="str">
        <x:v>AkShare / Tencent all-A market snapshot</x:v>
      </x:c>
      <x:c r="L830" t="str">
        <x:v>ProxyError: primary market source unavailable; see source_id for full audit.</x:v>
      </x:c>
      <x:c r="M830" t="str">
        <x:v>0</x:v>
      </x:c>
      <x:c r="N830" t="str">
        <x:v>0fd6ad2d-3389-4e70-8974-eb85ee223eeb</x:v>
      </x:c>
      <x:c r="O830" t="str">
        <x:v>2026-09-04</x:v>
      </x:c>
    </x:row>
    <x:row r="831">
      <x:c r="A831" t="str">
        <x:v>601101</x:v>
      </x:c>
      <x:c r="B831" t="str">
        <x:v>昊华能源</x:v>
      </x:c>
      <x:c r="C831" t="str">
        <x:v>主板</x:v>
      </x:c>
      <x:c r="D831" t="str">
        <x:v>待行业映射</x:v>
      </x:c>
      <x:c r="E831" t="n">
        <x:v>13.86</x:v>
      </x:c>
      <x:c r="F831" t="n">
        <x:v>24.68</x:v>
      </x:c>
      <x:c r="G831"/>
      <x:c r="H831" t="n">
        <x:v>199.58</x:v>
      </x:c>
      <x:c r="I831" t="n">
        <x:v>7.82</x:v>
      </x:c>
      <x:c r="J831" t="str">
        <x:v>initial_screen_pending_pb_financial_review</x:v>
      </x:c>
      <x:c r="K831" t="str">
        <x:v>AkShare / Tencent all-A market snapshot</x:v>
      </x:c>
      <x:c r="L831" t="str">
        <x:v>ProxyError: primary market source unavailable; see source_id for full audit.</x:v>
      </x:c>
      <x:c r="M831" t="str">
        <x:v>0</x:v>
      </x:c>
      <x:c r="N831" t="str">
        <x:v>0fd6ad2d-3389-4e70-8974-eb85ee223eeb</x:v>
      </x:c>
      <x:c r="O831" t="str">
        <x:v>2026-09-04</x:v>
      </x:c>
    </x:row>
    <x:row r="832">
      <x:c r="A832" t="str">
        <x:v>300529</x:v>
      </x:c>
      <x:c r="B832" t="str">
        <x:v>健帆生物</x:v>
      </x:c>
      <x:c r="C832" t="str">
        <x:v>创业板</x:v>
      </x:c>
      <x:c r="D832" t="str">
        <x:v>待行业映射</x:v>
      </x:c>
      <x:c r="E832" t="n">
        <x:v>15.56</x:v>
      </x:c>
      <x:c r="F832" t="n">
        <x:v>23.67</x:v>
      </x:c>
      <x:c r="G832"/>
      <x:c r="H832" t="n">
        <x:v>124.26</x:v>
      </x:c>
      <x:c r="I832" t="n">
        <x:v>7.81</x:v>
      </x:c>
      <x:c r="J832" t="str">
        <x:v>initial_screen_pending_pb_financial_review</x:v>
      </x:c>
      <x:c r="K832" t="str">
        <x:v>AkShare / Tencent all-A market snapshot</x:v>
      </x:c>
      <x:c r="L832" t="str">
        <x:v>ProxyError: primary market source unavailable; see source_id for full audit.</x:v>
      </x:c>
      <x:c r="M832" t="str">
        <x:v>0</x:v>
      </x:c>
      <x:c r="N832" t="str">
        <x:v>0fd6ad2d-3389-4e70-8974-eb85ee223eeb</x:v>
      </x:c>
      <x:c r="O832" t="str">
        <x:v>2026-09-04</x:v>
      </x:c>
    </x:row>
    <x:row r="833">
      <x:c r="A833" t="str">
        <x:v>300002</x:v>
      </x:c>
      <x:c r="B833" t="str">
        <x:v>神州泰岳</x:v>
      </x:c>
      <x:c r="C833" t="str">
        <x:v>创业板</x:v>
      </x:c>
      <x:c r="D833" t="str">
        <x:v>待行业映射</x:v>
      </x:c>
      <x:c r="E833" t="n">
        <x:v>8.29</x:v>
      </x:c>
      <x:c r="F833" t="n">
        <x:v>24.2</x:v>
      </x:c>
      <x:c r="G833"/>
      <x:c r="H833" t="n">
        <x:v>163.08</x:v>
      </x:c>
      <x:c r="I833" t="n">
        <x:v>7.79</x:v>
      </x:c>
      <x:c r="J833" t="str">
        <x:v>initial_screen_pending_pb_financial_review</x:v>
      </x:c>
      <x:c r="K833" t="str">
        <x:v>AkShare / Tencent all-A market snapshot</x:v>
      </x:c>
      <x:c r="L833" t="str">
        <x:v>ProxyError: primary market source unavailable; see source_id for full audit.</x:v>
      </x:c>
      <x:c r="M833" t="str">
        <x:v>0</x:v>
      </x:c>
      <x:c r="N833" t="str">
        <x:v>0fd6ad2d-3389-4e70-8974-eb85ee223eeb</x:v>
      </x:c>
      <x:c r="O833" t="str">
        <x:v>2026-09-04</x:v>
      </x:c>
    </x:row>
    <x:row r="834">
      <x:c r="A834" t="str">
        <x:v>600557</x:v>
      </x:c>
      <x:c r="B834" t="str">
        <x:v>康缘药业</x:v>
      </x:c>
      <x:c r="C834" t="str">
        <x:v>主板</x:v>
      </x:c>
      <x:c r="D834" t="str">
        <x:v>待行业映射</x:v>
      </x:c>
      <x:c r="E834" t="n">
        <x:v>12.52</x:v>
      </x:c>
      <x:c r="F834" t="n">
        <x:v>22.96</x:v>
      </x:c>
      <x:c r="G834"/>
      <x:c r="H834" t="n">
        <x:v>70.88</x:v>
      </x:c>
      <x:c r="I834" t="n">
        <x:v>7.78</x:v>
      </x:c>
      <x:c r="J834" t="str">
        <x:v>initial_screen_pending_pb_financial_review</x:v>
      </x:c>
      <x:c r="K834" t="str">
        <x:v>AkShare / Tencent all-A market snapshot</x:v>
      </x:c>
      <x:c r="L834" t="str">
        <x:v>ProxyError: primary market source unavailable; see source_id for full audit.</x:v>
      </x:c>
      <x:c r="M834" t="str">
        <x:v>0</x:v>
      </x:c>
      <x:c r="N834" t="str">
        <x:v>0fd6ad2d-3389-4e70-8974-eb85ee223eeb</x:v>
      </x:c>
      <x:c r="O834" t="str">
        <x:v>2026-09-04</x:v>
      </x:c>
    </x:row>
    <x:row r="835">
      <x:c r="A835" t="str">
        <x:v>300409</x:v>
      </x:c>
      <x:c r="B835" t="str">
        <x:v>道氏技术</x:v>
      </x:c>
      <x:c r="C835" t="str">
        <x:v>创业板</x:v>
      </x:c>
      <x:c r="D835" t="str">
        <x:v>待行业映射</x:v>
      </x:c>
      <x:c r="E835" t="n">
        <x:v>17.27</x:v>
      </x:c>
      <x:c r="F835" t="n">
        <x:v>23.84</x:v>
      </x:c>
      <x:c r="G835"/>
      <x:c r="H835" t="n">
        <x:v>135.09</x:v>
      </x:c>
      <x:c r="I835" t="n">
        <x:v>7.74</x:v>
      </x:c>
      <x:c r="J835" t="str">
        <x:v>initial_screen_pending_pb_financial_review</x:v>
      </x:c>
      <x:c r="K835" t="str">
        <x:v>AkShare / Tencent all-A market snapshot</x:v>
      </x:c>
      <x:c r="L835" t="str">
        <x:v>ProxyError: primary market source unavailable; see source_id for full audit.</x:v>
      </x:c>
      <x:c r="M835" t="str">
        <x:v>0</x:v>
      </x:c>
      <x:c r="N835" t="str">
        <x:v>0fd6ad2d-3389-4e70-8974-eb85ee223eeb</x:v>
      </x:c>
      <x:c r="O835" t="str">
        <x:v>2026-09-04</x:v>
      </x:c>
    </x:row>
    <x:row r="836">
      <x:c r="A836" t="str">
        <x:v>688334</x:v>
      </x:c>
      <x:c r="B836" t="str">
        <x:v>西高院</x:v>
      </x:c>
      <x:c r="C836" t="str">
        <x:v>科创板</x:v>
      </x:c>
      <x:c r="D836" t="str">
        <x:v>待行业映射</x:v>
      </x:c>
      <x:c r="E836" t="n">
        <x:v>18.4</x:v>
      </x:c>
      <x:c r="F836" t="n">
        <x:v>22.83</x:v>
      </x:c>
      <x:c r="G836"/>
      <x:c r="H836" t="n">
        <x:v>58.25</x:v>
      </x:c>
      <x:c r="I836" t="n">
        <x:v>7.68</x:v>
      </x:c>
      <x:c r="J836" t="str">
        <x:v>initial_screen_pending_pb_financial_review</x:v>
      </x:c>
      <x:c r="K836" t="str">
        <x:v>AkShare / Tencent all-A market snapshot</x:v>
      </x:c>
      <x:c r="L836" t="str">
        <x:v>ProxyError: primary market source unavailable; see source_id for full audit.</x:v>
      </x:c>
      <x:c r="M836" t="str">
        <x:v>0</x:v>
      </x:c>
      <x:c r="N836" t="str">
        <x:v>0fd6ad2d-3389-4e70-8974-eb85ee223eeb</x:v>
      </x:c>
      <x:c r="O836" t="str">
        <x:v>2026-09-04</x:v>
      </x:c>
    </x:row>
    <x:row r="837">
      <x:c r="A837" t="str">
        <x:v>920037</x:v>
      </x:c>
      <x:c r="B837" t="str">
        <x:v>广信科技</x:v>
      </x:c>
      <x:c r="C837" t="str">
        <x:v>北交所</x:v>
      </x:c>
      <x:c r="D837" t="str">
        <x:v>待行业映射</x:v>
      </x:c>
      <x:c r="E837" t="n">
        <x:v>39.54</x:v>
      </x:c>
      <x:c r="F837" t="n">
        <x:v>22.8</x:v>
      </x:c>
      <x:c r="G837"/>
      <x:c r="H837" t="n">
        <x:v>50.63</x:v>
      </x:c>
      <x:c r="I837" t="n">
        <x:v>7.49</x:v>
      </x:c>
      <x:c r="J837" t="str">
        <x:v>initial_screen_pending_pb_financial_review</x:v>
      </x:c>
      <x:c r="K837" t="str">
        <x:v>AkShare / Tencent all-A market snapshot</x:v>
      </x:c>
      <x:c r="L837" t="str">
        <x:v>ProxyError: primary market source unavailable; see source_id for full audit.</x:v>
      </x:c>
      <x:c r="M837" t="str">
        <x:v>0</x:v>
      </x:c>
      <x:c r="N837" t="str">
        <x:v>0fd6ad2d-3389-4e70-8974-eb85ee223eeb</x:v>
      </x:c>
      <x:c r="O837" t="str">
        <x:v>2026-09-04</x:v>
      </x:c>
    </x:row>
    <x:row r="838">
      <x:c r="A838" t="str">
        <x:v>002832</x:v>
      </x:c>
      <x:c r="B838" t="str">
        <x:v>比音勒芬</x:v>
      </x:c>
      <x:c r="C838" t="str">
        <x:v>主板</x:v>
      </x:c>
      <x:c r="D838" t="str">
        <x:v>待行业映射</x:v>
      </x:c>
      <x:c r="E838" t="n">
        <x:v>26.6</x:v>
      </x:c>
      <x:c r="F838" t="n">
        <x:v>24.21</x:v>
      </x:c>
      <x:c r="G838"/>
      <x:c r="H838" t="n">
        <x:v>151.81</x:v>
      </x:c>
      <x:c r="I838" t="n">
        <x:v>7.37</x:v>
      </x:c>
      <x:c r="J838" t="str">
        <x:v>initial_screen_pending_pb_financial_review</x:v>
      </x:c>
      <x:c r="K838" t="str">
        <x:v>AkShare / Tencent all-A market snapshot</x:v>
      </x:c>
      <x:c r="L838" t="str">
        <x:v>ProxyError: primary market source unavailable; see source_id for full audit.</x:v>
      </x:c>
      <x:c r="M838" t="str">
        <x:v>0</x:v>
      </x:c>
      <x:c r="N838" t="str">
        <x:v>0fd6ad2d-3389-4e70-8974-eb85ee223eeb</x:v>
      </x:c>
      <x:c r="O838" t="str">
        <x:v>2026-09-04</x:v>
      </x:c>
    </x:row>
    <x:row r="839">
      <x:c r="A839" t="str">
        <x:v>300073</x:v>
      </x:c>
      <x:c r="B839" t="str">
        <x:v>当升科技</x:v>
      </x:c>
      <x:c r="C839" t="str">
        <x:v>创业板</x:v>
      </x:c>
      <x:c r="D839" t="str">
        <x:v>待行业映射</x:v>
      </x:c>
      <x:c r="E839" t="n">
        <x:v>38.66</x:v>
      </x:c>
      <x:c r="F839" t="n">
        <x:v>25</x:v>
      </x:c>
      <x:c r="G839"/>
      <x:c r="H839" t="n">
        <x:v>210.42</x:v>
      </x:c>
      <x:c r="I839" t="n">
        <x:v>7.36</x:v>
      </x:c>
      <x:c r="J839" t="str">
        <x:v>initial_screen_pending_pb_financial_review</x:v>
      </x:c>
      <x:c r="K839" t="str">
        <x:v>AkShare / Tencent all-A market snapshot</x:v>
      </x:c>
      <x:c r="L839" t="str">
        <x:v>ProxyError: primary market source unavailable; see source_id for full audit.</x:v>
      </x:c>
      <x:c r="M839" t="str">
        <x:v>0</x:v>
      </x:c>
      <x:c r="N839" t="str">
        <x:v>0fd6ad2d-3389-4e70-8974-eb85ee223eeb</x:v>
      </x:c>
      <x:c r="O839" t="str">
        <x:v>2026-09-04</x:v>
      </x:c>
    </x:row>
    <x:row r="840">
      <x:c r="A840" t="str">
        <x:v>603867</x:v>
      </x:c>
      <x:c r="B840" t="str">
        <x:v>新化股份</x:v>
      </x:c>
      <x:c r="C840" t="str">
        <x:v>主板</x:v>
      </x:c>
      <x:c r="D840" t="str">
        <x:v>待行业映射</x:v>
      </x:c>
      <x:c r="E840" t="n">
        <x:v>29.08</x:v>
      </x:c>
      <x:c r="F840" t="n">
        <x:v>23.04</x:v>
      </x:c>
      <x:c r="G840"/>
      <x:c r="H840" t="n">
        <x:v>63.25</x:v>
      </x:c>
      <x:c r="I840" t="n">
        <x:v>7.31</x:v>
      </x:c>
      <x:c r="J840" t="str">
        <x:v>initial_screen_pending_pb_financial_review</x:v>
      </x:c>
      <x:c r="K840" t="str">
        <x:v>AkShare / Tencent all-A market snapshot</x:v>
      </x:c>
      <x:c r="L840" t="str">
        <x:v>ProxyError: primary market source unavailable; see source_id for full audit.</x:v>
      </x:c>
      <x:c r="M840" t="str">
        <x:v>0</x:v>
      </x:c>
      <x:c r="N840" t="str">
        <x:v>0fd6ad2d-3389-4e70-8974-eb85ee223eeb</x:v>
      </x:c>
      <x:c r="O840" t="str">
        <x:v>2026-09-04</x:v>
      </x:c>
    </x:row>
    <x:row r="841">
      <x:c r="A841" t="str">
        <x:v>000989</x:v>
      </x:c>
      <x:c r="B841" t="str">
        <x:v>九芝堂</x:v>
      </x:c>
      <x:c r="C841" t="str">
        <x:v>主板</x:v>
      </x:c>
      <x:c r="D841" t="str">
        <x:v>待行业映射</x:v>
      </x:c>
      <x:c r="E841" t="n">
        <x:v>8.93</x:v>
      </x:c>
      <x:c r="F841" t="n">
        <x:v>23.23</x:v>
      </x:c>
      <x:c r="G841"/>
      <x:c r="H841" t="n">
        <x:v>76.44</x:v>
      </x:c>
      <x:c r="I841" t="n">
        <x:v>7.28</x:v>
      </x:c>
      <x:c r="J841" t="str">
        <x:v>initial_screen_pending_pb_financial_review</x:v>
      </x:c>
      <x:c r="K841" t="str">
        <x:v>AkShare / Tencent all-A market snapshot</x:v>
      </x:c>
      <x:c r="L841" t="str">
        <x:v>ProxyError: primary market source unavailable; see source_id for full audit.</x:v>
      </x:c>
      <x:c r="M841" t="str">
        <x:v>0</x:v>
      </x:c>
      <x:c r="N841" t="str">
        <x:v>0fd6ad2d-3389-4e70-8974-eb85ee223eeb</x:v>
      </x:c>
      <x:c r="O841" t="str">
        <x:v>2026-09-04</x:v>
      </x:c>
    </x:row>
    <x:row r="842">
      <x:c r="A842" t="str">
        <x:v>002950</x:v>
      </x:c>
      <x:c r="B842" t="str">
        <x:v>奥美医疗</x:v>
      </x:c>
      <x:c r="C842" t="str">
        <x:v>主板</x:v>
      </x:c>
      <x:c r="D842" t="str">
        <x:v>待行业映射</x:v>
      </x:c>
      <x:c r="E842" t="n">
        <x:v>8.79</x:v>
      </x:c>
      <x:c r="F842" t="n">
        <x:v>22.95</x:v>
      </x:c>
      <x:c r="G842"/>
      <x:c r="H842" t="n">
        <x:v>55.66</x:v>
      </x:c>
      <x:c r="I842" t="n">
        <x:v>7.28</x:v>
      </x:c>
      <x:c r="J842" t="str">
        <x:v>initial_screen_pending_pb_financial_review</x:v>
      </x:c>
      <x:c r="K842" t="str">
        <x:v>AkShare / Tencent all-A market snapshot</x:v>
      </x:c>
      <x:c r="L842" t="str">
        <x:v>ProxyError: primary market source unavailable; see source_id for full audit.</x:v>
      </x:c>
      <x:c r="M842" t="str">
        <x:v>0</x:v>
      </x:c>
      <x:c r="N842" t="str">
        <x:v>0fd6ad2d-3389-4e70-8974-eb85ee223eeb</x:v>
      </x:c>
      <x:c r="O842" t="str">
        <x:v>2026-09-04</x:v>
      </x:c>
    </x:row>
    <x:row r="843">
      <x:c r="A843" t="str">
        <x:v>002010</x:v>
      </x:c>
      <x:c r="B843" t="str">
        <x:v>传化智联</x:v>
      </x:c>
      <x:c r="C843" t="str">
        <x:v>主板</x:v>
      </x:c>
      <x:c r="D843" t="str">
        <x:v>待行业映射</x:v>
      </x:c>
      <x:c r="E843" t="n">
        <x:v>4.58</x:v>
      </x:c>
      <x:c r="F843" t="n">
        <x:v>23.93</x:v>
      </x:c>
      <x:c r="G843"/>
      <x:c r="H843" t="n">
        <x:v>126.59</x:v>
      </x:c>
      <x:c r="I843" t="n">
        <x:v>7.21</x:v>
      </x:c>
      <x:c r="J843" t="str">
        <x:v>initial_screen_pending_pb_financial_review</x:v>
      </x:c>
      <x:c r="K843" t="str">
        <x:v>AkShare / Tencent all-A market snapshot</x:v>
      </x:c>
      <x:c r="L843" t="str">
        <x:v>ProxyError: primary market source unavailable; see source_id for full audit.</x:v>
      </x:c>
      <x:c r="M843" t="str">
        <x:v>0</x:v>
      </x:c>
      <x:c r="N843" t="str">
        <x:v>0fd6ad2d-3389-4e70-8974-eb85ee223eeb</x:v>
      </x:c>
      <x:c r="O843" t="str">
        <x:v>2026-09-04</x:v>
      </x:c>
    </x:row>
    <x:row r="844">
      <x:c r="A844" t="str">
        <x:v>603883</x:v>
      </x:c>
      <x:c r="B844" t="str">
        <x:v>老百姓</x:v>
      </x:c>
      <x:c r="C844" t="str">
        <x:v>主板</x:v>
      </x:c>
      <x:c r="D844" t="str">
        <x:v>待行业映射</x:v>
      </x:c>
      <x:c r="E844" t="n">
        <x:v>13.47</x:v>
      </x:c>
      <x:c r="F844" t="n">
        <x:v>23.73</x:v>
      </x:c>
      <x:c r="G844"/>
      <x:c r="H844" t="n">
        <x:v>102.22</x:v>
      </x:c>
      <x:c r="I844" t="n">
        <x:v>6.88</x:v>
      </x:c>
      <x:c r="J844" t="str">
        <x:v>initial_screen_pending_pb_financial_review</x:v>
      </x:c>
      <x:c r="K844" t="str">
        <x:v>AkShare / Tencent all-A market snapshot</x:v>
      </x:c>
      <x:c r="L844" t="str">
        <x:v>ProxyError: primary market source unavailable; see source_id for full audit.</x:v>
      </x:c>
      <x:c r="M844" t="str">
        <x:v>0</x:v>
      </x:c>
      <x:c r="N844" t="str">
        <x:v>0fd6ad2d-3389-4e70-8974-eb85ee223eeb</x:v>
      </x:c>
      <x:c r="O844" t="str">
        <x:v>2026-09-04</x:v>
      </x:c>
    </x:row>
    <x:row r="845">
      <x:c r="A845" t="str">
        <x:v>301608</x:v>
      </x:c>
      <x:c r="B845" t="str">
        <x:v>博实结</x:v>
      </x:c>
      <x:c r="C845" t="str">
        <x:v>创业板</x:v>
      </x:c>
      <x:c r="D845" t="str">
        <x:v>待行业映射</x:v>
      </x:c>
      <x:c r="E845" t="n">
        <x:v>44.11</x:v>
      </x:c>
      <x:c r="F845" t="n">
        <x:v>23.29</x:v>
      </x:c>
      <x:c r="G845"/>
      <x:c r="H845" t="n">
        <x:v>58.49</x:v>
      </x:c>
      <x:c r="I845" t="n">
        <x:v>6.49</x:v>
      </x:c>
      <x:c r="J845" t="str">
        <x:v>initial_screen_pending_pb_financial_review</x:v>
      </x:c>
      <x:c r="K845" t="str">
        <x:v>AkShare / Tencent all-A market snapshot</x:v>
      </x:c>
      <x:c r="L845" t="str">
        <x:v>ProxyError: primary market source unavailable; see source_id for full audit.</x:v>
      </x:c>
      <x:c r="M845" t="str">
        <x:v>0</x:v>
      </x:c>
      <x:c r="N845" t="str">
        <x:v>0fd6ad2d-3389-4e70-8974-eb85ee223eeb</x:v>
      </x:c>
      <x:c r="O845" t="str">
        <x:v>2026-09-04</x:v>
      </x:c>
    </x:row>
    <x:row r="846">
      <x:c r="A846" t="str">
        <x:v>300119</x:v>
      </x:c>
      <x:c r="B846" t="str">
        <x:v>瑞普生物</x:v>
      </x:c>
      <x:c r="C846" t="str">
        <x:v>创业板</x:v>
      </x:c>
      <x:c r="D846" t="str">
        <x:v>待行业映射</x:v>
      </x:c>
      <x:c r="E846" t="n">
        <x:v>17.69</x:v>
      </x:c>
      <x:c r="F846" t="n">
        <x:v>23.62</x:v>
      </x:c>
      <x:c r="G846"/>
      <x:c r="H846" t="n">
        <x:v>82.22</x:v>
      </x:c>
      <x:c r="I846" t="n">
        <x:v>6.47</x:v>
      </x:c>
      <x:c r="J846" t="str">
        <x:v>initial_screen_pending_pb_financial_review</x:v>
      </x:c>
      <x:c r="K846" t="str">
        <x:v>AkShare / Tencent all-A market snapshot</x:v>
      </x:c>
      <x:c r="L846" t="str">
        <x:v>ProxyError: primary market source unavailable; see source_id for full audit.</x:v>
      </x:c>
      <x:c r="M846" t="str">
        <x:v>0</x:v>
      </x:c>
      <x:c r="N846" t="str">
        <x:v>0fd6ad2d-3389-4e70-8974-eb85ee223eeb</x:v>
      </x:c>
      <x:c r="O846" t="str">
        <x:v>2026-09-04</x:v>
      </x:c>
    </x:row>
    <x:row r="847">
      <x:c r="A847" t="str">
        <x:v>002226</x:v>
      </x:c>
      <x:c r="B847" t="str">
        <x:v>江南化工</x:v>
      </x:c>
      <x:c r="C847" t="str">
        <x:v>主板</x:v>
      </x:c>
      <x:c r="D847" t="str">
        <x:v>待行业映射</x:v>
      </x:c>
      <x:c r="E847" t="n">
        <x:v>5.16</x:v>
      </x:c>
      <x:c r="F847" t="n">
        <x:v>24.4</x:v>
      </x:c>
      <x:c r="G847"/>
      <x:c r="H847" t="n">
        <x:v>136.68</x:v>
      </x:c>
      <x:c r="I847" t="n">
        <x:v>6.34</x:v>
      </x:c>
      <x:c r="J847" t="str">
        <x:v>initial_screen_pending_pb_financial_review</x:v>
      </x:c>
      <x:c r="K847" t="str">
        <x:v>AkShare / Tencent all-A market snapshot</x:v>
      </x:c>
      <x:c r="L847" t="str">
        <x:v>ProxyError: primary market source unavailable; see source_id for full audit.</x:v>
      </x:c>
      <x:c r="M847" t="str">
        <x:v>0</x:v>
      </x:c>
      <x:c r="N847" t="str">
        <x:v>0fd6ad2d-3389-4e70-8974-eb85ee223eeb</x:v>
      </x:c>
      <x:c r="O847" t="str">
        <x:v>2026-09-04</x:v>
      </x:c>
    </x:row>
    <x:row r="848">
      <x:c r="A848" t="str">
        <x:v>600459</x:v>
      </x:c>
      <x:c r="B848" t="str">
        <x:v>贵研铂业</x:v>
      </x:c>
      <x:c r="C848" t="str">
        <x:v>主板</x:v>
      </x:c>
      <x:c r="D848" t="str">
        <x:v>待行业映射</x:v>
      </x:c>
      <x:c r="E848" t="n">
        <x:v>20.06</x:v>
      </x:c>
      <x:c r="F848" t="n">
        <x:v>24.82</x:v>
      </x:c>
      <x:c r="G848"/>
      <x:c r="H848" t="n">
        <x:v>165.13</x:v>
      </x:c>
      <x:c r="I848" t="n">
        <x:v>6.25</x:v>
      </x:c>
      <x:c r="J848" t="str">
        <x:v>initial_screen_pending_pb_financial_review</x:v>
      </x:c>
      <x:c r="K848" t="str">
        <x:v>AkShare / Tencent all-A market snapshot</x:v>
      </x:c>
      <x:c r="L848" t="str">
        <x:v>ProxyError: primary market source unavailable; see source_id for full audit.</x:v>
      </x:c>
      <x:c r="M848" t="str">
        <x:v>0</x:v>
      </x:c>
      <x:c r="N848" t="str">
        <x:v>0fd6ad2d-3389-4e70-8974-eb85ee223eeb</x:v>
      </x:c>
      <x:c r="O848" t="str">
        <x:v>2026-09-04</x:v>
      </x:c>
    </x:row>
    <x:row r="849">
      <x:c r="A849" t="str">
        <x:v>688550</x:v>
      </x:c>
      <x:c r="B849" t="str">
        <x:v>瑞联新材</x:v>
      </x:c>
      <x:c r="C849" t="str">
        <x:v>科创板</x:v>
      </x:c>
      <x:c r="D849" t="str">
        <x:v>待行业映射</x:v>
      </x:c>
      <x:c r="E849" t="n">
        <x:v>36.27</x:v>
      </x:c>
      <x:c r="F849" t="n">
        <x:v>23.46</x:v>
      </x:c>
      <x:c r="G849"/>
      <x:c r="H849" t="n">
        <x:v>63.86</x:v>
      </x:c>
      <x:c r="I849" t="n">
        <x:v>6.24</x:v>
      </x:c>
      <x:c r="J849" t="str">
        <x:v>initial_screen_pending_pb_financial_review</x:v>
      </x:c>
      <x:c r="K849" t="str">
        <x:v>AkShare / Tencent all-A market snapshot</x:v>
      </x:c>
      <x:c r="L849" t="str">
        <x:v>ProxyError: primary market source unavailable; see source_id for full audit.</x:v>
      </x:c>
      <x:c r="M849" t="str">
        <x:v>0</x:v>
      </x:c>
      <x:c r="N849" t="str">
        <x:v>0fd6ad2d-3389-4e70-8974-eb85ee223eeb</x:v>
      </x:c>
      <x:c r="O849" t="str">
        <x:v>2026-09-04</x:v>
      </x:c>
    </x:row>
    <x:row r="850">
      <x:c r="A850" t="str">
        <x:v>603075</x:v>
      </x:c>
      <x:c r="B850" t="str">
        <x:v>热威股份</x:v>
      </x:c>
      <x:c r="C850" t="str">
        <x:v>主板</x:v>
      </x:c>
      <x:c r="D850" t="str">
        <x:v>待行业映射</x:v>
      </x:c>
      <x:c r="E850" t="n">
        <x:v>19.15</x:v>
      </x:c>
      <x:c r="F850" t="n">
        <x:v>23.64</x:v>
      </x:c>
      <x:c r="G850"/>
      <x:c r="H850" t="n">
        <x:v>77.06</x:v>
      </x:c>
      <x:c r="I850" t="n">
        <x:v>6.23</x:v>
      </x:c>
      <x:c r="J850" t="str">
        <x:v>initial_screen_pending_pb_financial_review</x:v>
      </x:c>
      <x:c r="K850" t="str">
        <x:v>AkShare / Tencent all-A market snapshot</x:v>
      </x:c>
      <x:c r="L850" t="str">
        <x:v>ProxyError: primary market source unavailable; see source_id for full audit.</x:v>
      </x:c>
      <x:c r="M850" t="str">
        <x:v>0</x:v>
      </x:c>
      <x:c r="N850" t="str">
        <x:v>0fd6ad2d-3389-4e70-8974-eb85ee223eeb</x:v>
      </x:c>
      <x:c r="O850" t="str">
        <x:v>2026-09-04</x:v>
      </x:c>
    </x:row>
    <x:row r="851">
      <x:c r="A851" t="str">
        <x:v>000968</x:v>
      </x:c>
      <x:c r="B851" t="str">
        <x:v>蓝焰控股</x:v>
      </x:c>
      <x:c r="C851" t="str">
        <x:v>主板</x:v>
      </x:c>
      <x:c r="D851" t="str">
        <x:v>待行业映射</x:v>
      </x:c>
      <x:c r="E851" t="n">
        <x:v>7.29</x:v>
      </x:c>
      <x:c r="F851" t="n">
        <x:v>23.61</x:v>
      </x:c>
      <x:c r="G851"/>
      <x:c r="H851" t="n">
        <x:v>70.53</x:v>
      </x:c>
      <x:c r="I851" t="n">
        <x:v>6.08</x:v>
      </x:c>
      <x:c r="J851" t="str">
        <x:v>initial_screen_pending_pb_financial_review</x:v>
      </x:c>
      <x:c r="K851" t="str">
        <x:v>AkShare / Tencent all-A market snapshot</x:v>
      </x:c>
      <x:c r="L851" t="str">
        <x:v>ProxyError: primary market source unavailable; see source_id for full audit.</x:v>
      </x:c>
      <x:c r="M851" t="str">
        <x:v>0</x:v>
      </x:c>
      <x:c r="N851" t="str">
        <x:v>0fd6ad2d-3389-4e70-8974-eb85ee223eeb</x:v>
      </x:c>
      <x:c r="O851" t="str">
        <x:v>2026-09-04</x:v>
      </x:c>
    </x:row>
    <x:row r="852">
      <x:c r="A852" t="str">
        <x:v>000920</x:v>
      </x:c>
      <x:c r="B852" t="str">
        <x:v>沃顿科技</x:v>
      </x:c>
      <x:c r="C852" t="str">
        <x:v>主板</x:v>
      </x:c>
      <x:c r="D852" t="str">
        <x:v>待行业映射</x:v>
      </x:c>
      <x:c r="E852" t="n">
        <x:v>11.33</x:v>
      </x:c>
      <x:c r="F852" t="n">
        <x:v>23.41</x:v>
      </x:c>
      <x:c r="G852"/>
      <x:c r="H852" t="n">
        <x:v>53.55</x:v>
      </x:c>
      <x:c r="I852" t="n">
        <x:v>6.01</x:v>
      </x:c>
      <x:c r="J852" t="str">
        <x:v>initial_screen_pending_pb_financial_review</x:v>
      </x:c>
      <x:c r="K852" t="str">
        <x:v>AkShare / Tencent all-A market snapshot</x:v>
      </x:c>
      <x:c r="L852" t="str">
        <x:v>ProxyError: primary market source unavailable; see source_id for full audit.</x:v>
      </x:c>
      <x:c r="M852" t="str">
        <x:v>0</x:v>
      </x:c>
      <x:c r="N852" t="str">
        <x:v>0fd6ad2d-3389-4e70-8974-eb85ee223eeb</x:v>
      </x:c>
      <x:c r="O852" t="str">
        <x:v>2026-09-04</x:v>
      </x:c>
    </x:row>
    <x:row r="853">
      <x:c r="A853" t="str">
        <x:v>600814</x:v>
      </x:c>
      <x:c r="B853" t="str">
        <x:v>杭州解百</x:v>
      </x:c>
      <x:c r="C853" t="str">
        <x:v>主板</x:v>
      </x:c>
      <x:c r="D853" t="str">
        <x:v>待行业映射</x:v>
      </x:c>
      <x:c r="E853" t="n">
        <x:v>7.2</x:v>
      </x:c>
      <x:c r="F853" t="n">
        <x:v>23.42</x:v>
      </x:c>
      <x:c r="G853"/>
      <x:c r="H853" t="n">
        <x:v>52.93</x:v>
      </x:c>
      <x:c r="I853" t="n">
        <x:v>5.96</x:v>
      </x:c>
      <x:c r="J853" t="str">
        <x:v>initial_screen_pending_pb_financial_review</x:v>
      </x:c>
      <x:c r="K853" t="str">
        <x:v>AkShare / Tencent all-A market snapshot</x:v>
      </x:c>
      <x:c r="L853" t="str">
        <x:v>ProxyError: primary market source unavailable; see source_id for full audit.</x:v>
      </x:c>
      <x:c r="M853" t="str">
        <x:v>0</x:v>
      </x:c>
      <x:c r="N853" t="str">
        <x:v>0fd6ad2d-3389-4e70-8974-eb85ee223eeb</x:v>
      </x:c>
      <x:c r="O853" t="str">
        <x:v>2026-09-04</x:v>
      </x:c>
    </x:row>
    <x:row r="854">
      <x:c r="A854" t="str">
        <x:v>002125</x:v>
      </x:c>
      <x:c r="B854" t="str">
        <x:v>湘潭电化</x:v>
      </x:c>
      <x:c r="C854" t="str">
        <x:v>主板</x:v>
      </x:c>
      <x:c r="D854" t="str">
        <x:v>待行业映射</x:v>
      </x:c>
      <x:c r="E854" t="n">
        <x:v>12.29</x:v>
      </x:c>
      <x:c r="F854" t="n">
        <x:v>23.85</x:v>
      </x:c>
      <x:c r="G854"/>
      <x:c r="H854" t="n">
        <x:v>77.37</x:v>
      </x:c>
      <x:c r="I854" t="n">
        <x:v>5.7</x:v>
      </x:c>
      <x:c r="J854" t="str">
        <x:v>initial_screen_pending_pb_financial_review</x:v>
      </x:c>
      <x:c r="K854" t="str">
        <x:v>AkShare / Tencent all-A market snapshot</x:v>
      </x:c>
      <x:c r="L854" t="str">
        <x:v>ProxyError: primary market source unavailable; see source_id for full audit.</x:v>
      </x:c>
      <x:c r="M854" t="str">
        <x:v>0</x:v>
      </x:c>
      <x:c r="N854" t="str">
        <x:v>0fd6ad2d-3389-4e70-8974-eb85ee223eeb</x:v>
      </x:c>
      <x:c r="O854" t="str">
        <x:v>2026-09-04</x:v>
      </x:c>
    </x:row>
    <x:row r="855">
      <x:c r="A855" t="str">
        <x:v>300674</x:v>
      </x:c>
      <x:c r="B855" t="str">
        <x:v>宇信科技</x:v>
      </x:c>
      <x:c r="C855" t="str">
        <x:v>创业板</x:v>
      </x:c>
      <x:c r="D855" t="str">
        <x:v>待行业映射</x:v>
      </x:c>
      <x:c r="E855" t="n">
        <x:v>18.19</x:v>
      </x:c>
      <x:c r="F855" t="n">
        <x:v>24.59</x:v>
      </x:c>
      <x:c r="G855"/>
      <x:c r="H855" t="n">
        <x:v>128.07</x:v>
      </x:c>
      <x:c r="I855" t="n">
        <x:v>5.55</x:v>
      </x:c>
      <x:c r="J855" t="str">
        <x:v>initial_screen_pending_pb_financial_review</x:v>
      </x:c>
      <x:c r="K855" t="str">
        <x:v>AkShare / Tencent all-A market snapshot</x:v>
      </x:c>
      <x:c r="L855" t="str">
        <x:v>ProxyError: primary market source unavailable; see source_id for full audit.</x:v>
      </x:c>
      <x:c r="M855" t="str">
        <x:v>0</x:v>
      </x:c>
      <x:c r="N855" t="str">
        <x:v>0fd6ad2d-3389-4e70-8974-eb85ee223eeb</x:v>
      </x:c>
      <x:c r="O855" t="str">
        <x:v>2026-09-04</x:v>
      </x:c>
    </x:row>
    <x:row r="856">
      <x:c r="A856" t="str">
        <x:v>002026</x:v>
      </x:c>
      <x:c r="B856" t="str">
        <x:v>山东威达</x:v>
      </x:c>
      <x:c r="C856" t="str">
        <x:v>主板</x:v>
      </x:c>
      <x:c r="D856" t="str">
        <x:v>待行业映射</x:v>
      </x:c>
      <x:c r="E856" t="n">
        <x:v>11.44</x:v>
      </x:c>
      <x:c r="F856" t="n">
        <x:v>23.55</x:v>
      </x:c>
      <x:c r="G856"/>
      <x:c r="H856" t="n">
        <x:v>50.4</x:v>
      </x:c>
      <x:c r="I856" t="n">
        <x:v>5.53</x:v>
      </x:c>
      <x:c r="J856" t="str">
        <x:v>initial_screen_pending_pb_financial_review</x:v>
      </x:c>
      <x:c r="K856" t="str">
        <x:v>AkShare / Tencent all-A market snapshot</x:v>
      </x:c>
      <x:c r="L856" t="str">
        <x:v>ProxyError: primary market source unavailable; see source_id for full audit.</x:v>
      </x:c>
      <x:c r="M856" t="str">
        <x:v>0</x:v>
      </x:c>
      <x:c r="N856" t="str">
        <x:v>0fd6ad2d-3389-4e70-8974-eb85ee223eeb</x:v>
      </x:c>
      <x:c r="O856" t="str">
        <x:v>2026-09-04</x:v>
      </x:c>
    </x:row>
    <x:row r="857">
      <x:c r="A857" t="str">
        <x:v>300592</x:v>
      </x:c>
      <x:c r="B857" t="str">
        <x:v>华凯易佰</x:v>
      </x:c>
      <x:c r="C857" t="str">
        <x:v>创业板</x:v>
      </x:c>
      <x:c r="D857" t="str">
        <x:v>待行业映射</x:v>
      </x:c>
      <x:c r="E857" t="n">
        <x:v>16.7</x:v>
      </x:c>
      <x:c r="F857" t="n">
        <x:v>23.76</x:v>
      </x:c>
      <x:c r="G857"/>
      <x:c r="H857" t="n">
        <x:v>65.34</x:v>
      </x:c>
      <x:c r="I857" t="n">
        <x:v>5.51</x:v>
      </x:c>
      <x:c r="J857" t="str">
        <x:v>initial_screen_pending_pb_financial_review</x:v>
      </x:c>
      <x:c r="K857" t="str">
        <x:v>AkShare / Tencent all-A market snapshot</x:v>
      </x:c>
      <x:c r="L857" t="str">
        <x:v>ProxyError: primary market source unavailable; see source_id for full audit.</x:v>
      </x:c>
      <x:c r="M857" t="str">
        <x:v>0</x:v>
      </x:c>
      <x:c r="N857" t="str">
        <x:v>0fd6ad2d-3389-4e70-8974-eb85ee223eeb</x:v>
      </x:c>
      <x:c r="O857" t="str">
        <x:v>2026-09-04</x:v>
      </x:c>
    </x:row>
    <x:row r="858">
      <x:c r="A858" t="str">
        <x:v>603299</x:v>
      </x:c>
      <x:c r="B858" t="str">
        <x:v>苏盐井神</x:v>
      </x:c>
      <x:c r="C858" t="str">
        <x:v>主板</x:v>
      </x:c>
      <x:c r="D858" t="str">
        <x:v>待行业映射</x:v>
      </x:c>
      <x:c r="E858" t="n">
        <x:v>8.93</x:v>
      </x:c>
      <x:c r="F858" t="n">
        <x:v>24.17</x:v>
      </x:c>
      <x:c r="G858"/>
      <x:c r="H858" t="n">
        <x:v>85.26</x:v>
      </x:c>
      <x:c r="I858" t="n">
        <x:v>5.14</x:v>
      </x:c>
      <x:c r="J858" t="str">
        <x:v>initial_screen_pending_pb_financial_review</x:v>
      </x:c>
      <x:c r="K858" t="str">
        <x:v>AkShare / Tencent all-A market snapshot</x:v>
      </x:c>
      <x:c r="L858" t="str">
        <x:v>ProxyError: primary market source unavailable; see source_id for full audit.</x:v>
      </x:c>
      <x:c r="M858" t="str">
        <x:v>0</x:v>
      </x:c>
      <x:c r="N858" t="str">
        <x:v>0fd6ad2d-3389-4e70-8974-eb85ee223eeb</x:v>
      </x:c>
      <x:c r="O858" t="str">
        <x:v>2026-09-04</x:v>
      </x:c>
    </x:row>
    <x:row r="859">
      <x:c r="A859" t="str">
        <x:v>603402</x:v>
      </x:c>
      <x:c r="B859" t="str">
        <x:v>陕西旅游</x:v>
      </x:c>
      <x:c r="C859" t="str">
        <x:v>主板</x:v>
      </x:c>
      <x:c r="D859" t="str">
        <x:v>待行业映射</x:v>
      </x:c>
      <x:c r="E859" t="n">
        <x:v>72.77</x:v>
      </x:c>
      <x:c r="F859" t="n">
        <x:v>24.03</x:v>
      </x:c>
      <x:c r="G859"/>
      <x:c r="H859" t="n">
        <x:v>73.16</x:v>
      </x:c>
      <x:c r="I859" t="n">
        <x:v>5.08</x:v>
      </x:c>
      <x:c r="J859" t="str">
        <x:v>initial_screen_pending_pb_financial_review</x:v>
      </x:c>
      <x:c r="K859" t="str">
        <x:v>AkShare / Tencent all-A market snapshot</x:v>
      </x:c>
      <x:c r="L859" t="str">
        <x:v>ProxyError: primary market source unavailable; see source_id for full audit.</x:v>
      </x:c>
      <x:c r="M859" t="str">
        <x:v>0</x:v>
      </x:c>
      <x:c r="N859" t="str">
        <x:v>0fd6ad2d-3389-4e70-8974-eb85ee223eeb</x:v>
      </x:c>
      <x:c r="O859" t="str">
        <x:v>2026-09-04</x:v>
      </x:c>
    </x:row>
    <x:row r="860">
      <x:c r="A860" t="str">
        <x:v>301371</x:v>
      </x:c>
      <x:c r="B860" t="str">
        <x:v>敷尔佳</x:v>
      </x:c>
      <x:c r="C860" t="str">
        <x:v>创业板</x:v>
      </x:c>
      <x:c r="D860" t="str">
        <x:v>待行业映射</x:v>
      </x:c>
      <x:c r="E860" t="n">
        <x:v>21.68</x:v>
      </x:c>
      <x:c r="F860" t="n">
        <x:v>24.57</x:v>
      </x:c>
      <x:c r="G860"/>
      <x:c r="H860" t="n">
        <x:v>112.76</x:v>
      </x:c>
      <x:c r="I860" t="n">
        <x:v>5.06</x:v>
      </x:c>
      <x:c r="J860" t="str">
        <x:v>initial_screen_pending_pb_financial_review</x:v>
      </x:c>
      <x:c r="K860" t="str">
        <x:v>AkShare / Tencent all-A market snapshot</x:v>
      </x:c>
      <x:c r="L860" t="str">
        <x:v>ProxyError: primary market source unavailable; see source_id for full audit.</x:v>
      </x:c>
      <x:c r="M860" t="str">
        <x:v>0</x:v>
      </x:c>
      <x:c r="N860" t="str">
        <x:v>0fd6ad2d-3389-4e70-8974-eb85ee223eeb</x:v>
      </x:c>
      <x:c r="O860" t="str">
        <x:v>2026-09-04</x:v>
      </x:c>
    </x:row>
    <x:row r="861">
      <x:c r="A861" t="str">
        <x:v>300130</x:v>
      </x:c>
      <x:c r="B861" t="str">
        <x:v>新国都</x:v>
      </x:c>
      <x:c r="C861" t="str">
        <x:v>创业板</x:v>
      </x:c>
      <x:c r="D861" t="str">
        <x:v>待行业映射</x:v>
      </x:c>
      <x:c r="E861" t="n">
        <x:v>20.22</x:v>
      </x:c>
      <x:c r="F861" t="n">
        <x:v>24.71</x:v>
      </x:c>
      <x:c r="G861"/>
      <x:c r="H861" t="n">
        <x:v>114.71</x:v>
      </x:c>
      <x:c r="I861" t="n">
        <x:v>4.77</x:v>
      </x:c>
      <x:c r="J861" t="str">
        <x:v>initial_screen_pending_pb_financial_review</x:v>
      </x:c>
      <x:c r="K861" t="str">
        <x:v>AkShare / Tencent all-A market snapshot</x:v>
      </x:c>
      <x:c r="L861" t="str">
        <x:v>ProxyError: primary market source unavailable; see source_id for full audit.</x:v>
      </x:c>
      <x:c r="M861" t="str">
        <x:v>0</x:v>
      </x:c>
      <x:c r="N861" t="str">
        <x:v>0fd6ad2d-3389-4e70-8974-eb85ee223eeb</x:v>
      </x:c>
      <x:c r="O861" t="str">
        <x:v>2026-09-04</x:v>
      </x:c>
    </x:row>
    <x:row r="862">
      <x:c r="A862" t="str">
        <x:v>603380</x:v>
      </x:c>
      <x:c r="B862" t="str">
        <x:v>易德龙</x:v>
      </x:c>
      <x:c r="C862" t="str">
        <x:v>主板</x:v>
      </x:c>
      <x:c r="D862" t="str">
        <x:v>待行业映射</x:v>
      </x:c>
      <x:c r="E862" t="n">
        <x:v>33.22</x:v>
      </x:c>
      <x:c r="F862" t="n">
        <x:v>23.89</x:v>
      </x:c>
      <x:c r="G862"/>
      <x:c r="H862" t="n">
        <x:v>53.3</x:v>
      </x:c>
      <x:c r="I862" t="n">
        <x:v>4.75</x:v>
      </x:c>
      <x:c r="J862" t="str">
        <x:v>initial_screen_pending_pb_financial_review</x:v>
      </x:c>
      <x:c r="K862" t="str">
        <x:v>AkShare / Tencent all-A market snapshot</x:v>
      </x:c>
      <x:c r="L862" t="str">
        <x:v>ProxyError: primary market source unavailable; see source_id for full audit.</x:v>
      </x:c>
      <x:c r="M862" t="str">
        <x:v>0</x:v>
      </x:c>
      <x:c r="N862" t="str">
        <x:v>0fd6ad2d-3389-4e70-8974-eb85ee223eeb</x:v>
      </x:c>
      <x:c r="O862" t="str">
        <x:v>2026-09-04</x:v>
      </x:c>
    </x:row>
    <x:row r="863">
      <x:c r="A863" t="str">
        <x:v>301376</x:v>
      </x:c>
      <x:c r="B863" t="str">
        <x:v>致欧科技</x:v>
      </x:c>
      <x:c r="C863" t="str">
        <x:v>创业板</x:v>
      </x:c>
      <x:c r="D863" t="str">
        <x:v>待行业映射</x:v>
      </x:c>
      <x:c r="E863" t="n">
        <x:v>23.8</x:v>
      </x:c>
      <x:c r="F863" t="n">
        <x:v>24.48</x:v>
      </x:c>
      <x:c r="G863"/>
      <x:c r="H863" t="n">
        <x:v>95.79</x:v>
      </x:c>
      <x:c r="I863" t="n">
        <x:v>4.7</x:v>
      </x:c>
      <x:c r="J863" t="str">
        <x:v>initial_screen_pending_pb_financial_review</x:v>
      </x:c>
      <x:c r="K863" t="str">
        <x:v>AkShare / Tencent all-A market snapshot</x:v>
      </x:c>
      <x:c r="L863" t="str">
        <x:v>ProxyError: primary market source unavailable; see source_id for full audit.</x:v>
      </x:c>
      <x:c r="M863" t="str">
        <x:v>0</x:v>
      </x:c>
      <x:c r="N863" t="str">
        <x:v>0fd6ad2d-3389-4e70-8974-eb85ee223eeb</x:v>
      </x:c>
      <x:c r="O863" t="str">
        <x:v>2026-09-04</x:v>
      </x:c>
    </x:row>
    <x:row r="864">
      <x:c r="A864" t="str">
        <x:v>600366</x:v>
      </x:c>
      <x:c r="B864" t="str">
        <x:v>宁波韵升</x:v>
      </x:c>
      <x:c r="C864" t="str">
        <x:v>主板</x:v>
      </x:c>
      <x:c r="D864" t="str">
        <x:v>待行业映射</x:v>
      </x:c>
      <x:c r="E864" t="n">
        <x:v>11.25</x:v>
      </x:c>
      <x:c r="F864" t="n">
        <x:v>24.87</x:v>
      </x:c>
      <x:c r="G864"/>
      <x:c r="H864" t="n">
        <x:v>123.64</x:v>
      </x:c>
      <x:c r="I864" t="n">
        <x:v>4.67</x:v>
      </x:c>
      <x:c r="J864" t="str">
        <x:v>initial_screen_pending_pb_financial_review</x:v>
      </x:c>
      <x:c r="K864" t="str">
        <x:v>AkShare / Tencent all-A market snapshot</x:v>
      </x:c>
      <x:c r="L864" t="str">
        <x:v>ProxyError: primary market source unavailable; see source_id for full audit.</x:v>
      </x:c>
      <x:c r="M864" t="str">
        <x:v>0</x:v>
      </x:c>
      <x:c r="N864" t="str">
        <x:v>0fd6ad2d-3389-4e70-8974-eb85ee223eeb</x:v>
      </x:c>
      <x:c r="O864" t="str">
        <x:v>2026-09-04</x:v>
      </x:c>
    </x:row>
    <x:row r="865">
      <x:c r="A865" t="str">
        <x:v>601882</x:v>
      </x:c>
      <x:c r="B865" t="str">
        <x:v>海天精工</x:v>
      </x:c>
      <x:c r="C865" t="str">
        <x:v>主板</x:v>
      </x:c>
      <x:c r="D865" t="str">
        <x:v>待行业映射</x:v>
      </x:c>
      <x:c r="E865" t="n">
        <x:v>22.63</x:v>
      </x:c>
      <x:c r="F865" t="n">
        <x:v>24.87</x:v>
      </x:c>
      <x:c r="G865"/>
      <x:c r="H865" t="n">
        <x:v>118.13</x:v>
      </x:c>
      <x:c r="I865" t="n">
        <x:v>4.47</x:v>
      </x:c>
      <x:c r="J865" t="str">
        <x:v>initial_screen_pending_pb_financial_review</x:v>
      </x:c>
      <x:c r="K865" t="str">
        <x:v>AkShare / Tencent all-A market snapshot</x:v>
      </x:c>
      <x:c r="L865" t="str">
        <x:v>ProxyError: primary market source unavailable; see source_id for full audit.</x:v>
      </x:c>
      <x:c r="M865" t="str">
        <x:v>0</x:v>
      </x:c>
      <x:c r="N865" t="str">
        <x:v>0fd6ad2d-3389-4e70-8974-eb85ee223eeb</x:v>
      </x:c>
      <x:c r="O865" t="str">
        <x:v>2026-09-04</x:v>
      </x:c>
    </x:row>
    <x:row r="866">
      <x:c r="A866" t="str">
        <x:v>601789</x:v>
      </x:c>
      <x:c r="B866" t="str">
        <x:v>宁波建工</x:v>
      </x:c>
      <x:c r="C866" t="str">
        <x:v>主板</x:v>
      </x:c>
      <x:c r="D866" t="str">
        <x:v>待行业映射</x:v>
      </x:c>
      <x:c r="E866" t="n">
        <x:v>4.33</x:v>
      </x:c>
      <x:c r="F866" t="n">
        <x:v>24.24</x:v>
      </x:c>
      <x:c r="G866"/>
      <x:c r="H866" t="n">
        <x:v>66.01</x:v>
      </x:c>
      <x:c r="I866" t="n">
        <x:v>4.29</x:v>
      </x:c>
      <x:c r="J866" t="str">
        <x:v>initial_screen_pending_pb_financial_review</x:v>
      </x:c>
      <x:c r="K866" t="str">
        <x:v>AkShare / Tencent all-A market snapshot</x:v>
      </x:c>
      <x:c r="L866" t="str">
        <x:v>ProxyError: primary market source unavailable; see source_id for full audit.</x:v>
      </x:c>
      <x:c r="M866" t="str">
        <x:v>0</x:v>
      </x:c>
      <x:c r="N866" t="str">
        <x:v>0fd6ad2d-3389-4e70-8974-eb85ee223eeb</x:v>
      </x:c>
      <x:c r="O866" t="str">
        <x:v>2026-09-04</x:v>
      </x:c>
    </x:row>
    <x:row r="867">
      <x:c r="A867" t="str">
        <x:v>002590</x:v>
      </x:c>
      <x:c r="B867" t="str">
        <x:v>万安科技</x:v>
      </x:c>
      <x:c r="C867" t="str">
        <x:v>主板</x:v>
      </x:c>
      <x:c r="D867" t="str">
        <x:v>待行业映射</x:v>
      </x:c>
      <x:c r="E867" t="n">
        <x:v>10.03</x:v>
      </x:c>
      <x:c r="F867" t="n">
        <x:v>24.11</x:v>
      </x:c>
      <x:c r="G867"/>
      <x:c r="H867" t="n">
        <x:v>52.06</x:v>
      </x:c>
      <x:c r="I867" t="n">
        <x:v>4.14</x:v>
      </x:c>
      <x:c r="J867" t="str">
        <x:v>initial_screen_pending_pb_financial_review</x:v>
      </x:c>
      <x:c r="K867" t="str">
        <x:v>AkShare / Tencent all-A market snapshot</x:v>
      </x:c>
      <x:c r="L867" t="str">
        <x:v>ProxyError: primary market source unavailable; see source_id for full audit.</x:v>
      </x:c>
      <x:c r="M867" t="str">
        <x:v>0</x:v>
      </x:c>
      <x:c r="N867" t="str">
        <x:v>0fd6ad2d-3389-4e70-8974-eb85ee223eeb</x:v>
      </x:c>
      <x:c r="O867" t="str">
        <x:v>2026-09-04</x:v>
      </x:c>
    </x:row>
    <x:row r="868">
      <x:c r="A868" t="str">
        <x:v>002727</x:v>
      </x:c>
      <x:c r="B868" t="str">
        <x:v>一心堂</x:v>
      </x:c>
      <x:c r="C868" t="str">
        <x:v>主板</x:v>
      </x:c>
      <x:c r="D868" t="str">
        <x:v>待行业映射</x:v>
      </x:c>
      <x:c r="E868" t="n">
        <x:v>11.26</x:v>
      </x:c>
      <x:c r="F868" t="n">
        <x:v>24.37</x:v>
      </x:c>
      <x:c r="G868"/>
      <x:c r="H868" t="n">
        <x:v>65.94</x:v>
      </x:c>
      <x:c r="I868" t="n">
        <x:v>3.95</x:v>
      </x:c>
      <x:c r="J868" t="str">
        <x:v>initial_screen_pending_pb_financial_review</x:v>
      </x:c>
      <x:c r="K868" t="str">
        <x:v>AkShare / Tencent all-A market snapshot</x:v>
      </x:c>
      <x:c r="L868" t="str">
        <x:v>ProxyError: primary market source unavailable; see source_id for full audit.</x:v>
      </x:c>
      <x:c r="M868" t="str">
        <x:v>0</x:v>
      </x:c>
      <x:c r="N868" t="str">
        <x:v>0fd6ad2d-3389-4e70-8974-eb85ee223eeb</x:v>
      </x:c>
      <x:c r="O868" t="str">
        <x:v>2026-09-04</x:v>
      </x:c>
    </x:row>
    <x:row r="869">
      <x:c r="A869" t="str">
        <x:v>601890</x:v>
      </x:c>
      <x:c r="B869" t="str">
        <x:v>亚星锚链</x:v>
      </x:c>
      <x:c r="C869" t="str">
        <x:v>主板</x:v>
      </x:c>
      <x:c r="D869" t="str">
        <x:v>待行业映射</x:v>
      </x:c>
      <x:c r="E869" t="n">
        <x:v>9.15</x:v>
      </x:c>
      <x:c r="F869" t="n">
        <x:v>24.68</x:v>
      </x:c>
      <x:c r="G869"/>
      <x:c r="H869" t="n">
        <x:v>87.79</x:v>
      </x:c>
      <x:c r="I869" t="n">
        <x:v>3.9</x:v>
      </x:c>
      <x:c r="J869" t="str">
        <x:v>initial_screen_pending_pb_financial_review</x:v>
      </x:c>
      <x:c r="K869" t="str">
        <x:v>AkShare / Tencent all-A market snapshot</x:v>
      </x:c>
      <x:c r="L869" t="str">
        <x:v>ProxyError: primary market source unavailable; see source_id for full audit.</x:v>
      </x:c>
      <x:c r="M869" t="str">
        <x:v>0</x:v>
      </x:c>
      <x:c r="N869" t="str">
        <x:v>0fd6ad2d-3389-4e70-8974-eb85ee223eeb</x:v>
      </x:c>
      <x:c r="O869" t="str">
        <x:v>2026-09-04</x:v>
      </x:c>
    </x:row>
    <x:row r="870">
      <x:c r="A870" t="str">
        <x:v>300444</x:v>
      </x:c>
      <x:c r="B870" t="str">
        <x:v>双杰电气</x:v>
      </x:c>
      <x:c r="C870" t="str">
        <x:v>创业板</x:v>
      </x:c>
      <x:c r="D870" t="str">
        <x:v>待行业映射</x:v>
      </x:c>
      <x:c r="E870" t="n">
        <x:v>9.68</x:v>
      </x:c>
      <x:c r="F870" t="n">
        <x:v>24.64</x:v>
      </x:c>
      <x:c r="G870"/>
      <x:c r="H870" t="n">
        <x:v>77.89</x:v>
      </x:c>
      <x:c r="I870" t="n">
        <x:v>3.66</x:v>
      </x:c>
      <x:c r="J870" t="str">
        <x:v>initial_screen_pending_pb_financial_review</x:v>
      </x:c>
      <x:c r="K870" t="str">
        <x:v>AkShare / Tencent all-A market snapshot</x:v>
      </x:c>
      <x:c r="L870" t="str">
        <x:v>ProxyError: primary market source unavailable; see source_id for full audit.</x:v>
      </x:c>
      <x:c r="M870" t="str">
        <x:v>0</x:v>
      </x:c>
      <x:c r="N870" t="str">
        <x:v>0fd6ad2d-3389-4e70-8974-eb85ee223eeb</x:v>
      </x:c>
      <x:c r="O870" t="str">
        <x:v>2026-09-04</x:v>
      </x:c>
    </x:row>
    <x:row r="871">
      <x:c r="A871" t="str">
        <x:v>688566</x:v>
      </x:c>
      <x:c r="B871" t="str">
        <x:v>吉贝尔</x:v>
      </x:c>
      <x:c r="C871" t="str">
        <x:v>科创板</x:v>
      </x:c>
      <x:c r="D871" t="str">
        <x:v>待行业映射</x:v>
      </x:c>
      <x:c r="E871" t="n">
        <x:v>25.58</x:v>
      </x:c>
      <x:c r="F871" t="n">
        <x:v>24.32</x:v>
      </x:c>
      <x:c r="G871"/>
      <x:c r="H871" t="n">
        <x:v>51.44</x:v>
      </x:c>
      <x:c r="I871" t="n">
        <x:v>3.57</x:v>
      </x:c>
      <x:c r="J871" t="str">
        <x:v>initial_screen_pending_pb_financial_review</x:v>
      </x:c>
      <x:c r="K871" t="str">
        <x:v>AkShare / Tencent all-A market snapshot</x:v>
      </x:c>
      <x:c r="L871" t="str">
        <x:v>ProxyError: primary market source unavailable; see source_id for full audit.</x:v>
      </x:c>
      <x:c r="M871" t="str">
        <x:v>0</x:v>
      </x:c>
      <x:c r="N871" t="str">
        <x:v>0fd6ad2d-3389-4e70-8974-eb85ee223eeb</x:v>
      </x:c>
      <x:c r="O871" t="str">
        <x:v>2026-09-04</x:v>
      </x:c>
    </x:row>
    <x:row r="872">
      <x:c r="A872" t="str">
        <x:v>000888</x:v>
      </x:c>
      <x:c r="B872" t="str">
        <x:v>峨眉山Ａ</x:v>
      </x:c>
      <x:c r="C872" t="str">
        <x:v>主板</x:v>
      </x:c>
      <x:c r="D872" t="str">
        <x:v>待行业映射</x:v>
      </x:c>
      <x:c r="E872" t="n">
        <x:v>10.3</x:v>
      </x:c>
      <x:c r="F872" t="n">
        <x:v>24.52</x:v>
      </x:c>
      <x:c r="G872"/>
      <x:c r="H872" t="n">
        <x:v>54.27</x:v>
      </x:c>
      <x:c r="I872" t="n">
        <x:v>3.15</x:v>
      </x:c>
      <x:c r="J872" t="str">
        <x:v>initial_screen_pending_pb_financial_review</x:v>
      </x:c>
      <x:c r="K872" t="str">
        <x:v>AkShare / Tencent all-A market snapshot</x:v>
      </x:c>
      <x:c r="L872" t="str">
        <x:v>ProxyError: primary market source unavailable; see source_id for full audit.</x:v>
      </x:c>
      <x:c r="M872" t="str">
        <x:v>0</x:v>
      </x:c>
      <x:c r="N872" t="str">
        <x:v>0fd6ad2d-3389-4e70-8974-eb85ee223eeb</x:v>
      </x:c>
      <x:c r="O872" t="str">
        <x:v>2026-09-04</x:v>
      </x:c>
    </x:row>
    <x:row r="873">
      <x:c r="A873" t="str">
        <x:v>300035</x:v>
      </x:c>
      <x:c r="B873" t="str">
        <x:v>中科电气</x:v>
      </x:c>
      <x:c r="C873" t="str">
        <x:v>创业板</x:v>
      </x:c>
      <x:c r="D873" t="str">
        <x:v>待行业映射</x:v>
      </x:c>
      <x:c r="E873" t="n">
        <x:v>12.55</x:v>
      </x:c>
      <x:c r="F873" t="n">
        <x:v>24.96</x:v>
      </x:c>
      <x:c r="G873"/>
      <x:c r="H873" t="n">
        <x:v>86.02</x:v>
      </x:c>
      <x:c r="I873" t="n">
        <x:v>3.11</x:v>
      </x:c>
      <x:c r="J873" t="str">
        <x:v>initial_screen_pending_pb_financial_review</x:v>
      </x:c>
      <x:c r="K873" t="str">
        <x:v>AkShare / Tencent all-A market snapshot</x:v>
      </x:c>
      <x:c r="L873" t="str">
        <x:v>ProxyError: primary market source unavailable; see source_id for full audit.</x:v>
      </x:c>
      <x:c r="M873" t="str">
        <x:v>0</x:v>
      </x:c>
      <x:c r="N873" t="str">
        <x:v>0fd6ad2d-3389-4e70-8974-eb85ee223eeb</x:v>
      </x:c>
      <x:c r="O873" t="str">
        <x:v>2026-09-04</x:v>
      </x:c>
    </x:row>
    <x:row r="874">
      <x:c r="A874" t="str">
        <x:v>300681</x:v>
      </x:c>
      <x:c r="B874" t="str">
        <x:v>英搏尔</x:v>
      </x:c>
      <x:c r="C874" t="str">
        <x:v>创业板</x:v>
      </x:c>
      <x:c r="D874" t="str">
        <x:v>待行业映射</x:v>
      </x:c>
      <x:c r="E874" t="n">
        <x:v>21.48</x:v>
      </x:c>
      <x:c r="F874" t="n">
        <x:v>24.69</x:v>
      </x:c>
      <x:c r="G874"/>
      <x:c r="H874" t="n">
        <x:v>65.74</x:v>
      </x:c>
      <x:c r="I874" t="n">
        <x:v>3.11</x:v>
      </x:c>
      <x:c r="J874" t="str">
        <x:v>initial_screen_pending_pb_financial_review</x:v>
      </x:c>
      <x:c r="K874" t="str">
        <x:v>AkShare / Tencent all-A market snapshot</x:v>
      </x:c>
      <x:c r="L874" t="str">
        <x:v>ProxyError: primary market source unavailable; see source_id for full audit.</x:v>
      </x:c>
      <x:c r="M874" t="str">
        <x:v>0</x:v>
      </x:c>
      <x:c r="N874" t="str">
        <x:v>0fd6ad2d-3389-4e70-8974-eb85ee223eeb</x:v>
      </x:c>
      <x:c r="O874" t="str">
        <x:v>2026-09-04</x:v>
      </x:c>
    </x:row>
    <x:row r="875">
      <x:c r="A875" t="str">
        <x:v>300043</x:v>
      </x:c>
      <x:c r="B875" t="str">
        <x:v>星辉娱乐</x:v>
      </x:c>
      <x:c r="C875" t="str">
        <x:v>创业板</x:v>
      </x:c>
      <x:c r="D875" t="str">
        <x:v>待行业映射</x:v>
      </x:c>
      <x:c r="E875" t="n">
        <x:v>4.73</x:v>
      </x:c>
      <x:c r="F875" t="n">
        <x:v>24.62</x:v>
      </x:c>
      <x:c r="G875"/>
      <x:c r="H875" t="n">
        <x:v>58.85</x:v>
      </x:c>
      <x:c r="I875" t="n">
        <x:v>3.05</x:v>
      </x:c>
      <x:c r="J875" t="str">
        <x:v>initial_screen_pending_pb_financial_review</x:v>
      </x:c>
      <x:c r="K875" t="str">
        <x:v>AkShare / Tencent all-A market snapshot</x:v>
      </x:c>
      <x:c r="L875" t="str">
        <x:v>ProxyError: primary market source unavailable; see source_id for full audit.</x:v>
      </x:c>
      <x:c r="M875" t="str">
        <x:v>0</x:v>
      </x:c>
      <x:c r="N875" t="str">
        <x:v>0fd6ad2d-3389-4e70-8974-eb85ee223eeb</x:v>
      </x:c>
      <x:c r="O875" t="str">
        <x:v>2026-09-04</x:v>
      </x:c>
    </x:row>
    <x:row r="876">
      <x:c r="A876" t="str">
        <x:v>603848</x:v>
      </x:c>
      <x:c r="B876" t="str">
        <x:v>好太太</x:v>
      </x:c>
      <x:c r="C876" t="str">
        <x:v>主板</x:v>
      </x:c>
      <x:c r="D876" t="str">
        <x:v>待行业映射</x:v>
      </x:c>
      <x:c r="E876" t="n">
        <x:v>13.56</x:v>
      </x:c>
      <x:c r="F876" t="n">
        <x:v>24.88</x:v>
      </x:c>
      <x:c r="G876"/>
      <x:c r="H876" t="n">
        <x:v>54.57</x:v>
      </x:c>
      <x:c r="I876" t="n">
        <x:v>2.22</x:v>
      </x:c>
      <x:c r="J876" t="str">
        <x:v>initial_screen_pending_pb_financial_review</x:v>
      </x:c>
      <x:c r="K876" t="str">
        <x:v>AkShare / Tencent all-A market snapshot</x:v>
      </x:c>
      <x:c r="L876" t="str">
        <x:v>ProxyError: primary market source unavailable; see source_id for full audit.</x:v>
      </x:c>
      <x:c r="M876" t="str">
        <x:v>0</x:v>
      </x:c>
      <x:c r="N876" t="str">
        <x:v>0fd6ad2d-3389-4e70-8974-eb85ee223eeb</x:v>
      </x:c>
      <x:c r="O876" t="str">
        <x:v>2026-09-04</x:v>
      </x:c>
    </x:row>
    <x:row r="877">
      <x:c r="A877" t="str">
        <x:v>603312</x:v>
      </x:c>
      <x:c r="B877" t="str">
        <x:v>西典新能</x:v>
      </x:c>
      <x:c r="C877" t="str">
        <x:v>主板</x:v>
      </x:c>
      <x:c r="D877" t="str">
        <x:v>待行业映射</x:v>
      </x:c>
      <x:c r="E877" t="n">
        <x:v>31.99</x:v>
      </x:c>
      <x:c r="F877" t="n">
        <x:v>24.89</x:v>
      </x:c>
      <x:c r="G877"/>
      <x:c r="H877" t="n">
        <x:v>51.18</x:v>
      </x:c>
      <x:c r="I877" t="n">
        <x:v>2.08</x:v>
      </x:c>
      <x:c r="J877" t="str">
        <x:v>initial_screen_pending_pb_financial_review</x:v>
      </x:c>
      <x:c r="K877" t="str">
        <x:v>AkShare / Tencent all-A market snapshot</x:v>
      </x:c>
      <x:c r="L877" t="str">
        <x:v>ProxyError: primary market source unavailable; see source_id for full audit.</x:v>
      </x:c>
      <x:c r="M877" t="str">
        <x:v>0</x:v>
      </x:c>
      <x:c r="N877" t="str">
        <x:v>0fd6ad2d-3389-4e70-8974-eb85ee223eeb</x:v>
      </x:c>
      <x:c r="O877" t="str">
        <x:v>2026-09-04</x:v>
      </x:c>
    </x:row>
  </x:sheetData>
  <x:pageMargins left="0.7" right="0.7" top="0.75" bottom="0.75" header="0.3" footer="0.3"/>
</x:worksheet>
</file>

<file path=xl/worksheets/sheet16.xml><?xml version="1.0" encoding="utf-8"?>
<x:worksheet xmlns:x="http://schemas.openxmlformats.org/spreadsheetml/2006/main">
  <x:sheetFormatPr defaultRowHeight="15"/>
  <x:sheetData>
    <x:row r="1">
      <x:c r="A1" t="str">
        <x:v>candidate_id</x:v>
      </x:c>
      <x:c r="B1" t="str">
        <x:v>股票代码</x:v>
      </x:c>
      <x:c r="C1" t="str">
        <x:v>公司名称</x:v>
      </x:c>
      <x:c r="D1" t="str">
        <x:v>报告期</x:v>
      </x:c>
      <x:c r="E1" t="str">
        <x:v>报告类型</x:v>
      </x:c>
      <x:c r="F1" t="str">
        <x:v>字段</x:v>
      </x:c>
      <x:c r="G1" t="str">
        <x:v>候选值</x:v>
      </x:c>
      <x:c r="H1" t="str">
        <x:v>单位</x:v>
      </x:c>
      <x:c r="I1" t="str">
        <x:v>页码</x:v>
      </x:c>
      <x:c r="J1" t="str">
        <x:v>原始标签</x:v>
      </x:c>
      <x:c r="K1" t="str">
        <x:v>Agent验证状态</x:v>
      </x:c>
      <x:c r="L1" t="str">
        <x:v>官方URL</x:v>
      </x:c>
      <x:c r="M1" t="str">
        <x:v>文件SHA-256</x:v>
      </x:c>
      <x:c r="N1" t="str">
        <x:v>原文摘录</x:v>
      </x:c>
    </x:row>
    <x:row r="2">
      <x:c r="A2" t="str">
        <x:v>a58b1a73-2c12-43d7-ad90-8854006f0529</x:v>
      </x:c>
      <x:c r="B2" t="str">
        <x:v>601186</x:v>
      </x:c>
      <x:c r="C2" t="str">
        <x:v>中国铁建</x:v>
      </x:c>
      <x:c r="D2" t="str">
        <x:v>2025-12-31</x:v>
      </x:c>
      <x:c r="E2" t="str">
        <x:v>annual</x:v>
      </x:c>
      <x:c r="F2" t="str">
        <x:v>revenue</x:v>
      </x:c>
      <x:c r="G2" t="n">
        <x:v>1029784460</x:v>
      </x:c>
      <x:c r="H2" t="str">
        <x:v>reported_amount</x:v>
      </x:c>
      <x:c r="I2" t="n">
        <x:v>9</x:v>
      </x:c>
      <x:c r="J2" t="str">
        <x:v>营业收入</x:v>
      </x:c>
      <x:c r="K2" t="str">
        <x:v>candidate_pending_automated_verification</x:v>
      </x:c>
      <x:c r="L2" t="str">
        <x:v>https://static.cninfo.com.cn/finalpage/2026-03-31/1225052234.PDF</x:v>
      </x:c>
      <x:c r="M2" t="str">
        <x:v>a1abe921a1e9c543284469e31a2eac2e39b7c6ead597662836c870fd41e8b8a9</x:v>
      </x:c>
      <x:c r="N2" t="str">
        <x:v>每年只
聘请一家会计师事务所为公司外部审计机构，不分境内外。 
七、 近三年主要会计数据和财务指标 
(一) 主要会计数据 
单位：千元  币种：人民币 
主要会计数据 2025年 2024年 本期比上年同
期增减(%) 2023年 
营业收入 1,029,784,460 1,067,171,337 -3.50 1,137,993,486 
利润总额 26,932,977 32,474,709 -17.06 38,828,152 
归属于上市公司股东的净利润 18,362,618 22,215,074 -17.34 26,096,971 
归属于上市公司股东的扣除非经常性
损益的净利润 15,997,757 21,325,4</x:v>
      </x:c>
    </x:row>
    <x:row r="3">
      <x:c r="A3" t="str">
        <x:v>d5433d62-f83a-49b3-b33b-939e3102771a</x:v>
      </x:c>
      <x:c r="B3" t="str">
        <x:v>601186</x:v>
      </x:c>
      <x:c r="C3" t="str">
        <x:v>中国铁建</x:v>
      </x:c>
      <x:c r="D3" t="str">
        <x:v>2025-12-31</x:v>
      </x:c>
      <x:c r="E3" t="str">
        <x:v>annual</x:v>
      </x:c>
      <x:c r="F3" t="str">
        <x:v>current_portion_long_term_debt</x:v>
      </x:c>
      <x:c r="G3" t="n">
        <x:v>87742018</x:v>
      </x:c>
      <x:c r="H3" t="str">
        <x:v>CNY</x:v>
      </x:c>
      <x:c r="I3" t="n">
        <x:v>185</x:v>
      </x:c>
      <x:c r="J3" t="str">
        <x:v>一年内到期的非流动负债</x:v>
      </x:c>
      <x:c r="K3" t="str">
        <x:v>candidate_pending_automated_verification</x:v>
      </x:c>
      <x:c r="L3" t="str">
        <x:v>https://static.cninfo.com.cn/finalpage/2026-03-31/1225052234.PDF</x:v>
      </x:c>
      <x:c r="M3" t="str">
        <x:v>a1abe921a1e9c543284469e31a2eac2e39b7c6ead597662836c870fd41e8b8a9</x:v>
      </x:c>
      <x:c r="N3" t="str">
        <x:v>1,649,350  
应付职工薪酬 33  17,166,652   16,048,846  
应交税费 34  8,131,350   8,138,705  
其他应付款 35  124,655,919   120,304,020  
一年内到期的非流动负债 36  87,742,018   76,507,103  
其他流动负债 37  52,932,036   43,409,640  
流动负债合计   1,211,365,969   1,112,754,359  
非流动负债        
长期借款 38  335,750,413   235,062,620  
应付债券 39  39,335,3</x:v>
      </x:c>
    </x:row>
    <x:row r="4">
      <x:c r="A4" t="str">
        <x:v>f86b255a-677d-463c-a69c-66ee71590c8b</x:v>
      </x:c>
      <x:c r="B4" t="str">
        <x:v>601186</x:v>
      </x:c>
      <x:c r="C4" t="str">
        <x:v>中国铁建</x:v>
      </x:c>
      <x:c r="D4" t="str">
        <x:v>2025-12-31</x:v>
      </x:c>
      <x:c r="E4" t="str">
        <x:v>annual</x:v>
      </x:c>
      <x:c r="F4" t="str">
        <x:v>short_term_borrowings</x:v>
      </x:c>
      <x:c r="G4" t="n">
        <x:v>168869472</x:v>
      </x:c>
      <x:c r="H4" t="str">
        <x:v>CNY</x:v>
      </x:c>
      <x:c r="I4" t="n">
        <x:v>185</x:v>
      </x:c>
      <x:c r="J4" t="str">
        <x:v>短期借款</x:v>
      </x:c>
      <x:c r="K4" t="str">
        <x:v>candidate_pending_automated_verification</x:v>
      </x:c>
      <x:c r="L4" t="str">
        <x:v>https://static.cninfo.com.cn/finalpage/2026-03-31/1225052234.PDF</x:v>
      </x:c>
      <x:c r="M4" t="str">
        <x:v>a1abe921a1e9c543284469e31a2eac2e39b7c6ead597662836c870fd41e8b8a9</x:v>
      </x:c>
      <x:c r="N4" t="str">
        <x:v> 
中国铁建股份有限公司 
合并资产负债表（续） 
2025年12月31日 人民币千元 
184 
负债和股东权益 附注五  2025年12月31日   2024年12月31日  
流动负债        
短期借款 28  168,869,472   150,142,693  
吸收存款 29  1,872,095   2,051,298  
应付票据 30  37,124,169   41,316,625  
应付账款 31  591,387,684   512,813,640  
预收款项   479,084   372,439  
合同负债 32  121,005,490   141,649,</x:v>
      </x:c>
    </x:row>
    <x:row r="5">
      <x:c r="A5" t="str">
        <x:v>a7833eb0-f95a-4116-bc99-53fd0e42bf1c</x:v>
      </x:c>
      <x:c r="B5" t="str">
        <x:v>601186</x:v>
      </x:c>
      <x:c r="C5" t="str">
        <x:v>中国铁建</x:v>
      </x:c>
      <x:c r="D5" t="str">
        <x:v>2025-12-31</x:v>
      </x:c>
      <x:c r="E5" t="str">
        <x:v>annual</x:v>
      </x:c>
      <x:c r="F5" t="str">
        <x:v>cash</x:v>
      </x:c>
      <x:c r="G5" t="n">
        <x:v>191922113</x:v>
      </x:c>
      <x:c r="H5" t="str">
        <x:v>CNY</x:v>
      </x:c>
      <x:c r="I5" t="n">
        <x:v>184</x:v>
      </x:c>
      <x:c r="J5" t="str">
        <x:v>货币资金</x:v>
      </x:c>
      <x:c r="K5" t="str">
        <x:v>candidate_pending_automated_verification</x:v>
      </x:c>
      <x:c r="L5" t="str">
        <x:v>https://static.cninfo.com.cn/finalpage/2026-03-31/1225052234.PDF</x:v>
      </x:c>
      <x:c r="M5" t="str">
        <x:v>a1abe921a1e9c543284469e31a2eac2e39b7c6ead597662836c870fd41e8b8a9</x:v>
      </x:c>
      <x:c r="N5" t="str">
        <x:v> 
中国铁建股份有限公司 
合并资产负债表 
2025年12月31日 人民币千元 
183 
资产 附注五  2025年12月31日   2024年12月31日  
流动资产        
货币资金 1  191,922,113   185,703,115  
交易性金融资产 2  1,006,287   1,533,116  
应收票据 3  2,829,089   3,225,444  
应收账款 4  241,023,952   204,759,238  
应收款项融资 5  1,129,124   1,644,048  
预付款项 6  24,114,586   23,11</x:v>
      </x:c>
    </x:row>
    <x:row r="6">
      <x:c r="A6" t="str">
        <x:v>5d57f86a-c025-46e6-9649-f18b3d3a2d33</x:v>
      </x:c>
      <x:c r="B6" t="str">
        <x:v>601186</x:v>
      </x:c>
      <x:c r="C6" t="str">
        <x:v>中国铁建</x:v>
      </x:c>
      <x:c r="D6" t="str">
        <x:v>2025-12-31</x:v>
      </x:c>
      <x:c r="E6" t="str">
        <x:v>annual</x:v>
      </x:c>
      <x:c r="F6" t="str">
        <x:v>cash</x:v>
      </x:c>
      <x:c r="G6" t="n">
        <x:v>16795619</x:v>
      </x:c>
      <x:c r="H6" t="str">
        <x:v>CNY</x:v>
      </x:c>
      <x:c r="I6" t="n">
        <x:v>38</x:v>
      </x:c>
      <x:c r="J6" t="str">
        <x:v>货币资金</x:v>
      </x:c>
      <x:c r="K6" t="str">
        <x:v>candidate_pending_automated_verification</x:v>
      </x:c>
      <x:c r="L6" t="str">
        <x:v>https://static.cninfo.com.cn/finalpage/2026-03-31/1225052234.PDF</x:v>
      </x:c>
      <x:c r="M6" t="str">
        <x:v>a1abe921a1e9c543284469e31a2eac2e39b7c6ead597662836c870fd41e8b8a9</x:v>
      </x:c>
      <x:c r="N6" t="str">
        <x:v>
项目 2025 年12 月 31 日 2024 年12 月 31 日 
无形资产 135,068,961 88,986,523 
存货 47,819,227 67,381,882 
合同资产 30,556,164 26,337,133 
货币资金 16,795,619 16,359,789 
在建工程 1,321,430 995,298 
应收账款 3,169,477 3,090,368 
固定资产 1,938,376 2,160,613 
投资性房地产 2,391,756 2,729,706 
长期应收款 10,583,097 10,269,134 
详见本报告所附财务报告附注五、“27.所有权或使用权受到限制的资产”</x:v>
      </x:c>
    </x:row>
    <x:row r="7">
      <x:c r="A7" t="str">
        <x:v>e59fcaa8-c657-4ad5-869c-b6fe7321cf88</x:v>
      </x:c>
      <x:c r="B7" t="str">
        <x:v>601186</x:v>
      </x:c>
      <x:c r="C7" t="str">
        <x:v>中国铁建</x:v>
      </x:c>
      <x:c r="D7" t="str">
        <x:v>2025-12-31</x:v>
      </x:c>
      <x:c r="E7" t="str">
        <x:v>annual</x:v>
      </x:c>
      <x:c r="F7" t="str">
        <x:v>operating_cash_flow</x:v>
      </x:c>
      <x:c r="G7" t="n">
        <x:v>2956977</x:v>
      </x:c>
      <x:c r="H7" t="str">
        <x:v>reported_amount</x:v>
      </x:c>
      <x:c r="I7" t="n">
        <x:v>9</x:v>
      </x:c>
      <x:c r="J7" t="str">
        <x:v>经营活动产生的现金流量净额</x:v>
      </x:c>
      <x:c r="K7" t="str">
        <x:v>candidate_pending_automated_verification</x:v>
      </x:c>
      <x:c r="L7" t="str">
        <x:v>https://static.cninfo.com.cn/finalpage/2026-03-31/1225052234.PDF</x:v>
      </x:c>
      <x:c r="M7" t="str">
        <x:v>a1abe921a1e9c543284469e31a2eac2e39b7c6ead597662836c870fd41e8b8a9</x:v>
      </x:c>
      <x:c r="N7" t="str">
        <x:v>归属于上市公司股东的净利润 18,362,618 22,215,074 -17.34 26,096,971 
归属于上市公司股东的扣除非经常性
损益的净利润 15,997,757 21,325,484 -24.98 24,580,442 
经营活动产生的现金流量净额 2,956,977 -31,423,832 不适用 20,412,048 
 2025年末 2024年末 
本期末比上年
同期末增减
（%） 
2023年末 
归属于上市公司股东的净资产 340,286,440 328,251,080 3.67 309,837,517 
总资产 2,083,825,209 1,862,842,522 11.86 1,663,019,578 
</x:v>
      </x:c>
    </x:row>
    <x:row r="8">
      <x:c r="A8" t="str">
        <x:v>778ca6cd-7215-4543-a5eb-83717e92a417</x:v>
      </x:c>
      <x:c r="B8" t="str">
        <x:v>601186</x:v>
      </x:c>
      <x:c r="C8" t="str">
        <x:v>中国铁建</x:v>
      </x:c>
      <x:c r="D8" t="str">
        <x:v>2025-12-31</x:v>
      </x:c>
      <x:c r="E8" t="str">
        <x:v>annual</x:v>
      </x:c>
      <x:c r="F8" t="str">
        <x:v>net_income</x:v>
      </x:c>
      <x:c r="G8" t="n">
        <x:v>18362618</x:v>
      </x:c>
      <x:c r="H8" t="str">
        <x:v>reported_amount</x:v>
      </x:c>
      <x:c r="I8" t="n">
        <x:v>9</x:v>
      </x:c>
      <x:c r="J8" t="str">
        <x:v>归属于上市公司股东的净利润</x:v>
      </x:c>
      <x:c r="K8" t="str">
        <x:v>candidate_pending_automated_verification</x:v>
      </x:c>
      <x:c r="L8" t="str">
        <x:v>https://static.cninfo.com.cn/finalpage/2026-03-31/1225052234.PDF</x:v>
      </x:c>
      <x:c r="M8" t="str">
        <x:v>a1abe921a1e9c543284469e31a2eac2e39b7c6ead597662836c870fd41e8b8a9</x:v>
      </x:c>
      <x:c r="N8" t="str">
        <x:v>期比上年同
期增减(%) 2023年 
营业收入 1,029,784,460 1,067,171,337 -3.50 1,137,993,486 
利润总额 26,932,977 32,474,709 -17.06 38,828,152 
归属于上市公司股东的净利润 18,362,618 22,215,074 -17.34 26,096,971 
归属于上市公司股东的扣除非经常性
损益的净利润 15,997,757 21,325,484 -24.98 24,580,442 
经营活动产生的现金流量净额 2,956,977 -31,423,832 不适用 20,412,048 
 2025年末 2024年末 
本期末比上年
同期末增减
（%）</x:v>
      </x:c>
    </x:row>
    <x:row r="9">
      <x:c r="A9" t="str">
        <x:v>67d9d489-8e6f-41a4-afca-9f6d9575cca7</x:v>
      </x:c>
      <x:c r="B9" t="str">
        <x:v>601186</x:v>
      </x:c>
      <x:c r="C9" t="str">
        <x:v>中国铁建</x:v>
      </x:c>
      <x:c r="D9" t="str">
        <x:v>2025-12-31</x:v>
      </x:c>
      <x:c r="E9" t="str">
        <x:v>annual</x:v>
      </x:c>
      <x:c r="F9" t="str">
        <x:v>long_term_borrowings</x:v>
      </x:c>
      <x:c r="G9" t="n">
        <x:v>335750413</x:v>
      </x:c>
      <x:c r="H9" t="str">
        <x:v>CNY</x:v>
      </x:c>
      <x:c r="I9" t="n">
        <x:v>335</x:v>
      </x:c>
      <x:c r="J9" t="str">
        <x:v>长期借款</x:v>
      </x:c>
      <x:c r="K9" t="str">
        <x:v>candidate_pending_automated_verification</x:v>
      </x:c>
      <x:c r="L9" t="str">
        <x:v>https://static.cninfo.com.cn/finalpage/2026-03-31/1225052234.PDF</x:v>
      </x:c>
      <x:c r="M9" t="str">
        <x:v>a1abe921a1e9c543284469e31a2eac2e39b7c6ead597662836c870fd41e8b8a9</x:v>
      </x:c>
      <x:c r="N9" t="str">
        <x:v>减货币资金
后的净额。资本包括归属于母公司股东权益及少数股东权益，本集团于资产负债表日
的杠杆比率如下： 
  2025年12月31日   2024年12月31日  
短期借款  168,869,472   150,142,693  
长期借款  335,750,413   235,062,620  
吸收存款  1,872,095   2,051,298  
应付票据  37,124,169   41,316,625  
应付账款  591,387,684   512,813,640  
其他应付款  124,655,919   120,304,020  
一年内到期的非流动负债(不含一年内 
到期的长期应付职工薪酬及预</x:v>
      </x:c>
    </x:row>
    <x:row r="10">
      <x:c r="A10" t="str">
        <x:v>719ce979-7e35-4615-aab3-ebbd7cb63cbe</x:v>
      </x:c>
      <x:c r="B10" t="str">
        <x:v>601186</x:v>
      </x:c>
      <x:c r="C10" t="str">
        <x:v>中国铁建</x:v>
      </x:c>
      <x:c r="D10" t="str">
        <x:v>2025-12-31</x:v>
      </x:c>
      <x:c r="E10" t="str">
        <x:v>annual</x:v>
      </x:c>
      <x:c r="F10" t="str">
        <x:v>bonds_payable</x:v>
      </x:c>
      <x:c r="G10" t="n">
        <x:v>39335327</x:v>
      </x:c>
      <x:c r="H10" t="str">
        <x:v>CNY</x:v>
      </x:c>
      <x:c r="I10" t="n">
        <x:v>340</x:v>
      </x:c>
      <x:c r="J10" t="str">
        <x:v>应付债券</x:v>
      </x:c>
      <x:c r="K10" t="str">
        <x:v>candidate_pending_automated_verification</x:v>
      </x:c>
      <x:c r="L10" t="str">
        <x:v>https://static.cninfo.com.cn/finalpage/2026-03-31/1225052234.PDF</x:v>
      </x:c>
      <x:c r="M10" t="str">
        <x:v>a1abe921a1e9c543284469e31a2eac2e39b7c6ead597662836c870fd41e8b8a9</x:v>
      </x:c>
      <x:c r="N10" t="str">
        <x:v>是本集团除账面价值与公允价值差异很小的金融工具之外的各类别金融工具的账
面价值与公允价值的比较： 
  账面价值   公允价值  
金融负债       
长期借款（固定利率部分）  61,457,377   62,265,597  
应付债券  39,335,327   39,405,704  
合计  100,792,704   101,671,301  
2024年 
  账面价值   公允价值  
金融负债       
长期借款（固定利率部分）  45,610,912   45,617,446  
应付债券  32,720,483   32,778,384  
合计  78,331,395   78,3</x:v>
      </x:c>
    </x:row>
    <x:row r="11">
      <x:c r="A11" t="str">
        <x:v>92fb395c-a872-4436-9ad9-ce5b531d8536</x:v>
      </x:c>
      <x:c r="B11" t="str">
        <x:v>601186</x:v>
      </x:c>
      <x:c r="C11" t="str">
        <x:v>中国铁建</x:v>
      </x:c>
      <x:c r="D11" t="str">
        <x:v>2025-12-31</x:v>
      </x:c>
      <x:c r="E11" t="str">
        <x:v>annual</x:v>
      </x:c>
      <x:c r="F11" t="str">
        <x:v>bonds_payable</x:v>
      </x:c>
      <x:c r="G11" t="n">
        <x:v>39335327</x:v>
      </x:c>
      <x:c r="H11" t="str">
        <x:v>CNY</x:v>
      </x:c>
      <x:c r="I11" t="n">
        <x:v>335</x:v>
      </x:c>
      <x:c r="J11" t="str">
        <x:v>应付债券</x:v>
      </x:c>
      <x:c r="K11" t="str">
        <x:v>candidate_pending_automated_verification</x:v>
      </x:c>
      <x:c r="L11" t="str">
        <x:v>https://static.cninfo.com.cn/finalpage/2026-03-31/1225052234.PDF</x:v>
      </x:c>
      <x:c r="M11" t="str">
        <x:v>a1abe921a1e9c543284469e31a2eac2e39b7c6ead597662836c870fd41e8b8a9</x:v>
      </x:c>
      <x:c r="N11" t="str">
        <x:v>655,919   120,304,020  
一年内到期的非流动负债(不含一年内 
到期的长期应付职工薪酬及预计负债)  87,513,657   76,180,159  
其他流动负债  6,386,585   2,378,224  
应付债券  39,335,327   32,720,483  
长期应付款(不含专项应付款)  57,879,101   49,538,878  
租赁负债  6,121,161   4,197,035  
其他非流动负债  412,600   572,500  
减：货币资金  191,922,113   185,703,115  
净负债  1,265,386,070   1,041,</x:v>
      </x:c>
    </x:row>
    <x:row r="12">
      <x:c r="A12" t="str">
        <x:v>a2c71eef-30c9-458a-9ba4-20d7bfcebb45</x:v>
      </x:c>
      <x:c r="B12" t="str">
        <x:v>601186</x:v>
      </x:c>
      <x:c r="C12" t="str">
        <x:v>中国铁建</x:v>
      </x:c>
      <x:c r="D12" t="str">
        <x:v>2025-12-31</x:v>
      </x:c>
      <x:c r="E12" t="str">
        <x:v>annual</x:v>
      </x:c>
      <x:c r="F12" t="str">
        <x:v>short_term_borrowings</x:v>
      </x:c>
      <x:c r="G12" t="n">
        <x:v>168869472</x:v>
      </x:c>
      <x:c r="H12" t="str">
        <x:v>CNY</x:v>
      </x:c>
      <x:c r="I12" t="n">
        <x:v>335</x:v>
      </x:c>
      <x:c r="J12" t="str">
        <x:v>短期借款</x:v>
      </x:c>
      <x:c r="K12" t="str">
        <x:v>candidate_pending_automated_verification</x:v>
      </x:c>
      <x:c r="L12" t="str">
        <x:v>https://static.cninfo.com.cn/finalpage/2026-03-31/1225052234.PDF</x:v>
      </x:c>
      <x:c r="M12" t="str">
        <x:v>a1abe921a1e9c543284469e31a2eac2e39b7c6ead597662836c870fd41e8b8a9</x:v>
      </x:c>
      <x:c r="N12" t="str">
        <x:v>(不含一年内到期的长期应付职工薪酬及预计负债)以及其他非流动负债等抵减货币资金
后的净额。资本包括归属于母公司股东权益及少数股东权益，本集团于资产负债表日
的杠杆比率如下： 
  2025年12月31日   2024年12月31日  
短期借款  168,869,472   150,142,693  
长期借款  335,750,413   235,062,620  
吸收存款  1,872,095   2,051,298  
应付票据  37,124,169   41,316,625  
应付账款  591,387,684   512,813,640  
其他应付款  124,655,919   120,304,020 </x:v>
      </x:c>
    </x:row>
    <x:row r="13">
      <x:c r="A13" t="str">
        <x:v>ccfae6a2-ee82-4a13-99d7-7fe1da451705</x:v>
      </x:c>
      <x:c r="B13" t="str">
        <x:v>601186</x:v>
      </x:c>
      <x:c r="C13" t="str">
        <x:v>中国铁建</x:v>
      </x:c>
      <x:c r="D13" t="str">
        <x:v>2025-12-31</x:v>
      </x:c>
      <x:c r="E13" t="str">
        <x:v>annual</x:v>
      </x:c>
      <x:c r="F13" t="str">
        <x:v>cash</x:v>
      </x:c>
      <x:c r="G13" t="n">
        <x:v>191922113</x:v>
      </x:c>
      <x:c r="H13" t="str">
        <x:v>CNY</x:v>
      </x:c>
      <x:c r="I13" t="n">
        <x:v>335</x:v>
      </x:c>
      <x:c r="J13" t="str">
        <x:v>货币资金</x:v>
      </x:c>
      <x:c r="K13" t="str">
        <x:v>candidate_pending_automated_verification</x:v>
      </x:c>
      <x:c r="L13" t="str">
        <x:v>https://static.cninfo.com.cn/finalpage/2026-03-31/1225052234.PDF</x:v>
      </x:c>
      <x:c r="M13" t="str">
        <x:v>a1abe921a1e9c543284469e31a2eac2e39b7c6ead597662836c870fd41e8b8a9</x:v>
      </x:c>
      <x:c r="N13" t="str">
        <x:v>7   32,720,483  
长期应付款(不含专项应付款)  57,879,101   49,538,878  
租赁负债  6,121,161   4,197,035  
其他非流动负债  412,600   572,500  
减：货币资金  191,922,113   185,703,115  
净负债  1,265,386,070   1,041,575,060  
归属于母公司股东权益  340,286,440   328,251,080  
少数股东权益  86,668,415   94,345,742  
调整后资本  426,954,855   422,596,822  
资本和净负债  1,692,340</x:v>
      </x:c>
    </x:row>
    <x:row r="14">
      <x:c r="A14" t="str">
        <x:v>e3c1c945-fe90-48da-b951-a23f134c443e</x:v>
      </x:c>
      <x:c r="B14" t="str">
        <x:v>601186</x:v>
      </x:c>
      <x:c r="C14" t="str">
        <x:v>中国铁建</x:v>
      </x:c>
      <x:c r="D14" t="str">
        <x:v>2025-12-31</x:v>
      </x:c>
      <x:c r="E14" t="str">
        <x:v>annual</x:v>
      </x:c>
      <x:c r="F14" t="str">
        <x:v>short_term_borrowings</x:v>
      </x:c>
      <x:c r="G14" t="n">
        <x:v>150142693</x:v>
      </x:c>
      <x:c r="H14" t="str">
        <x:v>CNY</x:v>
      </x:c>
      <x:c r="I14" t="n">
        <x:v>313</x:v>
      </x:c>
      <x:c r="J14" t="str">
        <x:v>短期借款</x:v>
      </x:c>
      <x:c r="K14" t="str">
        <x:v>candidate_pending_automated_verification</x:v>
      </x:c>
      <x:c r="L14" t="str">
        <x:v>https://static.cninfo.com.cn/finalpage/2026-03-31/1225052234.PDF</x:v>
      </x:c>
      <x:c r="M14" t="str">
        <x:v>a1abe921a1e9c543284469e31a2eac2e39b7c6ead597662836c870fd41e8b8a9</x:v>
      </x:c>
      <x:c r="N14" t="str">
        <x:v>目注释（续） 
（2） 与筹资活动有关的现金（续） 
筹资活动产生的各项负债的变动如下： 
  年初余额   本年增加   本年减少   年末余额  
     现金变动   非现金变动   现金变动   非现金变动     
短期借款  150,142,693   339,461,894   8,942,306   (329,677,421 )  -   168,869,472  
长期借款(含一年内到期的长期借款)  281,386,136   142,847,741   46,875,866   (77,544,557 )  -   393,565,186  
应付债券(含一年内到期的应付债券)  52,32</x:v>
      </x:c>
    </x:row>
    <x:row r="15">
      <x:c r="A15" t="str">
        <x:v>cc6ef659-d919-4073-b3ea-4f326377baed</x:v>
      </x:c>
      <x:c r="B15" t="str">
        <x:v>601186</x:v>
      </x:c>
      <x:c r="C15" t="str">
        <x:v>中国铁建</x:v>
      </x:c>
      <x:c r="D15" t="str">
        <x:v>2025-12-31</x:v>
      </x:c>
      <x:c r="E15" t="str">
        <x:v>annual</x:v>
      </x:c>
      <x:c r="F15" t="str">
        <x:v>bonds_payable</x:v>
      </x:c>
      <x:c r="G15" t="n">
        <x:v>2025</x:v>
      </x:c>
      <x:c r="H15" t="str">
        <x:v>CNY</x:v>
      </x:c>
      <x:c r="I15" t="n">
        <x:v>293</x:v>
      </x:c>
      <x:c r="J15" t="str">
        <x:v>应付债券</x:v>
      </x:c>
      <x:c r="K15" t="str">
        <x:v>candidate_pending_automated_verification</x:v>
      </x:c>
      <x:c r="L15" t="str">
        <x:v>https://static.cninfo.com.cn/finalpage/2026-03-31/1225052234.PDF</x:v>
      </x:c>
      <x:c r="M15" t="str">
        <x:v>a1abe921a1e9c543284469e31a2eac2e39b7c6ead597662836c870fd41e8b8a9</x:v>
      </x:c>
      <x:c r="N15" t="str">
        <x:v> 
二至五年内到期(含五年) 122,851,678  93,699,707  
五年以上 138,410,475  84,163,324  
合计 393,565,186  281,386,136  
39. 应付债券 
（1） 应付债券 
  2025年12月31日   2024年12月31日  
应付债券  57,555,686   52,321,218  
减：一年内到期的应付债券(附注五、36)  18,220,359   19,600,735  
一年后到期的应付债券合计  39,335,327   32,720,483  
 </x:v>
      </x:c>
    </x:row>
    <x:row r="16">
      <x:c r="A16" t="str">
        <x:v>c0b6a9e7-6dbb-472c-82e2-fc0309f7bcd3</x:v>
      </x:c>
      <x:c r="B16" t="str">
        <x:v>601186</x:v>
      </x:c>
      <x:c r="C16" t="str">
        <x:v>中国铁建</x:v>
      </x:c>
      <x:c r="D16" t="str">
        <x:v>2025-12-31</x:v>
      </x:c>
      <x:c r="E16" t="str">
        <x:v>annual</x:v>
      </x:c>
      <x:c r="F16" t="str">
        <x:v>long_term_borrowings</x:v>
      </x:c>
      <x:c r="G16" t="n">
        <x:v>2025</x:v>
      </x:c>
      <x:c r="H16" t="str">
        <x:v>CNY</x:v>
      </x:c>
      <x:c r="I16" t="n">
        <x:v>292</x:v>
      </x:c>
      <x:c r="J16" t="str">
        <x:v>长期借款</x:v>
      </x:c>
      <x:c r="K16" t="str">
        <x:v>candidate_pending_automated_verification</x:v>
      </x:c>
      <x:c r="L16" t="str">
        <x:v>https://static.cninfo.com.cn/finalpage/2026-03-31/1225052234.PDF</x:v>
      </x:c>
      <x:c r="M16" t="str">
        <x:v>a1abe921a1e9c543284469e31a2eac2e39b7c6ead597662836c870fd41e8b8a9</x:v>
      </x:c>
      <x:c r="N16" t="str">
        <x:v> 
中国铁建股份有限公司 
财务报表附注（续） 
2025年度 人民币千元 
291 
五、 合并财务报表主要项目注释（续） 
38. 长期借款 
  2025年12月31日   2024年12月31日  
信用借款  190,306,952   137,950,250  
质押借款(注1、注2、注3、注4)  119,017,315   69,634,559  
抵押借款(注5、注6、注7、注8、注9)  21,947,419   25,241,688  
保证借款(注10)  4,478,727   2,236</x:v>
      </x:c>
    </x:row>
    <x:row r="17">
      <x:c r="A17" t="str">
        <x:v>a22f5301-c5c1-4bbc-af3b-b32e31b73de2</x:v>
      </x:c>
      <x:c r="B17" t="str">
        <x:v>601186</x:v>
      </x:c>
      <x:c r="C17" t="str">
        <x:v>中国铁建</x:v>
      </x:c>
      <x:c r="D17" t="str">
        <x:v>2025-12-31</x:v>
      </x:c>
      <x:c r="E17" t="str">
        <x:v>annual</x:v>
      </x:c>
      <x:c r="F17" t="str">
        <x:v>current_portion_long_term_debt</x:v>
      </x:c>
      <x:c r="G17" t="n">
        <x:v>2025</x:v>
      </x:c>
      <x:c r="H17" t="str">
        <x:v>CNY</x:v>
      </x:c>
      <x:c r="I17" t="n">
        <x:v>290</x:v>
      </x:c>
      <x:c r="J17" t="str">
        <x:v>一年内到期的非流动负债</x:v>
      </x:c>
      <x:c r="K17" t="str">
        <x:v>candidate_pending_automated_verification</x:v>
      </x:c>
      <x:c r="L17" t="str">
        <x:v>https://static.cninfo.com.cn/finalpage/2026-03-31/1225052234.PDF</x:v>
      </x:c>
      <x:c r="M17" t="str">
        <x:v>a1abe921a1e9c543284469e31a2eac2e39b7c6ead597662836c870fd41e8b8a9</x:v>
      </x:c>
      <x:c r="N17" t="str">
        <x:v> 
中国铁建股份有限公司 
财务报表附注（续） 
2025年度 人民币千元 
289 
五、 合并财务报表主要项目注释（续） 
36. 一年内到期的非流动负债 
  2025年12月31日   2024年12月31日  
一年内到期的长期借款(附注五、38)  57,814,773   46,323,516  
一年内到期的应付债券(附注五、39)  18,220,359   19,600,735  
一年内到期的租赁负债(附注五、40)  2,416,856   2,255,090  
一年内到期的长期应付款(附注五、41) </x:v>
      </x:c>
    </x:row>
    <x:row r="18">
      <x:c r="A18" t="str">
        <x:v>b6dbb0a4-75f3-4f3c-bbf4-cfe5a102f2f9</x:v>
      </x:c>
      <x:c r="B18" t="str">
        <x:v>601186</x:v>
      </x:c>
      <x:c r="C18" t="str">
        <x:v>中国铁建</x:v>
      </x:c>
      <x:c r="D18" t="str">
        <x:v>2025-12-31</x:v>
      </x:c>
      <x:c r="E18" t="str">
        <x:v>annual</x:v>
      </x:c>
      <x:c r="F18" t="str">
        <x:v>cash</x:v>
      </x:c>
      <x:c r="G18" t="n">
        <x:v>16795619</x:v>
      </x:c>
      <x:c r="H18" t="str">
        <x:v>CNY</x:v>
      </x:c>
      <x:c r="I18" t="n">
        <x:v>283</x:v>
      </x:c>
      <x:c r="J18" t="str">
        <x:v>货币资金</x:v>
      </x:c>
      <x:c r="K18" t="str">
        <x:v>candidate_pending_automated_verification</x:v>
      </x:c>
      <x:c r="L18" t="str">
        <x:v>https://static.cninfo.com.cn/finalpage/2026-03-31/1225052234.PDF</x:v>
      </x:c>
      <x:c r="M18" t="str">
        <x:v>a1abe921a1e9c543284469e31a2eac2e39b7c6ead597662836c870fd41e8b8a9</x:v>
      </x:c>
      <x:c r="N18" t="str">
        <x:v>755,579   (515,116 )  74,380   3,593,996  
27. 所有权或使用权受到限制的资产 
2025年12月31日 
  2025年12月31日    2024年12月31日   受限类型  
货币资金   16,795,619    16,359,789   注  
应收账款   3,169,477    3,090,368   质押  
存货   47,819,227    67,381,882   抵押  
合同资产   30,556,164    26,337,133   质押  
长期应收款   10,583,097    10,269,134   质押  
投资性房地产</x:v>
      </x:c>
    </x:row>
    <x:row r="19">
      <x:c r="A19" t="str">
        <x:v>fb3b97f7-f036-46fb-bcee-3e3710d629cd</x:v>
      </x:c>
      <x:c r="B19" t="str">
        <x:v>601186</x:v>
      </x:c>
      <x:c r="C19" t="str">
        <x:v>中国铁建</x:v>
      </x:c>
      <x:c r="D19" t="str">
        <x:v>2025-12-31</x:v>
      </x:c>
      <x:c r="E19" t="str">
        <x:v>annual</x:v>
      </x:c>
      <x:c r="F19" t="str">
        <x:v>cash</x:v>
      </x:c>
      <x:c r="G19" t="n">
        <x:v>2025</x:v>
      </x:c>
      <x:c r="H19" t="str">
        <x:v>CNY</x:v>
      </x:c>
      <x:c r="I19" t="n">
        <x:v>248</x:v>
      </x:c>
      <x:c r="J19" t="str">
        <x:v>货币资金</x:v>
      </x:c>
      <x:c r="K19" t="str">
        <x:v>candidate_pending_automated_verification</x:v>
      </x:c>
      <x:c r="L19" t="str">
        <x:v>https://static.cninfo.com.cn/finalpage/2026-03-31/1225052234.PDF</x:v>
      </x:c>
      <x:c r="M19" t="str">
        <x:v>a1abe921a1e9c543284469e31a2eac2e39b7c6ead597662836c870fd41e8b8a9</x:v>
      </x:c>
      <x:c r="N19" t="str">
        <x:v> 
中国铁建股份有限公司 
财务报表附注（续） 
2025年度 人民币千元 
247 
五、 合并财务报表主要项目注释 
1. 货币资金 
  2025年12月31日   2024年12月31日  
库存现金  79,044   57,041  
银行存款  175,001,673   169,253,199  
其他货币资金  11,846,395   11,149,207  
财务公司存放中央银行法定准备金  4,995,001   5,243,668  
合计  191,922,113   185,7</x:v>
      </x:c>
    </x:row>
    <x:row r="20">
      <x:c r="A20" t="str">
        <x:v>8f72b60b-973f-4345-97fc-26dd8048b36f</x:v>
      </x:c>
      <x:c r="B20" t="str">
        <x:v>601186</x:v>
      </x:c>
      <x:c r="C20" t="str">
        <x:v>中国铁建</x:v>
      </x:c>
      <x:c r="D20" t="str">
        <x:v>2025-12-31</x:v>
      </x:c>
      <x:c r="E20" t="str">
        <x:v>annual</x:v>
      </x:c>
      <x:c r="F20" t="str">
        <x:v>bonds_payable</x:v>
      </x:c>
      <x:c r="G20" t="n">
        <x:v>39335327</x:v>
      </x:c>
      <x:c r="H20" t="str">
        <x:v>CNY</x:v>
      </x:c>
      <x:c r="I20" t="n">
        <x:v>185</x:v>
      </x:c>
      <x:c r="J20" t="str">
        <x:v>应付债券</x:v>
      </x:c>
      <x:c r="K20" t="str">
        <x:v>candidate_pending_automated_verification</x:v>
      </x:c>
      <x:c r="L20" t="str">
        <x:v>https://static.cninfo.com.cn/finalpage/2026-03-31/1225052234.PDF</x:v>
      </x:c>
      <x:c r="M20" t="str">
        <x:v>a1abe921a1e9c543284469e31a2eac2e39b7c6ead597662836c870fd41e8b8a9</x:v>
      </x:c>
      <x:c r="N20" t="str">
        <x:v>409,640  
流动负债合计   1,211,365,969   1,112,754,359  
非流动负债        
长期借款 38  335,750,413   235,062,620  
应付债券 39  39,335,327   32,720,483  
租赁负债 40  6,121,161   4,197,035  
长期应付款 41  58,165,756   49,835,673  
长期应付职工薪酬   46,746   53,619  
预计负债   2,324,495   1,628,540  
递延收益   1,208,861   1,130,936  
递延所得</x:v>
      </x:c>
    </x:row>
    <x:row r="21">
      <x:c r="A21" t="str">
        <x:v>4bd27ff2-d95d-425c-968e-238db6e040d3</x:v>
      </x:c>
      <x:c r="B21" t="str">
        <x:v>601186</x:v>
      </x:c>
      <x:c r="C21" t="str">
        <x:v>中国铁建</x:v>
      </x:c>
      <x:c r="D21" t="str">
        <x:v>2025-12-31</x:v>
      </x:c>
      <x:c r="E21" t="str">
        <x:v>annual</x:v>
      </x:c>
      <x:c r="F21" t="str">
        <x:v>long_term_borrowings</x:v>
      </x:c>
      <x:c r="G21" t="n">
        <x:v>335750413</x:v>
      </x:c>
      <x:c r="H21" t="str">
        <x:v>CNY</x:v>
      </x:c>
      <x:c r="I21" t="n">
        <x:v>185</x:v>
      </x:c>
      <x:c r="J21" t="str">
        <x:v>长期借款</x:v>
      </x:c>
      <x:c r="K21" t="str">
        <x:v>candidate_pending_automated_verification</x:v>
      </x:c>
      <x:c r="L21" t="str">
        <x:v>https://static.cninfo.com.cn/finalpage/2026-03-31/1225052234.PDF</x:v>
      </x:c>
      <x:c r="M21" t="str">
        <x:v>a1abe921a1e9c543284469e31a2eac2e39b7c6ead597662836c870fd41e8b8a9</x:v>
      </x:c>
      <x:c r="N21" t="str">
        <x:v>507,103  
其他流动负债 37  52,932,036   43,409,640  
流动负债合计   1,211,365,969   1,112,754,359  
非流动负债        
长期借款 38  335,750,413   235,062,620  
应付债券 39  39,335,327   32,720,483  
租赁负债 40  6,121,161   4,197,035  
长期应付款 41  58,165,756   49,835,673  
长期应付职工薪酬   46,746   53,619  
预计负债   2,324,495   1,628,540  </x:v>
      </x:c>
    </x:row>
    <x:row r="22">
      <x:c r="A22" t="str">
        <x:v>c3a7d9c7-024f-4347-9e5a-59ed0c0d951c</x:v>
      </x:c>
      <x:c r="B22" t="str">
        <x:v>601688</x:v>
      </x:c>
      <x:c r="C22" t="str">
        <x:v>华泰证券</x:v>
      </x:c>
      <x:c r="D22" t="str">
        <x:v>2026-03-31</x:v>
      </x:c>
      <x:c r="E22" t="str">
        <x:v>first_quarter</x:v>
      </x:c>
      <x:c r="F22" t="str">
        <x:v>long_term_borrowings</x:v>
      </x:c>
      <x:c r="G22" t="n">
        <x:v>166558164.73</x:v>
      </x:c>
      <x:c r="H22" t="str">
        <x:v>CNY</x:v>
      </x:c>
      <x:c r="I22" t="n">
        <x:v>10</x:v>
      </x:c>
      <x:c r="J22" t="str">
        <x:v>长期借款</x:v>
      </x:c>
      <x:c r="K22" t="str">
        <x:v>candidate_pending_automated_verification</x:v>
      </x:c>
      <x:c r="L22" t="str">
        <x:v>https://static.cninfo.com.cn/finalpage/2026-04-30/1225262752.PDF</x:v>
      </x:c>
      <x:c r="M22" t="str">
        <x:v>d1e92b12fa9da26fdffa8b64facf77bbeeb41935231298e24427257d2e1bef77</x:v>
      </x:c>
      <x:c r="N22" t="str">
        <x:v> 119,485,144,761.48 106,136,545,617.72
合同负债 275,184,924.14 223,153,447.55
持有待售负债 - -
预计负债 696,003,381.02 693,794,335.86
长期借款 166,558,164.73 170,902,521.52
应付债券 217,650,077,674.15 183,091,799,381.39
其中：优先股 - -
永续债 - -
租赁负债 1,055,956,474.31 1,012,261,298.19
递延收益 - -
递延所得税负债 654,028,591.74 668,282,129.23
其他负债 1,606,333,9</x:v>
      </x:c>
    </x:row>
    <x:row r="23">
      <x:c r="A23" t="str">
        <x:v>67f3f2b7-a8fa-4a80-b800-6be5f19765e0</x:v>
      </x:c>
      <x:c r="B23" t="str">
        <x:v>601688</x:v>
      </x:c>
      <x:c r="C23" t="str">
        <x:v>华泰证券</x:v>
      </x:c>
      <x:c r="D23" t="str">
        <x:v>2026-03-31</x:v>
      </x:c>
      <x:c r="E23" t="str">
        <x:v>first_quarter</x:v>
      </x:c>
      <x:c r="F23" t="str">
        <x:v>short_term_borrowings</x:v>
      </x:c>
      <x:c r="G23" t="n">
        <x:v>22926691471.1</x:v>
      </x:c>
      <x:c r="H23" t="str">
        <x:v>CNY</x:v>
      </x:c>
      <x:c r="I23" t="n">
        <x:v>9</x:v>
      </x:c>
      <x:c r="J23" t="str">
        <x:v>短期借款</x:v>
      </x:c>
      <x:c r="K23" t="str">
        <x:v>candidate_pending_automated_verification</x:v>
      </x:c>
      <x:c r="L23" t="str">
        <x:v>https://static.cninfo.com.cn/finalpage/2026-04-30/1225262752.PDF</x:v>
      </x:c>
      <x:c r="M23" t="str">
        <x:v>d1e92b12fa9da26fdffa8b64facf77bbeeb41935231298e24427257d2e1bef77</x:v>
      </x:c>
      <x:c r="N23" t="str">
        <x:v>1,438,826.64 2,413,050,501.56
其他资产 4,038,961,401.20 4,281,040,333.34
资产总计 1,225,406,190,632.98 1,077,347,555,872.09
负债：
短期借款 22,926,691,471.10 21,647,664,361.92
应付短期融资款 60,139,999,111.11 60,329,377,447.01
拆入资金 17,334,659,081.79 37,134,967,294.70
交易性金融负债 53,121,533,398.18 36,421,918,215.40</x:v>
      </x:c>
    </x:row>
    <x:row r="24">
      <x:c r="A24" t="str">
        <x:v>39a8984f-0ed2-478f-92d4-f94e91183550</x:v>
      </x:c>
      <x:c r="B24" t="str">
        <x:v>601688</x:v>
      </x:c>
      <x:c r="C24" t="str">
        <x:v>华泰证券</x:v>
      </x:c>
      <x:c r="D24" t="str">
        <x:v>2026-03-31</x:v>
      </x:c>
      <x:c r="E24" t="str">
        <x:v>first_quarter</x:v>
      </x:c>
      <x:c r="F24" t="str">
        <x:v>cash</x:v>
      </x:c>
      <x:c r="G24" t="n">
        <x:v>250974567133.91</x:v>
      </x:c>
      <x:c r="H24" t="str">
        <x:v>CNY</x:v>
      </x:c>
      <x:c r="I24" t="n">
        <x:v>9</x:v>
      </x:c>
      <x:c r="J24" t="str">
        <x:v>货币资金</x:v>
      </x:c>
      <x:c r="K24" t="str">
        <x:v>candidate_pending_automated_verification</x:v>
      </x:c>
      <x:c r="L24" t="str">
        <x:v>https://static.cninfo.com.cn/finalpage/2026-04-30/1225262752.PDF</x:v>
      </x:c>
      <x:c r="M24" t="str">
        <x:v>d1e92b12fa9da26fdffa8b64facf77bbeeb41935231298e24427257d2e1bef77</x:v>
      </x:c>
      <x:c r="N24" t="str">
        <x:v>年第一季度报告
7
(二)财务报表
合并资产负债表
2026 年 3 月 31 日
编制单位：华泰证券股份有限公司
单位：元 币种:人民币 审计类型：未经审计
项目 2026 年 3 月 31 日 2025 年 12 月 31 日
资产：
货币资金 250,974,567,133.91 223,337,707,129.80
其中：客户资金存款 194,053,785,905.45 175,644,151,904.04
结算备付金 94,678,774,446.43 54,440,703,032.35
其中：客户备付金 72,651,263,362.21 46,093,939,680.33
贵金属 - -
拆出资金 - -
融出资金 187</x:v>
      </x:c>
    </x:row>
    <x:row r="25">
      <x:c r="A25" t="str">
        <x:v>946cc875-ac60-4d45-a084-12f79f953947</x:v>
      </x:c>
      <x:c r="B25" t="str">
        <x:v>601688</x:v>
      </x:c>
      <x:c r="C25" t="str">
        <x:v>华泰证券</x:v>
      </x:c>
      <x:c r="D25" t="str">
        <x:v>2026-03-31</x:v>
      </x:c>
      <x:c r="E25" t="str">
        <x:v>first_quarter</x:v>
      </x:c>
      <x:c r="F25" t="str">
        <x:v>bonds_payable</x:v>
      </x:c>
      <x:c r="G25" t="n">
        <x:v>217650077674.15</x:v>
      </x:c>
      <x:c r="H25" t="str">
        <x:v>CNY</x:v>
      </x:c>
      <x:c r="I25" t="n">
        <x:v>10</x:v>
      </x:c>
      <x:c r="J25" t="str">
        <x:v>应付债券</x:v>
      </x:c>
      <x:c r="K25" t="str">
        <x:v>candidate_pending_automated_verification</x:v>
      </x:c>
      <x:c r="L25" t="str">
        <x:v>https://static.cninfo.com.cn/finalpage/2026-04-30/1225262752.PDF</x:v>
      </x:c>
      <x:c r="M25" t="str">
        <x:v>d1e92b12fa9da26fdffa8b64facf77bbeeb41935231298e24427257d2e1bef77</x:v>
      </x:c>
      <x:c r="N25" t="str">
        <x:v>.72
合同负债 275,184,924.14 223,153,447.55
持有待售负债 - -
预计负债 696,003,381.02 693,794,335.86
长期借款 166,558,164.73 170,902,521.52
应付债券 217,650,077,674.15 183,091,799,381.39
其中：优先股 - -
永续债 - -
租赁负债 1,055,956,474.31 1,012,261,298.19
递延收益 - -
递延所得税负债 654,028,591.74 668,282,129.23
其他负债 1,606,333,999.72 2,013,764,349.84
负债合计 1,013,932,8</x:v>
      </x:c>
    </x:row>
    <x:row r="26">
      <x:c r="A26" t="str">
        <x:v>2076fa5d-c495-4d99-be81-4d2bd0a146a9</x:v>
      </x:c>
      <x:c r="B26" t="str">
        <x:v>601688</x:v>
      </x:c>
      <x:c r="C26" t="str">
        <x:v>华泰证券</x:v>
      </x:c>
      <x:c r="D26" t="str">
        <x:v>2026-03-31</x:v>
      </x:c>
      <x:c r="E26" t="str">
        <x:v>first_quarter</x:v>
      </x:c>
      <x:c r="F26" t="str">
        <x:v>operating_cash_flow</x:v>
      </x:c>
      <x:c r="G26" t="n">
        <x:v>35905470590.95</x:v>
      </x:c>
      <x:c r="H26" t="str">
        <x:v>CNY</x:v>
      </x:c>
      <x:c r="I26" t="n">
        <x:v>13</x:v>
      </x:c>
      <x:c r="J26" t="str">
        <x:v>经营活动产生的现金流量净额</x:v>
      </x:c>
      <x:c r="K26" t="str">
        <x:v>candidate_pending_automated_verification</x:v>
      </x:c>
      <x:c r="L26" t="str">
        <x:v>https://static.cninfo.com.cn/finalpage/2026-04-30/1225262752.PDF</x:v>
      </x:c>
      <x:c r="M26" t="str">
        <x:v>d1e92b12fa9da26fdffa8b64facf77bbeeb41935231298e24427257d2e1bef77</x:v>
      </x:c>
      <x:c r="N26" t="str">
        <x:v>629.49 425,465,256.15
支付其他与经营活动有关的现金 14,419,391,844.16 10,778,861,665.38
经营活动现金流出小计 81,249,589,971.10 31,227,222,972.38
经营活动产生的现金流量净额 35,905,470,590.95 (10,820,326,931.00)
二、投资活动产生的现金流量：
收回投资收到的现金 21,360,425,103.18 1,426,584,898.26
取得投资收益收到的现金 1,209,578,559.15 621,145,303.45
处置固定资产、无形资产和其他长期资产收回的
现金净额 - -
处置子公司及其他营业单位收到的现金净额 - -
</x:v>
      </x:c>
    </x:row>
    <x:row r="27">
      <x:c r="A27" t="str">
        <x:v>78ea691d-b24f-4fef-ba23-f4f33e0de6da</x:v>
      </x:c>
      <x:c r="B27" t="str">
        <x:v>601688</x:v>
      </x:c>
      <x:c r="C27" t="str">
        <x:v>华泰证券</x:v>
      </x:c>
      <x:c r="D27" t="str">
        <x:v>2026-03-31</x:v>
      </x:c>
      <x:c r="E27" t="str">
        <x:v>first_quarter</x:v>
      </x:c>
      <x:c r="F27" t="str">
        <x:v>revenue</x:v>
      </x:c>
      <x:c r="G27" t="n">
        <x:v>10421730928.21</x:v>
      </x:c>
      <x:c r="H27" t="str">
        <x:v>reported_amount</x:v>
      </x:c>
      <x:c r="I27" t="n">
        <x:v>3</x:v>
      </x:c>
      <x:c r="J27" t="str">
        <x:v>营业收入</x:v>
      </x:c>
      <x:c r="K27" t="str">
        <x:v>candidate_pending_automated_verification</x:v>
      </x:c>
      <x:c r="L27" t="str">
        <x:v>https://static.cninfo.com.cn/finalpage/2026-04-30/1225262752.PDF</x:v>
      </x:c>
      <x:c r="M27" t="str">
        <x:v>d1e92b12fa9da26fdffa8b64facf77bbeeb41935231298e24427257d2e1bef77</x:v>
      </x:c>
      <x:c r="N27" t="str">
        <x:v>中财务信息
的真实、准确、完整。
第一季度财务报表是否经审计
□是 √否
一、主要财务数据
(一)主要会计数据和财务指标
单位：元 币种：人民币
项目 本报告期
上年同期
本报告期比
上年同期增
减变动幅度
(%)
调整前 调整后 调整后
营业收入 10,421,730,928.21 8,231,994,300.77 7,366,162,435.73 41.48
利润总额 5,869,621,780.49 4,136,993,291.62 4,136,993,291.62 41.88
归属于上市公司股东的
净利润
4,800,496,779.97 3,642,409,445.26 3,642,409,445.26 31.79
归属于上市</x:v>
      </x:c>
    </x:row>
    <x:row r="28">
      <x:c r="A28" t="str">
        <x:v>22722a14-dfa1-4943-9921-7a08461ebad4</x:v>
      </x:c>
      <x:c r="B28" t="str">
        <x:v>601688</x:v>
      </x:c>
      <x:c r="C28" t="str">
        <x:v>华泰证券</x:v>
      </x:c>
      <x:c r="D28" t="str">
        <x:v>2025-12-31</x:v>
      </x:c>
      <x:c r="E28" t="str">
        <x:v>annual</x:v>
      </x:c>
      <x:c r="F28" t="str">
        <x:v>cash</x:v>
      </x:c>
      <x:c r="G28" t="n">
        <x:v>69348.21</x:v>
      </x:c>
      <x:c r="H28" t="str">
        <x:v>CNY</x:v>
      </x:c>
      <x:c r="I28" t="n">
        <x:v>298</x:v>
      </x:c>
      <x:c r="J28" t="str">
        <x:v>货币资金</x:v>
      </x:c>
      <x:c r="K28" t="str">
        <x:v>candidate_pending_automated_verification</x:v>
      </x:c>
      <x:c r="L28" t="str">
        <x:v>https://static.cninfo.com.cn/finalpage/2026-03-31/1225050753.PDF</x:v>
      </x:c>
      <x:c r="M28" t="str">
        <x:v>21cc964443b83a0ceff0333600e53abe8d948e987ec2604de992443258cd3d34</x:v>
      </x:c>
      <x:c r="N28" t="str">
        <x:v>,704.57 218,953,592,966.60
其中：库存现金  258,314.06 185,528.63
可随时用于支付的银行存款  221,094,616,051.61 175,035,495,273.21
可随时用于支付的其他货币资金  69,348.21 26,002,127.92
结算备付金  54,436,605,990.69 43,881,801,178.02
持有待售资产 - 10,108,858.82
现金等价物 6,662,451,818.32 7,818,347,738.38
其中：原到期日在三个月内的买入返售金融资产 6,442,891,392.94 6,538,629,530.90
原到期</x:v>
      </x:c>
    </x:row>
    <x:row r="29">
      <x:c r="A29" t="str">
        <x:v>903e931c-a925-4edd-bf85-83d56031d337</x:v>
      </x:c>
      <x:c r="B29" t="str">
        <x:v>601688</x:v>
      </x:c>
      <x:c r="C29" t="str">
        <x:v>华泰证券</x:v>
      </x:c>
      <x:c r="D29" t="str">
        <x:v>2025-12-31</x:v>
      </x:c>
      <x:c r="E29" t="str">
        <x:v>annual</x:v>
      </x:c>
      <x:c r="F29" t="str">
        <x:v>bonds_payable</x:v>
      </x:c>
      <x:c r="G29" t="n">
        <x:v>115458817186.18</x:v>
      </x:c>
      <x:c r="H29" t="str">
        <x:v>CNY</x:v>
      </x:c>
      <x:c r="I29" t="n">
        <x:v>350</x:v>
      </x:c>
      <x:c r="J29" t="str">
        <x:v>应付债券</x:v>
      </x:c>
      <x:c r="K29" t="str">
        <x:v>candidate_pending_automated_verification</x:v>
      </x:c>
      <x:c r="L29" t="str">
        <x:v>https://static.cninfo.com.cn/finalpage/2026-03-31/1225050753.PDF</x:v>
      </x:c>
      <x:c r="M29" t="str">
        <x:v>21cc964443b83a0ceff0333600e53abe8d948e987ec2604de992443258cd3d34</x:v>
      </x:c>
      <x:c r="N29" t="str">
        <x:v>,048,168,372.16 - - - -
代理买卖证券款 184,586,976,441.87 - - - -
代理承销证券款 69,649,784.28 - - - -
应付款项 72,295,695,577.72 - - - -
应付债券 115,458,817,186.18 - - - -
其他负债 1,276,260,240.53 - - - -</x:v>
      </x:c>
    </x:row>
    <x:row r="30">
      <x:c r="A30" t="str">
        <x:v>1c975301-8f92-4274-bcfe-1391aa60836b</x:v>
      </x:c>
      <x:c r="B30" t="str">
        <x:v>601688</x:v>
      </x:c>
      <x:c r="C30" t="str">
        <x:v>华泰证券</x:v>
      </x:c>
      <x:c r="D30" t="str">
        <x:v>2025-12-31</x:v>
      </x:c>
      <x:c r="E30" t="str">
        <x:v>annual</x:v>
      </x:c>
      <x:c r="F30" t="str">
        <x:v>cash</x:v>
      </x:c>
      <x:c r="G30" t="n">
        <x:v>69348.21</x:v>
      </x:c>
      <x:c r="H30" t="str">
        <x:v>CNY</x:v>
      </x:c>
      <x:c r="I30" t="n">
        <x:v>239</x:v>
      </x:c>
      <x:c r="J30" t="str">
        <x:v>货币资金</x:v>
      </x:c>
      <x:c r="K30" t="str">
        <x:v>candidate_pending_automated_verification</x:v>
      </x:c>
      <x:c r="L30" t="str">
        <x:v>https://static.cninfo.com.cn/finalpage/2026-03-31/1225050753.PDF</x:v>
      </x:c>
      <x:c r="M30" t="str">
        <x:v>21cc964443b83a0ceff0333600e53abe8d948e987ec2604de992443258cd3d34</x:v>
      </x:c>
      <x:c r="N30" t="str">
        <x:v>156.42  177,613,167,631.61
其中：客户资金存款 175,644,164,771.36  138,117,546,584.49
公司存款 47,693,318,385.06  39,495,621,047.12
其他货币资金 69,348.21  26,002,127.92
减：减值准备 (103,688.89)  (365,852.49)
合计 223,337,707,129.80  177,638,989,435.67</x:v>
      </x:c>
    </x:row>
    <x:row r="31">
      <x:c r="A31" t="str">
        <x:v>be29e4f6-c29d-42c1-bf3c-2564882fcffa</x:v>
      </x:c>
      <x:c r="B31" t="str">
        <x:v>601688</x:v>
      </x:c>
      <x:c r="C31" t="str">
        <x:v>华泰证券</x:v>
      </x:c>
      <x:c r="D31" t="str">
        <x:v>2025-12-31</x:v>
      </x:c>
      <x:c r="E31" t="str">
        <x:v>annual</x:v>
      </x:c>
      <x:c r="F31" t="str">
        <x:v>long_term_borrowings</x:v>
      </x:c>
      <x:c r="G31" t="n">
        <x:v>170902521.52</x:v>
      </x:c>
      <x:c r="H31" t="str">
        <x:v>CNY</x:v>
      </x:c>
      <x:c r="I31" t="n">
        <x:v>348</x:v>
      </x:c>
      <x:c r="J31" t="str">
        <x:v>长期借款</x:v>
      </x:c>
      <x:c r="K31" t="str">
        <x:v>candidate_pending_automated_verification</x:v>
      </x:c>
      <x:c r="L31" t="str">
        <x:v>https://static.cninfo.com.cn/finalpage/2026-03-31/1225050753.PDF</x:v>
      </x:c>
      <x:c r="M31" t="str">
        <x:v>21cc964443b83a0ceff0333600e53abe8d948e987ec2604de992443258cd3d34</x:v>
      </x:c>
      <x:c r="N31" t="str">
        <x:v>-     -     -     -    
代理承销证券款 59,891,927.31  -     -     -     -    
应付款项 106,136,545,617.72  -     -     -     -    
长期借款 170,902,521.52  -     -     -     -    
应付债券 183,091,799,381.39  -     -     -     -    
其他负债 1,718,001,765.62  -     -     -     -    </x:v>
      </x:c>
    </x:row>
    <x:row r="32">
      <x:c r="A32" t="str">
        <x:v>df3bf22f-9cf0-47c6-abe4-556decdb353b</x:v>
      </x:c>
      <x:c r="B32" t="str">
        <x:v>601688</x:v>
      </x:c>
      <x:c r="C32" t="str">
        <x:v>华泰证券</x:v>
      </x:c>
      <x:c r="D32" t="str">
        <x:v>2025-12-31</x:v>
      </x:c>
      <x:c r="E32" t="str">
        <x:v>annual</x:v>
      </x:c>
      <x:c r="F32" t="str">
        <x:v>short_term_borrowings</x:v>
      </x:c>
      <x:c r="G32" t="n">
        <x:v>3362979630.04</x:v>
      </x:c>
      <x:c r="H32" t="str">
        <x:v>CNY</x:v>
      </x:c>
      <x:c r="I32" t="n">
        <x:v>350</x:v>
      </x:c>
      <x:c r="J32" t="str">
        <x:v>短期借款</x:v>
      </x:c>
      <x:c r="K32" t="str">
        <x:v>candidate_pending_automated_verification</x:v>
      </x:c>
      <x:c r="L32" t="str">
        <x:v>https://static.cninfo.com.cn/finalpage/2026-03-31/1225050753.PDF</x:v>
      </x:c>
      <x:c r="M32" t="str">
        <x:v>21cc964443b83a0ceff0333600e53abe8d948e987ec2604de992443258cd3d34</x:v>
      </x:c>
      <x:c r="N32" t="str">
        <x:v>公允价值计量
且其变动计入
当期损益的金融负债
人民币元
按照《金融工具确认和计量》
准则指定为以公允价值计量且其
变动计入当期损益的金融负债
人民币元
按照《套期会计》准则
指定为以公允价值计量且其
变动计入当期损益的金融负债
人民币元
短期借款 3,362,979,630.04 - - - -
应付短期融资款 28,852,938,891.71 - - - -
拆入资金 30,113,661,041.76 - - - -
交易性金融负债 - - 26,585,600,116.16 13,862,732,327.79 -
衍生金融负债 - 169,081,239.95 10,774,704,229.34 - -
卖出回购金融资产款 </x:v>
      </x:c>
    </x:row>
    <x:row r="33">
      <x:c r="A33" t="str">
        <x:v>0cdf20ff-914f-4cec-9022-68dab2f392a1</x:v>
      </x:c>
      <x:c r="B33" t="str">
        <x:v>601688</x:v>
      </x:c>
      <x:c r="C33" t="str">
        <x:v>华泰证券</x:v>
      </x:c>
      <x:c r="D33" t="str">
        <x:v>2025-12-31</x:v>
      </x:c>
      <x:c r="E33" t="str">
        <x:v>annual</x:v>
      </x:c>
      <x:c r="F33" t="str">
        <x:v>cash</x:v>
      </x:c>
      <x:c r="G33" t="n">
        <x:v>177638989435.67</x:v>
      </x:c>
      <x:c r="H33" t="str">
        <x:v>CNY</x:v>
      </x:c>
      <x:c r="I33" t="n">
        <x:v>349</x:v>
      </x:c>
      <x:c r="J33" t="str">
        <x:v>货币资金</x:v>
      </x:c>
      <x:c r="K33" t="str">
        <x:v>candidate_pending_automated_verification</x:v>
      </x:c>
      <x:c r="L33" t="str">
        <x:v>https://static.cninfo.com.cn/finalpage/2026-03-31/1225050753.PDF</x:v>
      </x:c>
      <x:c r="M33" t="str">
        <x:v>21cc964443b83a0ceff0333600e53abe8d948e987ec2604de992443258cd3d34</x:v>
      </x:c>
      <x:c r="N33" t="str">
        <x:v>
价值计量且其变动计入
当期损益的金融资产
人民币元
按照《金融工具确认和计
量》准则指定为以公允
价值计量且其变动计入
当期损益的金融资产
人民币元
按照《套期会计》
准则指定为以公允
价值计量且其变动计入
当期损益的金融资产
人民币元
货币资金 177,638,989,435.67 - - - - - -
结算备付金 43,899,794,428.02 - - - - - -
融出资金 132,546,004,899.02 - - - - - -
交易性金融资产 - - - - 301,746,527,264.70 - -
衍生金融资产 - - - - 9,991,124,734.25 - -
买入返售金融资产 15,228,400,</x:v>
      </x:c>
    </x:row>
    <x:row r="34">
      <x:c r="A34" t="str">
        <x:v>56edb32b-2343-42fa-be7d-322e27b6bdf0</x:v>
      </x:c>
      <x:c r="B34" t="str">
        <x:v>601688</x:v>
      </x:c>
      <x:c r="C34" t="str">
        <x:v>华泰证券</x:v>
      </x:c>
      <x:c r="D34" t="str">
        <x:v>2025-12-31</x:v>
      </x:c>
      <x:c r="E34" t="str">
        <x:v>annual</x:v>
      </x:c>
      <x:c r="F34" t="str">
        <x:v>bonds_payable</x:v>
      </x:c>
      <x:c r="G34" t="n">
        <x:v>183091799381.39</x:v>
      </x:c>
      <x:c r="H34" t="str">
        <x:v>CNY</x:v>
      </x:c>
      <x:c r="I34" t="n">
        <x:v>348</x:v>
      </x:c>
      <x:c r="J34" t="str">
        <x:v>应付债券</x:v>
      </x:c>
      <x:c r="K34" t="str">
        <x:v>candidate_pending_automated_verification</x:v>
      </x:c>
      <x:c r="L34" t="str">
        <x:v>https://static.cninfo.com.cn/finalpage/2026-03-31/1225050753.PDF</x:v>
      </x:c>
      <x:c r="M34" t="str">
        <x:v>21cc964443b83a0ceff0333600e53abe8d948e987ec2604de992443258cd3d34</x:v>
      </x:c>
      <x:c r="N34" t="str">
        <x:v>  -     -     -     -    
应付款项 106,136,545,617.72  -     -     -     -    
长期借款 170,902,521.52  -     -     -     -    
应付债券 183,091,799,381.39  -     -     -     -    
其他负债 1,718,001,765.62  -     -     -     -    </x:v>
      </x:c>
    </x:row>
    <x:row r="35">
      <x:c r="A35" t="str">
        <x:v>c96b15f2-bb9d-4a9e-bf22-ba6c8969dd24</x:v>
      </x:c>
      <x:c r="B35" t="str">
        <x:v>601688</x:v>
      </x:c>
      <x:c r="C35" t="str">
        <x:v>华泰证券</x:v>
      </x:c>
      <x:c r="D35" t="str">
        <x:v>2025-12-31</x:v>
      </x:c>
      <x:c r="E35" t="str">
        <x:v>annual</x:v>
      </x:c>
      <x:c r="F35" t="str">
        <x:v>short_term_borrowings</x:v>
      </x:c>
      <x:c r="G35" t="n">
        <x:v>21647664361.92</x:v>
      </x:c>
      <x:c r="H35" t="str">
        <x:v>CNY</x:v>
      </x:c>
      <x:c r="I35" t="n">
        <x:v>348</x:v>
      </x:c>
      <x:c r="J35" t="str">
        <x:v>短期借款</x:v>
      </x:c>
      <x:c r="K35" t="str">
        <x:v>candidate_pending_automated_verification</x:v>
      </x:c>
      <x:c r="L35" t="str">
        <x:v>https://static.cninfo.com.cn/finalpage/2026-03-31/1225050753.PDF</x:v>
      </x:c>
      <x:c r="M35" t="str">
        <x:v>21cc964443b83a0ceff0333600e53abe8d948e987ec2604de992443258cd3d34</x:v>
      </x:c>
      <x:c r="N35" t="str">
        <x:v>公允价值计量
且其变动计入
当期损益的金融负债
人民币元
按照《金融工具确认和计量》
准则指定为以公允价值计量且其
变动计入当期损益的金融负债
人民币元
按照《套期会计》准则
指定为以公允价值计量且其
变动计入当期损益的金融负债
人民币元
短期借款 21,647,664,361.92  -     -     -     -    
应付短期融资款 60,329,377,447.01  -     -     -     -    
拆入资金 37,134,967,294.70  -     -     -     -    
交易性金融负债  -     -    25,031,028,087.00 11,390,890,128.40</x:v>
      </x:c>
    </x:row>
    <x:row r="36">
      <x:c r="A36" t="str">
        <x:v>91d02f3c-ec08-4eeb-9d17-94b1b9203e12</x:v>
      </x:c>
      <x:c r="B36" t="str">
        <x:v>601688</x:v>
      </x:c>
      <x:c r="C36" t="str">
        <x:v>华泰证券</x:v>
      </x:c>
      <x:c r="D36" t="str">
        <x:v>2025-12-31</x:v>
      </x:c>
      <x:c r="E36" t="str">
        <x:v>annual</x:v>
      </x:c>
      <x:c r="F36" t="str">
        <x:v>cash</x:v>
      </x:c>
      <x:c r="G36" t="n">
        <x:v>223337707129.8</x:v>
      </x:c>
      <x:c r="H36" t="str">
        <x:v>CNY</x:v>
      </x:c>
      <x:c r="I36" t="n">
        <x:v>347</x:v>
      </x:c>
      <x:c r="J36" t="str">
        <x:v>货币资金</x:v>
      </x:c>
      <x:c r="K36" t="str">
        <x:v>candidate_pending_automated_verification</x:v>
      </x:c>
      <x:c r="L36" t="str">
        <x:v>https://static.cninfo.com.cn/finalpage/2026-03-31/1225050753.PDF</x:v>
      </x:c>
      <x:c r="M36" t="str">
        <x:v>21cc964443b83a0ceff0333600e53abe8d948e987ec2604de992443258cd3d34</x:v>
      </x:c>
      <x:c r="N36" t="str">
        <x:v>
价值计量且其变动计入
当期损益的金融资产
人民币元
按照《金融工具确认和计
量》准则指定为以公允
价值计量且其变动计入
当期损益的金融资产
人民币元
按照《套期会计》
准则指定为以公允
价值计量且其变动计入
当期损益的金融资产
人民币元
货币资金  223,337,707,129.80  -     -     -     -     -     -    
结算备付金  54,440,703,032.35  -     -     -     -     -     -    
融出资金 186,014,824,515.55  -     -     -     -     -     -    
交易性金融资产  -     -   </x:v>
      </x:c>
    </x:row>
    <x:row r="37">
      <x:c r="A37" t="str">
        <x:v>f6a30d88-41b1-4def-add9-7fc5f5f3d31b</x:v>
      </x:c>
      <x:c r="B37" t="str">
        <x:v>601688</x:v>
      </x:c>
      <x:c r="C37" t="str">
        <x:v>华泰证券</x:v>
      </x:c>
      <x:c r="D37" t="str">
        <x:v>2025-12-31</x:v>
      </x:c>
      <x:c r="E37" t="str">
        <x:v>annual</x:v>
      </x:c>
      <x:c r="F37" t="str">
        <x:v>cash</x:v>
      </x:c>
      <x:c r="G37" t="n">
        <x:v>1548889159.05</x:v>
      </x:c>
      <x:c r="H37" t="str">
        <x:v>CNY</x:v>
      </x:c>
      <x:c r="I37" t="n">
        <x:v>346</x:v>
      </x:c>
      <x:c r="J37" t="str">
        <x:v>货币资金</x:v>
      </x:c>
      <x:c r="K37" t="str">
        <x:v>candidate_pending_automated_verification</x:v>
      </x:c>
      <x:c r="L37" t="str">
        <x:v>https://static.cninfo.com.cn/finalpage/2026-03-31/1225050753.PDF</x:v>
      </x:c>
      <x:c r="M37" t="str">
        <x:v>21cc964443b83a0ceff0333600e53abe8d948e987ec2604de992443258cd3d34</x:v>
      </x:c>
      <x:c r="N37" t="str">
        <x:v>34,074,411.14) 
注：本表不存在必然的勾稽关系。
(5)  所有权或使用权受到限制的资产
(4)  外币金融资产和金融负债
2025 年
2025 年 12 月 31 日
人民币元
2024 年 12 月 31 日
人民币元
货币资金  1,548,889,159.05 701,315,325.98
交易性金融资产 140,140,408,031.83 139,290,193,142.17
债权投资   39,548,004,439.95  30,930,269,774.56
其他债权投资 29,093,373,483.84 2,365,446,507.52
其他权益工具投资  197,814,887.64 -    
长</x:v>
      </x:c>
    </x:row>
    <x:row r="38">
      <x:c r="A38" t="str">
        <x:v>11ba1b61-7237-455b-a2e8-ea2b750993ea</x:v>
      </x:c>
      <x:c r="B38" t="str">
        <x:v>601688</x:v>
      </x:c>
      <x:c r="C38" t="str">
        <x:v>华泰证券</x:v>
      </x:c>
      <x:c r="D38" t="str">
        <x:v>2025-12-31</x:v>
      </x:c>
      <x:c r="E38" t="str">
        <x:v>annual</x:v>
      </x:c>
      <x:c r="F38" t="str">
        <x:v>cash</x:v>
      </x:c>
      <x:c r="G38" t="n">
        <x:v>13940271718.55</x:v>
      </x:c>
      <x:c r="H38" t="str">
        <x:v>CNY</x:v>
      </x:c>
      <x:c r="I38" t="n">
        <x:v>344</x:v>
      </x:c>
      <x:c r="J38" t="str">
        <x:v>货币资金</x:v>
      </x:c>
      <x:c r="K38" t="str">
        <x:v>candidate_pending_automated_verification</x:v>
      </x:c>
      <x:c r="L38" t="str">
        <x:v>https://static.cninfo.com.cn/finalpage/2026-03-31/1225050753.PDF</x:v>
      </x:c>
      <x:c r="M38" t="str">
        <x:v>21cc964443b83a0ceff0333600e53abe8d948e987ec2604de992443258cd3d34</x:v>
      </x:c>
      <x:c r="N38" t="str">
        <x:v> 年 12 月 31 日
人民币元
2024 年 12 月 31 日
人民币元
股票 503,380,244,109.96 329,724,872,964.23
基金 21,331,801,640.25 16,087,915,295.31
货币资金 13,940,271,718.55 9,636,976,916.57
债券 741,046,135.25 1,247,809,113.02
合计 539,393,363,604.01 356,697,574,289.13
(iii)  融出资金及融出证券担保物公允价值</x:v>
      </x:c>
    </x:row>
    <x:row r="39">
      <x:c r="A39" t="str">
        <x:v>b43e0060-a586-49ba-8bb4-40ce6cf33a3e</x:v>
      </x:c>
      <x:c r="B39" t="str">
        <x:v>601688</x:v>
      </x:c>
      <x:c r="C39" t="str">
        <x:v>华泰证券</x:v>
      </x:c>
      <x:c r="D39" t="str">
        <x:v>2025-12-31</x:v>
      </x:c>
      <x:c r="E39" t="str">
        <x:v>annual</x:v>
      </x:c>
      <x:c r="F39" t="str">
        <x:v>short_term_borrowings</x:v>
      </x:c>
      <x:c r="G39" t="n">
        <x:v>30024750</x:v>
      </x:c>
      <x:c r="H39" t="str">
        <x:v>CNY</x:v>
      </x:c>
      <x:c r="I39" t="n">
        <x:v>335</x:v>
      </x:c>
      <x:c r="J39" t="str">
        <x:v>短期借款</x:v>
      </x:c>
      <x:c r="K39" t="str">
        <x:v>candidate_pending_automated_verification</x:v>
      </x:c>
      <x:c r="L39" t="str">
        <x:v>https://static.cninfo.com.cn/finalpage/2026-03-31/1225050753.PDF</x:v>
      </x:c>
      <x:c r="M39" t="str">
        <x:v>21cc964443b83a0ceff0333600e53abe8d948e987ec2604de992443258cd3d34</x:v>
      </x:c>
      <x:c r="N39" t="str">
        <x:v>.23 67,011,760.08
关联方 关联方交易内容
2025 年 12 月 31 日
人民币元
2024 年 12 月 31 日
人民币元
本集团的联营和合营企业 拆入资金 500,044,166.67 -
本集团的联营和合营企业 短期借款 30,024,750.00 -
合计 530,068,916.67 -
出租方名称 租赁资产种类
2025 年 12 月 31 日
租赁负债
人民币元
2024 年 12 月 31 日
租赁负债
人民币元
本集团的联营和合营企业 房屋建筑物 57,798,199.74 68,341,873.99</x:v>
      </x:c>
    </x:row>
    <x:row r="40">
      <x:c r="A40" t="str">
        <x:v>62017c3b-65ca-4265-9950-95e2e30a7cdb</x:v>
      </x:c>
      <x:c r="B40" t="str">
        <x:v>601688</x:v>
      </x:c>
      <x:c r="C40" t="str">
        <x:v>华泰证券</x:v>
      </x:c>
      <x:c r="D40" t="str">
        <x:v>2025-12-31</x:v>
      </x:c>
      <x:c r="E40" t="str">
        <x:v>annual</x:v>
      </x:c>
      <x:c r="F40" t="str">
        <x:v>short_term_borrowings</x:v>
      </x:c>
      <x:c r="G40" t="n">
        <x:v>30000000</x:v>
      </x:c>
      <x:c r="H40" t="str">
        <x:v>CNY</x:v>
      </x:c>
      <x:c r="I40" t="n">
        <x:v>333</x:v>
      </x:c>
      <x:c r="J40" t="str">
        <x:v>短期借款</x:v>
      </x:c>
      <x:c r="K40" t="str">
        <x:v>candidate_pending_automated_verification</x:v>
      </x:c>
      <x:c r="L40" t="str">
        <x:v>https://static.cninfo.com.cn/finalpage/2026-03-31/1225050753.PDF</x:v>
      </x:c>
      <x:c r="M40" t="str">
        <x:v>21cc964443b83a0ceff0333600e53abe8d948e987ec2604de992443258cd3d34</x:v>
      </x:c>
      <x:c r="N40" t="str">
        <x:v>
本集团的联营和合营企业 质押式正回购 32,702,369,903.47 81,388,609,763.02
本集团的联营和合营企业 拆入资金 2,050,000,000.00 20,500,000,000.00
本集团的联营和合营企业 短期借款 30,000,000.00 -
其他关联法人 质押式正回购 58,471,402,357.59 83,781,931,756.00
合计 93,253,772,261.06 185,670,541,519.02</x:v>
      </x:c>
    </x:row>
    <x:row r="41">
      <x:c r="A41" t="str">
        <x:v>15c62d27-4bb6-45a8-ac62-e43cb8511e01</x:v>
      </x:c>
      <x:c r="B41" t="str">
        <x:v>601688</x:v>
      </x:c>
      <x:c r="C41" t="str">
        <x:v>华泰证券</x:v>
      </x:c>
      <x:c r="D41" t="str">
        <x:v>2025-12-31</x:v>
      </x:c>
      <x:c r="E41" t="str">
        <x:v>annual</x:v>
      </x:c>
      <x:c r="F41" t="str">
        <x:v>cash</x:v>
      </x:c>
      <x:c r="G41" t="n">
        <x:v>169651528740.09</x:v>
      </x:c>
      <x:c r="H41" t="str">
        <x:v>CNY</x:v>
      </x:c>
      <x:c r="I41" t="n">
        <x:v>318</x:v>
      </x:c>
      <x:c r="J41" t="str">
        <x:v>货币资金</x:v>
      </x:c>
      <x:c r="K41" t="str">
        <x:v>candidate_pending_automated_verification</x:v>
      </x:c>
      <x:c r="L41" t="str">
        <x:v>https://static.cninfo.com.cn/finalpage/2026-03-31/1225050753.PDF</x:v>
      </x:c>
      <x:c r="M41" t="str">
        <x:v>21cc964443b83a0ceff0333600e53abe8d948e987ec2604de992443258cd3d34</x:v>
      </x:c>
      <x:c r="N41" t="str">
        <x:v>
经营分析与战略
关 于 我 们
2024 年 12 月 31 日
1 个月内
人民币元
1 个月至 3 个月
人民币元
3个 月 至1年
人民币元
1年 至5年
人民币元
5 年以上
人民币元
不计息
人民币元
合计
人民币元
金融资产
货币资金 169,651,528,740.09 5,601,237,800.00 2,132,588,696.89 - - 253,634,198.69 177,638,989,435.67
结算备付金 43,881,801,178.02 - - - - 17,993,250.00 43,899,794,428.02
融出资金 5,052,293,112.11 13,443,692,411.33 110</x:v>
      </x:c>
    </x:row>
    <x:row r="42">
      <x:c r="A42" t="str">
        <x:v>c1bac13b-0353-41dc-92b4-e34baba3e67b</x:v>
      </x:c>
      <x:c r="B42" t="str">
        <x:v>601688</x:v>
      </x:c>
      <x:c r="C42" t="str">
        <x:v>华泰证券</x:v>
      </x:c>
      <x:c r="D42" t="str">
        <x:v>2025-12-31</x:v>
      </x:c>
      <x:c r="E42" t="str">
        <x:v>annual</x:v>
      </x:c>
      <x:c r="F42" t="str">
        <x:v>cash</x:v>
      </x:c>
      <x:c r="G42" t="n">
        <x:v>219198217316.62</x:v>
      </x:c>
      <x:c r="H42" t="str">
        <x:v>CNY</x:v>
      </x:c>
      <x:c r="I42" t="n">
        <x:v>317</x:v>
      </x:c>
      <x:c r="J42" t="str">
        <x:v>货币资金</x:v>
      </x:c>
      <x:c r="K42" t="str">
        <x:v>candidate_pending_automated_verification</x:v>
      </x:c>
      <x:c r="L42" t="str">
        <x:v>https://static.cninfo.com.cn/finalpage/2026-03-31/1225050753.PDF</x:v>
      </x:c>
      <x:c r="M42" t="str">
        <x:v>21cc964443b83a0ceff0333600e53abe8d948e987ec2604de992443258cd3d34</x:v>
      </x:c>
      <x:c r="N42" t="str">
        <x:v>I SECURITIES
316
2025 年 12 月 31 日
1 个月内
人民币元
1 个月至 3 个月
人民币元
3个 月 至1年
人民币元
1年 至5年
人民币元
5 年以上
人民币元
不计息
人民币元
合计
人民币元
金融资产
货币资金  219,198,217,316.62  2,830,590,455.52  1,080,893,497.84   -       -      228,005,859.82  223,337,707,129.80 
结算备付金  54,436,605,990.69   -       -       -       -      4,097,041.66  54,440,703,032.35 </x:v>
      </x:c>
    </x:row>
    <x:row r="43">
      <x:c r="A43" t="str">
        <x:v>f7747c9b-e012-4067-8691-6d7df40a3f71</x:v>
      </x:c>
      <x:c r="B43" t="str">
        <x:v>601688</x:v>
      </x:c>
      <x:c r="C43" t="str">
        <x:v>华泰证券</x:v>
      </x:c>
      <x:c r="D43" t="str">
        <x:v>2025-12-31</x:v>
      </x:c>
      <x:c r="E43" t="str">
        <x:v>annual</x:v>
      </x:c>
      <x:c r="F43" t="str">
        <x:v>cash</x:v>
      </x:c>
      <x:c r="G43" t="n">
        <x:v>223337448815.74</x:v>
      </x:c>
      <x:c r="H43" t="str">
        <x:v>CNY</x:v>
      </x:c>
      <x:c r="I43" t="n">
        <x:v>313</x:v>
      </x:c>
      <x:c r="J43" t="str">
        <x:v>货币资金</x:v>
      </x:c>
      <x:c r="K43" t="str">
        <x:v>candidate_pending_automated_verification</x:v>
      </x:c>
      <x:c r="L43" t="str">
        <x:v>https://static.cninfo.com.cn/finalpage/2026-03-31/1225050753.PDF</x:v>
      </x:c>
      <x:c r="M43" t="str">
        <x:v>21cc964443b83a0ceff0333600e53abe8d948e987ec2604de992443258cd3d34</x:v>
      </x:c>
      <x:c r="N43" t="str">
        <x:v>本公司应对流动性风险的能力。此外，本公司根据风险偏好建
立规模适当的流动性资产储备，持有充足的优质流动性资产，确保在压力情景下能够及时满足流动性需求。
2025 年 12 月 31 日
人民币元
2024 年 12 月 31 日
人民币元
货币资金 223,337,448,815.74 177,638,803,907.04
结算备付金 54,440,703,032.35 43,899,794,428.02
融出资金 186,014,824,515.55 132,546,004,899.02
交易性金融资产 172,083,847,507.87 173,544,758,367.09
衍生金融资产 11,437,029,972.81 9,99</x:v>
      </x:c>
    </x:row>
    <x:row r="44">
      <x:c r="A44" t="str">
        <x:v>b4c56921-2c33-48b3-9e52-11cad170ab60</x:v>
      </x:c>
      <x:c r="B44" t="str">
        <x:v>601688</x:v>
      </x:c>
      <x:c r="C44" t="str">
        <x:v>华泰证券</x:v>
      </x:c>
      <x:c r="D44" t="str">
        <x:v>2025-12-31</x:v>
      </x:c>
      <x:c r="E44" t="str">
        <x:v>annual</x:v>
      </x:c>
      <x:c r="F44" t="str">
        <x:v>short_term_borrowings</x:v>
      </x:c>
      <x:c r="G44" t="n">
        <x:v>2025</x:v>
      </x:c>
      <x:c r="H44" t="str">
        <x:v>CNY</x:v>
      </x:c>
      <x:c r="I44" t="n">
        <x:v>265</x:v>
      </x:c>
      <x:c r="J44" t="str">
        <x:v>短期借款</x:v>
      </x:c>
      <x:c r="K44" t="str">
        <x:v>candidate_pending_automated_verification</x:v>
      </x:c>
      <x:c r="L44" t="str">
        <x:v>https://static.cninfo.com.cn/finalpage/2026-03-31/1225050753.PDF</x:v>
      </x:c>
      <x:c r="M44" t="str">
        <x:v>21cc964443b83a0ceff0333600e53abe8d948e987ec2604de992443258cd3d34</x:v>
      </x:c>
      <x:c r="N44" t="str">
        <x:v>8  45,499,025.98 
合计  661,021,181.81  1,157,137,377.80  1,526,483,443.30  3,344,642,002.91 
(2)  按阶段划分的预期信用损失减值准备 ：
22  短期借款
2025 年 12 月 31 日
人民币元
2024 年 12 月 31 日
人民币元
信用借款 20,879,927,361.92 2,983,239,274.04
质押借款 767,737,000.00 379,740,356.00
合计 21,647,664,361.92 3,362,979,630.04</x:v>
      </x:c>
    </x:row>
    <x:row r="45">
      <x:c r="A45" t="str">
        <x:v>2372545a-df88-4780-bd46-c49d29e5f8ef</x:v>
      </x:c>
      <x:c r="B45" t="str">
        <x:v>601688</x:v>
      </x:c>
      <x:c r="C45" t="str">
        <x:v>华泰证券</x:v>
      </x:c>
      <x:c r="D45" t="str">
        <x:v>2025-12-31</x:v>
      </x:c>
      <x:c r="E45" t="str">
        <x:v>annual</x:v>
      </x:c>
      <x:c r="F45" t="str">
        <x:v>short_term_borrowings</x:v>
      </x:c>
      <x:c r="G45" t="n">
        <x:v>30000000</x:v>
      </x:c>
      <x:c r="H45" t="str">
        <x:v>CNY</x:v>
      </x:c>
      <x:c r="I45" t="n">
        <x:v>140</x:v>
      </x:c>
      <x:c r="J45" t="str">
        <x:v>短期借款</x:v>
      </x:c>
      <x:c r="K45" t="str">
        <x:v>candidate_pending_automated_verification</x:v>
      </x:c>
      <x:c r="L45" t="str">
        <x:v>https://static.cninfo.com.cn/finalpage/2026-03-31/1225050753.PDF</x:v>
      </x:c>
      <x:c r="M45" t="str">
        <x:v>21cc964443b83a0ceff0333600e53abe8d948e987ec2604de992443258cd3d34</x:v>
      </x:c>
      <x:c r="N45" t="str">
        <x:v>（7）与关联方开展流动性协作情况
关联方名称 关联关系 关联交易内容 2025 年
江苏银行股份有限公司 其他关联方 拆入资金 2,050,000,000.00 
江苏银行股份有限公司 其他关联方 短期借款 30,000,000.00 
江苏银行股份有限公司 其他关联方 质押式正回购 32,402,369,903.47 
南京银行股份有限公司 其他关联方 质押式正回购 58,471,402,357.59 
单位： 元   币种： 人民币
（8）汇兑损益
关联方名称 关联关系 关联交易内容 2025 年
江苏银行股份有限公司 其他关联方 处置外汇衍生金融工具损失 73,036.98
单位：</x:v>
      </x:c>
    </x:row>
    <x:row r="46">
      <x:c r="A46" t="str">
        <x:v>d5cd8fe1-d45b-4fe8-b94a-1fbae24923aa</x:v>
      </x:c>
      <x:c r="B46" t="str">
        <x:v>601688</x:v>
      </x:c>
      <x:c r="C46" t="str">
        <x:v>华泰证券</x:v>
      </x:c>
      <x:c r="D46" t="str">
        <x:v>2025-12-31</x:v>
      </x:c>
      <x:c r="E46" t="str">
        <x:v>annual</x:v>
      </x:c>
      <x:c r="F46" t="str">
        <x:v>operating_cash_flow</x:v>
      </x:c>
      <x:c r="G46" t="n">
        <x:v>-126.02</x:v>
      </x:c>
      <x:c r="H46" t="str">
        <x:v>CNY</x:v>
      </x:c>
      <x:c r="I46" t="n">
        <x:v>54</x:v>
      </x:c>
      <x:c r="J46" t="str">
        <x:v>经营活动产生的现金流量净额</x:v>
      </x:c>
      <x:c r="K46" t="str">
        <x:v>candidate_pending_automated_verification</x:v>
      </x:c>
      <x:c r="L46" t="str">
        <x:v>https://static.cninfo.com.cn/finalpage/2026-03-31/1225050753.PDF</x:v>
      </x:c>
      <x:c r="M46" t="str">
        <x:v>21cc964443b83a0ceff0333600e53abe8d948e987ec2604de992443258cd3d34</x:v>
      </x:c>
      <x:c r="N46" t="str">
        <x:v> 1,922
40—50 岁（含 40 岁，不含 50 岁） 312
50 岁以上（含 50 岁） 56
5、现金流
报告期内， 本集团现金流量如下表：
单位： 亿元   币种： 人民币
项目 本期数 上年同期数 增减金额 增减比例（%）
经营活动产生的现金流量净额 -126.02 681.68 -807.70 不适用
投资活动产生的现金流量净额 -421.02 204.96 -625.98 不适用
筹资活动产生的现金流量净额 1,107.90 -596.70 1,704.60 不适用
现金及现金等价物净增加额 554.22 295.52 258.70 87.54
报告期内，本集团经营活动产生的现金流量净额为人民币 -126.02 亿</x:v>
      </x:c>
    </x:row>
    <x:row r="47">
      <x:c r="A47" t="str">
        <x:v>3c80255d-9092-4da1-b1bb-26bae2f73415</x:v>
      </x:c>
      <x:c r="B47" t="str">
        <x:v>601688</x:v>
      </x:c>
      <x:c r="C47" t="str">
        <x:v>华泰证券</x:v>
      </x:c>
      <x:c r="D47" t="str">
        <x:v>2025-12-31</x:v>
      </x:c>
      <x:c r="E47" t="str">
        <x:v>annual</x:v>
      </x:c>
      <x:c r="F47" t="str">
        <x:v>operating_cash_flow</x:v>
      </x:c>
      <x:c r="G47" t="n">
        <x:v>-12601571386.35</x:v>
      </x:c>
      <x:c r="H47" t="str">
        <x:v>CNY</x:v>
      </x:c>
      <x:c r="I47" t="n">
        <x:v>51</x:v>
      </x:c>
      <x:c r="J47" t="str">
        <x:v>经营活动产生的现金流量净额</x:v>
      </x:c>
      <x:c r="K47" t="str">
        <x:v>candidate_pending_automated_verification</x:v>
      </x:c>
      <x:c r="L47" t="str">
        <x:v>https://static.cninfo.com.cn/finalpage/2026-03-31/1225050753.PDF</x:v>
      </x:c>
      <x:c r="M47" t="str">
        <x:v>21cc964443b83a0ceff0333600e53abe8d948e987ec2604de992443258cd3d34</x:v>
      </x:c>
      <x:c r="N47" t="str">
        <x:v>0,376,332.35 -2.92
营业利润 18,384,368,797.62 15,568,788,738.68 18.08
归属于母公司股东的净利润 16,383,497,118.10 15,351,162,321.66 6.72
经营活动产生的现金流量净额 -12,601,571,386.35 68,167,706,589.90 不适用
投资活动产生的现金流量净额 -42,102,245,699.71 20,496,120,704.72 不适用
筹资活动产生的现金流量净额 110,790,255,735.71 -59,670,325,516.78 不适用
现金及现金等价物净增加额 55,422,060,817.91 29,552,149,937.</x:v>
      </x:c>
    </x:row>
    <x:row r="48">
      <x:c r="A48" t="str">
        <x:v>f6a6d672-9ae8-4ba7-bf23-854c64aed8d8</x:v>
      </x:c>
      <x:c r="B48" t="str">
        <x:v>601688</x:v>
      </x:c>
      <x:c r="C48" t="str">
        <x:v>华泰证券</x:v>
      </x:c>
      <x:c r="D48" t="str">
        <x:v>2025-12-31</x:v>
      </x:c>
      <x:c r="E48" t="str">
        <x:v>annual</x:v>
      </x:c>
      <x:c r="F48" t="str">
        <x:v>revenue</x:v>
      </x:c>
      <x:c r="G48" t="n">
        <x:v>35809920255.16</x:v>
      </x:c>
      <x:c r="H48" t="str">
        <x:v>reported_amount</x:v>
      </x:c>
      <x:c r="I48" t="n">
        <x:v>24</x:v>
      </x:c>
      <x:c r="J48" t="str">
        <x:v>营业收入</x:v>
      </x:c>
      <x:c r="K48" t="str">
        <x:v>candidate_pending_automated_verification</x:v>
      </x:c>
      <x:c r="L48" t="str">
        <x:v>https://static.cninfo.com.cn/finalpage/2026-03-31/1225050753.PDF</x:v>
      </x:c>
      <x:c r="M48" t="str">
        <x:v>21cc964443b83a0ceff0333600e53abe8d948e987ec2604de992443258cd3d34</x:v>
      </x:c>
      <x:c r="N48" t="str">
        <x:v>一、 近三年主要会计数据和财务指标
（一）主要会计数据
单位： 元   币种： 人民币
主要会计数据 2025 年
2024 年 本期比上
年同期增
减 (%)
2023 年
调整后 调整前 调整后 调整前
营业收入  35,809,920,255.16 33,519,165,071.03 41,466,367,393.80 6.83 31,642,334,631.14 36,577,585,349.48
利润总额  18,404,639,988.84 15,352,339,781.72 15,352,339,781.72 19.88 14,204,663,160.96 14,204,663,160.96
</x:v>
      </x:c>
    </x:row>
    <x:row r="49">
      <x:c r="A49" t="str">
        <x:v>20c4e9bd-9f83-4ab8-9c65-70638f933643</x:v>
      </x:c>
      <x:c r="B49" t="str">
        <x:v>601800</x:v>
      </x:c>
      <x:c r="C49" t="str">
        <x:v>中国交建</x:v>
      </x:c>
      <x:c r="D49" t="str">
        <x:v>2025-03-31</x:v>
      </x:c>
      <x:c r="E49" t="str">
        <x:v>first_quarter</x:v>
      </x:c>
      <x:c r="F49" t="str">
        <x:v>short_term_borrowings</x:v>
      </x:c>
      <x:c r="G49" t="n">
        <x:v>102375306478</x:v>
      </x:c>
      <x:c r="H49" t="str">
        <x:v>CNY</x:v>
      </x:c>
      <x:c r="I49" t="n">
        <x:v>7</x:v>
      </x:c>
      <x:c r="J49" t="str">
        <x:v>短期借款</x:v>
      </x:c>
      <x:c r="K49" t="str">
        <x:v>candidate_pending_automated_verification</x:v>
      </x:c>
      <x:c r="L49" t="str">
        <x:v>https://static.cninfo.com.cn/finalpage/2025-04-28/1223348250.PDF</x:v>
      </x:c>
      <x:c r="M49" t="str">
        <x:v>d6b368b4b3f347d6177f6f39d2a8f3f29648278469139d50e46aaf546893d859</x:v>
      </x:c>
      <x:c r="N49" t="str">
        <x:v>中国交通建设股份有限公司2025 年第一季度报告
7 / 14
项目 2025 年 3月 31 日 2024 年 12 月 31 日
流动负债：
短期借款 102,375,306,478 74,210,214,879
衍生金融负债 37,748 253,613
应付票据 32,266,831,419 29,654,925,688
应付账款 383,354,121,716 396,124,396,588
合同负债 92,111,593,826 85,269,506,012
应付职工薪酬 2,400,357,171 2,495,740,006
</x:v>
      </x:c>
    </x:row>
    <x:row r="50">
      <x:c r="A50" t="str">
        <x:v>150ceae3-b52c-4021-9de9-3deafc374d94</x:v>
      </x:c>
      <x:c r="B50" t="str">
        <x:v>601800</x:v>
      </x:c>
      <x:c r="C50" t="str">
        <x:v>中国交建</x:v>
      </x:c>
      <x:c r="D50" t="str">
        <x:v>2025-03-31</x:v>
      </x:c>
      <x:c r="E50" t="str">
        <x:v>first_quarter</x:v>
      </x:c>
      <x:c r="F50" t="str">
        <x:v>operating_cash_flow</x:v>
      </x:c>
      <x:c r="G50" t="n">
        <x:v>-48907898828</x:v>
      </x:c>
      <x:c r="H50" t="str">
        <x:v>CNY</x:v>
      </x:c>
      <x:c r="I50" t="n">
        <x:v>9</x:v>
      </x:c>
      <x:c r="J50" t="str">
        <x:v>经营活动产生的现金流量净额</x:v>
      </x:c>
      <x:c r="K50" t="str">
        <x:v>candidate_pending_automated_verification</x:v>
      </x:c>
      <x:c r="L50" t="str">
        <x:v>https://static.cninfo.com.cn/finalpage/2025-04-28/1223348250.PDF</x:v>
      </x:c>
      <x:c r="M50" t="str">
        <x:v>d6b368b4b3f347d6177f6f39d2a8f3f29648278469139d50e46aaf546893d859</x:v>
      </x:c>
      <x:c r="N50" t="str">
        <x:v>各项税费 5,340,833,499 6,012,572,199
支付其他与经营活动有关的现金 13,459,390,880 9,504,117,404
经营活动现金流出小计 201,325,968,150 216,650,502,922
经营活动产生的现金流量净额 -48,907,898,828 -39,634,707,471
二、投资活动产生的现金流量：
收回投资收到的现金 1,394,664,009 1,270,625,303
取得投资收益收到的现金 148,706,876 74,281,869
处置固定资产、无形资产和其他长期资产收回的现金
净额 22,875,032 26,794,868
处置子公司及其他营业单位收到的现金净额 0 1,07</x:v>
      </x:c>
    </x:row>
    <x:row r="51">
      <x:c r="A51" t="str">
        <x:v>56d34f72-4388-4708-8786-b475d5612e9f</x:v>
      </x:c>
      <x:c r="B51" t="str">
        <x:v>601800</x:v>
      </x:c>
      <x:c r="C51" t="str">
        <x:v>中国交建</x:v>
      </x:c>
      <x:c r="D51" t="str">
        <x:v>2025-03-31</x:v>
      </x:c>
      <x:c r="E51" t="str">
        <x:v>first_quarter</x:v>
      </x:c>
      <x:c r="F51" t="str">
        <x:v>cash</x:v>
      </x:c>
      <x:c r="G51" t="n">
        <x:v>156153215504</x:v>
      </x:c>
      <x:c r="H51" t="str">
        <x:v>CNY</x:v>
      </x:c>
      <x:c r="I51" t="n">
        <x:v>6</x:v>
      </x:c>
      <x:c r="J51" t="str">
        <x:v>货币资金</x:v>
      </x:c>
      <x:c r="K51" t="str">
        <x:v>candidate_pending_automated_verification</x:v>
      </x:c>
      <x:c r="L51" t="str">
        <x:v>https://static.cninfo.com.cn/finalpage/2025-04-28/1223348250.PDF</x:v>
      </x:c>
      <x:c r="M51" t="str">
        <x:v>d6b368b4b3f347d6177f6f39d2a8f3f29648278469139d50e46aaf546893d859</x:v>
      </x:c>
      <x:c r="N51" t="str">
        <x:v>5 年第一季度报告
6 / 14
合并资产负债表
2025 年 3月 31日
编制单位:中国交通建设股份有限公司
单位：元 币种:人民币 审计类型：未经审计
项目 2025 年 3月 31 日 2024 年 12 月 31 日
流动资产：
货币资金 156,153,215,504 142,480,961,935
交易性金融资产 1,588,149,194 496,506,021
衍生金融资产 36,435,914 41,581,893
应收票据 2,110,625,552 1,752,079,631
应收账款 138,874,517,135 138,018,850,273
应收款项融资 1,403,804,918 1,133,858</x:v>
      </x:c>
    </x:row>
    <x:row r="52">
      <x:c r="A52" t="str">
        <x:v>9b001081-381f-416a-b6c5-bf25386bc051</x:v>
      </x:c>
      <x:c r="B52" t="str">
        <x:v>601800</x:v>
      </x:c>
      <x:c r="C52" t="str">
        <x:v>中国交建</x:v>
      </x:c>
      <x:c r="D52" t="str">
        <x:v>2025-03-31</x:v>
      </x:c>
      <x:c r="E52" t="str">
        <x:v>first_quarter</x:v>
      </x:c>
      <x:c r="F52" t="str">
        <x:v>operating_cash_flow</x:v>
      </x:c>
      <x:c r="G52" t="n">
        <x:v>-48907898828</x:v>
      </x:c>
      <x:c r="H52" t="str">
        <x:v>reported_amount</x:v>
      </x:c>
      <x:c r="I52" t="n">
        <x:v>1</x:v>
      </x:c>
      <x:c r="J52" t="str">
        <x:v>经营活动产生的现金流量净额</x:v>
      </x:c>
      <x:c r="K52" t="str">
        <x:v>candidate_pending_automated_verification</x:v>
      </x:c>
      <x:c r="L52" t="str">
        <x:v>https://static.cninfo.com.cn/finalpage/2025-04-28/1223348250.PDF</x:v>
      </x:c>
      <x:c r="M52" t="str">
        <x:v>d6b368b4b3f347d6177f6f39d2a8f3f29648278469139d50e46aaf546893d859</x:v>
      </x:c>
      <x:c r="N52" t="str">
        <x:v>,700 -12.58
归属于上市公司股东的净利润 5,466,739,127 6,140,683,103 -10.98
归属于上市公司股东的扣除非经常性损益的
净利润
5,438,333,982 6,101,693,860 -10.87
经营活动产生的现金流量净额 -48,907,898,828 -39,634,707,471 不适用
基本每股收益（元/股） 0.32 0.36 -11.11
稀释每股收益（元/股） 0.32 0.36 -11.11
加权平均净资产收益率（%） 1.82 2.16 减少 0.34 个百分点
本报告期末 上年度末
本报告期末比上年度末
增减变动幅度(%)
总资产 1,927,559,785,338 1,858,272,</x:v>
      </x:c>
    </x:row>
    <x:row r="53">
      <x:c r="A53" t="str">
        <x:v>d4f9efde-d70f-41fe-b14f-1f7a710f5b9f</x:v>
      </x:c>
      <x:c r="B53" t="str">
        <x:v>601800</x:v>
      </x:c>
      <x:c r="C53" t="str">
        <x:v>中国交建</x:v>
      </x:c>
      <x:c r="D53" t="str">
        <x:v>2025-03-31</x:v>
      </x:c>
      <x:c r="E53" t="str">
        <x:v>first_quarter</x:v>
      </x:c>
      <x:c r="F53" t="str">
        <x:v>net_income</x:v>
      </x:c>
      <x:c r="G53" t="n">
        <x:v>5466739127</x:v>
      </x:c>
      <x:c r="H53" t="str">
        <x:v>reported_amount</x:v>
      </x:c>
      <x:c r="I53" t="n">
        <x:v>1</x:v>
      </x:c>
      <x:c r="J53" t="str">
        <x:v>归属于上市公司股东的净利润</x:v>
      </x:c>
      <x:c r="K53" t="str">
        <x:v>candidate_pending_automated_verification</x:v>
      </x:c>
      <x:c r="L53" t="str">
        <x:v>https://static.cninfo.com.cn/finalpage/2025-04-28/1223348250.PDF</x:v>
      </x:c>
      <x:c r="M53" t="str">
        <x:v>d6b368b4b3f347d6177f6f39d2a8f3f29648278469139d50e46aaf546893d859</x:v>
      </x:c>
      <x:c r="N53" t="str">
        <x:v>□是 √否
一、主要财务数据
(一) 主要会计数据和财务指标
单位：元 币种：人民币
项目 本报告期 上年同期
本报告期比上年
同期增减变动幅度(%)
营业收入 154,643,895,485 176,904,193,700 -12.58
归属于上市公司股东的净利润 5,466,739,127 6,140,683,103 -10.98
归属于上市公司股东的扣除非经常性损益的
净利润
5,438,333,982 6,101,693,860 -10.87
经营活动产生的现金流量净额 -48,907,898,828 -39,634,707,471 不适用
基本每股收益（元/股） 0.32 0.36 -11.11
稀释每股收益（元/股） 0.32 0.3</x:v>
      </x:c>
    </x:row>
    <x:row r="54">
      <x:c r="A54" t="str">
        <x:v>5a1ab60f-f079-44e2-8c41-0cfef17a3c56</x:v>
      </x:c>
      <x:c r="B54" t="str">
        <x:v>601800</x:v>
      </x:c>
      <x:c r="C54" t="str">
        <x:v>中国交建</x:v>
      </x:c>
      <x:c r="D54" t="str">
        <x:v>2025-03-31</x:v>
      </x:c>
      <x:c r="E54" t="str">
        <x:v>first_quarter</x:v>
      </x:c>
      <x:c r="F54" t="str">
        <x:v>revenue</x:v>
      </x:c>
      <x:c r="G54" t="n">
        <x:v>154643895485</x:v>
      </x:c>
      <x:c r="H54" t="str">
        <x:v>reported_amount</x:v>
      </x:c>
      <x:c r="I54" t="n">
        <x:v>1</x:v>
      </x:c>
      <x:c r="J54" t="str">
        <x:v>营业收入</x:v>
      </x:c>
      <x:c r="K54" t="str">
        <x:v>candidate_pending_automated_verification</x:v>
      </x:c>
      <x:c r="L54" t="str">
        <x:v>https://static.cninfo.com.cn/finalpage/2025-04-28/1223348250.PDF</x:v>
      </x:c>
      <x:c r="M54" t="str">
        <x:v>d6b368b4b3f347d6177f6f39d2a8f3f29648278469139d50e46aaf546893d859</x:v>
      </x:c>
      <x:c r="N54" t="str">
        <x:v>会计主管人员）保证季度报告中财务信息的
真实、准确、完整。
第一季度财务报表是否经审计
□是 √否
一、主要财务数据
(一) 主要会计数据和财务指标
单位：元 币种：人民币
项目 本报告期 上年同期
本报告期比上年
同期增减变动幅度(%)
营业收入 154,643,895,485 176,904,193,700 -12.58
归属于上市公司股东的净利润 5,466,739,127 6,140,683,103 -10.98
归属于上市公司股东的扣除非经常性损益的
净利润
5,438,333,982 6,101,693,860 -10.87
经营活动产生的现金流量净额 -48,907,898,828 -39,634,707,471 不适</x:v>
      </x:c>
    </x:row>
    <x:row r="55">
      <x:c r="A55" t="str">
        <x:v>e99a3aa4-7247-44ca-b566-fde10b744b8e</x:v>
      </x:c>
      <x:c r="B55" t="str">
        <x:v>601800</x:v>
      </x:c>
      <x:c r="C55" t="str">
        <x:v>中国交建</x:v>
      </x:c>
      <x:c r="D55" t="str">
        <x:v>2025-03-31</x:v>
      </x:c>
      <x:c r="E55" t="str">
        <x:v>first_quarter</x:v>
      </x:c>
      <x:c r="F55" t="str">
        <x:v>bonds_payable</x:v>
      </x:c>
      <x:c r="G55" t="n">
        <x:v>51286300779</x:v>
      </x:c>
      <x:c r="H55" t="str">
        <x:v>CNY</x:v>
      </x:c>
      <x:c r="I55" t="n">
        <x:v>7</x:v>
      </x:c>
      <x:c r="J55" t="str">
        <x:v>应付债券</x:v>
      </x:c>
      <x:c r="K55" t="str">
        <x:v>candidate_pending_automated_verification</x:v>
      </x:c>
      <x:c r="L55" t="str">
        <x:v>https://static.cninfo.com.cn/finalpage/2025-04-28/1223348250.PDF</x:v>
      </x:c>
      <x:c r="M55" t="str">
        <x:v>d6b368b4b3f347d6177f6f39d2a8f3f29648278469139d50e46aaf546893d859</x:v>
      </x:c>
      <x:c r="N55" t="str">
        <x:v>其他流动负债 60,303,467,527 43,842,024,431
流动负债合计 889,661,690,058 868,807,903,411
非流动负债：
长期借款 426,096,875,245 392,946,216,502
应付债券 51,286,300,779 50,286,055,472
租赁负债 2,421,650,996 2,264,333,643
长期应付款 68,618,346,305 62,269,073,948
长期应付职工薪酬 820,453,448 844,280,945
预计负债 3,270,669,203 3,350,569,393
递延收益 1,126,808,742 1,144,154,</x:v>
      </x:c>
    </x:row>
    <x:row r="56">
      <x:c r="A56" t="str">
        <x:v>abe57c9d-80f1-424a-838d-1e23ea7aea70</x:v>
      </x:c>
      <x:c r="B56" t="str">
        <x:v>601800</x:v>
      </x:c>
      <x:c r="C56" t="str">
        <x:v>中国交建</x:v>
      </x:c>
      <x:c r="D56" t="str">
        <x:v>2025-03-31</x:v>
      </x:c>
      <x:c r="E56" t="str">
        <x:v>first_quarter</x:v>
      </x:c>
      <x:c r="F56" t="str">
        <x:v>long_term_borrowings</x:v>
      </x:c>
      <x:c r="G56" t="n">
        <x:v>426096875245</x:v>
      </x:c>
      <x:c r="H56" t="str">
        <x:v>CNY</x:v>
      </x:c>
      <x:c r="I56" t="n">
        <x:v>7</x:v>
      </x:c>
      <x:c r="J56" t="str">
        <x:v>长期借款</x:v>
      </x:c>
      <x:c r="K56" t="str">
        <x:v>candidate_pending_automated_verification</x:v>
      </x:c>
      <x:c r="L56" t="str">
        <x:v>https://static.cninfo.com.cn/finalpage/2025-04-28/1223348250.PDF</x:v>
      </x:c>
      <x:c r="M56" t="str">
        <x:v>d6b368b4b3f347d6177f6f39d2a8f3f29648278469139d50e46aaf546893d859</x:v>
      </x:c>
      <x:c r="N56" t="str">
        <x:v>的非流动负债 78,706,357,268 86,026,252,633
其他流动负债 60,303,467,527 43,842,024,431
流动负债合计 889,661,690,058 868,807,903,411
非流动负债：
长期借款 426,096,875,245 392,946,216,502
应付债券 51,286,300,779 50,286,055,472
租赁负债 2,421,650,996 2,264,333,643
长期应付款 68,618,346,305 62,269,073,948
长期应付职工薪酬 820,453,448 844,280,945
预计负债 3,270,669,203 3,350,5</x:v>
      </x:c>
    </x:row>
    <x:row r="57">
      <x:c r="A57" t="str">
        <x:v>747a8501-af41-479b-9245-90243ab126de</x:v>
      </x:c>
      <x:c r="B57" t="str">
        <x:v>601800</x:v>
      </x:c>
      <x:c r="C57" t="str">
        <x:v>中国交建</x:v>
      </x:c>
      <x:c r="D57" t="str">
        <x:v>2025-03-31</x:v>
      </x:c>
      <x:c r="E57" t="str">
        <x:v>first_quarter</x:v>
      </x:c>
      <x:c r="F57" t="str">
        <x:v>current_portion_long_term_debt</x:v>
      </x:c>
      <x:c r="G57" t="n">
        <x:v>78706357268</x:v>
      </x:c>
      <x:c r="H57" t="str">
        <x:v>CNY</x:v>
      </x:c>
      <x:c r="I57" t="n">
        <x:v>7</x:v>
      </x:c>
      <x:c r="J57" t="str">
        <x:v>一年内到期的非流动负债</x:v>
      </x:c>
      <x:c r="K57" t="str">
        <x:v>candidate_pending_automated_verification</x:v>
      </x:c>
      <x:c r="L57" t="str">
        <x:v>https://static.cninfo.com.cn/finalpage/2025-04-28/1223348250.PDF</x:v>
      </x:c>
      <x:c r="M57" t="str">
        <x:v>d6b368b4b3f347d6177f6f39d2a8f3f29648278469139d50e46aaf546893d859</x:v>
      </x:c>
      <x:c r="N57" t="str">
        <x:v> 12,798,125,501 13,903,519,062
其他应付款 125,345,491,403 137,281,070,499
其中：应付利息 0 542,846
应付股利 4,083,707,428 4,931,735,792
一年内到期的非流动负债 78,706,357,268 86,026,252,633
其他流动负债 60,303,467,527 43,842,024,431
流动负债合计 889,661,690,058 868,807,903,411
非流动负债：
长期借款 426,096,875,245 392,946,216,502
应付债券 51,286,300,779 50,286,055,472
租赁负债 2,42</x:v>
      </x:c>
    </x:row>
    <x:row r="58">
      <x:c r="A58" t="str">
        <x:v>719c1e4d-74d7-498a-85bb-eedf844158b4</x:v>
      </x:c>
      <x:c r="B58" t="str">
        <x:v>601800</x:v>
      </x:c>
      <x:c r="C58" t="str">
        <x:v>中国交建</x:v>
      </x:c>
      <x:c r="D58" t="str">
        <x:v>2025-12-31</x:v>
      </x:c>
      <x:c r="E58" t="str">
        <x:v>annual</x:v>
      </x:c>
      <x:c r="F58" t="str">
        <x:v>long_term_borrowings</x:v>
      </x:c>
      <x:c r="G58" t="n">
        <x:v>189184388791</x:v>
      </x:c>
      <x:c r="H58" t="str">
        <x:v>CNY</x:v>
      </x:c>
      <x:c r="I58" t="n">
        <x:v>365</x:v>
      </x:c>
      <x:c r="J58" t="str">
        <x:v>长期借款</x:v>
      </x:c>
      <x:c r="K58" t="str">
        <x:v>candidate_pending_automated_verification</x:v>
      </x:c>
      <x:c r="L58" t="str">
        <x:v>https://static.cninfo.com.cn/finalpage/2026-03-31/1225062556.PDF</x:v>
      </x:c>
      <x:c r="M58" t="str">
        <x:v>ed8bc43c43dadf2ddda5dac32bc2e7f037bbb5dcccb7d2ea91972c4014b13254</x:v>
      </x:c>
      <x:c r="N58" t="str">
        <x:v>
(2) 流动性风险(续) 
下表概括了金融负债及租赁负债按未折现的合同现金流量所作的到期期限分析： 
2025 年12 月 31 日 
 1 年以内 1 至 2 年 2 至 5 年 5 年以上 合计 
短期借款及长期借款 189,184,388,791 72,523,710,882 145,065,758,413 296,162,582,199 702,936,440,285 
应付债券及短期融资券 26,918,750,055 27,855,815,177 29,160,823,524 4,999,875,013 88,935,263,769 
衍生金融负债 34,336,875 - - - 34,33</x:v>
      </x:c>
    </x:row>
    <x:row r="59">
      <x:c r="A59" t="str">
        <x:v>421b39bd-c08e-4928-bc05-2ea5c8fb6665</x:v>
      </x:c>
      <x:c r="B59" t="str">
        <x:v>601800</x:v>
      </x:c>
      <x:c r="C59" t="str">
        <x:v>中国交建</x:v>
      </x:c>
      <x:c r="D59" t="str">
        <x:v>2025-12-31</x:v>
      </x:c>
      <x:c r="E59" t="str">
        <x:v>annual</x:v>
      </x:c>
      <x:c r="F59" t="str">
        <x:v>operating_cash_flow</x:v>
      </x:c>
      <x:c r="G59" t="n">
        <x:v>15333042142</x:v>
      </x:c>
      <x:c r="H59" t="str">
        <x:v>CNY</x:v>
      </x:c>
      <x:c r="I59" t="n">
        <x:v>334</x:v>
      </x:c>
      <x:c r="J59" t="str">
        <x:v>经营活动产生的现金流量净额</x:v>
      </x:c>
      <x:c r="K59" t="str">
        <x:v>candidate_pending_automated_verification</x:v>
      </x:c>
      <x:c r="L59" t="str">
        <x:v>https://static.cninfo.com.cn/finalpage/2026-03-31/1225062556.PDF</x:v>
      </x:c>
      <x:c r="M59" t="str">
        <x:v>ed8bc43c43dadf2ddda5dac32bc2e7f037bbb5dcccb7d2ea91972c4014b13254</x:v>
      </x:c>
      <x:c r="N59" t="str">
        <x:v>110 ) 
经营性应收及PPP 合同资产项目的增加 ( 62,634,931,135 ) ( 98,496,452,053 ) 
经营性应付项目的增加  64,464,933,822   91,027,139,888  
经营活动产生的现金流量净额  15,333,042,142   12,506,416,778  
(2) 不涉及现金收支的重大投资和筹资活动 
 2025 年  2024 年 
使用权资产增加 2,176,316,147  2,436,817,663 
</x:v>
      </x:c>
    </x:row>
    <x:row r="60">
      <x:c r="A60" t="str">
        <x:v>11147420-c0fd-4014-888e-83a363954b74</x:v>
      </x:c>
      <x:c r="B60" t="str">
        <x:v>601800</x:v>
      </x:c>
      <x:c r="C60" t="str">
        <x:v>中国交建</x:v>
      </x:c>
      <x:c r="D60" t="str">
        <x:v>2025-12-31</x:v>
      </x:c>
      <x:c r="E60" t="str">
        <x:v>annual</x:v>
      </x:c>
      <x:c r="F60" t="str">
        <x:v>cash</x:v>
      </x:c>
      <x:c r="G60" t="n">
        <x:v>10919637950</x:v>
      </x:c>
      <x:c r="H60" t="str">
        <x:v>CNY</x:v>
      </x:c>
      <x:c r="I60" t="n">
        <x:v>279</x:v>
      </x:c>
      <x:c r="J60" t="str">
        <x:v>货币资金</x:v>
      </x:c>
      <x:c r="K60" t="str">
        <x:v>candidate_pending_automated_verification</x:v>
      </x:c>
      <x:c r="L60" t="str">
        <x:v>https://static.cninfo.com.cn/finalpage/2026-03-31/1225062556.PDF</x:v>
      </x:c>
      <x:c r="M60" t="str">
        <x:v>ed8bc43c43dadf2ddda5dac32bc2e7f037bbb5dcccb7d2ea91972c4014b13254</x:v>
      </x:c>
      <x:c r="N60" t="str">
        <x:v>
- 114 - 
五、合并财务报表主要项目注释(续) 
26. 所有权或使用权受到限制的资产 
2025年12月31日 
  账面余额   账面价值   受限类型   受限情况  
货币资金  10,919,637,950   10,919,637,950   
使用权或所
有权受限   注1  
应收票据  276,250,979   275,052,333   质押   注2  
应收账款  3,243,687,342   2,736,286,918   质押   注2  
存货  33,482,275,420   32,369,155,280   抵押   注2  
长</x:v>
      </x:c>
    </x:row>
    <x:row r="61">
      <x:c r="A61" t="str">
        <x:v>dd2da04a-45c0-4927-b664-78a976d41793</x:v>
      </x:c>
      <x:c r="B61" t="str">
        <x:v>601800</x:v>
      </x:c>
      <x:c r="C61" t="str">
        <x:v>中国交建</x:v>
      </x:c>
      <x:c r="D61" t="str">
        <x:v>2025-12-31</x:v>
      </x:c>
      <x:c r="E61" t="str">
        <x:v>annual</x:v>
      </x:c>
      <x:c r="F61" t="str">
        <x:v>bonds_payable</x:v>
      </x:c>
      <x:c r="G61" t="n">
        <x:v>2025</x:v>
      </x:c>
      <x:c r="H61" t="str">
        <x:v>CNY</x:v>
      </x:c>
      <x:c r="I61" t="n">
        <x:v>296</x:v>
      </x:c>
      <x:c r="J61" t="str">
        <x:v>应付债券</x:v>
      </x:c>
      <x:c r="K61" t="str">
        <x:v>candidate_pending_automated_verification</x:v>
      </x:c>
      <x:c r="L61" t="str">
        <x:v>https://static.cninfo.com.cn/finalpage/2026-03-31/1225062556.PDF</x:v>
      </x:c>
      <x:c r="M61" t="str">
        <x:v>ed8bc43c43dadf2ddda5dac32bc2e7f037bbb5dcccb7d2ea91972c4014b13254</x:v>
      </x:c>
      <x:c r="N61" t="str">
        <x:v>.62%至 15.27% 
(2024年12月31日：5.62%至15.27%)，本公司及子公司其他借款年利率为0.89%至8.76% 
(2024 年12 月 31 日：0.75%至 8.23%)。 
38. 应付债券 
(1) 应付债券 
 2025 年 12 月 31 日 2024 年12 月31 日 
公司债券 40,826,103,764 36,046,938,563 
非公开定向债务融资工具 29,041,632,770 20,694,143,472 
 69,867,736,534 56,741,082,035 
减：一年内到期的应付债券(附注五、35) 11,117,226,</x:v>
      </x:c>
    </x:row>
    <x:row r="62">
      <x:c r="A62" t="str">
        <x:v>c7d78335-f2eb-483d-bf53-9a76ff39290e</x:v>
      </x:c>
      <x:c r="B62" t="str">
        <x:v>601800</x:v>
      </x:c>
      <x:c r="C62" t="str">
        <x:v>中国交建</x:v>
      </x:c>
      <x:c r="D62" t="str">
        <x:v>2025-12-31</x:v>
      </x:c>
      <x:c r="E62" t="str">
        <x:v>annual</x:v>
      </x:c>
      <x:c r="F62" t="str">
        <x:v>long_term_borrowings</x:v>
      </x:c>
      <x:c r="G62" t="n">
        <x:v>2025</x:v>
      </x:c>
      <x:c r="H62" t="str">
        <x:v>CNY</x:v>
      </x:c>
      <x:c r="I62" t="n">
        <x:v>295</x:v>
      </x:c>
      <x:c r="J62" t="str">
        <x:v>长期借款</x:v>
      </x:c>
      <x:c r="K62" t="str">
        <x:v>candidate_pending_automated_verification</x:v>
      </x:c>
      <x:c r="L62" t="str">
        <x:v>https://static.cninfo.com.cn/finalpage/2026-03-31/1225062556.PDF</x:v>
      </x:c>
      <x:c r="M62" t="str">
        <x:v>ed8bc43c43dadf2ddda5dac32bc2e7f037bbb5dcccb7d2ea91972c4014b13254</x:v>
      </x:c>
      <x:c r="N62" t="str">
        <x:v>中国交通建设股份有限公司 
财务报表附注(续) 
2025年度 人民币元 
- 130 - 
五、合并财务报表主要项目注释(续) 
37. 长期借款 
 2025 年 12 月 31 日 2024 年12 月31 日 
信用借款 148,287,489,237 121,189,257,386 
质押借款(注 1) 303,471,319,472 282,838,937,874 
保证借款(注 2) 15,981,188,532 18,533,534,961 
抵押借款(注 3) 25,266,063,236 </x:v>
      </x:c>
    </x:row>
    <x:row r="63">
      <x:c r="A63" t="str">
        <x:v>1f1af55b-c7e4-46d4-ac80-cf25e049961a</x:v>
      </x:c>
      <x:c r="B63" t="str">
        <x:v>601800</x:v>
      </x:c>
      <x:c r="C63" t="str">
        <x:v>中国交建</x:v>
      </x:c>
      <x:c r="D63" t="str">
        <x:v>2025-12-31</x:v>
      </x:c>
      <x:c r="E63" t="str">
        <x:v>annual</x:v>
      </x:c>
      <x:c r="F63" t="str">
        <x:v>short_term_borrowings</x:v>
      </x:c>
      <x:c r="G63" t="n">
        <x:v>2025</x:v>
      </x:c>
      <x:c r="H63" t="str">
        <x:v>CNY</x:v>
      </x:c>
      <x:c r="I63" t="n">
        <x:v>281</x:v>
      </x:c>
      <x:c r="J63" t="str">
        <x:v>短期借款</x:v>
      </x:c>
      <x:c r="K63" t="str">
        <x:v>candidate_pending_automated_verification</x:v>
      </x:c>
      <x:c r="L63" t="str">
        <x:v>https://static.cninfo.com.cn/finalpage/2026-03-31/1225062556.PDF</x:v>
      </x:c>
      <x:c r="M63" t="str">
        <x:v>ed8bc43c43dadf2ddda5dac32bc2e7f037bbb5dcccb7d2ea91972c4014b13254</x:v>
      </x:c>
      <x:c r="N63" t="str">
        <x:v>中国交通建设股份有限公司 
财务报表附注(续) 
2025年度 人民币元 
- 116 - 
五、合并财务报表主要项目注释(续) 
27. 短期借款 
 2025 年 12 月 31 日 2024 年 12 月 31 日 
信用借款 85,139,495,824 56,761,537,258 
质押借款(注 1) 20,255,610,348 16,799,613,171 
保证借款(注 2) 521,311,606 648,064,450 
抵押借款(注 3) 491,484,182 1,000,000 
</x:v>
      </x:c>
    </x:row>
    <x:row r="64">
      <x:c r="A64" t="str">
        <x:v>438c4513-b9ed-482a-8f71-267ddaea1227</x:v>
      </x:c>
      <x:c r="B64" t="str">
        <x:v>601800</x:v>
      </x:c>
      <x:c r="C64" t="str">
        <x:v>中国交建</x:v>
      </x:c>
      <x:c r="D64" t="str">
        <x:v>2025-12-31</x:v>
      </x:c>
      <x:c r="E64" t="str">
        <x:v>annual</x:v>
      </x:c>
      <x:c r="F64" t="str">
        <x:v>current_portion_long_term_debt</x:v>
      </x:c>
      <x:c r="G64" t="n">
        <x:v>2025</x:v>
      </x:c>
      <x:c r="H64" t="str">
        <x:v>CNY</x:v>
      </x:c>
      <x:c r="I64" t="n">
        <x:v>289</x:v>
      </x:c>
      <x:c r="J64" t="str">
        <x:v>一年内到期的非流动负债</x:v>
      </x:c>
      <x:c r="K64" t="str">
        <x:v>candidate_pending_automated_verification</x:v>
      </x:c>
      <x:c r="L64" t="str">
        <x:v>https://static.cninfo.com.cn/finalpage/2026-03-31/1225062556.PDF</x:v>
      </x:c>
      <x:c r="M64" t="str">
        <x:v>ed8bc43c43dadf2ddda5dac32bc2e7f037bbb5dcccb7d2ea91972c4014b13254</x:v>
      </x:c>
      <x:c r="N64" t="str">
        <x:v>中国交通建设股份有限公司 
财务报表附注(续) 
2025年度 人民币元 
- 124 - 
五、合并财务报表主要项目注释(续) 
35. 一年内到期的非流动负债 
 2025 年 12 月 31 日 2024 年 12 月 31 日 
一年内到期的长期借款(附注五、37) 67,714,402,494 50,120,313,660 
一年内到期的长期应付款(附注五、40) 29,546,390,250 28,009,531,156 
一年内到期的应付债券(附注五、38) 11,117,226,188 6,455,026,</x:v>
      </x:c>
    </x:row>
    <x:row r="65">
      <x:c r="A65" t="str">
        <x:v>15b7f6be-54eb-4e40-a082-5c26c52c1663</x:v>
      </x:c>
      <x:c r="B65" t="str">
        <x:v>601800</x:v>
      </x:c>
      <x:c r="C65" t="str">
        <x:v>中国交建</x:v>
      </x:c>
      <x:c r="D65" t="str">
        <x:v>2025-12-31</x:v>
      </x:c>
      <x:c r="E65" t="str">
        <x:v>annual</x:v>
      </x:c>
      <x:c r="F65" t="str">
        <x:v>cash</x:v>
      </x:c>
      <x:c r="G65" t="n">
        <x:v>6705275066</x:v>
      </x:c>
      <x:c r="H65" t="str">
        <x:v>CNY</x:v>
      </x:c>
      <x:c r="I65" t="n">
        <x:v>280</x:v>
      </x:c>
      <x:c r="J65" t="str">
        <x:v>货币资金</x:v>
      </x:c>
      <x:c r="K65" t="str">
        <x:v>candidate_pending_automated_verification</x:v>
      </x:c>
      <x:c r="L65" t="str">
        <x:v>https://static.cninfo.com.cn/finalpage/2026-03-31/1225062556.PDF</x:v>
      </x:c>
      <x:c r="M65" t="str">
        <x:v>ed8bc43c43dadf2ddda5dac32bc2e7f037bbb5dcccb7d2ea91972c4014b13254</x:v>
      </x:c>
      <x:c r="N65" t="str">
        <x:v> 
- 115 - 
五、合并财务报表主要项目注释(续) 
26. 所有权或使用权受到限制的资产(续) 
2024年12月31日 
  账面余额   账面价值   受限类型   受限情况  
货币资金  6,705,275,066   6,705,275,066   
使用权或所
有权受限   注1  
应收票据  94,778,740   94,716,270   质押   注2  
应收账款  4,453,080,757   3,566,099,771   质押   注2  
存货  20,864,636,295   20,805,856,492   抵押   注2  
长期应收</x:v>
      </x:c>
    </x:row>
    <x:row r="66">
      <x:c r="A66" t="str">
        <x:v>17a2f00f-b652-4eef-b184-096ca97e4f64</x:v>
      </x:c>
      <x:c r="B66" t="str">
        <x:v>601800</x:v>
      </x:c>
      <x:c r="C66" t="str">
        <x:v>中国交建</x:v>
      </x:c>
      <x:c r="D66" t="str">
        <x:v>2025-12-31</x:v>
      </x:c>
      <x:c r="E66" t="str">
        <x:v>annual</x:v>
      </x:c>
      <x:c r="F66" t="str">
        <x:v>cash</x:v>
      </x:c>
      <x:c r="G66" t="n">
        <x:v>2025</x:v>
      </x:c>
      <x:c r="H66" t="str">
        <x:v>CNY</x:v>
      </x:c>
      <x:c r="I66" t="n">
        <x:v>225</x:v>
      </x:c>
      <x:c r="J66" t="str">
        <x:v>货币资金</x:v>
      </x:c>
      <x:c r="K66" t="str">
        <x:v>candidate_pending_automated_verification</x:v>
      </x:c>
      <x:c r="L66" t="str">
        <x:v>https://static.cninfo.com.cn/finalpage/2026-03-31/1225062556.PDF</x:v>
      </x:c>
      <x:c r="M66" t="str">
        <x:v>ed8bc43c43dadf2ddda5dac32bc2e7f037bbb5dcccb7d2ea91972c4014b13254</x:v>
      </x:c>
      <x:c r="N66" t="str">
        <x:v>中国交通建设股份有限公司 
财务报表附注(续) 
2025年度 人民币元 
- 60 - 
五、合并财务报表主要项目注释 
1. 货币资金 
  2025年12月31日   2024年12月31日  
库存现金  33,949,113    46,647,861  
银行存款  146,152,860,794   138,977,175,047  
其他货币资金  4,869,530,382    3,457,139,027  
合计  151,056,340,289    1</x:v>
      </x:c>
    </x:row>
    <x:row r="67">
      <x:c r="A67" t="str">
        <x:v>bae74a7c-f76f-464b-83eb-8d60ed5098f5</x:v>
      </x:c>
      <x:c r="B67" t="str">
        <x:v>601800</x:v>
      </x:c>
      <x:c r="C67" t="str">
        <x:v>中国交建</x:v>
      </x:c>
      <x:c r="D67" t="str">
        <x:v>2025-12-31</x:v>
      </x:c>
      <x:c r="E67" t="str">
        <x:v>annual</x:v>
      </x:c>
      <x:c r="F67" t="str">
        <x:v>long_term_borrowings</x:v>
      </x:c>
      <x:c r="G67" t="n">
        <x:v>2025</x:v>
      </x:c>
      <x:c r="H67" t="str">
        <x:v>CNY</x:v>
      </x:c>
      <x:c r="I67" t="n">
        <x:v>445</x:v>
      </x:c>
      <x:c r="J67" t="str">
        <x:v>长期借款</x:v>
      </x:c>
      <x:c r="K67" t="str">
        <x:v>candidate_pending_automated_verification</x:v>
      </x:c>
      <x:c r="L67" t="str">
        <x:v>https://static.cninfo.com.cn/finalpage/2026-03-31/1225062556.PDF</x:v>
      </x:c>
      <x:c r="M67" t="str">
        <x:v>ed8bc43c43dadf2ddda5dac32bc2e7f037bbb5dcccb7d2ea91972c4014b13254</x:v>
      </x:c>
      <x:c r="N67" t="str">
        <x:v>他应付款为人民币17,884,190,166 元(2024
年 12 月 31 日：人民币 12,469,914,982 元)，主要为本公司收取的应付关联方款项、
押金及保证金，鉴于交易双方仍继续发生业务往来，该款项尚未结清。 
9. 长期借款 
  2025年12月31日   2024年12月31日  
信用借款  10,122,073,810   11,192,799,357  
减：一年内到期的长期借款  9,904,134,629   1,134,664,880  
合计  217,939,181   10,058,134,477  
于2025 年12 月31 日，本</x:v>
      </x:c>
    </x:row>
    <x:row r="68">
      <x:c r="A68" t="str">
        <x:v>e7607cd0-f4e5-4ff6-a043-b8fadb97b3c1</x:v>
      </x:c>
      <x:c r="B68" t="str">
        <x:v>601800</x:v>
      </x:c>
      <x:c r="C68" t="str">
        <x:v>中国交建</x:v>
      </x:c>
      <x:c r="D68" t="str">
        <x:v>2025-12-31</x:v>
      </x:c>
      <x:c r="E68" t="str">
        <x:v>annual</x:v>
      </x:c>
      <x:c r="F68" t="str">
        <x:v>short_term_borrowings</x:v>
      </x:c>
      <x:c r="G68" t="n">
        <x:v>2025</x:v>
      </x:c>
      <x:c r="H68" t="str">
        <x:v>CNY</x:v>
      </x:c>
      <x:c r="I68" t="n">
        <x:v>443</x:v>
      </x:c>
      <x:c r="J68" t="str">
        <x:v>短期借款</x:v>
      </x:c>
      <x:c r="K68" t="str">
        <x:v>candidate_pending_automated_verification</x:v>
      </x:c>
      <x:c r="L68" t="str">
        <x:v>https://static.cninfo.com.cn/finalpage/2026-03-31/1225062556.PDF</x:v>
      </x:c>
      <x:c r="M68" t="str">
        <x:v>ed8bc43c43dadf2ddda5dac32bc2e7f037bbb5dcccb7d2ea91972c4014b13254</x:v>
      </x:c>
      <x:c r="N68" t="str">
        <x:v>                                                                        人民币元 
- 278 - 
十七、公司财务报表主要项目注释(续) 
6. 短期借款 
  2025年12月31日   2024年12月31日  
信用借款  45,329,543,772   43,046,121,979  
7. 应付账款 
(1) 应付账款列示 
  2025年12月31日   2024年12月31日  
1年以内  12,036,948,631   12,636,371,403  
1年至</x:v>
      </x:c>
    </x:row>
    <x:row r="69">
      <x:c r="A69" t="str">
        <x:v>1e306813-9ce4-4285-8917-1f9991d49d4b</x:v>
      </x:c>
      <x:c r="B69" t="str">
        <x:v>601800</x:v>
      </x:c>
      <x:c r="C69" t="str">
        <x:v>中国交建</x:v>
      </x:c>
      <x:c r="D69" t="str">
        <x:v>2025-12-31</x:v>
      </x:c>
      <x:c r="E69" t="str">
        <x:v>annual</x:v>
      </x:c>
      <x:c r="F69" t="str">
        <x:v>cash</x:v>
      </x:c>
      <x:c r="G69" t="n">
        <x:v>2025</x:v>
      </x:c>
      <x:c r="H69" t="str">
        <x:v>CNY</x:v>
      </x:c>
      <x:c r="I69" t="n">
        <x:v>429</x:v>
      </x:c>
      <x:c r="J69" t="str">
        <x:v>货币资金</x:v>
      </x:c>
      <x:c r="K69" t="str">
        <x:v>candidate_pending_automated_verification</x:v>
      </x:c>
      <x:c r="L69" t="str">
        <x:v>https://static.cninfo.com.cn/finalpage/2026-03-31/1225062556.PDF</x:v>
      </x:c>
      <x:c r="M69" t="str">
        <x:v>ed8bc43c43dadf2ddda5dac32bc2e7f037bbb5dcccb7d2ea91972c4014b13254</x:v>
      </x:c>
      <x:c r="N69" t="str">
        <x:v>中国交通建设股份有限公司 
财务报表附注(续) 
2025年度 人民币元 
- 264 - 
十七、公司财务报表主要项目注释 
1. 货币资金 
  2025年12月31日   2024年12月31日  
库存现金  84,577   396,541  
银行存款  21,995,907,416   16,954,495,534  
合计  21,995,991,993   16,954,892,075  
2. 应收账款 
本公司的应收账款主要为工程承包业务应收款项。建造</x:v>
      </x:c>
    </x:row>
    <x:row r="70">
      <x:c r="A70" t="str">
        <x:v>0369851f-3873-4885-8a98-9d2eb6a1ac70</x:v>
      </x:c>
      <x:c r="B70" t="str">
        <x:v>601800</x:v>
      </x:c>
      <x:c r="C70" t="str">
        <x:v>中国交建</x:v>
      </x:c>
      <x:c r="D70" t="str">
        <x:v>2025-12-31</x:v>
      </x:c>
      <x:c r="E70" t="str">
        <x:v>annual</x:v>
      </x:c>
      <x:c r="F70" t="str">
        <x:v>bonds_payable</x:v>
      </x:c>
      <x:c r="G70" t="n">
        <x:v>58750510346</x:v>
      </x:c>
      <x:c r="H70" t="str">
        <x:v>CNY</x:v>
      </x:c>
      <x:c r="I70" t="n">
        <x:v>376</x:v>
      </x:c>
      <x:c r="J70" t="str">
        <x:v>应付债券</x:v>
      </x:c>
      <x:c r="K70" t="str">
        <x:v>candidate_pending_automated_verification</x:v>
      </x:c>
      <x:c r="L70" t="str">
        <x:v>https://static.cninfo.com.cn/finalpage/2026-03-31/1225062556.PDF</x:v>
      </x:c>
      <x:c r="M70" t="str">
        <x:v>ed8bc43c43dadf2ddda5dac32bc2e7f037bbb5dcccb7d2ea91972c4014b13254</x:v>
      </x:c>
      <x:c r="N70" t="str">
        <x:v>一层次 )  (第二层次 )   
金融负债               
长期借款  425,291,657,983   425,418,853,186   -   425,418,853,186    
应付债券  58,750,510,346   57,668,020,071   4,000,000,000   53,668,020,071    
合计  484,042,168,329   483,086,873,257   4,000,000,000   479,086,873,257    
2024年 
  账面价值   公允价值   公允价值披露使用</x:v>
      </x:c>
    </x:row>
    <x:row r="71">
      <x:c r="A71" t="str">
        <x:v>74ee5d57-f3b4-4401-86b6-57e2f7311d77</x:v>
      </x:c>
      <x:c r="B71" t="str">
        <x:v>601800</x:v>
      </x:c>
      <x:c r="C71" t="str">
        <x:v>中国交建</x:v>
      </x:c>
      <x:c r="D71" t="str">
        <x:v>2025-12-31</x:v>
      </x:c>
      <x:c r="E71" t="str">
        <x:v>annual</x:v>
      </x:c>
      <x:c r="F71" t="str">
        <x:v>long_term_borrowings</x:v>
      </x:c>
      <x:c r="G71" t="n">
        <x:v>425291657983</x:v>
      </x:c>
      <x:c r="H71" t="str">
        <x:v>CNY</x:v>
      </x:c>
      <x:c r="I71" t="n">
        <x:v>376</x:v>
      </x:c>
      <x:c r="J71" t="str">
        <x:v>长期借款</x:v>
      </x:c>
      <x:c r="K71" t="str">
        <x:v>candidate_pending_automated_verification</x:v>
      </x:c>
      <x:c r="L71" t="str">
        <x:v>https://static.cninfo.com.cn/finalpage/2026-03-31/1225062556.PDF</x:v>
      </x:c>
      <x:c r="M71" t="str">
        <x:v>ed8bc43c43dadf2ddda5dac32bc2e7f037bbb5dcccb7d2ea91972c4014b13254</x:v>
      </x:c>
      <x:c r="N71" t="str">
        <x:v>价值   公允价值披露使用的输入值  
活跃市场 
报价   
重要可观察 
输入值    
        (第一层次 )  (第二层次 )   
金融负债               
长期借款  425,291,657,983   425,418,853,186   -   425,418,853,186    
应付债券  58,750,510,346   57,668,020,071   4,000,000,000   53,668,020,071    
合计  484,042,168,329   483,086,873,257   4,00</x:v>
      </x:c>
    </x:row>
    <x:row r="72">
      <x:c r="A72" t="str">
        <x:v>bfa9ce43-a144-4a6f-aef0-50f313d6b22c</x:v>
      </x:c>
      <x:c r="B72" t="str">
        <x:v>601800</x:v>
      </x:c>
      <x:c r="C72" t="str">
        <x:v>中国交建</x:v>
      </x:c>
      <x:c r="D72" t="str">
        <x:v>2025-12-31</x:v>
      </x:c>
      <x:c r="E72" t="str">
        <x:v>annual</x:v>
      </x:c>
      <x:c r="F72" t="str">
        <x:v>short_term_borrowings</x:v>
      </x:c>
      <x:c r="G72" t="n">
        <x:v>106407901960</x:v>
      </x:c>
      <x:c r="H72" t="str">
        <x:v>CNY</x:v>
      </x:c>
      <x:c r="I72" t="n">
        <x:v>368</x:v>
      </x:c>
      <x:c r="J72" t="str">
        <x:v>短期借款</x:v>
      </x:c>
      <x:c r="K72" t="str">
        <x:v>candidate_pending_automated_verification</x:v>
      </x:c>
      <x:c r="L72" t="str">
        <x:v>https://static.cninfo.com.cn/finalpage/2026-03-31/1225062556.PDF</x:v>
      </x:c>
      <x:c r="M72" t="str">
        <x:v>ed8bc43c43dadf2ddda5dac32bc2e7f037bbb5dcccb7d2ea91972c4014b13254</x:v>
      </x:c>
      <x:c r="N72" t="str">
        <x:v>净
负债包括所有短期借款、长期借款、应付债券、应付利息、短期融资券、应付融资租赁款
等抵减现金及现金等价物后的净额。本集团于资产负债表日的杠杆比率如下： 
 2025 年 12 月 31 日 2024 年 12 月 31 日 
短期借款 106,407,901,960 74,210,214,879 
长期借款(含一年内到期部分) 493,006,060,477 443,066,530,162 
应付债券(含一年内到期部分) 69,867,736,534 56,741,082,035 
短期融资券 14,036,131,530 7,521,807,361 
待赎回的可续期公司债券 - 1,100,000,000 
租赁负债</x:v>
      </x:c>
    </x:row>
    <x:row r="73">
      <x:c r="A73" t="str">
        <x:v>f4265ee9-1f14-46ac-96a3-fd657315776a</x:v>
      </x:c>
      <x:c r="B73" t="str">
        <x:v>000651</x:v>
      </x:c>
      <x:c r="C73" t="str">
        <x:v>格力电器</x:v>
      </x:c>
      <x:c r="D73" t="str">
        <x:v>2023-03-31</x:v>
      </x:c>
      <x:c r="E73" t="str">
        <x:v>first_quarter</x:v>
      </x:c>
      <x:c r="F73" t="str">
        <x:v>roe</x:v>
      </x:c>
      <x:c r="G73" t="n">
        <x:v>4.14</x:v>
      </x:c>
      <x:c r="H73" t="str">
        <x:v>percent</x:v>
      </x:c>
      <x:c r="I73" t="n">
        <x:v>2</x:v>
      </x:c>
      <x:c r="J73" t="str">
        <x:v>加权平均净资产收益率</x:v>
      </x:c>
      <x:c r="K73" t="str">
        <x:v>candidate_pending_automated_verification</x:v>
      </x:c>
      <x:c r="L73" t="str">
        <x:v>https://static.cninfo.com.cn/finalpage/2023-05-06/1216759023.PDF</x:v>
      </x:c>
      <x:c r="M73" t="str">
        <x:v>b463bd89cbd12dc7c4a0580c175b651556e3e83f8c8f4008116df3d93ba71a07</x:v>
      </x:c>
      <x:c r="N73" t="str">
        <x:v>
经营活动产生的现金流量净额（元） 15,065,152,965.60 3,394,256,789.15 343.84% 
基本每股收益（元/股） 0.73 0.68 7.35% 
稀释每股收益（元/股） 0.73 0.68 7.35% 
加权平均净资产收益率 4.14% 3.83% 0.31% 
项目 本报告期末 上年度末 本报告期末比上年度末增减
（%） 
总资产（元） 384,610,524,157.54 355,024,758,878.82 8.33% 
归属于上市公司股东的所有者权益
（元） 101,941,538,374.25 96,758,734,892.25 5.36% 
（二） 非经常性损益项目和</x:v>
      </x:c>
    </x:row>
    <x:row r="74">
      <x:c r="A74" t="str">
        <x:v>4c2ec680-9e02-4aa7-abf1-b37090b7877b</x:v>
      </x:c>
      <x:c r="B74" t="str">
        <x:v>000651</x:v>
      </x:c>
      <x:c r="C74" t="str">
        <x:v>格力电器</x:v>
      </x:c>
      <x:c r="D74" t="str">
        <x:v>2023-03-31</x:v>
      </x:c>
      <x:c r="E74" t="str">
        <x:v>first_quarter</x:v>
      </x:c>
      <x:c r="F74" t="str">
        <x:v>operating_cash_flow</x:v>
      </x:c>
      <x:c r="G74" t="n">
        <x:v>15065152965.6</x:v>
      </x:c>
      <x:c r="H74" t="str">
        <x:v>CNY</x:v>
      </x:c>
      <x:c r="I74" t="n">
        <x:v>8</x:v>
      </x:c>
      <x:c r="J74" t="str">
        <x:v>经营活动产生的现金流量净额</x:v>
      </x:c>
      <x:c r="K74" t="str">
        <x:v>candidate_pending_automated_verification</x:v>
      </x:c>
      <x:c r="L74" t="str">
        <x:v>https://static.cninfo.com.cn/finalpage/2023-05-06/1216759023.PDF</x:v>
      </x:c>
      <x:c r="M74" t="str">
        <x:v>b463bd89cbd12dc7c4a0580c175b651556e3e83f8c8f4008116df3d93ba71a07</x:v>
      </x:c>
      <x:c r="N74" t="str">
        <x:v>.63 2,190,094,069.47 
支付其他与经营活动有关的现金 5,093,096,805.89 2,347,715,185.78 
经营活动现金流出小计 43,366,935,483.08 36,696,775,626.84 
经营活动产生的现金流量净额 15,065,152,965.60 3,394,256,789.15 
二、投资活动产生的现金流量：   
收回投资收到的现金 7,284,366,095.91  
取得投资收益收到的现金 59,480,403.70 4,110,000.00 
处置固定资产、无形资产和其他长期资产收
回的现金净额 15,474,235.20 259,315.01 
处置子公司及其他营业单位收到的现金净额  </x:v>
      </x:c>
    </x:row>
    <x:row r="75">
      <x:c r="A75" t="str">
        <x:v>000cf4af-2bb5-408c-99b9-2890b7bbd91b</x:v>
      </x:c>
      <x:c r="B75" t="str">
        <x:v>000651</x:v>
      </x:c>
      <x:c r="C75" t="str">
        <x:v>格力电器</x:v>
      </x:c>
      <x:c r="D75" t="str">
        <x:v>2023-03-31</x:v>
      </x:c>
      <x:c r="E75" t="str">
        <x:v>first_quarter</x:v>
      </x:c>
      <x:c r="F75" t="str">
        <x:v>long_term_borrowings</x:v>
      </x:c>
      <x:c r="G75" t="n">
        <x:v>48947930269.24</x:v>
      </x:c>
      <x:c r="H75" t="str">
        <x:v>CNY</x:v>
      </x:c>
      <x:c r="I75" t="n">
        <x:v>5</x:v>
      </x:c>
      <x:c r="J75" t="str">
        <x:v>长期借款</x:v>
      </x:c>
      <x:c r="K75" t="str">
        <x:v>candidate_pending_automated_verification</x:v>
      </x:c>
      <x:c r="L75" t="str">
        <x:v>https://static.cninfo.com.cn/finalpage/2023-05-06/1216759023.PDF</x:v>
      </x:c>
      <x:c r="M75" t="str">
        <x:v>b463bd89cbd12dc7c4a0580c175b651556e3e83f8c8f4008116df3d93ba71a07</x:v>
      </x:c>
      <x:c r="N75" t="str">
        <x:v>.74 255,342,537.57 
其他流动负债 59,987,802,797.18 57,748,817,603.24 
流动负债合计 221,902,914,306.84 216,371,936,815.59 
非流动负债：   
长期借款 48,947,930,269.24 30,784,241,211.21 
应付债券   
其中：优先股   
永续债   
租赁负债 829,440,355.17 146,836,620.66 
长期应付款 71,917,203.86 104,644,415.20 
长期应付职工薪酬 175,712,728.00 175,712,728.00 
预计负债   
递延收益 3,392,063,</x:v>
      </x:c>
    </x:row>
    <x:row r="76">
      <x:c r="A76" t="str">
        <x:v>60228231-fa42-41d1-b9a9-aaeb9059300f</x:v>
      </x:c>
      <x:c r="B76" t="str">
        <x:v>000651</x:v>
      </x:c>
      <x:c r="C76" t="str">
        <x:v>格力电器</x:v>
      </x:c>
      <x:c r="D76" t="str">
        <x:v>2023-03-31</x:v>
      </x:c>
      <x:c r="E76" t="str">
        <x:v>first_quarter</x:v>
      </x:c>
      <x:c r="F76" t="str">
        <x:v>current_portion_long_term_debt</x:v>
      </x:c>
      <x:c r="G76" t="n">
        <x:v>3291817780.74</x:v>
      </x:c>
      <x:c r="H76" t="str">
        <x:v>CNY</x:v>
      </x:c>
      <x:c r="I76" t="n">
        <x:v>5</x:v>
      </x:c>
      <x:c r="J76" t="str">
        <x:v>一年内到期的非流动负债</x:v>
      </x:c>
      <x:c r="K76" t="str">
        <x:v>candidate_pending_automated_verification</x:v>
      </x:c>
      <x:c r="L76" t="str">
        <x:v>https://static.cninfo.com.cn/finalpage/2023-05-06/1216759023.PDF</x:v>
      </x:c>
      <x:c r="M76" t="str">
        <x:v>b463bd89cbd12dc7c4a0580c175b651556e3e83f8c8f4008116df3d93ba71a07</x:v>
      </x:c>
      <x:c r="N76" t="str">
        <x:v>41 3,819,424,639.48 
其他应付款 6,316,355,200.53 10,912,406,666.89 
其中：应付利息   
应付股利 5,549,149.67 5,620,664,762.67 
持有待售负债   
一年内到期的非流动负债 3,291,817,780.74 255,342,537.57 
其他流动负债 59,987,802,797.18 57,748,817,603.24 
流动负债合计 221,902,914,306.84 216,371,936,815.59 
非流动负债：   
长期借款 48,947,930,269.24 30,784,241,211.21 
应付债券   
其中：优先股   
永续债</x:v>
      </x:c>
    </x:row>
    <x:row r="77">
      <x:c r="A77" t="str">
        <x:v>cc19fd1b-79df-4141-becb-771d9d114af1</x:v>
      </x:c>
      <x:c r="B77" t="str">
        <x:v>000651</x:v>
      </x:c>
      <x:c r="C77" t="str">
        <x:v>格力电器</x:v>
      </x:c>
      <x:c r="D77" t="str">
        <x:v>2023-03-31</x:v>
      </x:c>
      <x:c r="E77" t="str">
        <x:v>first_quarter</x:v>
      </x:c>
      <x:c r="F77" t="str">
        <x:v>short_term_borrowings</x:v>
      </x:c>
      <x:c r="G77" t="n">
        <x:v>54059888808.74</x:v>
      </x:c>
      <x:c r="H77" t="str">
        <x:v>CNY</x:v>
      </x:c>
      <x:c r="I77" t="n">
        <x:v>5</x:v>
      </x:c>
      <x:c r="J77" t="str">
        <x:v>短期借款</x:v>
      </x:c>
      <x:c r="K77" t="str">
        <x:v>candidate_pending_automated_verification</x:v>
      </x:c>
      <x:c r="L77" t="str">
        <x:v>https://static.cninfo.com.cn/finalpage/2023-05-06/1216759023.PDF</x:v>
      </x:c>
      <x:c r="M77" t="str">
        <x:v>b463bd89cbd12dc7c4a0580c175b651556e3e83f8c8f4008116df3d93ba71a07</x:v>
      </x:c>
      <x:c r="N77" t="str">
        <x:v>33 1,039,712,699.26 
非流动资产合计 107,229,032,826.77 99,884,719,906.36 
资产总计 384,610,524,157.54 355,024,758,878.82 
流动负债：   
短期借款 54,059,888,808.74 52,895,851,287.92 
向中央银行借款   
拆入资金   
交易性金融负债   
衍生金融负债 94,954,906.04 184,811,894.98 
应付票据 31,484,764,479.66 38,609,900,819.74 
应付账款 35,496,412,331.99 32,856,071,488.87 
预收款项   
合</x:v>
      </x:c>
    </x:row>
    <x:row r="78">
      <x:c r="A78" t="str">
        <x:v>1db07a12-d386-46bd-9dc9-2f890923efb3</x:v>
      </x:c>
      <x:c r="B78" t="str">
        <x:v>000651</x:v>
      </x:c>
      <x:c r="C78" t="str">
        <x:v>格力电器</x:v>
      </x:c>
      <x:c r="D78" t="str">
        <x:v>2023-03-31</x:v>
      </x:c>
      <x:c r="E78" t="str">
        <x:v>first_quarter</x:v>
      </x:c>
      <x:c r="F78" t="str">
        <x:v>cash</x:v>
      </x:c>
      <x:c r="G78" t="n">
        <x:v>186305661744.74</x:v>
      </x:c>
      <x:c r="H78" t="str">
        <x:v>CNY</x:v>
      </x:c>
      <x:c r="I78" t="n">
        <x:v>4</x:v>
      </x:c>
      <x:c r="J78" t="str">
        <x:v>货币资金</x:v>
      </x:c>
      <x:c r="K78" t="str">
        <x:v>candidate_pending_automated_verification</x:v>
      </x:c>
      <x:c r="L78" t="str">
        <x:v>https://static.cninfo.com.cn/finalpage/2023-05-06/1216759023.PDF</x:v>
      </x:c>
      <x:c r="M78" t="str">
        <x:v>b463bd89cbd12dc7c4a0580c175b651556e3e83f8c8f4008116df3d93ba71a07</x:v>
      </x:c>
      <x:c r="N78" t="str">
        <x:v>三、其他重要事项 
□适用 不适用 
四、季度财务报表 
（一） 财务报表 
1、合并资产负债表 
编制单位：珠海格力电器股份有限公司 
2023 年 03 月 31 日 
单位：人民币元 
项目 期末余额 年初余额 
流动资产：   
货币资金 186,305,661,744.74 157,484,332,251.39 
拆出资金   
交易性金融资产 1,238,999,479.72 3,867,203,363.52 
衍生金融资产 1,446,785.31  
应收票据 13,259,944.05 6,818,428.95 
应收账款 17,367,184,068.95 14,824,742,623.45 
应收款项融资 21,2</x:v>
      </x:c>
    </x:row>
    <x:row r="79">
      <x:c r="A79" t="str">
        <x:v>779033f7-fd29-470e-bdc8-b21cf1e08cfd</x:v>
      </x:c>
      <x:c r="B79" t="str">
        <x:v>000651</x:v>
      </x:c>
      <x:c r="C79" t="str">
        <x:v>格力电器</x:v>
      </x:c>
      <x:c r="D79" t="str">
        <x:v>2025-12-31</x:v>
      </x:c>
      <x:c r="E79" t="str">
        <x:v>annual</x:v>
      </x:c>
      <x:c r="F79" t="str">
        <x:v>roe</x:v>
      </x:c>
      <x:c r="G79" t="n">
        <x:v>20.3</x:v>
      </x:c>
      <x:c r="H79" t="str">
        <x:v>percent</x:v>
      </x:c>
      <x:c r="I79" t="n">
        <x:v>7</x:v>
      </x:c>
      <x:c r="J79" t="str">
        <x:v>加权平均净资产收益率</x:v>
      </x:c>
      <x:c r="K79" t="str">
        <x:v>candidate_pending_automated_verification</x:v>
      </x:c>
      <x:c r="L79" t="str">
        <x:v>https://static.cninfo.com.cn/finalpage/2026-04-29/1225250396.PDF</x:v>
      </x:c>
      <x:c r="M79" t="str">
        <x:v>7cc972f2d199e2ec3797cc5da479e8268afa59b77875770de3bcd3648242fb8c</x:v>
      </x:c>
      <x:c r="N79" t="str">
        <x:v>754.02 29,369,250,570.66 57.93% 56,398,426,354.17
基本每股收益（元/股） 5.20 5.83 -10.81% 5.22
稀释每股收益（元/股） 5.20 5.83 -10.81% 5.22
加权平均净资产收益率 20.30% 25.42% 下降 5.12
个百分点 26.53%
项目 2025年末 2024年末 本年末比上
年末增减 2023年末
总资产（元） 391,371,999,819.49 368,031,704,522.86 6.34% 368,053,902,576.37
归属于上市公司股东的净资产
（元） 145,929,297,804.02 137,416,8</x:v>
      </x:c>
    </x:row>
    <x:row r="80">
      <x:c r="A80" t="str">
        <x:v>10d581f8-ab42-4b9c-bb23-1709fdb54412</x:v>
      </x:c>
      <x:c r="B80" t="str">
        <x:v>000651</x:v>
      </x:c>
      <x:c r="C80" t="str">
        <x:v>格力电器</x:v>
      </x:c>
      <x:c r="D80" t="str">
        <x:v>2025-12-31</x:v>
      </x:c>
      <x:c r="E80" t="str">
        <x:v>annual</x:v>
      </x:c>
      <x:c r="F80" t="str">
        <x:v>long_term_borrowings</x:v>
      </x:c>
      <x:c r="G80" t="n">
        <x:v>3134980571.73</x:v>
      </x:c>
      <x:c r="H80" t="str">
        <x:v>CNY</x:v>
      </x:c>
      <x:c r="I80" t="n">
        <x:v>196</x:v>
      </x:c>
      <x:c r="J80" t="str">
        <x:v>长期借款</x:v>
      </x:c>
      <x:c r="K80" t="str">
        <x:v>candidate_pending_automated_verification</x:v>
      </x:c>
      <x:c r="L80" t="str">
        <x:v>https://static.cninfo.com.cn/finalpage/2026-04-29/1225250396.PDF</x:v>
      </x:c>
      <x:c r="M80" t="str">
        <x:v>7cc972f2d199e2ec3797cc5da479e8268afa59b77875770de3bcd3648242fb8c</x:v>
      </x:c>
      <x:c r="N80" t="str">
        <x:v>0.65%-4.54%
吸收存款及同业存放 208,923,102.80 0.25%-3.30%
其他应付款 1,547,471,401.00 4.35%
一年内到期的非流动负债 13,581,032,284.79 2.00%-4.85%
长期借款 3,134,980,571.73 2.45%-4.39%
合计 86,429,036,898.83
十、公允价值的披露
1、 以公允价值计量的资产和负债的期末公允价值
项目
期末公允价值
第一层次公允价值
计量
第二层次公允价值
计量
第三层次公允价
值计量 合计
持续的公允价值计量
交易性金融资产 22,931,952,811.55 8,404,495,291.51 31,336,448</x:v>
      </x:c>
    </x:row>
    <x:row r="81">
      <x:c r="A81" t="str">
        <x:v>b685ee6c-d6cf-4360-b359-11ac75e18ac7</x:v>
      </x:c>
      <x:c r="B81" t="str">
        <x:v>000651</x:v>
      </x:c>
      <x:c r="C81" t="str">
        <x:v>格力电器</x:v>
      </x:c>
      <x:c r="D81" t="str">
        <x:v>2025-12-31</x:v>
      </x:c>
      <x:c r="E81" t="str">
        <x:v>annual</x:v>
      </x:c>
      <x:c r="F81" t="str">
        <x:v>current_portion_long_term_debt</x:v>
      </x:c>
      <x:c r="G81" t="n">
        <x:v>13581032284.79</x:v>
      </x:c>
      <x:c r="H81" t="str">
        <x:v>CNY</x:v>
      </x:c>
      <x:c r="I81" t="n">
        <x:v>196</x:v>
      </x:c>
      <x:c r="J81" t="str">
        <x:v>一年内到期的非流动负债</x:v>
      </x:c>
      <x:c r="K81" t="str">
        <x:v>candidate_pending_automated_verification</x:v>
      </x:c>
      <x:c r="L81" t="str">
        <x:v>https://static.cninfo.com.cn/finalpage/2026-04-29/1225250396.PDF</x:v>
      </x:c>
      <x:c r="M81" t="str">
        <x:v>7cc972f2d199e2ec3797cc5da479e8268afa59b77875770de3bcd3648242fb8c</x:v>
      </x:c>
      <x:c r="N81" t="str">
        <x:v>情况如下：
报表项目 金额 利率区间
短期借款 67,956,629,538.51 0.65%-4.54%
吸收存款及同业存放 208,923,102.80 0.25%-3.30%
其他应付款 1,547,471,401.00 4.35%
一年内到期的非流动负债 13,581,032,284.79 2.00%-4.85%
长期借款 3,134,980,571.73 2.45%-4.39%
合计 86,429,036,898.83
十、公允价值的披露
1、 以公允价值计量的资产和负债的期末公允价值
项目
期末公允价值
第一层次公允价值
计量
第二层次公允价值
计量
第三层次公允价
值计量 合计
持续的公允价值计量
交易性金融资产 22,931,952,</x:v>
      </x:c>
    </x:row>
    <x:row r="82">
      <x:c r="A82" t="str">
        <x:v>b39316c0-2637-4555-aeb9-f2d554bb751e</x:v>
      </x:c>
      <x:c r="B82" t="str">
        <x:v>000651</x:v>
      </x:c>
      <x:c r="C82" t="str">
        <x:v>格力电器</x:v>
      </x:c>
      <x:c r="D82" t="str">
        <x:v>2025-12-31</x:v>
      </x:c>
      <x:c r="E82" t="str">
        <x:v>annual</x:v>
      </x:c>
      <x:c r="F82" t="str">
        <x:v>short_term_borrowings</x:v>
      </x:c>
      <x:c r="G82" t="n">
        <x:v>67956629538.51</x:v>
      </x:c>
      <x:c r="H82" t="str">
        <x:v>CNY</x:v>
      </x:c>
      <x:c r="I82" t="n">
        <x:v>196</x:v>
      </x:c>
      <x:c r="J82" t="str">
        <x:v>短期借款</x:v>
      </x:c>
      <x:c r="K82" t="str">
        <x:v>candidate_pending_automated_verification</x:v>
      </x:c>
      <x:c r="L82" t="str">
        <x:v>https://static.cninfo.com.cn/finalpage/2026-04-29/1225250396.PDF</x:v>
      </x:c>
      <x:c r="M82" t="str">
        <x:v>7cc972f2d199e2ec3797cc5da479e8268afa59b77875770de3bcd3648242fb8c</x:v>
      </x:c>
      <x:c r="N82" t="str">
        <x:v>制外币资产及负债的规模等方式最大程度
降低外汇风险。
3) 利率风险
利率风险，是指金融工具的公允价值或未来现金流量因市场利率变动而发生波动的风险。
截至 2025 年 12 月 31 日，公司有息负债情况如下：
报表项目 金额 利率区间
短期借款 67,956,629,538.51 0.65%-4.54%
吸收存款及同业存放 208,923,102.80 0.25%-3.30%
其他应付款 1,547,471,401.00 4.35%
一年内到期的非流动负债 13,581,032,284.79 2.00%-4.85%
长期借款 3,134,980,571.73 2.45%-4.39%
合计 86,429,036,898.83
十、公允</x:v>
      </x:c>
    </x:row>
    <x:row r="83">
      <x:c r="A83" t="str">
        <x:v>beac6340-08bb-4077-b79d-d435832bd879</x:v>
      </x:c>
      <x:c r="B83" t="str">
        <x:v>000651</x:v>
      </x:c>
      <x:c r="C83" t="str">
        <x:v>格力电器</x:v>
      </x:c>
      <x:c r="D83" t="str">
        <x:v>2025-12-31</x:v>
      </x:c>
      <x:c r="E83" t="str">
        <x:v>annual</x:v>
      </x:c>
      <x:c r="F83" t="str">
        <x:v>long_term_borrowings</x:v>
      </x:c>
      <x:c r="G83" t="n">
        <x:v>18229817922.13</x:v>
      </x:c>
      <x:c r="H83" t="str">
        <x:v>CNY</x:v>
      </x:c>
      <x:c r="I83" t="n">
        <x:v>194</x:v>
      </x:c>
      <x:c r="J83" t="str">
        <x:v>长期借款</x:v>
      </x:c>
      <x:c r="K83" t="str">
        <x:v>candidate_pending_automated_verification</x:v>
      </x:c>
      <x:c r="L83" t="str">
        <x:v>https://static.cninfo.com.cn/finalpage/2026-04-29/1225250396.PDF</x:v>
      </x:c>
      <x:c r="M83" t="str">
        <x:v>7cc972f2d199e2ec3797cc5da479e8268afa59b77875770de3bcd3648242fb8c</x:v>
      </x:c>
      <x:c r="N83" t="str">
        <x:v>,911,705.22 4,556,911,705.22
一年内到期的非流动负债 15,577,179,285.89 15,577,179,285.89
其他流动金融负债 9,817,844,355.19 9,817,844,355.19
长期借款 18,229,817,922.13 18,229,817,922.13
租赁负债 711,291,189.69 711,291,189.69
长期应付款 7,912,428.09 7,912,428.09</x:v>
      </x:c>
    </x:row>
    <x:row r="84">
      <x:c r="A84" t="str">
        <x:v>3a98a9a1-4892-4fa3-9faa-bad264001a86</x:v>
      </x:c>
      <x:c r="B84" t="str">
        <x:v>000651</x:v>
      </x:c>
      <x:c r="C84" t="str">
        <x:v>格力电器</x:v>
      </x:c>
      <x:c r="D84" t="str">
        <x:v>2025-12-31</x:v>
      </x:c>
      <x:c r="E84" t="str">
        <x:v>annual</x:v>
      </x:c>
      <x:c r="F84" t="str">
        <x:v>current_portion_long_term_debt</x:v>
      </x:c>
      <x:c r="G84" t="n">
        <x:v>15577179285.89</x:v>
      </x:c>
      <x:c r="H84" t="str">
        <x:v>CNY</x:v>
      </x:c>
      <x:c r="I84" t="n">
        <x:v>194</x:v>
      </x:c>
      <x:c r="J84" t="str">
        <x:v>一年内到期的非流动负债</x:v>
      </x:c>
      <x:c r="K84" t="str">
        <x:v>candidate_pending_automated_verification</x:v>
      </x:c>
      <x:c r="L84" t="str">
        <x:v>https://static.cninfo.com.cn/finalpage/2026-04-29/1225250396.PDF</x:v>
      </x:c>
      <x:c r="M84" t="str">
        <x:v>7cc972f2d199e2ec3797cc5da479e8268afa59b77875770de3bcd3648242fb8c</x:v>
      </x:c>
      <x:c r="N84" t="str">
        <x:v>付账款 47,091,320,744.05 47,091,320,744.05
吸收存款及同业存放 307,788,319.03 307,788,319.03
其他应付款 4,556,911,705.22 4,556,911,705.22
一年内到期的非流动负债 15,577,179,285.89 15,577,179,285.89
其他流动金融负债 9,817,844,355.19 9,817,844,355.19
长期借款 18,229,817,922.13 18,229,817,922.13
租赁负债 711,291,189.69 711,291,189.69
长期应付款 7,912,428.09 7,912,428.09</x:v>
      </x:c>
    </x:row>
    <x:row r="85">
      <x:c r="A85" t="str">
        <x:v>ed518839-1a38-4c4b-995a-ff58979fe05d</x:v>
      </x:c>
      <x:c r="B85" t="str">
        <x:v>000651</x:v>
      </x:c>
      <x:c r="C85" t="str">
        <x:v>格力电器</x:v>
      </x:c>
      <x:c r="D85" t="str">
        <x:v>2025-12-31</x:v>
      </x:c>
      <x:c r="E85" t="str">
        <x:v>annual</x:v>
      </x:c>
      <x:c r="F85" t="str">
        <x:v>short_term_borrowings</x:v>
      </x:c>
      <x:c r="G85" t="n">
        <x:v>4771671319.6</x:v>
      </x:c>
      <x:c r="H85" t="str">
        <x:v>CNY</x:v>
      </x:c>
      <x:c r="I85" t="n">
        <x:v>181</x:v>
      </x:c>
      <x:c r="J85" t="str">
        <x:v>短期借款</x:v>
      </x:c>
      <x:c r="K85" t="str">
        <x:v>candidate_pending_automated_verification</x:v>
      </x:c>
      <x:c r="L85" t="str">
        <x:v>https://static.cninfo.com.cn/finalpage/2026-04-29/1225250396.PDF</x:v>
      </x:c>
      <x:c r="M85" t="str">
        <x:v>7cc972f2d199e2ec3797cc5da479e8268afa59b77875770de3bcd3648242fb8c</x:v>
      </x:c>
      <x:c r="N85" t="str">
        <x:v>.31 281,804.56 344,681.53 642,796.18 2,213,300.94 5,848,555.34 15,121,379.86
其他非流动资产 496,967.72 695,012.38 1,191,980.10
短期借款 4,771,671,319.60 4,771,671,319.60
应付账款 198,242,593.65 8,408,218.60 10,427,677.03 102,306,040.23 51,005,926.35 12,297,283.46 382,687,739.32
其他应付款 193,557,141.45 2,840,072.77 14,822,706.02 2,978,481</x:v>
      </x:c>
    </x:row>
    <x:row r="86">
      <x:c r="A86" t="str">
        <x:v>3a40ba38-8274-46cd-a0ca-318d274e84c4</x:v>
      </x:c>
      <x:c r="B86" t="str">
        <x:v>000651</x:v>
      </x:c>
      <x:c r="C86" t="str">
        <x:v>格力电器</x:v>
      </x:c>
      <x:c r="D86" t="str">
        <x:v>2025-12-31</x:v>
      </x:c>
      <x:c r="E86" t="str">
        <x:v>annual</x:v>
      </x:c>
      <x:c r="F86" t="str">
        <x:v>short_term_borrowings</x:v>
      </x:c>
      <x:c r="G86" t="n">
        <x:v>39009527273.22</x:v>
      </x:c>
      <x:c r="H86" t="str">
        <x:v>CNY</x:v>
      </x:c>
      <x:c r="I86" t="n">
        <x:v>194</x:v>
      </x:c>
      <x:c r="J86" t="str">
        <x:v>短期借款</x:v>
      </x:c>
      <x:c r="K86" t="str">
        <x:v>candidate_pending_automated_verification</x:v>
      </x:c>
      <x:c r="L86" t="str">
        <x:v>https://static.cninfo.com.cn/finalpage/2026-04-29/1225250396.PDF</x:v>
      </x:c>
      <x:c r="M86" t="str">
        <x:v>7cc972f2d199e2ec3797cc5da479e8268afa59b77875770de3bcd3648242fb8c</x:v>
      </x:c>
      <x:c r="N86" t="str">
        <x:v>3.73 36,569,376,286.23 16,575,615,592.49 260,272,566,642.45
（续表）
项目
金融负债的分类
以公允价值计量且其变动
计入当期损益的金融负债 其他金融负债 合计
1、以摊余成本计量
短期借款 39,009,527,273.22 39,009,527,273.22
应付票据 14,479,000,765.12 14,479,000,765.12
应付账款 47,091,320,744.05 47,091,320,744.05
吸收存款及同业存放 307,788,319.03 307,788,319.03
其他应付款 4,556,911,705.22 4,556,911,705.22</x:v>
      </x:c>
    </x:row>
    <x:row r="87">
      <x:c r="A87" t="str">
        <x:v>f4e931c6-b59a-497e-8951-89aa9c64a8d7</x:v>
      </x:c>
      <x:c r="B87" t="str">
        <x:v>000651</x:v>
      </x:c>
      <x:c r="C87" t="str">
        <x:v>格力电器</x:v>
      </x:c>
      <x:c r="D87" t="str">
        <x:v>2025-12-31</x:v>
      </x:c>
      <x:c r="E87" t="str">
        <x:v>annual</x:v>
      </x:c>
      <x:c r="F87" t="str">
        <x:v>long_term_borrowings</x:v>
      </x:c>
      <x:c r="G87" t="n">
        <x:v>3134980571.73</x:v>
      </x:c>
      <x:c r="H87" t="str">
        <x:v>CNY</x:v>
      </x:c>
      <x:c r="I87" t="n">
        <x:v>193</x:v>
      </x:c>
      <x:c r="J87" t="str">
        <x:v>长期借款</x:v>
      </x:c>
      <x:c r="K87" t="str">
        <x:v>candidate_pending_automated_verification</x:v>
      </x:c>
      <x:c r="L87" t="str">
        <x:v>https://static.cninfo.com.cn/finalpage/2026-04-29/1225250396.PDF</x:v>
      </x:c>
      <x:c r="M87" t="str">
        <x:v>7cc972f2d199e2ec3797cc5da479e8268afa59b77875770de3bcd3648242fb8c</x:v>
      </x:c>
      <x:c r="N87" t="str">
        <x:v>989,639.29 11,240,989,639.29
一年内到期的非流动负债 13,668,113,331.54 13,668,113,331.54
其他流动金融负债 9,829,552,679.74 9,829,552,679.74
长期借款 3,134,980,571.73 3,134,980,571.73
租赁负债 652,797,306.31 652,797,306.31
小计 164,340,275,625.85 164,340,275,625.85
2、以公允价值计量
衍生金融负债 65,094,952.36 65,094,952.36
小计 65,094,952.36 65,094,952.36
合计 65,094,</x:v>
      </x:c>
    </x:row>
    <x:row r="88">
      <x:c r="A88" t="str">
        <x:v>bae0fbfc-bff1-4d45-b021-931a0f591a17</x:v>
      </x:c>
      <x:c r="B88" t="str">
        <x:v>000651</x:v>
      </x:c>
      <x:c r="C88" t="str">
        <x:v>格力电器</x:v>
      </x:c>
      <x:c r="D88" t="str">
        <x:v>2025-12-31</x:v>
      </x:c>
      <x:c r="E88" t="str">
        <x:v>annual</x:v>
      </x:c>
      <x:c r="F88" t="str">
        <x:v>current_portion_long_term_debt</x:v>
      </x:c>
      <x:c r="G88" t="n">
        <x:v>13668113331.54</x:v>
      </x:c>
      <x:c r="H88" t="str">
        <x:v>CNY</x:v>
      </x:c>
      <x:c r="I88" t="n">
        <x:v>193</x:v>
      </x:c>
      <x:c r="J88" t="str">
        <x:v>一年内到期的非流动负债</x:v>
      </x:c>
      <x:c r="K88" t="str">
        <x:v>candidate_pending_automated_verification</x:v>
      </x:c>
      <x:c r="L88" t="str">
        <x:v>https://static.cninfo.com.cn/finalpage/2026-04-29/1225250396.PDF</x:v>
      </x:c>
      <x:c r="M88" t="str">
        <x:v>7cc972f2d199e2ec3797cc5da479e8268afa59b77875770de3bcd3648242fb8c</x:v>
      </x:c>
      <x:c r="N88" t="str">
        <x:v>款 42,103,940,920.24 42,103,940,920.24
吸收存款及同业存放 208,923,102.80 208,923,102.80
其他应付款 11,240,989,639.29 11,240,989,639.29
一年内到期的非流动负债 13,668,113,331.54 13,668,113,331.54
其他流动金融负债 9,829,552,679.74 9,829,552,679.74
长期借款 3,134,980,571.73 3,134,980,571.73
租赁负债 652,797,306.31 652,797,306.31
小计 164,340,275,625.85 164,340,275,625.85
2、以</x:v>
      </x:c>
    </x:row>
    <x:row r="89">
      <x:c r="A89" t="str">
        <x:v>ab84ff67-5ce4-4945-9c93-e31e68808ddc</x:v>
      </x:c>
      <x:c r="B89" t="str">
        <x:v>000651</x:v>
      </x:c>
      <x:c r="C89" t="str">
        <x:v>格力电器</x:v>
      </x:c>
      <x:c r="D89" t="str">
        <x:v>2025-12-31</x:v>
      </x:c>
      <x:c r="E89" t="str">
        <x:v>annual</x:v>
      </x:c>
      <x:c r="F89" t="str">
        <x:v>short_term_borrowings</x:v>
      </x:c>
      <x:c r="G89" t="n">
        <x:v>67956629538.51</x:v>
      </x:c>
      <x:c r="H89" t="str">
        <x:v>CNY</x:v>
      </x:c>
      <x:c r="I89" t="n">
        <x:v>193</x:v>
      </x:c>
      <x:c r="J89" t="str">
        <x:v>短期借款</x:v>
      </x:c>
      <x:c r="K89" t="str">
        <x:v>candidate_pending_automated_verification</x:v>
      </x:c>
      <x:c r="L89" t="str">
        <x:v>https://static.cninfo.com.cn/finalpage/2026-04-29/1225250396.PDF</x:v>
      </x:c>
      <x:c r="M89" t="str">
        <x:v>7cc972f2d199e2ec3797cc5da479e8268afa59b77875770de3bcd3648242fb8c</x:v>
      </x:c>
      <x:c r="N89" t="str">
        <x:v>50.40 39,227,549,849.65 31,485,372,397.37 287,538,334,597.42
（续表）
项目
金融负债的分类
以公允价值计量且其变动
计入当期损益金融负债 其他金融负债 合计
1、以摊余成本计量
短期借款 67,956,629,538.51 67,956,629,538.51
应付票据 15,544,348,535.69 15,544,348,535.69
应付账款 42,103,940,920.24 42,103,940,920.24
吸收存款及同业存放 208,923,102.80 208,923,102.80
其他应付款 11,240,989,639.29 11,240,989,639.</x:v>
      </x:c>
    </x:row>
    <x:row r="90">
      <x:c r="A90" t="str">
        <x:v>e273b0f6-57b4-489d-aced-938c81e8ab41</x:v>
      </x:c>
      <x:c r="B90" t="str">
        <x:v>000651</x:v>
      </x:c>
      <x:c r="C90" t="str">
        <x:v>格力电器</x:v>
      </x:c>
      <x:c r="D90" t="str">
        <x:v>2025-12-31</x:v>
      </x:c>
      <x:c r="E90" t="str">
        <x:v>annual</x:v>
      </x:c>
      <x:c r="F90" t="str">
        <x:v>cash</x:v>
      </x:c>
      <x:c r="G90" t="n">
        <x:v>113900461797.94</x:v>
      </x:c>
      <x:c r="H90" t="str">
        <x:v>CNY</x:v>
      </x:c>
      <x:c r="I90" t="n">
        <x:v>193</x:v>
      </x:c>
      <x:c r="J90" t="str">
        <x:v>货币资金</x:v>
      </x:c>
      <x:c r="K90" t="str">
        <x:v>candidate_pending_automated_verification</x:v>
      </x:c>
      <x:c r="L90" t="str">
        <x:v>https://static.cninfo.com.cn/finalpage/2026-04-29/1225250396.PDF</x:v>
      </x:c>
      <x:c r="M90" t="str">
        <x:v>7cc972f2d199e2ec3797cc5da479e8268afa59b77875770de3bcd3648242fb8c</x:v>
      </x:c>
      <x:c r="N90" t="str">
        <x:v>85 164,405,370,578.21
2) 期初余额
项目
金融资产的分类
以摊余成本计量的
金融资产
以公允价值计量且
其变动计入其他综
合收益的金融资产
以公允价值计量且
其变动计入当期损
益的金融资产
合计
1、以摊余成本计量
货币资金 113,900,461,797.94 113,900,461,797.94
应收账款 16,831,887,388.06 16,831,887,388.06
其他应收款 869,731,224.40 869,731,224.40</x:v>
      </x:c>
    </x:row>
    <x:row r="91">
      <x:c r="A91" t="str">
        <x:v>127055e4-5892-45c6-bb33-eff72892611d</x:v>
      </x:c>
      <x:c r="B91" t="str">
        <x:v>000651</x:v>
      </x:c>
      <x:c r="C91" t="str">
        <x:v>格力电器</x:v>
      </x:c>
      <x:c r="D91" t="str">
        <x:v>2025-12-31</x:v>
      </x:c>
      <x:c r="E91" t="str">
        <x:v>annual</x:v>
      </x:c>
      <x:c r="F91" t="str">
        <x:v>cash</x:v>
      </x:c>
      <x:c r="G91" t="n">
        <x:v>110553006650.89</x:v>
      </x:c>
      <x:c r="H91" t="str">
        <x:v>CNY</x:v>
      </x:c>
      <x:c r="I91" t="n">
        <x:v>192</x:v>
      </x:c>
      <x:c r="J91" t="str">
        <x:v>货币资金</x:v>
      </x:c>
      <x:c r="K91" t="str">
        <x:v>candidate_pending_automated_verification</x:v>
      </x:c>
      <x:c r="L91" t="str">
        <x:v>https://static.cninfo.com.cn/finalpage/2026-04-29/1225250396.PDF</x:v>
      </x:c>
      <x:c r="M91" t="str">
        <x:v>7cc972f2d199e2ec3797cc5da479e8268afa59b77875770de3bcd3648242fb8c</x:v>
      </x:c>
      <x:c r="N91" t="str">
        <x:v>产负债表日各类金融工具的账面价值如下：
1) 期末余额
项目
金融资产的分类
以摊余成本计量的
金融资产
以公允价值计量
且其变动计入其
他综合收益的金
融资产
以公允价值计量
且其变动计入当
期损益的金融资
产
合计
1、以摊余成本计量
货币资金 110,553,006,650.89 110,553,006,650.89
应收票据 883,500.00 883,500.00
应收账款 15,987,180,598.76 15,987,180,598.76
其他应收款 327,529,462.48 327,529,462.48
买入返售金融资产 4,800,560,684.94 4,800,560,684.94
一年内到期的非流动资产 2</x:v>
      </x:c>
    </x:row>
    <x:row r="92">
      <x:c r="A92" t="str">
        <x:v>4d2907b3-3a90-4485-bd91-32da5bfbefef</x:v>
      </x:c>
      <x:c r="B92" t="str">
        <x:v>000651</x:v>
      </x:c>
      <x:c r="C92" t="str">
        <x:v>格力电器</x:v>
      </x:c>
      <x:c r="D92" t="str">
        <x:v>2025-12-31</x:v>
      </x:c>
      <x:c r="E92" t="str">
        <x:v>annual</x:v>
      </x:c>
      <x:c r="F92" t="str">
        <x:v>cash</x:v>
      </x:c>
      <x:c r="G92" t="n">
        <x:v>2492540614.18</x:v>
      </x:c>
      <x:c r="H92" t="str">
        <x:v>CNY</x:v>
      </x:c>
      <x:c r="I92" t="n">
        <x:v>181</x:v>
      </x:c>
      <x:c r="J92" t="str">
        <x:v>货币资金</x:v>
      </x:c>
      <x:c r="K92" t="str">
        <x:v>candidate_pending_automated_verification</x:v>
      </x:c>
      <x:c r="L92" t="str">
        <x:v>https://static.cninfo.com.cn/finalpage/2026-04-29/1225250396.PDF</x:v>
      </x:c>
      <x:c r="M92" t="str">
        <x:v>7cc972f2d199e2ec3797cc5da479e8268afa59b77875770de3bcd3648242fb8c</x:v>
      </x:c>
      <x:c r="N92" t="str">
        <x:v>）外币货币性项目
项目 美元折合人民币 港币折合人民币 欧元折合人民币 雷亚尔折合人民币 泰铢折合人民币 其他 总计折合人民币
2025-12-31汇率 7.0288 0.9032 8.2355 1.2776 0.2225 不适用 不适用
货币资金 2,492,540,614.18 4,173,213,352.09 2,712,067,757.55 506,917,291.88 65,720,476.57 31,561,730.85 9,982,021,223.12
应收账款 3,397,144,955.19 37,231,918.34 41,152,491.83 1,120,471,365.47 141,421,660.08 20,</x:v>
      </x:c>
    </x:row>
    <x:row r="93">
      <x:c r="A93" t="str">
        <x:v>319679f3-8c65-48fd-9d09-72e9a7689337</x:v>
      </x:c>
      <x:c r="B93" t="str">
        <x:v>000651</x:v>
      </x:c>
      <x:c r="C93" t="str">
        <x:v>格力电器</x:v>
      </x:c>
      <x:c r="D93" t="str">
        <x:v>2025-12-31</x:v>
      </x:c>
      <x:c r="E93" t="str">
        <x:v>annual</x:v>
      </x:c>
      <x:c r="F93" t="str">
        <x:v>cash</x:v>
      </x:c>
      <x:c r="G93" t="n">
        <x:v>110553006650.89</x:v>
      </x:c>
      <x:c r="H93" t="str">
        <x:v>CNY</x:v>
      </x:c>
      <x:c r="I93" t="n">
        <x:v>180</x:v>
      </x:c>
      <x:c r="J93" t="str">
        <x:v>货币资金</x:v>
      </x:c>
      <x:c r="K93" t="str">
        <x:v>candidate_pending_automated_verification</x:v>
      </x:c>
      <x:c r="L93" t="str">
        <x:v>https://static.cninfo.com.cn/finalpage/2026-04-29/1225250396.PDF</x:v>
      </x:c>
      <x:c r="M93" t="str">
        <x:v>7cc972f2d199e2ec3797cc5da479e8268afa59b77875770de3bcd3648242fb8c</x:v>
      </x:c>
      <x:c r="N93" t="str">
        <x:v>24.70 元，本期以权益结算的股份支付确认的费用 1,459,701,844.80 元。
（2）本期支付的取得子公司的现金净额
无。
（3）本年收到的处置子公司的现金净额
无。
（4）现金和现金等价物的构成
项目 期末余额 期初余额
一、货币资金 110,553,006,650.89 113,900,461,797.94
其中：库存现金 317,120.96 493,036.20
可随时用于支付的银行存款 13,916,698,082.57 14,705,329,427.85
可随时用于支付的其他货币
资金 578,571,096.14 802,982,715.77
可随时用于支付的存放中央
银行款项 9,511,698.63 9,33</x:v>
      </x:c>
    </x:row>
    <x:row r="94">
      <x:c r="A94" t="str">
        <x:v>3d9c5645-8798-45ba-bd55-e19fa9ae64a4</x:v>
      </x:c>
      <x:c r="B94" t="str">
        <x:v>000651</x:v>
      </x:c>
      <x:c r="C94" t="str">
        <x:v>格力电器</x:v>
      </x:c>
      <x:c r="D94" t="str">
        <x:v>2025-12-31</x:v>
      </x:c>
      <x:c r="E94" t="str">
        <x:v>annual</x:v>
      </x:c>
      <x:c r="F94" t="str">
        <x:v>long_term_borrowings</x:v>
      </x:c>
      <x:c r="G94" t="n">
        <x:v>13573121799.56</x:v>
      </x:c>
      <x:c r="H94" t="str">
        <x:v>CNY</x:v>
      </x:c>
      <x:c r="I94" t="n">
        <x:v>167</x:v>
      </x:c>
      <x:c r="J94" t="str">
        <x:v>长期借款</x:v>
      </x:c>
      <x:c r="K94" t="str">
        <x:v>candidate_pending_automated_verification</x:v>
      </x:c>
      <x:c r="L94" t="str">
        <x:v>https://static.cninfo.com.cn/finalpage/2026-04-29/1225250396.PDF</x:v>
      </x:c>
      <x:c r="M94" t="str">
        <x:v>7cc972f2d199e2ec3797cc5da479e8268afa59b77875770de3bcd3648242fb8c</x:v>
      </x:c>
      <x:c r="N94" t="str">
        <x:v>354.24
担保借款 6,000,000.00 8,000,000.00
小计 16,695,468,141.53 33,681,897,851.73
加：应计利息 12,634,229.76 27,179,823.09
减：一年内到期的长期借款 13,573,121,799.56 15,479,259,752.69
合计 3,134,980,571.73 18,229,817,922.13
42、 租赁负债
项目 期末余额 期初余额
租赁负债 739,878,353.06 797,227,498.47
减：一年内到期的租赁负债 87,081,046.75 85,936,308.78
合计 652,797,306.31 711,291</x:v>
      </x:c>
    </x:row>
    <x:row r="95">
      <x:c r="A95" t="str">
        <x:v>fdeec7c5-6695-4ea3-accb-1d2708dffa2e</x:v>
      </x:c>
      <x:c r="B95" t="str">
        <x:v>000651</x:v>
      </x:c>
      <x:c r="C95" t="str">
        <x:v>格力电器</x:v>
      </x:c>
      <x:c r="D95" t="str">
        <x:v>2025-12-31</x:v>
      </x:c>
      <x:c r="E95" t="str">
        <x:v>annual</x:v>
      </x:c>
      <x:c r="F95" t="str">
        <x:v>long_term_borrowings</x:v>
      </x:c>
      <x:c r="G95" t="n">
        <x:v>13573121799.56</x:v>
      </x:c>
      <x:c r="H95" t="str">
        <x:v>CNY</x:v>
      </x:c>
      <x:c r="I95" t="n">
        <x:v>166</x:v>
      </x:c>
      <x:c r="J95" t="str">
        <x:v>长期借款</x:v>
      </x:c>
      <x:c r="K95" t="str">
        <x:v>candidate_pending_automated_verification</x:v>
      </x:c>
      <x:c r="L95" t="str">
        <x:v>https://static.cninfo.com.cn/finalpage/2026-04-29/1225250396.PDF</x:v>
      </x:c>
      <x:c r="M95" t="str">
        <x:v>7cc972f2d199e2ec3797cc5da479e8268afa59b77875770de3bcd3648242fb8c</x:v>
      </x:c>
      <x:c r="N95" t="str">
        <x:v>账龄超过 1 年的重要其他应付款
项目 期末余额 未偿还或结转的原因
单位 1 1,072,646,600.02 未达到偿还条件
合计 1,072,646,600.02
39、 一年内到期的非流动负债
项目 期末余额 期初余额
一年内到期的长期借款 13,573,121,799.56 15,479,259,752.69
一年内到期的长期应付款 7,910,485.23 11,983,224.42
一年内到期的租赁负债 87,081,046.75 85,936,308.78
合计 13,668,113,331.54 15,577,179,285.89
40、 其他流动负债</x:v>
      </x:c>
    </x:row>
    <x:row r="96">
      <x:c r="A96" t="str">
        <x:v>5db0e978-2548-4530-9cbf-6d79ef49471e</x:v>
      </x:c>
      <x:c r="B96" t="str">
        <x:v>000651</x:v>
      </x:c>
      <x:c r="C96" t="str">
        <x:v>格力电器</x:v>
      </x:c>
      <x:c r="D96" t="str">
        <x:v>2025-12-31</x:v>
      </x:c>
      <x:c r="E96" t="str">
        <x:v>annual</x:v>
      </x:c>
      <x:c r="F96" t="str">
        <x:v>cash</x:v>
      </x:c>
      <x:c r="G96" t="n">
        <x:v>36145202061.32</x:v>
      </x:c>
      <x:c r="H96" t="str">
        <x:v>CNY</x:v>
      </x:c>
      <x:c r="I96" t="n">
        <x:v>163</x:v>
      </x:c>
      <x:c r="J96" t="str">
        <x:v>货币资金</x:v>
      </x:c>
      <x:c r="K96" t="str">
        <x:v>candidate_pending_automated_verification</x:v>
      </x:c>
      <x:c r="L96" t="str">
        <x:v>https://static.cninfo.com.cn/finalpage/2026-04-29/1225250396.PDF</x:v>
      </x:c>
      <x:c r="M96" t="str">
        <x:v>7cc972f2d199e2ec3797cc5da479e8268afa59b77875770de3bcd3648242fb8c</x:v>
      </x:c>
      <x:c r="N96" t="str">
        <x:v>押
固定资产 1,515,985,697.50 抵押
无形资产 675,956,994.18 抵押
其他非流动资产 13,300,000,000.00 质押
合计 47,963,399,240.24
（续）
项目
期初
账面价值 受限原因
货币资金 36,145,202,061.32 法定存款准备金及保证金等
应收账款 18,433,952.94 质押
应收款项融资 3,723,514,867.14 质押
合同资产 1,725,716.05 质押
其他流动资产 3,170,000,000.00 质押
一年内到期的非流动资产 8,000,000,000.00 质押
其他债权投资 2,290,000,000.00 质押
长期股权投资 326</x:v>
      </x:c>
    </x:row>
    <x:row r="97">
      <x:c r="A97" t="str">
        <x:v>96e2a76c-a18a-4871-a08a-9a6e3e8ff5d4</x:v>
      </x:c>
      <x:c r="B97" t="str">
        <x:v>000651</x:v>
      </x:c>
      <x:c r="C97" t="str">
        <x:v>格力电器</x:v>
      </x:c>
      <x:c r="D97" t="str">
        <x:v>2025-12-31</x:v>
      </x:c>
      <x:c r="E97" t="str">
        <x:v>annual</x:v>
      </x:c>
      <x:c r="F97" t="str">
        <x:v>cash</x:v>
      </x:c>
      <x:c r="G97" t="n">
        <x:v>10577592111.08</x:v>
      </x:c>
      <x:c r="H97" t="str">
        <x:v>CNY</x:v>
      </x:c>
      <x:c r="I97" t="n">
        <x:v>162</x:v>
      </x:c>
      <x:c r="J97" t="str">
        <x:v>货币资金</x:v>
      </x:c>
      <x:c r="K97" t="str">
        <x:v>candidate_pending_automated_verification</x:v>
      </x:c>
      <x:c r="L97" t="str">
        <x:v>https://static.cninfo.com.cn/finalpage/2026-04-29/1225250396.PDF</x:v>
      </x:c>
      <x:c r="M97" t="str">
        <x:v>7cc972f2d199e2ec3797cc5da479e8268afa59b77875770de3bcd3648242fb8c</x:v>
      </x:c>
      <x:c r="N97" t="str">
        <x:v>.09 129,919,500.81 42,610,141,637.28 56,654,589,138.83 121,612,502.44 56,532,976,636.39
29、 所有权或使用权受限资产
项目
期末
账面价值 受限原因
货币资金 10,577,592,111.08 法定存款准备金及保证金等
应收账款 5,994,524.68 质押
应收款项融资 3,513,771,591.88 质押
合同资产 120,750.00 质押
一年内到期的非流动资产 10,470,000,000.00 质押
其他债权投资 7,900,000,000.00 质押</x:v>
      </x:c>
    </x:row>
    <x:row r="98">
      <x:c r="A98" t="str">
        <x:v>240e6e1b-783f-4cda-9ce0-09ddbc00c1d0</x:v>
      </x:c>
      <x:c r="B98" t="str">
        <x:v>000651</x:v>
      </x:c>
      <x:c r="C98" t="str">
        <x:v>格力电器</x:v>
      </x:c>
      <x:c r="D98" t="str">
        <x:v>2025-12-31</x:v>
      </x:c>
      <x:c r="E98" t="str">
        <x:v>annual</x:v>
      </x:c>
      <x:c r="F98" t="str">
        <x:v>operating_cash_flow</x:v>
      </x:c>
      <x:c r="G98" t="n">
        <x:v>56261170478.02</x:v>
      </x:c>
      <x:c r="H98" t="str">
        <x:v>CNY</x:v>
      </x:c>
      <x:c r="I98" t="n">
        <x:v>95</x:v>
      </x:c>
      <x:c r="J98" t="str">
        <x:v>经营活动产生的现金流量净额</x:v>
      </x:c>
      <x:c r="K98" t="str">
        <x:v>candidate_pending_automated_verification</x:v>
      </x:c>
      <x:c r="L98" t="str">
        <x:v>https://static.cninfo.com.cn/finalpage/2026-04-29/1225250396.PDF</x:v>
      </x:c>
      <x:c r="M98" t="str">
        <x:v>7cc972f2d199e2ec3797cc5da479e8268afa59b77875770de3bcd3648242fb8c</x:v>
      </x:c>
      <x:c r="N98" t="str">
        <x:v>12 11,326,772,472.37
支付其他与经营活动有关的现金 7,084,686,459.05 11,769,241,239.58
经营活动现金流出小计 126,690,891,029.54 136,183,587,418.44
经营活动产生的现金流量净额 56,261,170,478.02 27,865,468,760.48
二、投资活动产生的现金流量：
收回投资收到的现金 27,714,121,565.58 28,134,671,586.46
取得投资收益收到的现金 429,351,565.34 578,587,703.50
处置固定资产、无形资产和其他长期资产收回的现金净额 419,102.55 116,110,338.40
处置子公司及</x:v>
      </x:c>
    </x:row>
    <x:row r="99">
      <x:c r="A99" t="str">
        <x:v>9e98b673-a0ca-40fa-a51d-f7003449764e</x:v>
      </x:c>
      <x:c r="B99" t="str">
        <x:v>000651</x:v>
      </x:c>
      <x:c r="C99" t="str">
        <x:v>格力电器</x:v>
      </x:c>
      <x:c r="D99" t="str">
        <x:v>2025-12-31</x:v>
      </x:c>
      <x:c r="E99" t="str">
        <x:v>annual</x:v>
      </x:c>
      <x:c r="F99" t="str">
        <x:v>operating_cash_flow</x:v>
      </x:c>
      <x:c r="G99" t="n">
        <x:v>46383114754.02</x:v>
      </x:c>
      <x:c r="H99" t="str">
        <x:v>CNY</x:v>
      </x:c>
      <x:c r="I99" t="n">
        <x:v>89</x:v>
      </x:c>
      <x:c r="J99" t="str">
        <x:v>经营活动产生的现金流量净额</x:v>
      </x:c>
      <x:c r="K99" t="str">
        <x:v>candidate_pending_automated_verification</x:v>
      </x:c>
      <x:c r="L99" t="str">
        <x:v>https://static.cninfo.com.cn/finalpage/2026-04-29/1225250396.PDF</x:v>
      </x:c>
      <x:c r="M99" t="str">
        <x:v>7cc972f2d199e2ec3797cc5da479e8268afa59b77875770de3bcd3648242fb8c</x:v>
      </x:c>
      <x:c r="N99" t="str">
        <x:v>6,161,858.63
支付其他与经营活动有关的现金 五、70（1） 9,205,575,087.44 10,924,246,751.62
经营活动现金流出小计 155,531,661,101.93 150,155,050,235.21
经营活动产生的现金流量净额 46,383,114,754.02 29,369,250,570.66
二、投资活动产生的现金流量：
收回投资收到的现金 29,499,539,681.50 28,787,096,787.35
取得投资收益收到的现金 546,108,703.90 618,087,953.81
处置固定资产、无形资产和其他长期资产收回的现金净额 756,542,121.37 183,166,640.30
处置</x:v>
      </x:c>
    </x:row>
    <x:row r="100">
      <x:c r="A100" t="str">
        <x:v>5f1e38d4-4708-4ed9-99ed-f460aec8c668</x:v>
      </x:c>
      <x:c r="B100" t="str">
        <x:v>601186</x:v>
      </x:c>
      <x:c r="C100" t="str">
        <x:v>中国铁建</x:v>
      </x:c>
      <x:c r="D100" t="str">
        <x:v>2026-03-31</x:v>
      </x:c>
      <x:c r="E100" t="str">
        <x:v>first_quarter</x:v>
      </x:c>
      <x:c r="F100" t="str">
        <x:v>revenue</x:v>
      </x:c>
      <x:c r="G100" t="n">
        <x:v>231582129</x:v>
      </x:c>
      <x:c r="H100" t="str">
        <x:v>reported_amount</x:v>
      </x:c>
      <x:c r="I100" t="n">
        <x:v>1</x:v>
      </x:c>
      <x:c r="J100" t="str">
        <x:v>营业收入</x:v>
      </x:c>
      <x:c r="K100" t="str">
        <x:v>candidate_pending_automated_verification</x:v>
      </x:c>
      <x:c r="L100" t="str">
        <x:v>https://static.cninfo.com.cn/finalpage/2026-04-30/1225260708.PDF</x:v>
      </x:c>
      <x:c r="M100" t="str">
        <x:v>69eeb0585b3fd569220e1dfbecbf14c16add7a6c1e9f8a0e3ca01544ae5d5315</x:v>
      </x:c>
      <x:c r="N100" t="str">
        <x:v>会计主管人员）保证季度报告中财务信息
的真实、准确、完整。
第一季度财务报表是否经审计
□是 √否
一、主要财务数据
（一）主要会计数据和财务指标
单位：千元 币种：人民币
项目 本报告期 上年同期 本报告期比上年同期
增减变动幅度(%)
营业收入 231,582,129 256,762,012 -9.81
利润总额 5,958,754 7,429,649 -19.80
归属于上市公司股东的净利润 4,392,391 5,150,787 -14.72
归属于上市公司股东的扣除非
经常性损益的净利润 4,213,557 4,975,412 -15.31
经营活动产生的现金流量净额 -62,576,016 -38,946,530</x:v>
      </x:c>
    </x:row>
    <x:row r="101">
      <x:c r="A101" t="str">
        <x:v>b70955c6-93ab-4e27-ac62-ad3df79a960f</x:v>
      </x:c>
      <x:c r="B101" t="str">
        <x:v>601186</x:v>
      </x:c>
      <x:c r="C101" t="str">
        <x:v>中国铁建</x:v>
      </x:c>
      <x:c r="D101" t="str">
        <x:v>2026-03-31</x:v>
      </x:c>
      <x:c r="E101" t="str">
        <x:v>first_quarter</x:v>
      </x:c>
      <x:c r="F101" t="str">
        <x:v>long_term_borrowings</x:v>
      </x:c>
      <x:c r="G101" t="n">
        <x:v>363881745</x:v>
      </x:c>
      <x:c r="H101" t="str">
        <x:v>CNY</x:v>
      </x:c>
      <x:c r="I101" t="n">
        <x:v>8</x:v>
      </x:c>
      <x:c r="J101" t="str">
        <x:v>长期借款</x:v>
      </x:c>
      <x:c r="K101" t="str">
        <x:v>candidate_pending_automated_verification</x:v>
      </x:c>
      <x:c r="L101" t="str">
        <x:v>https://static.cninfo.com.cn/finalpage/2026-04-30/1225260708.PDF</x:v>
      </x:c>
      <x:c r="M101" t="str">
        <x:v>69eeb0585b3fd569220e1dfbecbf14c16add7a6c1e9f8a0e3ca01544ae5d5315</x:v>
      </x:c>
      <x:c r="N101" t="str">
        <x:v>持有待售负债
一年内到期的非流动负债 82,629,678 87,742,018
其他流动负债 51,072,429 52,932,036
流动负债合计 1,228,276,360 1,211,365,969
非流动负债：
保险合同准备金
长期借款 363,881,745 335,750,413
应付债券 46,859,981 39,335,327</x:v>
      </x:c>
    </x:row>
    <x:row r="102">
      <x:c r="A102" t="str">
        <x:v>74f380d9-d250-4b5b-88d4-4659ed0863a3</x:v>
      </x:c>
      <x:c r="B102" t="str">
        <x:v>601186</x:v>
      </x:c>
      <x:c r="C102" t="str">
        <x:v>中国铁建</x:v>
      </x:c>
      <x:c r="D102" t="str">
        <x:v>2026-03-31</x:v>
      </x:c>
      <x:c r="E102" t="str">
        <x:v>first_quarter</x:v>
      </x:c>
      <x:c r="F102" t="str">
        <x:v>bonds_payable</x:v>
      </x:c>
      <x:c r="G102" t="n">
        <x:v>46859981</x:v>
      </x:c>
      <x:c r="H102" t="str">
        <x:v>CNY</x:v>
      </x:c>
      <x:c r="I102" t="n">
        <x:v>8</x:v>
      </x:c>
      <x:c r="J102" t="str">
        <x:v>应付债券</x:v>
      </x:c>
      <x:c r="K102" t="str">
        <x:v>candidate_pending_automated_verification</x:v>
      </x:c>
      <x:c r="L102" t="str">
        <x:v>https://static.cninfo.com.cn/finalpage/2026-04-30/1225260708.PDF</x:v>
      </x:c>
      <x:c r="M102" t="str">
        <x:v>69eeb0585b3fd569220e1dfbecbf14c16add7a6c1e9f8a0e3ca01544ae5d5315</x:v>
      </x:c>
      <x:c r="N102" t="str">
        <x:v> 87,742,018
其他流动负债 51,072,429 52,932,036
流动负债合计 1,228,276,360 1,211,365,969
非流动负债：
保险合同准备金
长期借款 363,881,745 335,750,413
应付债券 46,859,981 39,335,327</x:v>
      </x:c>
    </x:row>
    <x:row r="103">
      <x:c r="A103" t="str">
        <x:v>eb89caf0-09b6-439b-ab89-79b97f4ffadb</x:v>
      </x:c>
      <x:c r="B103" t="str">
        <x:v>601186</x:v>
      </x:c>
      <x:c r="C103" t="str">
        <x:v>中国铁建</x:v>
      </x:c>
      <x:c r="D103" t="str">
        <x:v>2026-03-31</x:v>
      </x:c>
      <x:c r="E103" t="str">
        <x:v>first_quarter</x:v>
      </x:c>
      <x:c r="F103" t="str">
        <x:v>current_portion_long_term_debt</x:v>
      </x:c>
      <x:c r="G103" t="n">
        <x:v>82629678</x:v>
      </x:c>
      <x:c r="H103" t="str">
        <x:v>CNY</x:v>
      </x:c>
      <x:c r="I103" t="n">
        <x:v>8</x:v>
      </x:c>
      <x:c r="J103" t="str">
        <x:v>一年内到期的非流动负债</x:v>
      </x:c>
      <x:c r="K103" t="str">
        <x:v>candidate_pending_automated_verification</x:v>
      </x:c>
      <x:c r="L103" t="str">
        <x:v>https://static.cninfo.com.cn/finalpage/2026-04-30/1225260708.PDF</x:v>
      </x:c>
      <x:c r="M103" t="str">
        <x:v>69eeb0585b3fd569220e1dfbecbf14c16add7a6c1e9f8a0e3ca01544ae5d5315</x:v>
      </x:c>
      <x:c r="N103" t="str">
        <x:v>779,724 8,131,350
其他应付款 138,584,457 124,655,919
其中：应付利息 223,768 181,358
应付股利 1,770,831 1,334,087
应付手续费及佣金
应付分保账款
持有待售负债
一年内到期的非流动负债 82,629,678 87,742,018
其他流动负债 51,072,429 52,932,036
流动负债合计 1,228,276,360 1,211,365,969
非流动负债：
保险合同准备金
长期借款 363,881,745 335,750,413
应付债券 46,859,981 39,335,327</x:v>
      </x:c>
    </x:row>
    <x:row r="104">
      <x:c r="A104" t="str">
        <x:v>796895e8-474b-48ba-a2ce-b12a54a1e8e8</x:v>
      </x:c>
      <x:c r="B104" t="str">
        <x:v>601186</x:v>
      </x:c>
      <x:c r="C104" t="str">
        <x:v>中国铁建</x:v>
      </x:c>
      <x:c r="D104" t="str">
        <x:v>2026-03-31</x:v>
      </x:c>
      <x:c r="E104" t="str">
        <x:v>first_quarter</x:v>
      </x:c>
      <x:c r="F104" t="str">
        <x:v>short_term_borrowings</x:v>
      </x:c>
      <x:c r="G104" t="n">
        <x:v>205305937</x:v>
      </x:c>
      <x:c r="H104" t="str">
        <x:v>CNY</x:v>
      </x:c>
      <x:c r="I104" t="n">
        <x:v>8</x:v>
      </x:c>
      <x:c r="J104" t="str">
        <x:v>短期借款</x:v>
      </x:c>
      <x:c r="K104" t="str">
        <x:v>candidate_pending_automated_verification</x:v>
      </x:c>
      <x:c r="L104" t="str">
        <x:v>https://static.cninfo.com.cn/finalpage/2026-04-30/1225260708.PDF</x:v>
      </x:c>
      <x:c r="M104" t="str">
        <x:v>69eeb0585b3fd569220e1dfbecbf14c16add7a6c1e9f8a0e3ca01544ae5d5315</x:v>
      </x:c>
      <x:c r="N104" t="str">
        <x:v>9,380 13,628,948
其他非流动资产 189,324,801 196,816,626
非流动资产合计 856,914,013 839,143,427
资产总计 2,142,429,360 2,083,825,209
流动负债：
短期借款 205,305,937 168,869,472
向中央银行借款
拆入资金
交易性金融负债
衍生金融负债
应付票据 32,422,938 37,124,169
应付账款 568,618,716 591,387,684
预收款项 522,944 479,084
合同负债 126,844,163 121,005,490
卖出回购金融资产款
吸收存款及同业存放 1,568,356 1,8</x:v>
      </x:c>
    </x:row>
    <x:row r="105">
      <x:c r="A105" t="str">
        <x:v>5c333a06-769b-4aec-bda7-2d1484f11350</x:v>
      </x:c>
      <x:c r="B105" t="str">
        <x:v>601186</x:v>
      </x:c>
      <x:c r="C105" t="str">
        <x:v>中国铁建</x:v>
      </x:c>
      <x:c r="D105" t="str">
        <x:v>2026-03-31</x:v>
      </x:c>
      <x:c r="E105" t="str">
        <x:v>first_quarter</x:v>
      </x:c>
      <x:c r="F105" t="str">
        <x:v>cash</x:v>
      </x:c>
      <x:c r="G105" t="n">
        <x:v>177754571</x:v>
      </x:c>
      <x:c r="H105" t="str">
        <x:v>CNY</x:v>
      </x:c>
      <x:c r="I105" t="n">
        <x:v>7</x:v>
      </x:c>
      <x:c r="J105" t="str">
        <x:v>货币资金</x:v>
      </x:c>
      <x:c r="K105" t="str">
        <x:v>candidate_pending_automated_verification</x:v>
      </x:c>
      <x:c r="L105" t="str">
        <x:v>https://static.cninfo.com.cn/finalpage/2026-04-30/1225260708.PDF</x:v>
      </x:c>
      <x:c r="M105" t="str">
        <x:v>69eeb0585b3fd569220e1dfbecbf14c16add7a6c1e9f8a0e3ca01544ae5d5315</x:v>
      </x:c>
      <x:c r="N105" t="str">
        <x:v>年第一季度报告
7
（二）财务报表
合并资产负债表
2026 年 3月 31日
编制单位：中国铁建股份有限公司
单位：千元 币种:人民币 审计类型：未经审计
项目 2026 年 3 月 31日 2025 年 12 月 31 日
流动资产：
货币资金 177,754,571 191,922,113
结算备付金
拆出资金
交易性金融资产 1,492,807 1,006,287
衍生金融资产
应收票据 2,479,864 2,829,089
应收账款 256,841,513 241,023,952
应收款项融资 1,147,586 1,129,124
预付款项 30,262,339 24,114,586
应收保费
应收分保账款
应</x:v>
      </x:c>
    </x:row>
    <x:row r="106">
      <x:c r="A106" t="str">
        <x:v>937e55d2-65b9-4548-8f50-7b7826a4e925</x:v>
      </x:c>
      <x:c r="B106" t="str">
        <x:v>601186</x:v>
      </x:c>
      <x:c r="C106" t="str">
        <x:v>中国铁建</x:v>
      </x:c>
      <x:c r="D106" t="str">
        <x:v>2026-03-31</x:v>
      </x:c>
      <x:c r="E106" t="str">
        <x:v>first_quarter</x:v>
      </x:c>
      <x:c r="F106" t="str">
        <x:v>operating_cash_flow</x:v>
      </x:c>
      <x:c r="G106" t="n">
        <x:v>-62576016</x:v>
      </x:c>
      <x:c r="H106" t="str">
        <x:v>reported_amount</x:v>
      </x:c>
      <x:c r="I106" t="n">
        <x:v>1</x:v>
      </x:c>
      <x:c r="J106" t="str">
        <x:v>经营活动产生的现金流量净额</x:v>
      </x:c>
      <x:c r="K106" t="str">
        <x:v>candidate_pending_automated_verification</x:v>
      </x:c>
      <x:c r="L106" t="str">
        <x:v>https://static.cninfo.com.cn/finalpage/2026-04-30/1225260708.PDF</x:v>
      </x:c>
      <x:c r="M106" t="str">
        <x:v>69eeb0585b3fd569220e1dfbecbf14c16add7a6c1e9f8a0e3ca01544ae5d5315</x:v>
      </x:c>
      <x:c r="N106" t="str">
        <x:v> 5,958,754 7,429,649 -19.80
归属于上市公司股东的净利润 4,392,391 5,150,787 -14.72
归属于上市公司股东的扣除非
经常性损益的净利润 4,213,557 4,975,412 -15.31
经营活动产生的现金流量净额 -62,576,016 -38,946,530 不适用
基本每股收益（元/股） 0.28 0.34 -17.65
稀释每股收益（元/股） 0.28 0.34 -17.65
加权平均净资产收益率（%） 1.38 1.72 减少0.34 个百分点</x:v>
      </x:c>
    </x:row>
    <x:row r="107">
      <x:c r="A107" t="str">
        <x:v>56cdeb1c-cc06-411b-8853-cb8c6af382e9</x:v>
      </x:c>
      <x:c r="B107" t="str">
        <x:v>601186</x:v>
      </x:c>
      <x:c r="C107" t="str">
        <x:v>中国铁建</x:v>
      </x:c>
      <x:c r="D107" t="str">
        <x:v>2026-03-31</x:v>
      </x:c>
      <x:c r="E107" t="str">
        <x:v>first_quarter</x:v>
      </x:c>
      <x:c r="F107" t="str">
        <x:v>net_income</x:v>
      </x:c>
      <x:c r="G107" t="n">
        <x:v>4392391</x:v>
      </x:c>
      <x:c r="H107" t="str">
        <x:v>reported_amount</x:v>
      </x:c>
      <x:c r="I107" t="n">
        <x:v>1</x:v>
      </x:c>
      <x:c r="J107" t="str">
        <x:v>归属于上市公司股东的净利润</x:v>
      </x:c>
      <x:c r="K107" t="str">
        <x:v>candidate_pending_automated_verification</x:v>
      </x:c>
      <x:c r="L107" t="str">
        <x:v>https://static.cninfo.com.cn/finalpage/2026-04-30/1225260708.PDF</x:v>
      </x:c>
      <x:c r="M107" t="str">
        <x:v>69eeb0585b3fd569220e1dfbecbf14c16add7a6c1e9f8a0e3ca01544ae5d5315</x:v>
      </x:c>
      <x:c r="N107" t="str">
        <x:v>据和财务指标
单位：千元 币种：人民币
项目 本报告期 上年同期 本报告期比上年同期
增减变动幅度(%)
营业收入 231,582,129 256,762,012 -9.81
利润总额 5,958,754 7,429,649 -19.80
归属于上市公司股东的净利润 4,392,391 5,150,787 -14.72
归属于上市公司股东的扣除非
经常性损益的净利润 4,213,557 4,975,412 -15.31
经营活动产生的现金流量净额 -62,576,016 -38,946,530 不适用
基本每股收益（元/股） 0.28 0.34 -17.65
稀释每股收益（元/股） 0.28 0.34 -17.65
加权平均净资产收益率（</x:v>
      </x:c>
    </x:row>
    <x:row r="108">
      <x:c r="A108" t="str">
        <x:v>d16ea08a-316d-4fb8-83df-ad43d0d98a1b</x:v>
      </x:c>
      <x:c r="B108" t="str">
        <x:v>601916</x:v>
      </x:c>
      <x:c r="C108" t="str">
        <x:v>浙商银行</x:v>
      </x:c>
      <x:c r="D108" t="str">
        <x:v>2026-03-31</x:v>
      </x:c>
      <x:c r="E108" t="str">
        <x:v>first_quarter</x:v>
      </x:c>
      <x:c r="F108" t="str">
        <x:v>bonds_payable</x:v>
      </x:c>
      <x:c r="G108" t="n">
        <x:v>554789</x:v>
      </x:c>
      <x:c r="H108" t="str">
        <x:v>CNY</x:v>
      </x:c>
      <x:c r="I108" t="n">
        <x:v>10</x:v>
      </x:c>
      <x:c r="J108" t="str">
        <x:v>应付债券</x:v>
      </x:c>
      <x:c r="K108" t="str">
        <x:v>candidate_pending_automated_verification</x:v>
      </x:c>
      <x:c r="L108" t="str">
        <x:v>https://static.cninfo.com.cn/finalpage/2026-04-30/1225259203.PDF</x:v>
      </x:c>
      <x:c r="M108" t="str">
        <x:v>4233e429da7784ad539b16b7961536336727efdd508b9633e440690f72229780</x:v>
      </x:c>
      <x:c r="N108" t="str">
        <x:v>,561 2,043,466 2,154,718 2,043,466
应付职工薪酬 3,984 5,996 3,799 5,746
应交税费 4,034 1,912 3,722 1,584
预计负债 1,068 884 1,068 884
应付债券 554,789 512,953 549,395 510,942
租赁负债 2,604 2,691 2,596 2,684
其他负债 14,952 11,878 7,480 6,411
负债合计 3,499,134 3,273,757 3,367,044 3,153,361
--------------- --------------- --------------- --</x:v>
      </x:c>
    </x:row>
    <x:row r="109">
      <x:c r="A109" t="str">
        <x:v>9ea0dfcf-3246-4c80-acb5-2e4655047b26</x:v>
      </x:c>
      <x:c r="B109" t="str">
        <x:v>601186</x:v>
      </x:c>
      <x:c r="C109" t="str">
        <x:v>中国铁建</x:v>
      </x:c>
      <x:c r="D109" t="str">
        <x:v>2026-06-30</x:v>
      </x:c>
      <x:c r="E109" t="str">
        <x:v>interim</x:v>
      </x:c>
      <x:c r="F109" t="str">
        <x:v>cash</x:v>
      </x:c>
      <x:c r="G109" t="n">
        <x:v>168252299</x:v>
      </x:c>
      <x:c r="H109" t="str">
        <x:v>CNY</x:v>
      </x:c>
      <x:c r="I109" t="n">
        <x:v>99</x:v>
      </x:c>
      <x:c r="J109" t="str">
        <x:v>货币资金</x:v>
      </x:c>
      <x:c r="K109" t="str">
        <x:v>candidate_pending_automated_verification</x:v>
      </x:c>
      <x:c r="L109" t="str">
        <x:v>https://static.cninfo.com.cn/finalpage/2026-08-29/1225528697.PDF</x:v>
      </x:c>
      <x:c r="M109" t="str">
        <x:v>10b93ce4b7b035942d336949e9ced2f087a67b8410ec7b7a4b92598a1a3bb7da</x:v>
      </x:c>
      <x:c r="N109" t="str">
        <x:v> 
中国铁建股份有限公司 
合并资产负债表 
2026年6月30日 人民币千元 
99 
资产 附注五 
2026年6月30日 
(未经审计)   
2025年12月31日 
流动资产        
货币资金 1  168,252,299   191,922,113  
交易性金融资产 2  1,190,551   1,006,287  
应收票据 3  2,111,297   2,829,089  
应收账款 4  266,813,336   241,023,952  
应收款项融资 5  1,013,545   1,129,124  
预付款项 6  27,148,966   24,11</x:v>
      </x:c>
    </x:row>
    <x:row r="110">
      <x:c r="A110" t="str">
        <x:v>1dc7d5ce-2ade-4ad2-a456-2edc346d163d</x:v>
      </x:c>
      <x:c r="B110" t="str">
        <x:v>601186</x:v>
      </x:c>
      <x:c r="C110" t="str">
        <x:v>中国铁建</x:v>
      </x:c>
      <x:c r="D110" t="str">
        <x:v>2026-06-30</x:v>
      </x:c>
      <x:c r="E110" t="str">
        <x:v>interim</x:v>
      </x:c>
      <x:c r="F110" t="str">
        <x:v>bonds_payable</x:v>
      </x:c>
      <x:c r="G110" t="n">
        <x:v>35819063</x:v>
      </x:c>
      <x:c r="H110" t="str">
        <x:v>CNY</x:v>
      </x:c>
      <x:c r="I110" t="n">
        <x:v>257</x:v>
      </x:c>
      <x:c r="J110" t="str">
        <x:v>应付债券</x:v>
      </x:c>
      <x:c r="K110" t="str">
        <x:v>candidate_pending_automated_verification</x:v>
      </x:c>
      <x:c r="L110" t="str">
        <x:v>https://static.cninfo.com.cn/finalpage/2026-08-29/1225528697.PDF</x:v>
      </x:c>
      <x:c r="M110" t="str">
        <x:v>10b93ce4b7b035942d336949e9ced2f087a67b8410ec7b7a4b92598a1a3bb7da</x:v>
      </x:c>
      <x:c r="N110" t="str">
        <x:v>期间 
以下是本集团除账面价值与公允价值差异很小的金融工具之外的各类别金融工具的账
面价值与公允价值的比较： 
  账面价值   公允价值  
金融负债       
长期借款  67,661,656   68,327,913  
应付债券  35,819,063   35,866,279  
合计  103,480,719   104,194,192  
2025年 
  账面价值   公允价值  
金融负债       
长期借款  61,457,377   62,265,597  
应付债券  39,335,327   39,405,704  
合计  100,792,704   101,671,301</x:v>
      </x:c>
    </x:row>
    <x:row r="111">
      <x:c r="A111" t="str">
        <x:v>f4a4970c-5ce5-420a-aa9e-e1e3ea17a46c</x:v>
      </x:c>
      <x:c r="B111" t="str">
        <x:v>601186</x:v>
      </x:c>
      <x:c r="C111" t="str">
        <x:v>中国铁建</x:v>
      </x:c>
      <x:c r="D111" t="str">
        <x:v>2026-06-30</x:v>
      </x:c>
      <x:c r="E111" t="str">
        <x:v>interim</x:v>
      </x:c>
      <x:c r="F111" t="str">
        <x:v>long_term_borrowings</x:v>
      </x:c>
      <x:c r="G111" t="n">
        <x:v>67661656</x:v>
      </x:c>
      <x:c r="H111" t="str">
        <x:v>CNY</x:v>
      </x:c>
      <x:c r="I111" t="n">
        <x:v>257</x:v>
      </x:c>
      <x:c r="J111" t="str">
        <x:v>长期借款</x:v>
      </x:c>
      <x:c r="K111" t="str">
        <x:v>candidate_pending_automated_verification</x:v>
      </x:c>
      <x:c r="L111" t="str">
        <x:v>https://static.cninfo.com.cn/finalpage/2026-08-29/1225528697.PDF</x:v>
      </x:c>
      <x:c r="M111" t="str">
        <x:v>10b93ce4b7b035942d336949e9ced2f087a67b8410ec7b7a4b92598a1a3bb7da</x:v>
      </x:c>
      <x:c r="N111" t="str">
        <x:v>计量的金融资产和金融负债 
截至2026年6月30日止六个月期间 
以下是本集团除账面价值与公允价值差异很小的金融工具之外的各类别金融工具的账
面价值与公允价值的比较： 
  账面价值   公允价值  
金融负债       
长期借款  67,661,656   68,327,913  
应付债券  35,819,063   35,866,279  
合计  103,480,719   104,194,192  
2025年 
  账面价值   公允价值  
金融负债       
长期借款  61,457,377   62,265,597  
应付债券  39,335,327   39,405,704</x:v>
      </x:c>
    </x:row>
    <x:row r="112">
      <x:c r="A112" t="str">
        <x:v>91b96138-035a-4dd2-944b-78a3272aa153</x:v>
      </x:c>
      <x:c r="B112" t="str">
        <x:v>601186</x:v>
      </x:c>
      <x:c r="C112" t="str">
        <x:v>中国铁建</x:v>
      </x:c>
      <x:c r="D112" t="str">
        <x:v>2026-06-30</x:v>
      </x:c>
      <x:c r="E112" t="str">
        <x:v>interim</x:v>
      </x:c>
      <x:c r="F112" t="str">
        <x:v>bonds_payable</x:v>
      </x:c>
      <x:c r="G112" t="n">
        <x:v>35819063</x:v>
      </x:c>
      <x:c r="H112" t="str">
        <x:v>CNY</x:v>
      </x:c>
      <x:c r="I112" t="n">
        <x:v>252</x:v>
      </x:c>
      <x:c r="J112" t="str">
        <x:v>应付债券</x:v>
      </x:c>
      <x:c r="K112" t="str">
        <x:v>candidate_pending_automated_verification</x:v>
      </x:c>
      <x:c r="L112" t="str">
        <x:v>https://static.cninfo.com.cn/finalpage/2026-08-29/1225528697.PDF</x:v>
      </x:c>
      <x:c r="M112" t="str">
        <x:v>10b93ce4b7b035942d336949e9ced2f087a67b8410ec7b7a4b92598a1a3bb7da</x:v>
      </x:c>
      <x:c r="N112" t="str">
        <x:v>付款  135,498,976   124,655,919  
一年内到期的非流动负债(不含一年内 
到期的长期应付职工薪酬及预计负债)  88,828,375   87,513,657  
其他流动负债  -   6,386,585  
应付债券  35,819,063   39,335,327  
长期应付款(不含专项应付款)  53,435,117   57,879,101  
租赁负债  5,887,948   6,121,161  
其他非流动负债   -      412,600  
减：货币资金  168,252,299   191,922,113  
净负债  1,359,919,988   1,265,38</x:v>
      </x:c>
    </x:row>
    <x:row r="113">
      <x:c r="A113" t="str">
        <x:v>35372cf9-1542-4245-a768-421740c5f208</x:v>
      </x:c>
      <x:c r="B113" t="str">
        <x:v>601186</x:v>
      </x:c>
      <x:c r="C113" t="str">
        <x:v>中国铁建</x:v>
      </x:c>
      <x:c r="D113" t="str">
        <x:v>2026-06-30</x:v>
      </x:c>
      <x:c r="E113" t="str">
        <x:v>interim</x:v>
      </x:c>
      <x:c r="F113" t="str">
        <x:v>long_term_borrowings</x:v>
      </x:c>
      <x:c r="G113" t="n">
        <x:v>379632737</x:v>
      </x:c>
      <x:c r="H113" t="str">
        <x:v>CNY</x:v>
      </x:c>
      <x:c r="I113" t="n">
        <x:v>252</x:v>
      </x:c>
      <x:c r="J113" t="str">
        <x:v>长期借款</x:v>
      </x:c>
      <x:c r="K113" t="str">
        <x:v>candidate_pending_automated_verification</x:v>
      </x:c>
      <x:c r="L113" t="str">
        <x:v>https://static.cninfo.com.cn/finalpage/2026-08-29/1225528697.PDF</x:v>
      </x:c>
      <x:c r="M113" t="str">
        <x:v>10b93ce4b7b035942d336949e9ced2f087a67b8410ec7b7a4b92598a1a3bb7da</x:v>
      </x:c>
      <x:c r="N113" t="str">
        <x:v>等抵减货币资金后的净额。资本包括归属于母公司股东权益及少数股东
权益，本集团于资产负债表日的杠杆比率如下： 
  2026年6月30日   2025年12月31日  
短期借款  223,833,277   168,869,472  
长期借款  379,632,737   335,750,413  
吸收存款  1,705,376   1,872,095  
应付票据  28,960,987   37,124,169  
应付账款  574,570,431   591,387,684  
其他应付款  135,498,976   124,655,919  
一年内到期的非流动负债(不含一年内 
到期的长期应付职工薪酬及预</x:v>
      </x:c>
    </x:row>
    <x:row r="114">
      <x:c r="A114" t="str">
        <x:v>fe4b9b9c-0cc5-493b-bb15-fa55b147868d</x:v>
      </x:c>
      <x:c r="B114" t="str">
        <x:v>601186</x:v>
      </x:c>
      <x:c r="C114" t="str">
        <x:v>中国铁建</x:v>
      </x:c>
      <x:c r="D114" t="str">
        <x:v>2026-06-30</x:v>
      </x:c>
      <x:c r="E114" t="str">
        <x:v>interim</x:v>
      </x:c>
      <x:c r="F114" t="str">
        <x:v>short_term_borrowings</x:v>
      </x:c>
      <x:c r="G114" t="n">
        <x:v>223833277</x:v>
      </x:c>
      <x:c r="H114" t="str">
        <x:v>CNY</x:v>
      </x:c>
      <x:c r="I114" t="n">
        <x:v>252</x:v>
      </x:c>
      <x:c r="J114" t="str">
        <x:v>短期借款</x:v>
      </x:c>
      <x:c r="K114" t="str">
        <x:v>candidate_pending_automated_verification</x:v>
      </x:c>
      <x:c r="L114" t="str">
        <x:v>https://static.cninfo.com.cn/finalpage/2026-08-29/1225528697.PDF</x:v>
      </x:c>
      <x:c r="M114" t="str">
        <x:v>10b93ce4b7b035942d336949e9ced2f087a67b8410ec7b7a4b92598a1a3bb7da</x:v>
      </x:c>
      <x:c r="N114" t="str">
        <x:v>的长期应付职工薪酬及预计负债 )以及其他非流动负债
(继续涉入负债)等抵减货币资金后的净额。资本包括归属于母公司股东权益及少数股东
权益，本集团于资产负债表日的杠杆比率如下： 
  2026年6月30日   2025年12月31日  
短期借款  223,833,277   168,869,472  
长期借款  379,632,737   335,750,413  
吸收存款  1,705,376   1,872,095  
应付票据  28,960,987   37,124,169  
应付账款  574,570,431   591,387,684  
其他应付款  135,498,976   124,655,919 </x:v>
      </x:c>
    </x:row>
    <x:row r="115">
      <x:c r="A115" t="str">
        <x:v>1b56cdb6-a4dd-44a5-9bc9-55a2356361a2</x:v>
      </x:c>
      <x:c r="B115" t="str">
        <x:v>601186</x:v>
      </x:c>
      <x:c r="C115" t="str">
        <x:v>中国铁建</x:v>
      </x:c>
      <x:c r="D115" t="str">
        <x:v>2026-06-30</x:v>
      </x:c>
      <x:c r="E115" t="str">
        <x:v>interim</x:v>
      </x:c>
      <x:c r="F115" t="str">
        <x:v>cash</x:v>
      </x:c>
      <x:c r="G115" t="n">
        <x:v>168252299</x:v>
      </x:c>
      <x:c r="H115" t="str">
        <x:v>CNY</x:v>
      </x:c>
      <x:c r="I115" t="n">
        <x:v>252</x:v>
      </x:c>
      <x:c r="J115" t="str">
        <x:v>货币资金</x:v>
      </x:c>
      <x:c r="K115" t="str">
        <x:v>candidate_pending_automated_verification</x:v>
      </x:c>
      <x:c r="L115" t="str">
        <x:v>https://static.cninfo.com.cn/finalpage/2026-08-29/1225528697.PDF</x:v>
      </x:c>
      <x:c r="M115" t="str">
        <x:v>10b93ce4b7b035942d336949e9ced2f087a67b8410ec7b7a4b92598a1a3bb7da</x:v>
      </x:c>
      <x:c r="N115" t="str">
        <x:v>063   39,335,327  
长期应付款(不含专项应付款)  53,435,117   57,879,101  
租赁负债  5,887,948   6,121,161  
其他非流动负债   -      412,600  
减：货币资金  168,252,299   191,922,113  
净负债  1,359,919,988   1,265,386,070  
归属于母公司股东权益  349,957,031   340,286,440  
少数股东权益  90,919,088   86,668,415  
调整后资本  440,876,119   426,954,855  
资本和净负债  1,800,796</x:v>
      </x:c>
    </x:row>
    <x:row r="116">
      <x:c r="A116" t="str">
        <x:v>0014c1d9-ec2d-4308-89b3-6684a62c2b21</x:v>
      </x:c>
      <x:c r="B116" t="str">
        <x:v>601186</x:v>
      </x:c>
      <x:c r="C116" t="str">
        <x:v>中国铁建</x:v>
      </x:c>
      <x:c r="D116" t="str">
        <x:v>2026-06-30</x:v>
      </x:c>
      <x:c r="E116" t="str">
        <x:v>interim</x:v>
      </x:c>
      <x:c r="F116" t="str">
        <x:v>short_term_borrowings</x:v>
      </x:c>
      <x:c r="G116" t="n">
        <x:v>168869472</x:v>
      </x:c>
      <x:c r="H116" t="str">
        <x:v>CNY</x:v>
      </x:c>
      <x:c r="I116" t="n">
        <x:v>231</x:v>
      </x:c>
      <x:c r="J116" t="str">
        <x:v>短期借款</x:v>
      </x:c>
      <x:c r="K116" t="str">
        <x:v>candidate_pending_automated_verification</x:v>
      </x:c>
      <x:c r="L116" t="str">
        <x:v>https://static.cninfo.com.cn/finalpage/2026-08-29/1225528697.PDF</x:v>
      </x:c>
      <x:c r="M116" t="str">
        <x:v>10b93ce4b7b035942d336949e9ced2f087a67b8410ec7b7a4b92598a1a3bb7da</x:v>
      </x:c>
      <x:c r="N116" t="str">
        <x:v>目注释（续） 
（2） 与筹资活动有关的现金（续） 
筹资活动产生的各项负债的变动如下： 
  期初余额   本期增加   本期减少   期末余额  
     现金变动   非现金变动   现金变动   非现金变动     
短期借款  168,869,472   213,315,379   2,026,503   (160,378,077 )  -   223,833,277  
长期借款(含一年内到期的长期借款)  393,565,186   77,980,661   12,885,119   (47,265,106 )  -   437,165,860  
应付债券(含一年内到期的应付债券)  57,555</x:v>
      </x:c>
    </x:row>
    <x:row r="117">
      <x:c r="A117" t="str">
        <x:v>248224b0-9487-43ce-a4a1-13466240ced2</x:v>
      </x:c>
      <x:c r="B117" t="str">
        <x:v>601186</x:v>
      </x:c>
      <x:c r="C117" t="str">
        <x:v>中国铁建</x:v>
      </x:c>
      <x:c r="D117" t="str">
        <x:v>2026-06-30</x:v>
      </x:c>
      <x:c r="E117" t="str">
        <x:v>interim</x:v>
      </x:c>
      <x:c r="F117" t="str">
        <x:v>bonds_payable</x:v>
      </x:c>
      <x:c r="G117" t="n">
        <x:v>2026</x:v>
      </x:c>
      <x:c r="H117" t="str">
        <x:v>CNY</x:v>
      </x:c>
      <x:c r="I117" t="n">
        <x:v>209</x:v>
      </x:c>
      <x:c r="J117" t="str">
        <x:v>应付债券</x:v>
      </x:c>
      <x:c r="K117" t="str">
        <x:v>candidate_pending_automated_verification</x:v>
      </x:c>
      <x:c r="L117" t="str">
        <x:v>https://static.cninfo.com.cn/finalpage/2026-08-29/1225528697.PDF</x:v>
      </x:c>
      <x:c r="M117" t="str">
        <x:v>10b93ce4b7b035942d336949e9ced2f087a67b8410ec7b7a4b92598a1a3bb7da</x:v>
      </x:c>
      <x:c r="N117" t="str">
        <x:v>期(含五年)  135,205,051   122,851,678  
五年以上  160,027,701   138,410,475  
合计  437,165,860   393,565,186  
39. 应付债券 
（1） 应付债券 
  2026年6月30日   2025年12月31日  
应付债券  56,112,671   57,555,686  
减：一年内到期的应付债券(附注五、36)  20,293,608   18,220,359  
一年后到期的应付债券合计  35,819,063   39,335,327  </x:v>
      </x:c>
    </x:row>
    <x:row r="118">
      <x:c r="A118" t="str">
        <x:v>6108087b-f00a-4a26-bba0-e39ff992b811</x:v>
      </x:c>
      <x:c r="B118" t="str">
        <x:v>601186</x:v>
      </x:c>
      <x:c r="C118" t="str">
        <x:v>中国铁建</x:v>
      </x:c>
      <x:c r="D118" t="str">
        <x:v>2026-06-30</x:v>
      </x:c>
      <x:c r="E118" t="str">
        <x:v>interim</x:v>
      </x:c>
      <x:c r="F118" t="str">
        <x:v>long_term_borrowings</x:v>
      </x:c>
      <x:c r="G118" t="n">
        <x:v>2026</x:v>
      </x:c>
      <x:c r="H118" t="str">
        <x:v>CNY</x:v>
      </x:c>
      <x:c r="I118" t="n">
        <x:v>208</x:v>
      </x:c>
      <x:c r="J118" t="str">
        <x:v>长期借款</x:v>
      </x:c>
      <x:c r="K118" t="str">
        <x:v>candidate_pending_automated_verification</x:v>
      </x:c>
      <x:c r="L118" t="str">
        <x:v>https://static.cninfo.com.cn/finalpage/2026-08-29/1225528697.PDF</x:v>
      </x:c>
      <x:c r="M118" t="str">
        <x:v>10b93ce4b7b035942d336949e9ced2f087a67b8410ec7b7a4b92598a1a3bb7da</x:v>
      </x:c>
      <x:c r="N118" t="str">
        <x:v>中国铁建股份有限公司 
财务报表附注（续） 
截至2026年6月30日止六个月期间 人民币千元 
208 
五、 合并财务报表主要项目注释（续） 
38. 长期借款 
  2026年6月30日   2025年12月31日  
信用借款  222,980,443   190,306,952  
质押借款(注1、注2、注3、注4)  128,979,313   119,017,315  
抵押借款(注5、注6、注7、注8、注9)  23,244,438   21,947,419  
保证借款(注10)  4,428,543   4,478</x:v>
      </x:c>
    </x:row>
    <x:row r="119">
      <x:c r="A119" t="str">
        <x:v>851b33ed-ea85-40b1-b3f5-ff1b6eee88a4</x:v>
      </x:c>
      <x:c r="B119" t="str">
        <x:v>601186</x:v>
      </x:c>
      <x:c r="C119" t="str">
        <x:v>中国铁建</x:v>
      </x:c>
      <x:c r="D119" t="str">
        <x:v>2026-06-30</x:v>
      </x:c>
      <x:c r="E119" t="str">
        <x:v>interim</x:v>
      </x:c>
      <x:c r="F119" t="str">
        <x:v>current_portion_long_term_debt</x:v>
      </x:c>
      <x:c r="G119" t="n">
        <x:v>2026</x:v>
      </x:c>
      <x:c r="H119" t="str">
        <x:v>CNY</x:v>
      </x:c>
      <x:c r="I119" t="n">
        <x:v>206</x:v>
      </x:c>
      <x:c r="J119" t="str">
        <x:v>一年内到期的非流动负债</x:v>
      </x:c>
      <x:c r="K119" t="str">
        <x:v>candidate_pending_automated_verification</x:v>
      </x:c>
      <x:c r="L119" t="str">
        <x:v>https://static.cninfo.com.cn/finalpage/2026-08-29/1225528697.PDF</x:v>
      </x:c>
      <x:c r="M119" t="str">
        <x:v>10b93ce4b7b035942d336949e9ced2f087a67b8410ec7b7a4b92598a1a3bb7da</x:v>
      </x:c>
      <x:c r="N119" t="str">
        <x:v> 
中国铁建股份有限公司 
财务报表附注（续） 
截至2026年6月30日止六个月期间 人民币千元 
206 
五、 合并财务报表主要项目注释（续） 
36. 一年内到期的非流动负债 
  2026年6月30日   2025年12月31日  
一年内到期的长期借款(附注五、38)  57,533,123   57,814,773  
一年内到期的应付债券(附注五、39)  20,293,608   18,220,359  
一年内到期的租赁负债(附注五、40)  2,149,703   2,416,856  
一年内到期的长期应付款(附注五、41)  </x:v>
      </x:c>
    </x:row>
    <x:row r="120">
      <x:c r="A120" t="str">
        <x:v>3054798d-ed74-40b4-add0-819353c6e281</x:v>
      </x:c>
      <x:c r="B120" t="str">
        <x:v>601186</x:v>
      </x:c>
      <x:c r="C120" t="str">
        <x:v>中国铁建</x:v>
      </x:c>
      <x:c r="D120" t="str">
        <x:v>2026-06-30</x:v>
      </x:c>
      <x:c r="E120" t="str">
        <x:v>interim</x:v>
      </x:c>
      <x:c r="F120" t="str">
        <x:v>cash</x:v>
      </x:c>
      <x:c r="G120" t="n">
        <x:v>15831519</x:v>
      </x:c>
      <x:c r="H120" t="str">
        <x:v>CNY</x:v>
      </x:c>
      <x:c r="I120" t="n">
        <x:v>199</x:v>
      </x:c>
      <x:c r="J120" t="str">
        <x:v>货币资金</x:v>
      </x:c>
      <x:c r="K120" t="str">
        <x:v>candidate_pending_automated_verification</x:v>
      </x:c>
      <x:c r="L120" t="str">
        <x:v>https://static.cninfo.com.cn/finalpage/2026-08-29/1225528697.PDF</x:v>
      </x:c>
      <x:c r="M120" t="str">
        <x:v>10b93ce4b7b035942d336949e9ced2f087a67b8410ec7b7a4b92598a1a3bb7da</x:v>
      </x:c>
      <x:c r="N120" t="str">
        <x:v>  
截至2026年6月30日止六个月期间，其他非流动资产减值准备无重大转回的情况。 
27. 所有权或使用权受到限制的资产 
2026年6月30日 
  2026年6月30日   2025年12月31日   受限类型  
货币资金   15,831,519   16,795,619   注  
应收账款   4,958,964   3,169,477   质押  
存货   42,978,989   47,819,227   抵押  
合同资产   26,401,851   30,556,164   质押  
长期应收款   7,384,663   10,583,097   质押  
投资性房地产  1,22</x:v>
      </x:c>
    </x:row>
    <x:row r="121">
      <x:c r="A121" t="str">
        <x:v>09670239-20fd-47dd-9bb3-669356d29b9d</x:v>
      </x:c>
      <x:c r="B121" t="str">
        <x:v>601186</x:v>
      </x:c>
      <x:c r="C121" t="str">
        <x:v>中国铁建</x:v>
      </x:c>
      <x:c r="D121" t="str">
        <x:v>2026-06-30</x:v>
      </x:c>
      <x:c r="E121" t="str">
        <x:v>interim</x:v>
      </x:c>
      <x:c r="F121" t="str">
        <x:v>cash</x:v>
      </x:c>
      <x:c r="G121" t="n">
        <x:v>2026</x:v>
      </x:c>
      <x:c r="H121" t="str">
        <x:v>CNY</x:v>
      </x:c>
      <x:c r="I121" t="n">
        <x:v>163</x:v>
      </x:c>
      <x:c r="J121" t="str">
        <x:v>货币资金</x:v>
      </x:c>
      <x:c r="K121" t="str">
        <x:v>candidate_pending_automated_verification</x:v>
      </x:c>
      <x:c r="L121" t="str">
        <x:v>https://static.cninfo.com.cn/finalpage/2026-08-29/1225528697.PDF</x:v>
      </x:c>
      <x:c r="M121" t="str">
        <x:v>10b93ce4b7b035942d336949e9ced2f087a67b8410ec7b7a4b92598a1a3bb7da</x:v>
      </x:c>
      <x:c r="N121" t="str">
        <x:v> 
中国铁建股份有限公司 
财务报表附注（续） 
截至2026年6月30日止六个月期间 人民币千元 
163 
五、 合并财务报表主要项目注释 
1. 货币资金 
  2026年6月30日   2025年12月31日  
库存现金  72,424   79,044  
银行存款  152,262,182   175,001,673  
其他货币资金  11,262,965   11,846,395  
财务公司存放中央银行法定准备金  4,654,728   4,995,001  
合计  168,252,299   191,92</x:v>
      </x:c>
    </x:row>
    <x:row r="122">
      <x:c r="A122" t="str">
        <x:v>05cd6abb-70e6-491e-8d22-2f5eb94b7fd0</x:v>
      </x:c>
      <x:c r="B122" t="str">
        <x:v>601186</x:v>
      </x:c>
      <x:c r="C122" t="str">
        <x:v>中国铁建</x:v>
      </x:c>
      <x:c r="D122" t="str">
        <x:v>2026-06-30</x:v>
      </x:c>
      <x:c r="E122" t="str">
        <x:v>interim</x:v>
      </x:c>
      <x:c r="F122" t="str">
        <x:v>operating_cash_flow</x:v>
      </x:c>
      <x:c r="G122" t="n">
        <x:v>781220</x:v>
      </x:c>
      <x:c r="H122" t="str">
        <x:v>CNY</x:v>
      </x:c>
      <x:c r="I122" t="n">
        <x:v>113</x:v>
      </x:c>
      <x:c r="J122" t="str">
        <x:v>经营活动产生的现金流量净额</x:v>
      </x:c>
      <x:c r="K122" t="str">
        <x:v>candidate_pending_automated_verification</x:v>
      </x:c>
      <x:c r="L122" t="str">
        <x:v>https://static.cninfo.com.cn/finalpage/2026-08-29/1225528697.PDF</x:v>
      </x:c>
      <x:c r="M122" t="str">
        <x:v>10b93ce4b7b035942d336949e9ced2f087a67b8410ec7b7a4b92598a1a3bb7da</x:v>
      </x:c>
      <x:c r="N122" t="str">
        <x:v>5,114   12,568  
 支付其他与经营活动有关的现金   7,261,861   9,903,295  
 经营活动现金流出小计   10,755,688   15,760,527  
 经营活动产生的现金流量净额   781,220   (772,908 ) 
二、 投资活动产生的现金流量：        
 取得投资收益收到的现金   6,928,374   6,570,646  
处置固定资产、无形资产和其他长期资
产收回的现金净额   187   -  
 收到的其他与投资活动有关的现金   2,600   66,855  
     </x:v>
      </x:c>
    </x:row>
    <x:row r="123">
      <x:c r="A123" t="str">
        <x:v>23fd5979-2112-4218-8aa3-dd202b73a945</x:v>
      </x:c>
      <x:c r="B123" t="str">
        <x:v>601186</x:v>
      </x:c>
      <x:c r="C123" t="str">
        <x:v>中国铁建</x:v>
      </x:c>
      <x:c r="D123" t="str">
        <x:v>2026-06-30</x:v>
      </x:c>
      <x:c r="E123" t="str">
        <x:v>interim</x:v>
      </x:c>
      <x:c r="F123" t="str">
        <x:v>operating_cash_flow</x:v>
      </x:c>
      <x:c r="G123" t="n">
        <x:v>64</x:v>
      </x:c>
      <x:c r="H123" t="str">
        <x:v>CNY</x:v>
      </x:c>
      <x:c r="I123" t="n">
        <x:v>106</x:v>
      </x:c>
      <x:c r="J123" t="str">
        <x:v>经营活动产生的现金流量净额</x:v>
      </x:c>
      <x:c r="K123" t="str">
        <x:v>candidate_pending_automated_verification</x:v>
      </x:c>
      <x:c r="L123" t="str">
        <x:v>https://static.cninfo.com.cn/finalpage/2026-08-29/1225528697.PDF</x:v>
      </x:c>
      <x:c r="M123" t="str">
        <x:v>10b93ce4b7b035942d336949e9ced2f087a67b8410ec7b7a4b92598a1a3bb7da</x:v>
      </x:c>
      <x:c r="N123" t="str">
        <x:v>,788,206  
 支付其他与经营活动有关的现金 63  24,181,817   11,990,156  
 经营活动现金流出小计   510,506,936   570,124,539  
 经营活动产生的现金流量净额 64  (78,856,432 )  (79,457,258 ) 
二、 投资活动产生的现金流量：        
 收回投资收到的现金   5,238,043   2,156,294  
 取得投资收益收到的现金   1,697,872   1,796,475  
处置固定资产、无形资产和其他长期
资产收回的现金净额</x:v>
      </x:c>
    </x:row>
    <x:row r="124">
      <x:c r="A124" t="str">
        <x:v>cbc5b4e3-9552-4dea-a4ba-1d34728e70a8</x:v>
      </x:c>
      <x:c r="B124" t="str">
        <x:v>601186</x:v>
      </x:c>
      <x:c r="C124" t="str">
        <x:v>中国铁建</x:v>
      </x:c>
      <x:c r="D124" t="str">
        <x:v>2026-06-30</x:v>
      </x:c>
      <x:c r="E124" t="str">
        <x:v>interim</x:v>
      </x:c>
      <x:c r="F124" t="str">
        <x:v>bonds_payable</x:v>
      </x:c>
      <x:c r="G124" t="n">
        <x:v>35819063</x:v>
      </x:c>
      <x:c r="H124" t="str">
        <x:v>CNY</x:v>
      </x:c>
      <x:c r="I124" t="n">
        <x:v>100</x:v>
      </x:c>
      <x:c r="J124" t="str">
        <x:v>应付债券</x:v>
      </x:c>
      <x:c r="K124" t="str">
        <x:v>candidate_pending_automated_verification</x:v>
      </x:c>
      <x:c r="L124" t="str">
        <x:v>https://static.cninfo.com.cn/finalpage/2026-08-29/1225528697.PDF</x:v>
      </x:c>
      <x:c r="M124" t="str">
        <x:v>10b93ce4b7b035942d336949e9ced2f087a67b8410ec7b7a4b92598a1a3bb7da</x:v>
      </x:c>
      <x:c r="N124" t="str">
        <x:v>932,036  
流动负债合计   1,244,846,633   1,211,365,969  
非流动负债        
长期借款 38  379,632,737   335,750,413  
应付债券 39  35,819,063   39,335,327  
租赁负债 40  5,887,948   6,121,161  
长期应付款 41  53,719,539   58,165,756  
长期应付职工薪酬   45,178   46,746  
预计负债   2,421,591   2,324,495  
递延收益   1,187,418   1,208,861  
递延所得</x:v>
      </x:c>
    </x:row>
    <x:row r="125">
      <x:c r="A125" t="str">
        <x:v>2cd7a5ca-256a-49a1-990b-22ee4d557479</x:v>
      </x:c>
      <x:c r="B125" t="str">
        <x:v>601186</x:v>
      </x:c>
      <x:c r="C125" t="str">
        <x:v>中国铁建</x:v>
      </x:c>
      <x:c r="D125" t="str">
        <x:v>2026-06-30</x:v>
      </x:c>
      <x:c r="E125" t="str">
        <x:v>interim</x:v>
      </x:c>
      <x:c r="F125" t="str">
        <x:v>long_term_borrowings</x:v>
      </x:c>
      <x:c r="G125" t="n">
        <x:v>379632737</x:v>
      </x:c>
      <x:c r="H125" t="str">
        <x:v>CNY</x:v>
      </x:c>
      <x:c r="I125" t="n">
        <x:v>100</x:v>
      </x:c>
      <x:c r="J125" t="str">
        <x:v>长期借款</x:v>
      </x:c>
      <x:c r="K125" t="str">
        <x:v>candidate_pending_automated_verification</x:v>
      </x:c>
      <x:c r="L125" t="str">
        <x:v>https://static.cninfo.com.cn/finalpage/2026-08-29/1225528697.PDF</x:v>
      </x:c>
      <x:c r="M125" t="str">
        <x:v>10b93ce4b7b035942d336949e9ced2f087a67b8410ec7b7a4b92598a1a3bb7da</x:v>
      </x:c>
      <x:c r="N125" t="str">
        <x:v>742,018  
其他流动负债 37  44,372,004   52,932,036  
流动负债合计   1,244,846,633   1,211,365,969  
非流动负债        
长期借款 38  379,632,737   335,750,413  
应付债券 39  35,819,063   39,335,327  
租赁负债 40  5,887,948   6,121,161  
长期应付款 41  53,719,539   58,165,756  
长期应付职工薪酬   45,178   46,746  
预计负债   2,421,591   2,324,495  </x:v>
      </x:c>
    </x:row>
    <x:row r="126">
      <x:c r="A126" t="str">
        <x:v>9403dc31-9114-4951-a3d0-7ee7a66d8200</x:v>
      </x:c>
      <x:c r="B126" t="str">
        <x:v>601186</x:v>
      </x:c>
      <x:c r="C126" t="str">
        <x:v>中国铁建</x:v>
      </x:c>
      <x:c r="D126" t="str">
        <x:v>2026-06-30</x:v>
      </x:c>
      <x:c r="E126" t="str">
        <x:v>interim</x:v>
      </x:c>
      <x:c r="F126" t="str">
        <x:v>current_portion_long_term_debt</x:v>
      </x:c>
      <x:c r="G126" t="n">
        <x:v>89024117</x:v>
      </x:c>
      <x:c r="H126" t="str">
        <x:v>CNY</x:v>
      </x:c>
      <x:c r="I126" t="n">
        <x:v>100</x:v>
      </x:c>
      <x:c r="J126" t="str">
        <x:v>一年内到期的非流动负债</x:v>
      </x:c>
      <x:c r="K126" t="str">
        <x:v>candidate_pending_automated_verification</x:v>
      </x:c>
      <x:c r="L126" t="str">
        <x:v>https://static.cninfo.com.cn/finalpage/2026-08-29/1225528697.PDF</x:v>
      </x:c>
      <x:c r="M126" t="str">
        <x:v>10b93ce4b7b035942d336949e9ced2f087a67b8410ec7b7a4b92598a1a3bb7da</x:v>
      </x:c>
      <x:c r="N126" t="str">
        <x:v>1,005,490  
应付职工薪酬 33  14,552,379   17,166,652  
应交税费 34  5,972,485   8,131,350  
其他应付款 35  135,498,976   124,655,919  
一年内到期的非流动负债 36  89,024,117   87,742,018  
其他流动负债 37  44,372,004   52,932,036  
流动负债合计   1,244,846,633   1,211,365,969  
非流动负债        
长期借款 38  379,632,737   335,750,413  
应付债券 39  35,819,0</x:v>
      </x:c>
    </x:row>
    <x:row r="127">
      <x:c r="A127" t="str">
        <x:v>caa54868-e69b-4703-b3fb-b7be8a318a7a</x:v>
      </x:c>
      <x:c r="B127" t="str">
        <x:v>601186</x:v>
      </x:c>
      <x:c r="C127" t="str">
        <x:v>中国铁建</x:v>
      </x:c>
      <x:c r="D127" t="str">
        <x:v>2026-06-30</x:v>
      </x:c>
      <x:c r="E127" t="str">
        <x:v>interim</x:v>
      </x:c>
      <x:c r="F127" t="str">
        <x:v>cash</x:v>
      </x:c>
      <x:c r="G127" t="n">
        <x:v>15831519</x:v>
      </x:c>
      <x:c r="H127" t="str">
        <x:v>CNY</x:v>
      </x:c>
      <x:c r="I127" t="n">
        <x:v>27</x:v>
      </x:c>
      <x:c r="J127" t="str">
        <x:v>货币资金</x:v>
      </x:c>
      <x:c r="K127" t="str">
        <x:v>candidate_pending_automated_verification</x:v>
      </x:c>
      <x:c r="L127" t="str">
        <x:v>https://static.cninfo.com.cn/finalpage/2026-08-29/1225528697.PDF</x:v>
      </x:c>
      <x:c r="M127" t="str">
        <x:v>10b93ce4b7b035942d336949e9ced2f087a67b8410ec7b7a4b92598a1a3bb7da</x:v>
      </x:c>
      <x:c r="N127" t="str">
        <x:v> 
项目 2026 年6 月30 日 2025 年12 月 31 日 
无形资产 153,389,127 135,068,961 
存货 42,978,989 47,819,227 
合同资产 26,401,851 30,556,164 
货币资金 15,831,519 16,795,619 
长期应收款 7,384,663 10,583,097 
应收账款 4,958,964 3,169,477 
投资性房地产 1,220,244 2,391,756 
固定资产 1,842,381 1,938,376 
在建工程 2,024,052 1,321,430 
合计 256,031,790 249,644,107 
详见本报告</x:v>
      </x:c>
    </x:row>
    <x:row r="128">
      <x:c r="A128" t="str">
        <x:v>75dce3e1-92e9-4969-8b6a-086de466dbb5</x:v>
      </x:c>
      <x:c r="B128" t="str">
        <x:v>601186</x:v>
      </x:c>
      <x:c r="C128" t="str">
        <x:v>中国铁建</x:v>
      </x:c>
      <x:c r="D128" t="str">
        <x:v>2026-06-30</x:v>
      </x:c>
      <x:c r="E128" t="str">
        <x:v>interim</x:v>
      </x:c>
      <x:c r="F128" t="str">
        <x:v>bonds_payable</x:v>
      </x:c>
      <x:c r="G128" t="n">
        <x:v>35819063</x:v>
      </x:c>
      <x:c r="H128" t="str">
        <x:v>CNY</x:v>
      </x:c>
      <x:c r="I128" t="n">
        <x:v>26</x:v>
      </x:c>
      <x:c r="J128" t="str">
        <x:v>应付债券</x:v>
      </x:c>
      <x:c r="K128" t="str">
        <x:v>candidate_pending_automated_verification</x:v>
      </x:c>
      <x:c r="L128" t="str">
        <x:v>https://static.cninfo.com.cn/finalpage/2026-08-29/1225528697.PDF</x:v>
      </x:c>
      <x:c r="M128" t="str">
        <x:v>10b93ce4b7b035942d336949e9ced2f087a67b8410ec7b7a4b92598a1a3bb7da</x:v>
      </x:c>
      <x:c r="N128" t="str">
        <x:v>438 21,947,419 
合计 379,632,737 335,750,413 
于报告期末及上年年末，本集团应付债券情况如下： 
单位：千元  币种：人民币 
项目 2026 年6 月30 日 2025 年12 月 31 日 
应付债券 35,819,063 39,335,327 
一年内到期的应付债券 20,293,608 18,220,359 
合计 56,112,671 57,555,686 
于报告期末及上年年末，本集团的杠杆比率分别为76%及75%。杠杆比率是指净负债和资本加
净负债的比率。净负债包括所有借款、吸收存款、其他流动负债（继续涉入负债）、应付票据、
应付账款、其他应付款、应付债券、租赁</x:v>
      </x:c>
    </x:row>
    <x:row r="129">
      <x:c r="A129" t="str">
        <x:v>d4a2b71b-5a1d-4241-adba-9e2cb7dd41f7</x:v>
      </x:c>
      <x:c r="B129" t="str">
        <x:v>601186</x:v>
      </x:c>
      <x:c r="C129" t="str">
        <x:v>中国铁建</x:v>
      </x:c>
      <x:c r="D129" t="str">
        <x:v>2026-06-30</x:v>
      </x:c>
      <x:c r="E129" t="str">
        <x:v>interim</x:v>
      </x:c>
      <x:c r="F129" t="str">
        <x:v>operating_cash_flow</x:v>
      </x:c>
      <x:c r="G129" t="n">
        <x:v>-78856432</x:v>
      </x:c>
      <x:c r="H129" t="str">
        <x:v>reported_amount</x:v>
      </x:c>
      <x:c r="I129" t="n">
        <x:v>7</x:v>
      </x:c>
      <x:c r="J129" t="str">
        <x:v>经营活动产生的现金流量净额</x:v>
      </x:c>
      <x:c r="K129" t="str">
        <x:v>candidate_pending_automated_verification</x:v>
      </x:c>
      <x:c r="L129" t="str">
        <x:v>https://static.cninfo.com.cn/finalpage/2026-08-29/1225528697.PDF</x:v>
      </x:c>
      <x:c r="M129" t="str">
        <x:v>10b93ce4b7b035942d336949e9ced2f087a67b8410ec7b7a4b92598a1a3bb7da</x:v>
      </x:c>
      <x:c r="N129" t="str">
        <x:v>2,399 15,353,454 -21.17 
归属于上市公司股东的净利润 8,689,842 10,701,474 -18.80 
归属于上市公司股东的扣除非经常性损益
的净利润 8,076,316 9,879,419 -18.25 
经营活动产生的现金流量净额 -78,856,432 -79,457,258 不适用 </x:v>
      </x:c>
    </x:row>
    <x:row r="130">
      <x:c r="A130" t="str">
        <x:v>44c21698-97fa-4dc3-9e3f-c929d9aa5fc2</x:v>
      </x:c>
      <x:c r="B130" t="str">
        <x:v>601186</x:v>
      </x:c>
      <x:c r="C130" t="str">
        <x:v>中国铁建</x:v>
      </x:c>
      <x:c r="D130" t="str">
        <x:v>2026-06-30</x:v>
      </x:c>
      <x:c r="E130" t="str">
        <x:v>interim</x:v>
      </x:c>
      <x:c r="F130" t="str">
        <x:v>net_income</x:v>
      </x:c>
      <x:c r="G130" t="n">
        <x:v>8689842</x:v>
      </x:c>
      <x:c r="H130" t="str">
        <x:v>reported_amount</x:v>
      </x:c>
      <x:c r="I130" t="n">
        <x:v>7</x:v>
      </x:c>
      <x:c r="J130" t="str">
        <x:v>归属于上市公司股东的净利润</x:v>
      </x:c>
      <x:c r="K130" t="str">
        <x:v>candidate_pending_automated_verification</x:v>
      </x:c>
      <x:c r="L130" t="str">
        <x:v>https://static.cninfo.com.cn/finalpage/2026-08-29/1225528697.PDF</x:v>
      </x:c>
      <x:c r="M130" t="str">
        <x:v>10b93ce4b7b035942d336949e9ced2f087a67b8410ec7b7a4b92598a1a3bb7da</x:v>
      </x:c>
      <x:c r="N130" t="str">
        <x:v>：人民币 
主要会计数据 本报告期 
（1－6月） 上年同期 本报告期比上年同
期增减(%) 
营业收入 428,437,974 489,199,045 -12.42 
利润总额 12,102,399 15,353,454 -21.17 
归属于上市公司股东的净利润 8,689,842 10,701,474 -18.80 
归属于上市公司股东的扣除非经常性损益
的净利润 8,076,316 9,879,419 -18.25 
经营活动产生的现金流量净额 -78,856,432 -79,457,258 不适用 </x:v>
      </x:c>
    </x:row>
    <x:row r="131">
      <x:c r="A131" t="str">
        <x:v>756c2ada-723c-4f09-ad7e-a73f5d84e4e4</x:v>
      </x:c>
      <x:c r="B131" t="str">
        <x:v>601186</x:v>
      </x:c>
      <x:c r="C131" t="str">
        <x:v>中国铁建</x:v>
      </x:c>
      <x:c r="D131" t="str">
        <x:v>2026-06-30</x:v>
      </x:c>
      <x:c r="E131" t="str">
        <x:v>interim</x:v>
      </x:c>
      <x:c r="F131" t="str">
        <x:v>revenue</x:v>
      </x:c>
      <x:c r="G131" t="n">
        <x:v>428437974</x:v>
      </x:c>
      <x:c r="H131" t="str">
        <x:v>reported_amount</x:v>
      </x:c>
      <x:c r="I131" t="n">
        <x:v>7</x:v>
      </x:c>
      <x:c r="J131" t="str">
        <x:v>营业收入</x:v>
      </x:c>
      <x:c r="K131" t="str">
        <x:v>candidate_pending_automated_verification</x:v>
      </x:c>
      <x:c r="L131" t="str">
        <x:v>https://static.cninfo.com.cn/finalpage/2026-08-29/1225528697.PDF</x:v>
      </x:c>
      <x:c r="M131" t="str">
        <x:v>10b93ce4b7b035942d336949e9ced2f087a67b8410ec7b7a4b92598a1a3bb7da</x:v>
      </x:c>
      <x:c r="N131" t="str">
        <x:v>港湾仔皇后大道东183号合和中心17楼1712-1716号铺 
七、 公司主要会计数据和财务指标 
(一) 主要会计数据 
单位：千元 币种：人民币 
主要会计数据 本报告期 
（1－6月） 上年同期 本报告期比上年同
期增减(%) 
营业收入 428,437,974 489,199,045 -12.42 
利润总额 12,102,399 15,353,454 -21.17 
归属于上市公司股东的净利润 8,689,842 10,701,474 -18.80 
归属于上市公司股东的扣除非经常性损益
的净利润 8,076,316 9,879,419 -18.25 
经营活动产生的现金流量净额 -78,856,432 -79</x:v>
      </x:c>
    </x:row>
    <x:row r="132">
      <x:c r="A132" t="str">
        <x:v>ebadf6d4-d664-4770-b9c7-1ce5cf34b6bc</x:v>
      </x:c>
      <x:c r="B132" t="str">
        <x:v>601186</x:v>
      </x:c>
      <x:c r="C132" t="str">
        <x:v>中国铁建</x:v>
      </x:c>
      <x:c r="D132" t="str">
        <x:v>2026-06-30</x:v>
      </x:c>
      <x:c r="E132" t="str">
        <x:v>interim</x:v>
      </x:c>
      <x:c r="F132" t="str">
        <x:v>short_term_borrowings</x:v>
      </x:c>
      <x:c r="G132" t="n">
        <x:v>223833277</x:v>
      </x:c>
      <x:c r="H132" t="str">
        <x:v>CNY</x:v>
      </x:c>
      <x:c r="I132" t="n">
        <x:v>100</x:v>
      </x:c>
      <x:c r="J132" t="str">
        <x:v>短期借款</x:v>
      </x:c>
      <x:c r="K132" t="str">
        <x:v>candidate_pending_automated_verification</x:v>
      </x:c>
      <x:c r="L132" t="str">
        <x:v>https://static.cninfo.com.cn/finalpage/2026-08-29/1225528697.PDF</x:v>
      </x:c>
      <x:c r="M132" t="str">
        <x:v>10b93ce4b7b035942d336949e9ced2f087a67b8410ec7b7a4b92598a1a3bb7da</x:v>
      </x:c>
      <x:c r="N132" t="str">
        <x:v>建股份有限公司 
合并资产负债表（续） 
2026年6月30日 人民币千元 
100 
负债和股东权益 附注五 
2026年6月30日 
(未经审计)   
2025年12月31日 
流动负债        
短期借款 28  223,833,277   168,869,472  
吸收存款 29  1,705,376   1,872,095  
应付票据 30  28,960,987   37,124,169  
应付账款 31  574,570,431   591,387,684  
预收款项   538,430   479,084  
合同负债 32  125,818,171   121,005,</x:v>
      </x:c>
    </x:row>
    <x:row r="133">
      <x:c r="A133" t="str">
        <x:v>18c335f4-be3b-4e9e-bb7a-252a4ce8edf1</x:v>
      </x:c>
      <x:c r="B133" t="str">
        <x:v>601688</x:v>
      </x:c>
      <x:c r="C133" t="str">
        <x:v>华泰证券</x:v>
      </x:c>
      <x:c r="D133" t="str">
        <x:v>2026-06-30</x:v>
      </x:c>
      <x:c r="E133" t="str">
        <x:v>interim</x:v>
      </x:c>
      <x:c r="F133" t="str">
        <x:v>bonds_payable</x:v>
      </x:c>
      <x:c r="G133" t="n">
        <x:v>183091799381.39</x:v>
      </x:c>
      <x:c r="H133" t="str">
        <x:v>CNY</x:v>
      </x:c>
      <x:c r="I133" t="n">
        <x:v>253</x:v>
      </x:c>
      <x:c r="J133" t="str">
        <x:v>应付债券</x:v>
      </x:c>
      <x:c r="K133" t="str">
        <x:v>candidate_pending_automated_verification</x:v>
      </x:c>
      <x:c r="L133" t="str">
        <x:v>https://static.cninfo.com.cn/finalpage/2026-08-29/1225531512.PDF</x:v>
      </x:c>
      <x:c r="M133" t="str">
        <x:v>b53db27d680f98b7310861286830912110f2d35cfe51ec55290a022aac669078</x:v>
      </x:c>
      <x:c r="N133" t="str">
        <x:v>券款 240,910,426,138.33 - - - -
代理承销证券款 59,891,927.31 - - - -
应付款项 106,136,545,617.72 - - - -
长期借款 170,902,521.52 - - - -
应付债券 183,091,799,381.39 - - - -
其他负债 1,718,001,765.62 - - - -</x:v>
      </x:c>
    </x:row>
    <x:row r="134">
      <x:c r="A134" t="str">
        <x:v>2263a20d-03e1-40ff-b4a4-b0514c42c9fd</x:v>
      </x:c>
      <x:c r="B134" t="str">
        <x:v>601688</x:v>
      </x:c>
      <x:c r="C134" t="str">
        <x:v>华泰证券</x:v>
      </x:c>
      <x:c r="D134" t="str">
        <x:v>2026-06-30</x:v>
      </x:c>
      <x:c r="E134" t="str">
        <x:v>interim</x:v>
      </x:c>
      <x:c r="F134" t="str">
        <x:v>long_term_borrowings</x:v>
      </x:c>
      <x:c r="G134" t="n">
        <x:v>170902521.52</x:v>
      </x:c>
      <x:c r="H134" t="str">
        <x:v>CNY</x:v>
      </x:c>
      <x:c r="I134" t="n">
        <x:v>253</x:v>
      </x:c>
      <x:c r="J134" t="str">
        <x:v>长期借款</x:v>
      </x:c>
      <x:c r="K134" t="str">
        <x:v>candidate_pending_automated_verification</x:v>
      </x:c>
      <x:c r="L134" t="str">
        <x:v>https://static.cninfo.com.cn/finalpage/2026-08-29/1225531512.PDF</x:v>
      </x:c>
      <x:c r="M134" t="str">
        <x:v>b53db27d680f98b7310861286830912110f2d35cfe51ec55290a022aac669078</x:v>
      </x:c>
      <x:c r="N134" t="str">
        <x:v>156,521,961.64 - - - -
代理买卖证券款 240,910,426,138.33 - - - -
代理承销证券款 59,891,927.31 - - - -
应付款项 106,136,545,617.72 - - - -
长期借款 170,902,521.52 - - - -
应付债券 183,091,799,381.39 - - - -
其他负债 1,718,001,765.62 - - - -</x:v>
      </x:c>
    </x:row>
    <x:row r="135">
      <x:c r="A135" t="str">
        <x:v>9051b6fa-785e-4170-90d3-48277e476709</x:v>
      </x:c>
      <x:c r="B135" t="str">
        <x:v>601688</x:v>
      </x:c>
      <x:c r="C135" t="str">
        <x:v>华泰证券</x:v>
      </x:c>
      <x:c r="D135" t="str">
        <x:v>2026-06-30</x:v>
      </x:c>
      <x:c r="E135" t="str">
        <x:v>interim</x:v>
      </x:c>
      <x:c r="F135" t="str">
        <x:v>short_term_borrowings</x:v>
      </x:c>
      <x:c r="G135" t="n">
        <x:v>21647664361.92</x:v>
      </x:c>
      <x:c r="H135" t="str">
        <x:v>CNY</x:v>
      </x:c>
      <x:c r="I135" t="n">
        <x:v>253</x:v>
      </x:c>
      <x:c r="J135" t="str">
        <x:v>短期借款</x:v>
      </x:c>
      <x:c r="K135" t="str">
        <x:v>candidate_pending_automated_verification</x:v>
      </x:c>
      <x:c r="L135" t="str">
        <x:v>https://static.cninfo.com.cn/finalpage/2026-08-29/1225531512.PDF</x:v>
      </x:c>
      <x:c r="M135" t="str">
        <x:v>b53db27d680f98b7310861286830912110f2d35cfe51ec55290a022aac669078</x:v>
      </x:c>
      <x:c r="N135" t="str">
        <x:v>为以公允价值计量且其变动计入当
期损益的金融负债
人民币元
按照《金融工具确认和计量》准则指定为
以公允价值计量且其变动计入当期损益的
金融负债
人民币元
按照《套期会计》准则指定为以公允价值
计量且其变动计入当期损益的金融负债
人民币元
短期借款 21,647,664,361.92 - - - -
应付短期融资款 60,329,377,447.01 - - - -
拆入资金 37,134,967,294.70 - - - -
交易性金融负债 - - 25,031,028,087.00 11,390,890,128.40 -
衍生金融负债 - - 18,224,471,792.48 - -
卖出回购金融资产款 148,156,521,9</x:v>
      </x:c>
    </x:row>
    <x:row r="136">
      <x:c r="A136" t="str">
        <x:v>ca8e6577-f25d-4cbc-bb2e-b1d4698403d9</x:v>
      </x:c>
      <x:c r="B136" t="str">
        <x:v>601688</x:v>
      </x:c>
      <x:c r="C136" t="str">
        <x:v>华泰证券</x:v>
      </x:c>
      <x:c r="D136" t="str">
        <x:v>2026-06-30</x:v>
      </x:c>
      <x:c r="E136" t="str">
        <x:v>interim</x:v>
      </x:c>
      <x:c r="F136" t="str">
        <x:v>cash</x:v>
      </x:c>
      <x:c r="G136" t="n">
        <x:v>223337707129.8</x:v>
      </x:c>
      <x:c r="H136" t="str">
        <x:v>CNY</x:v>
      </x:c>
      <x:c r="I136" t="n">
        <x:v>252</x:v>
      </x:c>
      <x:c r="J136" t="str">
        <x:v>货币资金</x:v>
      </x:c>
      <x:c r="K136" t="str">
        <x:v>candidate_pending_automated_verification</x:v>
      </x:c>
      <x:c r="L136" t="str">
        <x:v>https://static.cninfo.com.cn/finalpage/2026-08-29/1225531512.PDF</x:v>
      </x:c>
      <x:c r="M136" t="str">
        <x:v>b53db27d680f98b7310861286830912110f2d35cfe51ec55290a022aac669078</x:v>
      </x:c>
      <x:c r="N136" t="str">
        <x:v>以公允价值计量且其变
动计入当期损益的金融资产
人民币元
按照《金融工具确认和计量》准
则指定为以公允价值计量且其变
动计入当期损益的金融资产
人民币元
按照《套期会计》准则指定为
以公允价值计量且其变动计入
当期损益的金融资产
人民币元
货币资金 223,337,707,129.80  -     -     - - -    -
结算备付金 54,440,703,032.35 - - - - - -
融出资金 186,014,824,515.55 - - - - - -
交易性金融资产 - - - - 379,239,859,010.10 - -
衍生金融资产 - - - - 11,437,029,972.81 - -
买入返售金融资</x:v>
      </x:c>
    </x:row>
    <x:row r="137">
      <x:c r="A137" t="str">
        <x:v>72e90680-d31d-43d0-9ed0-11e9738302db</x:v>
      </x:c>
      <x:c r="B137" t="str">
        <x:v>601688</x:v>
      </x:c>
      <x:c r="C137" t="str">
        <x:v>华泰证券</x:v>
      </x:c>
      <x:c r="D137" t="str">
        <x:v>2026-06-30</x:v>
      </x:c>
      <x:c r="E137" t="str">
        <x:v>interim</x:v>
      </x:c>
      <x:c r="F137" t="str">
        <x:v>bonds_payable</x:v>
      </x:c>
      <x:c r="G137" t="n">
        <x:v>211710647725.84</x:v>
      </x:c>
      <x:c r="H137" t="str">
        <x:v>CNY</x:v>
      </x:c>
      <x:c r="I137" t="n">
        <x:v>251</x:v>
      </x:c>
      <x:c r="J137" t="str">
        <x:v>应付债券</x:v>
      </x:c>
      <x:c r="K137" t="str">
        <x:v>candidate_pending_automated_verification</x:v>
      </x:c>
      <x:c r="L137" t="str">
        <x:v>https://static.cninfo.com.cn/finalpage/2026-08-29/1225531512.PDF</x:v>
      </x:c>
      <x:c r="M137" t="str">
        <x:v>b53db27d680f98b7310861286830912110f2d35cfe51ec55290a022aac669078</x:v>
      </x:c>
      <x:c r="N137" t="str">
        <x:v>款 335,023,778,401.29 - - - -
代理承销证券款 146,813,463.74 - - - -
应付款项 138,404,383,341.82 - - - -
长期借款 162,231,785.81 - - - -
应付债券 211,710,647,725.84 - - - -
其他负债 6,018,792,024.56 - - - -</x:v>
      </x:c>
    </x:row>
    <x:row r="138">
      <x:c r="A138" t="str">
        <x:v>a2619a11-1ae3-4c14-95d0-fd6f168f0d4b</x:v>
      </x:c>
      <x:c r="B138" t="str">
        <x:v>601688</x:v>
      </x:c>
      <x:c r="C138" t="str">
        <x:v>华泰证券</x:v>
      </x:c>
      <x:c r="D138" t="str">
        <x:v>2026-06-30</x:v>
      </x:c>
      <x:c r="E138" t="str">
        <x:v>interim</x:v>
      </x:c>
      <x:c r="F138" t="str">
        <x:v>long_term_borrowings</x:v>
      </x:c>
      <x:c r="G138" t="n">
        <x:v>162231785.81</x:v>
      </x:c>
      <x:c r="H138" t="str">
        <x:v>CNY</x:v>
      </x:c>
      <x:c r="I138" t="n">
        <x:v>251</x:v>
      </x:c>
      <x:c r="J138" t="str">
        <x:v>长期借款</x:v>
      </x:c>
      <x:c r="K138" t="str">
        <x:v>candidate_pending_automated_verification</x:v>
      </x:c>
      <x:c r="L138" t="str">
        <x:v>https://static.cninfo.com.cn/finalpage/2026-08-29/1225531512.PDF</x:v>
      </x:c>
      <x:c r="M138" t="str">
        <x:v>b53db27d680f98b7310861286830912110f2d35cfe51ec55290a022aac669078</x:v>
      </x:c>
      <x:c r="N138" t="str">
        <x:v>49,301,984.38 - - - -
代理买卖证券款 335,023,778,401.29 - - - -
代理承销证券款 146,813,463.74 - - - -
应付款项 138,404,383,341.82 - - - -
长期借款 162,231,785.81 - - - -
应付债券 211,710,647,725.84 - - - -
其他负债 6,018,792,024.56 - - - -</x:v>
      </x:c>
    </x:row>
    <x:row r="139">
      <x:c r="A139" t="str">
        <x:v>d1f0624a-771b-4a6b-8c97-d96b4914dbdd</x:v>
      </x:c>
      <x:c r="B139" t="str">
        <x:v>601688</x:v>
      </x:c>
      <x:c r="C139" t="str">
        <x:v>华泰证券</x:v>
      </x:c>
      <x:c r="D139" t="str">
        <x:v>2026-06-30</x:v>
      </x:c>
      <x:c r="E139" t="str">
        <x:v>interim</x:v>
      </x:c>
      <x:c r="F139" t="str">
        <x:v>short_term_borrowings</x:v>
      </x:c>
      <x:c r="G139" t="n">
        <x:v>30781532514.68</x:v>
      </x:c>
      <x:c r="H139" t="str">
        <x:v>CNY</x:v>
      </x:c>
      <x:c r="I139" t="n">
        <x:v>251</x:v>
      </x:c>
      <x:c r="J139" t="str">
        <x:v>短期借款</x:v>
      </x:c>
      <x:c r="K139" t="str">
        <x:v>candidate_pending_automated_verification</x:v>
      </x:c>
      <x:c r="L139" t="str">
        <x:v>https://static.cninfo.com.cn/finalpage/2026-08-29/1225531512.PDF</x:v>
      </x:c>
      <x:c r="M139" t="str">
        <x:v>b53db27d680f98b7310861286830912110f2d35cfe51ec55290a022aac669078</x:v>
      </x:c>
      <x:c r="N139" t="str">
        <x:v>为以公允价值计量且其变动
计入当期损益的金融负债
人民币元
按照《金融工具确认和计量》准则指定为
以公允价值计量且其变动计入当期损益的
金融负债
人民币元
按照《套期会计》准则指定为以公允价值
计量且其变动计入当期损益的金融负债
人民币元
短期借款 30,781,532,514.68 - - - -
应付短期融资款 49,143,623,021.94 - - - -
拆入资金 38,971,756,680.49 - - - -
交易性金融负债 - - 27,673,284,167.73 23,071,354,760.82 -
衍生金融负债 - - 71,365,833,731.34 - -
卖出回购金融资产款 183,949,301,9</x:v>
      </x:c>
    </x:row>
    <x:row r="140">
      <x:c r="A140" t="str">
        <x:v>eebd5be8-6881-4b1e-8b05-c52e621f4edc</x:v>
      </x:c>
      <x:c r="B140" t="str">
        <x:v>601688</x:v>
      </x:c>
      <x:c r="C140" t="str">
        <x:v>华泰证券</x:v>
      </x:c>
      <x:c r="D140" t="str">
        <x:v>2026-06-30</x:v>
      </x:c>
      <x:c r="E140" t="str">
        <x:v>interim</x:v>
      </x:c>
      <x:c r="F140" t="str">
        <x:v>short_term_borrowings</x:v>
      </x:c>
      <x:c r="G140" t="n">
        <x:v>30020833.33</x:v>
      </x:c>
      <x:c r="H140" t="str">
        <x:v>CNY</x:v>
      </x:c>
      <x:c r="I140" t="n">
        <x:v>239</x:v>
      </x:c>
      <x:c r="J140" t="str">
        <x:v>短期借款</x:v>
      </x:c>
      <x:c r="K140" t="str">
        <x:v>candidate_pending_automated_verification</x:v>
      </x:c>
      <x:c r="L140" t="str">
        <x:v>https://static.cninfo.com.cn/finalpage/2026-08-29/1225531512.PDF</x:v>
      </x:c>
      <x:c r="M140" t="str">
        <x:v>b53db27d680f98b7310861286830912110f2d35cfe51ec55290a022aac669078</x:v>
      </x:c>
      <x:c r="N140" t="str">
        <x:v>ES
238
关联方 关联方交易内容
2 0 2 6年6月3 0日
人民币元
2025 年 12 月 31 日
人民币元
本集团的联营和合营企业 拆入资金 200,038,888.89 500,044,166.67
本集团的联营和合营企业 短期借款 30,020,833.33 30,024,750.00
合计 230,059,722.22 530,068,916.67
(4)  关联方资金拆借
(5)  关联租赁
出租方名称 租赁资产种类
2 0 2 6年6月3 0日
租赁负债
人民币元
2025 年 12 月 31 日
租赁负债
人民币元
本集团的联营和合营企业 房屋建筑物 47,832,168.82 57,798,199.7</x:v>
      </x:c>
    </x:row>
    <x:row r="141">
      <x:c r="A141" t="str">
        <x:v>96c3011f-67a8-4658-873e-b45f5785fa4a</x:v>
      </x:c>
      <x:c r="B141" t="str">
        <x:v>601688</x:v>
      </x:c>
      <x:c r="C141" t="str">
        <x:v>华泰证券</x:v>
      </x:c>
      <x:c r="D141" t="str">
        <x:v>2026-06-30</x:v>
      </x:c>
      <x:c r="E141" t="str">
        <x:v>interim</x:v>
      </x:c>
      <x:c r="F141" t="str">
        <x:v>cash</x:v>
      </x:c>
      <x:c r="G141" t="n">
        <x:v>271538911409.25</x:v>
      </x:c>
      <x:c r="H141" t="str">
        <x:v>CNY</x:v>
      </x:c>
      <x:c r="I141" t="n">
        <x:v>222</x:v>
      </x:c>
      <x:c r="J141" t="str">
        <x:v>货币资金</x:v>
      </x:c>
      <x:c r="K141" t="str">
        <x:v>candidate_pending_automated_verification</x:v>
      </x:c>
      <x:c r="L141" t="str">
        <x:v>https://static.cninfo.com.cn/finalpage/2026-08-29/1225531512.PDF</x:v>
      </x:c>
      <x:c r="M141" t="str">
        <x:v>b53db27d680f98b7310861286830912110f2d35cfe51ec55290a022aac669078</x:v>
      </x:c>
      <x:c r="N141" t="str">
        <x:v>半年度报告2026INTERIM REPORT
财务报告及备查文件
公 司 治 理
经营分析与战略
关 于 我 们
221
2 0 2 6年6月3 0日
人民币元
2025 年 12 月 31 日
人民币元
货币资金 271,538,911,409.25 223,337,448,815.74
结算备付金 114,349,084,274.32 54,440,703,032.35
融出资金 226,955,047,110.52 186,014,824,515.55
交易性金融资产 194,687,513,882.81 172,083,847,507.87  
衍生金融资产 26,527,457,643.79 1</x:v>
      </x:c>
    </x:row>
    <x:row r="142">
      <x:c r="A142" t="str">
        <x:v>b7617018-02f1-4470-afa8-d4886011c701</x:v>
      </x:c>
      <x:c r="B142" t="str">
        <x:v>601688</x:v>
      </x:c>
      <x:c r="C142" t="str">
        <x:v>华泰证券</x:v>
      </x:c>
      <x:c r="D142" t="str">
        <x:v>2026-06-30</x:v>
      </x:c>
      <x:c r="E142" t="str">
        <x:v>interim</x:v>
      </x:c>
      <x:c r="F142" t="str">
        <x:v>cash</x:v>
      </x:c>
      <x:c r="G142" t="n">
        <x:v>135552.72</x:v>
      </x:c>
      <x:c r="H142" t="str">
        <x:v>CNY</x:v>
      </x:c>
      <x:c r="I142" t="n">
        <x:v>212</x:v>
      </x:c>
      <x:c r="J142" t="str">
        <x:v>货币资金</x:v>
      </x:c>
      <x:c r="K142" t="str">
        <x:v>candidate_pending_automated_verification</x:v>
      </x:c>
      <x:c r="L142" t="str">
        <x:v>https://static.cninfo.com.cn/finalpage/2026-08-29/1225531512.PDF</x:v>
      </x:c>
      <x:c r="M142" t="str">
        <x:v>b53db27d680f98b7310861286830912110f2d35cfe51ec55290a022aac669078</x:v>
      </x:c>
      <x:c r="N142" t="str">
        <x:v>3.24 223,152,323,787.49
其中：库存现金 281,447.31  360,010.10 
可随时用于支付的银行存款 269,794,245,311.67  186,716,613,069.97  
可随时用于支付的其他货币资金 135,552.72  6,122,380.08 
结算备付金 114,344,329,621.54 36,429,228,327.34
现金等价物 6,806,716,864.88 8,462,705,836.65
其中：原到期日在三个月内的买入返售金融资产 5,761,638,138.42 6,937,287,070.00
原到期日在三个月内的债券投资 1,045,078,</x:v>
      </x:c>
    </x:row>
    <x:row r="143">
      <x:c r="A143" t="str">
        <x:v>10086f29-bf21-41dd-acc8-5dd1e5c3f914</x:v>
      </x:c>
      <x:c r="B143" t="str">
        <x:v>601688</x:v>
      </x:c>
      <x:c r="C143" t="str">
        <x:v>华泰证券</x:v>
      </x:c>
      <x:c r="D143" t="str">
        <x:v>2026-06-30</x:v>
      </x:c>
      <x:c r="E143" t="str">
        <x:v>interim</x:v>
      </x:c>
      <x:c r="F143" t="str">
        <x:v>short_term_borrowings</x:v>
      </x:c>
      <x:c r="G143" t="n">
        <x:v>0</x:v>
      </x:c>
      <x:c r="H143" t="str">
        <x:v>CNY</x:v>
      </x:c>
      <x:c r="I143" t="n">
        <x:v>180</x:v>
      </x:c>
      <x:c r="J143" t="str">
        <x:v>短期借款</x:v>
      </x:c>
      <x:c r="K143" t="str">
        <x:v>candidate_pending_automated_verification</x:v>
      </x:c>
      <x:c r="L143" t="str">
        <x:v>https://static.cninfo.com.cn/finalpage/2026-08-29/1225531512.PDF</x:v>
      </x:c>
      <x:c r="M143" t="str">
        <x:v>b53db27d680f98b7310861286830912110f2d35cfe51ec55290a022aac669078</x:v>
      </x:c>
      <x:c r="N143" t="str">
        <x:v>90.25
应收利息坏账准备 - - 45,499,025.09 45,499,025.09
合计 1,403,331,381.16 983,736,054.15 1,512,917,156.74 3,899,984,592.05
22  短期借款
2 0 2 6年6月3 0日
人民币元
2025 年 12 月 31 日
人民币元
信用借款 30,103,979,505.97 20,879,927,361.92
质押借款 677,553,008.71 767,737,000.00
合计 30,781,532,514.68 21,647,664,361.92
</x:v>
      </x:c>
    </x:row>
    <x:row r="144">
      <x:c r="A144" t="str">
        <x:v>f41ca626-5240-434a-bf88-6394cb1bfe6e</x:v>
      </x:c>
      <x:c r="B144" t="str">
        <x:v>601688</x:v>
      </x:c>
      <x:c r="C144" t="str">
        <x:v>华泰证券</x:v>
      </x:c>
      <x:c r="D144" t="str">
        <x:v>2026-06-30</x:v>
      </x:c>
      <x:c r="E144" t="str">
        <x:v>interim</x:v>
      </x:c>
      <x:c r="F144" t="str">
        <x:v>cash</x:v>
      </x:c>
      <x:c r="G144" t="n">
        <x:v>135552.72</x:v>
      </x:c>
      <x:c r="H144" t="str">
        <x:v>CNY</x:v>
      </x:c>
      <x:c r="I144" t="n">
        <x:v>155</x:v>
      </x:c>
      <x:c r="J144" t="str">
        <x:v>货币资金</x:v>
      </x:c>
      <x:c r="K144" t="str">
        <x:v>candidate_pending_automated_verification</x:v>
      </x:c>
      <x:c r="L144" t="str">
        <x:v>https://static.cninfo.com.cn/finalpage/2026-08-29/1225531512.PDF</x:v>
      </x:c>
      <x:c r="M144" t="str">
        <x:v>b53db27d680f98b7310861286830912110f2d35cfe51ec55290a022aac669078</x:v>
      </x:c>
      <x:c r="N144" t="str">
        <x:v>3,608.92 223,337,483,156.42
其中：客户资金存款 211,832,870,123.61 175,644,164,771.36 
公司存款 59,705,963,485.31 47,693,318,385.06
其他货币资金 135,552.72 69,348.21
减：减值准备 (57,752.39) (103,688.89)
合计 271,539,192,856.56 223,337,707,129.80</x:v>
      </x:c>
    </x:row>
    <x:row r="145">
      <x:c r="A145" t="str">
        <x:v>4f4fd3f4-37bd-4492-94ab-1149962a9a13</x:v>
      </x:c>
      <x:c r="B145" t="str">
        <x:v>601688</x:v>
      </x:c>
      <x:c r="C145" t="str">
        <x:v>华泰证券</x:v>
      </x:c>
      <x:c r="D145" t="str">
        <x:v>2026-06-30</x:v>
      </x:c>
      <x:c r="E145" t="str">
        <x:v>interim</x:v>
      </x:c>
      <x:c r="F145" t="str">
        <x:v>operating_cash_flow</x:v>
      </x:c>
      <x:c r="G145" t="n">
        <x:v>78832257718.98</x:v>
      </x:c>
      <x:c r="H145" t="str">
        <x:v>reported_amount</x:v>
      </x:c>
      <x:c r="I145" t="n">
        <x:v>17</x:v>
      </x:c>
      <x:c r="J145" t="str">
        <x:v>经营活动产生的现金流量净额</x:v>
      </x:c>
      <x:c r="K145" t="str">
        <x:v>candidate_pending_automated_verification</x:v>
      </x:c>
      <x:c r="L145" t="str">
        <x:v>https://static.cninfo.com.cn/finalpage/2026-08-29/1225531512.PDF</x:v>
      </x:c>
      <x:c r="M145" t="str">
        <x:v>b53db27d680f98b7310861286830912110f2d35cfe51ec55290a022aac669078</x:v>
      </x:c>
      <x:c r="N145" t="str">
        <x:v>5
归属于母公司股东的净利润 11,691,538,976.32 7,549,447,367.16 54.87
归属于母公司股东的扣除非经
常性损益的净利润 11,702,280,917.06 7,455,742,838.93 56.96
经营活动产生的现金流量净额 78,832,257,718.98 7,609,796,448.08 935.93
其他综合收益的税后净额 -1,997,535,951.04 265,338,662.74 不适用
本报告期末 上年度末
本报告期末
比上年度末增减 (%)
资产总额 1,351,617,011,782.90 1,077,347,555,872.09 25.46
负债总额 1,135,402,997,761.5</x:v>
      </x:c>
    </x:row>
    <x:row r="146">
      <x:c r="A146" t="str">
        <x:v>de3b8792-2d1d-4b18-8331-bdc533bd7bc9</x:v>
      </x:c>
      <x:c r="B146" t="str">
        <x:v>601688</x:v>
      </x:c>
      <x:c r="C146" t="str">
        <x:v>华泰证券</x:v>
      </x:c>
      <x:c r="D146" t="str">
        <x:v>2026-06-30</x:v>
      </x:c>
      <x:c r="E146" t="str">
        <x:v>interim</x:v>
      </x:c>
      <x:c r="F146" t="str">
        <x:v>revenue</x:v>
      </x:c>
      <x:c r="G146" t="n">
        <x:v>23657992725.6</x:v>
      </x:c>
      <x:c r="H146" t="str">
        <x:v>reported_amount</x:v>
      </x:c>
      <x:c r="I146" t="n">
        <x:v>17</x:v>
      </x:c>
      <x:c r="J146" t="str">
        <x:v>营业收入</x:v>
      </x:c>
      <x:c r="K146" t="str">
        <x:v>candidate_pending_automated_verification</x:v>
      </x:c>
      <x:c r="L146" t="str">
        <x:v>https://static.cninfo.com.cn/finalpage/2026-08-29/1225531512.PDF</x:v>
      </x:c>
      <x:c r="M146" t="str">
        <x:v>b53db27d680f98b7310861286830912110f2d35cfe51ec55290a022aac669078</x:v>
      </x:c>
      <x:c r="N146" t="str">
        <x:v>（一）主要会计数据
单位： 元   币种： 人民币
主要会计数据
本报告期
（1—6 月） 上年同期
本报告期
比上年同期增减 (%)
营业收入 23,657,992,725.60 16,219,421,678.66 45.86
利润总额 13,772,208,769.98 8,524,841,675.59 61.55
归属于母公司股东的净利润 11,691,538,976.32 7,549,447,367.16 54.87
归属于母公司股东的扣除非经
常性损益的净利润 11,702,280,917.06 7,455,742,838.</x:v>
      </x:c>
    </x:row>
    <x:row r="147">
      <x:c r="A147" t="str">
        <x:v>9e75735a-bd35-45f8-b73b-328ded40b126</x:v>
      </x:c>
      <x:c r="B147" t="str">
        <x:v>601688</x:v>
      </x:c>
      <x:c r="C147" t="str">
        <x:v>华泰证券</x:v>
      </x:c>
      <x:c r="D147" t="str">
        <x:v>2026-06-30</x:v>
      </x:c>
      <x:c r="E147" t="str">
        <x:v>interim</x:v>
      </x:c>
      <x:c r="F147" t="str">
        <x:v>cash</x:v>
      </x:c>
      <x:c r="G147" t="n">
        <x:v>21959391696.56</x:v>
      </x:c>
      <x:c r="H147" t="str">
        <x:v>CNY</x:v>
      </x:c>
      <x:c r="I147" t="n">
        <x:v>247</x:v>
      </x:c>
      <x:c r="J147" t="str">
        <x:v>货币资金</x:v>
      </x:c>
      <x:c r="K147" t="str">
        <x:v>candidate_pending_automated_verification</x:v>
      </x:c>
      <x:c r="L147" t="str">
        <x:v>https://static.cninfo.com.cn/finalpage/2026-08-29/1225531512.PDF</x:v>
      </x:c>
      <x:c r="M147" t="str">
        <x:v>b53db27d680f98b7310861286830912110f2d35cfe51ec55290a022aac669078</x:v>
      </x:c>
      <x:c r="N147" t="str">
        <x:v>0 2 6年6月3 0日
人民币元
2025 年 12 月 31 日
人民币元
股票 653,623,989,086.43 503,380,244,109.96
基金 24,927,209,056.73 21,331,801,640.25
货币资金 21,959,391,696.56 13,940,271,718.55
债券 871,336,644.67 741,046,135.25
合计 701,381,926,484.39 539,393,363,604.01
(iii)  融出资金及融出证券担保物公允价值</x:v>
      </x:c>
    </x:row>
    <x:row r="148">
      <x:c r="A148" t="str">
        <x:v>f9696a8f-3f40-487f-9081-2eac0d814858</x:v>
      </x:c>
      <x:c r="B148" t="str">
        <x:v>601688</x:v>
      </x:c>
      <x:c r="C148" t="str">
        <x:v>华泰证券</x:v>
      </x:c>
      <x:c r="D148" t="str">
        <x:v>2026-06-30</x:v>
      </x:c>
      <x:c r="E148" t="str">
        <x:v>interim</x:v>
      </x:c>
      <x:c r="F148" t="str">
        <x:v>cash</x:v>
      </x:c>
      <x:c r="G148" t="n">
        <x:v>271539192856.56</x:v>
      </x:c>
      <x:c r="H148" t="str">
        <x:v>CNY</x:v>
      </x:c>
      <x:c r="I148" t="n">
        <x:v>250</x:v>
      </x:c>
      <x:c r="J148" t="str">
        <x:v>货币资金</x:v>
      </x:c>
      <x:c r="K148" t="str">
        <x:v>candidate_pending_automated_verification</x:v>
      </x:c>
      <x:c r="L148" t="str">
        <x:v>https://static.cninfo.com.cn/finalpage/2026-08-29/1225531512.PDF</x:v>
      </x:c>
      <x:c r="M148" t="str">
        <x:v>b53db27d680f98b7310861286830912110f2d35cfe51ec55290a022aac669078</x:v>
      </x:c>
      <x:c r="N148" t="str">
        <x:v>公允
价值计量且其变动计入
当期损益的金融资产
人民币元
按照《金融工具确认和计量》准
则指定为以公允价值计量且其变
动计入当期损益的金融资产
人民币元
按照《套期会计》准则指定为
以公允价值计量且其变动计入
当期损益的金融资产
人民币元
货币资金 271,539,192,856.56 - - - - - -
结算备付金 114,349,084,274.32 - - - - - -
融出资金 226,955,047,110.52 - - - - - -
交易性金融资产 - - - - 472,819,195,634.87 - -
衍生金融资产 - - - - 26,527,457,643.79 - -
买入返售金融资产 19,817,62</x:v>
      </x:c>
    </x:row>
    <x:row r="149">
      <x:c r="A149" t="str">
        <x:v>02353f43-d87a-4a53-801f-e6da4e1d7135</x:v>
      </x:c>
      <x:c r="B149" t="str">
        <x:v>601688</x:v>
      </x:c>
      <x:c r="C149" t="str">
        <x:v>华泰证券</x:v>
      </x:c>
      <x:c r="D149" t="str">
        <x:v>2026-06-30</x:v>
      </x:c>
      <x:c r="E149" t="str">
        <x:v>interim</x:v>
      </x:c>
      <x:c r="F149" t="str">
        <x:v>cash</x:v>
      </x:c>
      <x:c r="G149" t="n">
        <x:v>1066226246.04</x:v>
      </x:c>
      <x:c r="H149" t="str">
        <x:v>CNY</x:v>
      </x:c>
      <x:c r="I149" t="n">
        <x:v>249</x:v>
      </x:c>
      <x:c r="J149" t="str">
        <x:v>货币资金</x:v>
      </x:c>
      <x:c r="K149" t="str">
        <x:v>candidate_pending_automated_verification</x:v>
      </x:c>
      <x:c r="L149" t="str">
        <x:v>https://static.cninfo.com.cn/finalpage/2026-08-29/1225531512.PDF</x:v>
      </x:c>
      <x:c r="M149" t="str">
        <x:v>b53db27d680f98b7310861286830912110f2d35cfe51ec55290a022aac669078</x:v>
      </x:c>
      <x:c r="N149" t="str">
        <x:v>融负债小计  (26,334,074,411.14) 19,898,111,230.56  -     -    (103,848,429,545.62)
2 0 2 6年6月3 0日
人民币元
2025 年 12 月 31 日
人民币元
货币资金 1,066,226,246.04 1,548,889,159.05
交易性金融资产 161,820,148,062.35 140,140,408,031.83
债权投资 39,274,582,966.79   39,548,004,439.95  
其他债权投资 29,222,877,392.47   29,093,373,483.84
其他权益工具投资 331,242,700.33 19</x:v>
      </x:c>
    </x:row>
    <x:row r="150">
      <x:c r="A150" t="str">
        <x:v>211f544e-2257-4082-8d08-270895ee393f</x:v>
      </x:c>
      <x:c r="B150" t="str">
        <x:v>601988</x:v>
      </x:c>
      <x:c r="C150" t="str">
        <x:v>中国银行</x:v>
      </x:c>
      <x:c r="D150" t="str">
        <x:v>2026-03-31</x:v>
      </x:c>
      <x:c r="E150" t="str">
        <x:v>first_quarter</x:v>
      </x:c>
      <x:c r="F150" t="str">
        <x:v>operating_cash_flow</x:v>
      </x:c>
      <x:c r="G150" t="n">
        <x:v>196208</x:v>
      </x:c>
      <x:c r="H150" t="str">
        <x:v>reported_amount</x:v>
      </x:c>
      <x:c r="I150" t="n">
        <x:v>2</x:v>
      </x:c>
      <x:c r="J150" t="str">
        <x:v>经营活动产生的现金流量净额</x:v>
      </x:c>
      <x:c r="K150" t="str">
        <x:v>candidate_pending_automated_verification</x:v>
      </x:c>
      <x:c r="L150" t="str">
        <x:v>https://static.cninfo.com.cn/finalpage/2026-04-30/1225261331.PDF</x:v>
      </x:c>
      <x:c r="M150" t="str">
        <x:v>e3a1b4b35cdceabc38883b36a61f210e81c07ebd8ca68bd347a4f18eafdcb14e</x:v>
      </x:c>
      <x:c r="N150" t="str">
        <x:v>增减
(%)
营业收入 178,846 8.44
利润总额 74,764 1.93
净利润 60,959 3.95
归属于母公司所有者的净利润 56,631 4.17
扣除非经常性损益后归属于母公司
所有者的净利润 56,603 3.64
经营活动产生的现金流量净额 196,208 不适用
基本和稀释每股收益
（人民币元） 0.18 -4.68
扣除非经常性损益后基本每股收益
（人民币元） 0.18 -5.17
加权平均净资产收益率
（%，年化） 8.46 下降 0.63 个
百分点
加权平均净资产收益率
（%，年化，扣除非经常性损益后） 8.46 下降 0.67 个
百分点
项目 本报告期末 上年度末
本报告期末比
上年度末增减
(</x:v>
      </x:c>
    </x:row>
    <x:row r="151">
      <x:c r="A151" t="str">
        <x:v>d11ec5a9-ecef-4ce3-9875-2dc8d44431f8</x:v>
      </x:c>
      <x:c r="B151" t="str">
        <x:v>601988</x:v>
      </x:c>
      <x:c r="C151" t="str">
        <x:v>中国银行</x:v>
      </x:c>
      <x:c r="D151" t="str">
        <x:v>2026-03-31</x:v>
      </x:c>
      <x:c r="E151" t="str">
        <x:v>first_quarter</x:v>
      </x:c>
      <x:c r="F151" t="str">
        <x:v>revenue</x:v>
      </x:c>
      <x:c r="G151" t="n">
        <x:v>178846</x:v>
      </x:c>
      <x:c r="H151" t="str">
        <x:v>reported_amount</x:v>
      </x:c>
      <x:c r="I151" t="n">
        <x:v>2</x:v>
      </x:c>
      <x:c r="J151" t="str">
        <x:v>营业收入</x:v>
      </x:c>
      <x:c r="K151" t="str">
        <x:v>candidate_pending_automated_verification</x:v>
      </x:c>
      <x:c r="L151" t="str">
        <x:v>https://static.cninfo.com.cn/finalpage/2026-04-30/1225261331.PDF</x:v>
      </x:c>
      <x:c r="M151" t="str">
        <x:v>e3a1b4b35cdceabc38883b36a61f210e81c07ebd8ca68bd347a4f18eafdcb14e</x:v>
      </x:c>
      <x:c r="N151" t="str">
        <x:v>2
一、主要财务数据
1.1 基于中国企业会计准则编制的主要会计数据和财务指标
单位：百万元人民币（另有说明者除外）
项目 年初至
报告期末
年初至报告期末比
上年同期增减
(%)
营业收入 178,846 8.44
利润总额 74,764 1.93
净利润 60,959 3.95
归属于母公司所有者的净利润 56,631 4.17
扣除非经常性损益后归属于母公司
所有者的净利润 56,603 3.64
经营活动产生的现金流量净额 196,208 不适用
基本和稀释每股收益
（人民币元） 0.18 -4.68
扣除非经常性损益后基本每股收益
（人民币元） 0.</x:v>
      </x:c>
    </x:row>
    <x:row r="152">
      <x:c r="A152" t="str">
        <x:v>2b7f72b9-a80a-4be3-96b1-467af66c66db</x:v>
      </x:c>
      <x:c r="B152" t="str">
        <x:v>601988</x:v>
      </x:c>
      <x:c r="C152" t="str">
        <x:v>中国银行</x:v>
      </x:c>
      <x:c r="D152" t="str">
        <x:v>2026-06-30</x:v>
      </x:c>
      <x:c r="E152" t="str">
        <x:v>interim</x:v>
      </x:c>
      <x:c r="F152" t="str">
        <x:v>bonds_payable</x:v>
      </x:c>
      <x:c r="G152" t="n">
        <x:v>75115</x:v>
      </x:c>
      <x:c r="H152" t="str">
        <x:v>CNY</x:v>
      </x:c>
      <x:c r="I152" t="n">
        <x:v>166</x:v>
      </x:c>
      <x:c r="J152" t="str">
        <x:v>应付债券</x:v>
      </x:c>
      <x:c r="K152" t="str">
        <x:v>candidate_pending_automated_verification</x:v>
      </x:c>
      <x:c r="L152" t="str">
        <x:v>https://static.cninfo.com.cn/finalpage/2026-08-29/1225526341.PDF</x:v>
      </x:c>
      <x:c r="M152" t="str">
        <x:v>b798a5056ed8ed888e6d8c89e061ab379c872095dd090b4b14b50e4c42f6186d</x:v>
      </x:c>
      <x:c r="N152" t="str">
        <x:v>1,364   7,646   -   -   84,345  
吸收存款  12,539,005   2,764,915   5,386,939   4,835,552   31,334   624,686   26,182,431  
应付债券  75,115   311,312   961,981   740,412   193,354   12,514   2,294,688  
其他金融负债  735   -   -   -   -   382,033   382,768  
金融负债合计  15,418,184   3,905,794   8,133,940 </x:v>
      </x:c>
    </x:row>
    <x:row r="153">
      <x:c r="A153" t="str">
        <x:v>56dafbc8-b104-46ec-85d9-614452eeaf63</x:v>
      </x:c>
      <x:c r="B153" t="str">
        <x:v>601988</x:v>
      </x:c>
      <x:c r="C153" t="str">
        <x:v>中国银行</x:v>
      </x:c>
      <x:c r="D153" t="str">
        <x:v>2026-06-30</x:v>
      </x:c>
      <x:c r="E153" t="str">
        <x:v>interim</x:v>
      </x:c>
      <x:c r="F153" t="str">
        <x:v>long_term_borrowings</x:v>
      </x:c>
      <x:c r="G153" t="n">
        <x:v>63322</x:v>
      </x:c>
      <x:c r="H153" t="str">
        <x:v>CNY</x:v>
      </x:c>
      <x:c r="I153" t="n">
        <x:v>113</x:v>
      </x:c>
      <x:c r="J153" t="str">
        <x:v>长期借款</x:v>
      </x:c>
      <x:c r="K153" t="str">
        <x:v>candidate_pending_automated_verification</x:v>
      </x:c>
      <x:c r="L153" t="str">
        <x:v>https://static.cninfo.com.cn/finalpage/2026-08-29/1225526341.PDF</x:v>
      </x:c>
      <x:c r="M153" t="str">
        <x:v>b798a5056ed8ed888e6d8c89e061ab379c872095dd090b4b14b50e4c42f6186d</x:v>
      </x:c>
      <x:c r="N153" t="str">
        <x:v>26年6月30日   2025年12月31日  
发行货币债务  229,894   230,111  
保险合同负债  410,503   367,026  
应付待结算及清算款项  120,568   89,727  
长期借款  63,322   54,545  
应付股利  42,449   12,231  
递延收入  7,278   7,355  
其他  79,210   89,226  
合计  953,224   850,221  
  </x:v>
      </x:c>
    </x:row>
    <x:row r="154">
      <x:c r="A154" t="str">
        <x:v>587832c1-614a-4133-ae86-69f208af6217</x:v>
      </x:c>
      <x:c r="B154" t="str">
        <x:v>601988</x:v>
      </x:c>
      <x:c r="C154" t="str">
        <x:v>中国银行</x:v>
      </x:c>
      <x:c r="D154" t="str">
        <x:v>2026-06-30</x:v>
      </x:c>
      <x:c r="E154" t="str">
        <x:v>interim</x:v>
      </x:c>
      <x:c r="F154" t="str">
        <x:v>bonds_payable</x:v>
      </x:c>
      <x:c r="G154" t="n">
        <x:v>2115686</x:v>
      </x:c>
      <x:c r="H154" t="str">
        <x:v>CNY</x:v>
      </x:c>
      <x:c r="I154" t="n">
        <x:v>168</x:v>
      </x:c>
      <x:c r="J154" t="str">
        <x:v>应付债券</x:v>
      </x:c>
      <x:c r="K154" t="str">
        <x:v>candidate_pending_automated_verification</x:v>
      </x:c>
      <x:c r="L154" t="str">
        <x:v>https://static.cninfo.com.cn/finalpage/2026-08-29/1225526341.PDF</x:v>
      </x:c>
      <x:c r="M154" t="str">
        <x:v>b798a5056ed8ed888e6d8c89e061ab379c872095dd090b4b14b50e4c42f6186d</x:v>
      </x:c>
      <x:c r="N154" t="str">
        <x:v>   -   14,477   84,345  
吸收存款  20,707,947   2,629,337   1,640,221   350,996   153,587   60,278   640,065   26,182,431  
应付债券  2,115,686   152,642   4,951   15,611   -   2,416   3,382   2,294,688  
其他  424,102   163,669   347,191   3,905   1,453   10,472   36,258   987,050  
负债合计  27,602,1</x:v>
      </x:c>
    </x:row>
    <x:row r="155">
      <x:c r="A155" t="str">
        <x:v>87623c32-3652-408f-9529-c42d27097884</x:v>
      </x:c>
      <x:c r="B155" t="str">
        <x:v>601988</x:v>
      </x:c>
      <x:c r="C155" t="str">
        <x:v>中国银行</x:v>
      </x:c>
      <x:c r="D155" t="str">
        <x:v>2026-06-30</x:v>
      </x:c>
      <x:c r="E155" t="str">
        <x:v>interim</x:v>
      </x:c>
      <x:c r="F155" t="str">
        <x:v>bonds_payable</x:v>
      </x:c>
      <x:c r="G155" t="n">
        <x:v>223821</x:v>
      </x:c>
      <x:c r="H155" t="str">
        <x:v>CNY</x:v>
      </x:c>
      <x:c r="I155" t="n">
        <x:v>165</x:v>
      </x:c>
      <x:c r="J155" t="str">
        <x:v>应付债券</x:v>
      </x:c>
      <x:c r="K155" t="str">
        <x:v>candidate_pending_automated_verification</x:v>
      </x:c>
      <x:c r="L155" t="str">
        <x:v>https://static.cninfo.com.cn/finalpage/2026-08-29/1225526341.PDF</x:v>
      </x:c>
      <x:c r="M155" t="str">
        <x:v>b798a5056ed8ed888e6d8c89e061ab379c872095dd090b4b14b50e4c42f6186d</x:v>
      </x:c>
      <x:c r="N155" t="str">
        <x:v>1,365   7,070   -   -   330,640  
吸收存款  13,005,172   2,488,846   5,820,360   4,938,586   1,687   571,112   26,825,763  
应付债券  223,821   361,324   636,966   840,431   184,744   15,157   2,262,443  
其他金融负债  1,578   1,364   2,829   5,919   98   772,570   784,358  
金融负债合计  16,879,420   3,728,9</x:v>
      </x:c>
    </x:row>
    <x:row r="156">
      <x:c r="A156" t="str">
        <x:v>3f0607ec-a61b-4da1-9f7b-5498d8c434c3</x:v>
      </x:c>
      <x:c r="B156" t="str">
        <x:v>601988</x:v>
      </x:c>
      <x:c r="C156" t="str">
        <x:v>中国银行</x:v>
      </x:c>
      <x:c r="D156" t="str">
        <x:v>2026-06-30</x:v>
      </x:c>
      <x:c r="E156" t="str">
        <x:v>interim</x:v>
      </x:c>
      <x:c r="F156" t="str">
        <x:v>bonds_payable</x:v>
      </x:c>
      <x:c r="G156" t="n">
        <x:v>2087347</x:v>
      </x:c>
      <x:c r="H156" t="str">
        <x:v>CNY</x:v>
      </x:c>
      <x:c r="I156" t="n">
        <x:v>167</x:v>
      </x:c>
      <x:c r="J156" t="str">
        <x:v>应付债券</x:v>
      </x:c>
      <x:c r="K156" t="str">
        <x:v>candidate_pending_automated_verification</x:v>
      </x:c>
      <x:c r="L156" t="str">
        <x:v>https://static.cninfo.com.cn/finalpage/2026-08-29/1225526341.PDF</x:v>
      </x:c>
      <x:c r="M156" t="str">
        <x:v>b798a5056ed8ed888e6d8c89e061ab379c872095dd090b4b14b50e4c42f6186d</x:v>
      </x:c>
      <x:c r="N156" t="str">
        <x:v>  -   29,093   330,640  
吸收存款  21,374,855   2,507,680   1,660,045   339,691   201,650   64,318   677,524   26,825,763  
应付债券  2,087,347   159,294   4,263   7,253   -   2,348   1,938   2,262,443  
其他  444,864   194,348   375,018   7,906   3,325   10,543   42,802   1,078,806  
负债合计  29,270,</x:v>
      </x:c>
    </x:row>
    <x:row r="157">
      <x:c r="A157" t="str">
        <x:v>059836fb-0e03-4fc8-8c49-6173ba35302c</x:v>
      </x:c>
      <x:c r="B157" t="str">
        <x:v>601939</x:v>
      </x:c>
      <x:c r="C157" t="str">
        <x:v>建设银行</x:v>
      </x:c>
      <x:c r="D157" t="str">
        <x:v>2026-06-30</x:v>
      </x:c>
      <x:c r="E157" t="str">
        <x:v>interim</x:v>
      </x:c>
      <x:c r="F157" t="str">
        <x:v>operating_cash_flow</x:v>
      </x:c>
      <x:c r="G157" t="n">
        <x:v>51</x:v>
      </x:c>
      <x:c r="H157" t="str">
        <x:v>CNY</x:v>
      </x:c>
      <x:c r="I157" t="n">
        <x:v>99</x:v>
      </x:c>
      <x:c r="J157" t="str">
        <x:v>经营活动产生的现金流量净额</x:v>
      </x:c>
      <x:c r="K157" t="str">
        <x:v>candidate_pending_automated_verification</x:v>
      </x:c>
      <x:c r="L157" t="str">
        <x:v>https://static.cninfo.com.cn/finalpage/2026-08-29/1225531678.PDF</x:v>
      </x:c>
      <x:c r="M157" t="str">
        <x:v>44df14ec06aa5c44eb6584f8746a12a35a542207cc9b05f4559c0a1ab05c0735</x:v>
      </x:c>
      <x:c r="N157" t="str">
        <x:v>8,795 )  (245,331 ) 
经营活动现金流出小计   (2,503,708 )  (3,277,206 )  (2,508,641 )  (3,254,800 ) 
经营活动产生的现金流量净额 51(1)  350,683   1,256,614   274,961   1,242,081  
刊载于第25 页至第 252 页的财务报表附注为本财务报表的组成部分。   </x:v>
      </x:c>
    </x:row>
    <x:row r="158">
      <x:c r="A158" t="str">
        <x:v>108f4fa2-5685-4228-aa72-77d9b2eb80da</x:v>
      </x:c>
      <x:c r="B158" t="str">
        <x:v>601800</x:v>
      </x:c>
      <x:c r="C158" t="str">
        <x:v>中国交建</x:v>
      </x:c>
      <x:c r="D158" t="str">
        <x:v>2026-06-30</x:v>
      </x:c>
      <x:c r="E158" t="str">
        <x:v>interim</x:v>
      </x:c>
      <x:c r="F158" t="str">
        <x:v>cash</x:v>
      </x:c>
      <x:c r="G158" t="n">
        <x:v>2026</x:v>
      </x:c>
      <x:c r="H158" t="str">
        <x:v>CNY</x:v>
      </x:c>
      <x:c r="I158" t="n">
        <x:v>152</x:v>
      </x:c>
      <x:c r="J158" t="str">
        <x:v>货币资金</x:v>
      </x:c>
      <x:c r="K158" t="str">
        <x:v>candidate_pending_automated_verification</x:v>
      </x:c>
      <x:c r="L158" t="str">
        <x:v>https://static.cninfo.com.cn/finalpage/2026-08-28/1225518941.PDF</x:v>
      </x:c>
      <x:c r="M158" t="str">
        <x:v>a6501f9fb7ad4574ca79d1bad4ec5a5ae6be80ade0d6cbd679409ba1bdb15ae0</x:v>
      </x:c>
      <x:c r="N158" t="str">
        <x:v>中国交通建设股份有限公司 
自 2026 年 1 月 1 日至 2026 年 6 月 30 日止期间财务报表 
第 62 页 
五、 合并财务报表主要项目注释 
1. 货币资金 
2026 年 
6 月 30 日   
2025 年 
12 月 31 日 
  (未经审计)     
库存现金 27,418,836   33,949,113 
银行存款 183,523,509,536   146,152,860,794 
其他货币资金 4,749,272,585   4,869,530,382 
合计 18</x:v>
      </x:c>
    </x:row>
    <x:row r="159">
      <x:c r="A159" t="str">
        <x:v>2c377dbe-6c7b-4496-bdab-64e2f24fbe10</x:v>
      </x:c>
      <x:c r="B159" t="str">
        <x:v>601800</x:v>
      </x:c>
      <x:c r="C159" t="str">
        <x:v>中国交建</x:v>
      </x:c>
      <x:c r="D159" t="str">
        <x:v>2026-06-30</x:v>
      </x:c>
      <x:c r="E159" t="str">
        <x:v>interim</x:v>
      </x:c>
      <x:c r="F159" t="str">
        <x:v>long_term_borrowings</x:v>
      </x:c>
      <x:c r="G159" t="n">
        <x:v>2026</x:v>
      </x:c>
      <x:c r="H159" t="str">
        <x:v>CNY</x:v>
      </x:c>
      <x:c r="I159" t="n">
        <x:v>355</x:v>
      </x:c>
      <x:c r="J159" t="str">
        <x:v>长期借款</x:v>
      </x:c>
      <x:c r="K159" t="str">
        <x:v>candidate_pending_automated_verification</x:v>
      </x:c>
      <x:c r="L159" t="str">
        <x:v>https://static.cninfo.com.cn/finalpage/2026-08-28/1225518941.PDF</x:v>
      </x:c>
      <x:c r="M159" t="str">
        <x:v>a6501f9fb7ad4574ca79d1bad4ec5a5ae6be80ade0d6cbd679409ba1bdb15ae0</x:v>
      </x:c>
      <x:c r="N159" t="str">
        <x:v>他应付款为人民币13,429,944,888 元 (2025 年12 月
31 日：人民币 17,884,190,166 元)，主要为本公司收取的应付关联方款项、押金及保证金，鉴
于交易双方仍继续发生业务往来，该款项尚未结清。 
9. 长期借款 
2026 年 
6 月 30 日   
2025 年 
12 月 31 日 
  (未经审计)     
信用借款 6,128,495,041   10,122,073,810 
减：一年内到期的长期借款 5,946,118,332   9,904,134,629 
合计 182,376,709   217,939,181 
  </x:v>
      </x:c>
    </x:row>
    <x:row r="160">
      <x:c r="A160" t="str">
        <x:v>4e3677ce-42fa-477e-a605-cef531774475</x:v>
      </x:c>
      <x:c r="B160" t="str">
        <x:v>601800</x:v>
      </x:c>
      <x:c r="C160" t="str">
        <x:v>中国交建</x:v>
      </x:c>
      <x:c r="D160" t="str">
        <x:v>2026-06-30</x:v>
      </x:c>
      <x:c r="E160" t="str">
        <x:v>interim</x:v>
      </x:c>
      <x:c r="F160" t="str">
        <x:v>short_term_borrowings</x:v>
      </x:c>
      <x:c r="G160" t="n">
        <x:v>2026</x:v>
      </x:c>
      <x:c r="H160" t="str">
        <x:v>CNY</x:v>
      </x:c>
      <x:c r="I160" t="n">
        <x:v>353</x:v>
      </x:c>
      <x:c r="J160" t="str">
        <x:v>短期借款</x:v>
      </x:c>
      <x:c r="K160" t="str">
        <x:v>candidate_pending_automated_verification</x:v>
      </x:c>
      <x:c r="L160" t="str">
        <x:v>https://static.cninfo.com.cn/finalpage/2026-08-28/1225518941.PDF</x:v>
      </x:c>
      <x:c r="M160" t="str">
        <x:v>a6501f9fb7ad4574ca79d1bad4ec5a5ae6be80ade0d6cbd679409ba1bdb15ae0</x:v>
      </x:c>
      <x:c r="N160" t="str">
        <x:v>中国交通建设股份有限公司 
自 2026 年 1 月 1 日至 2026 年 6 月 30 日止期间财务报表 
第 263 页 
6. 短期借款 
2026 年 
6 月 30 日   
2025 年 
12 月 31 日 
  (未经审计)     
信用借款 56,455,801,778   45,329,543,772 
7. 应付账款 
(1) 应付账款列示 
2026 年 
6 月 30 日   
2025 年 
12 月 31 日 
  (未经审计)  </x:v>
      </x:c>
    </x:row>
    <x:row r="161">
      <x:c r="A161" t="str">
        <x:v>58148bdb-63ab-4656-a4fa-92af8244b136</x:v>
      </x:c>
      <x:c r="B161" t="str">
        <x:v>601800</x:v>
      </x:c>
      <x:c r="C161" t="str">
        <x:v>中国交建</x:v>
      </x:c>
      <x:c r="D161" t="str">
        <x:v>2026-06-30</x:v>
      </x:c>
      <x:c r="E161" t="str">
        <x:v>interim</x:v>
      </x:c>
      <x:c r="F161" t="str">
        <x:v>cash</x:v>
      </x:c>
      <x:c r="G161" t="n">
        <x:v>2026</x:v>
      </x:c>
      <x:c r="H161" t="str">
        <x:v>CNY</x:v>
      </x:c>
      <x:c r="I161" t="n">
        <x:v>340</x:v>
      </x:c>
      <x:c r="J161" t="str">
        <x:v>货币资金</x:v>
      </x:c>
      <x:c r="K161" t="str">
        <x:v>candidate_pending_automated_verification</x:v>
      </x:c>
      <x:c r="L161" t="str">
        <x:v>https://static.cninfo.com.cn/finalpage/2026-08-28/1225518941.PDF</x:v>
      </x:c>
      <x:c r="M161" t="str">
        <x:v>a6501f9fb7ad4574ca79d1bad4ec5a5ae6be80ade0d6cbd679409ba1bdb15ae0</x:v>
      </x:c>
      <x:c r="N161" t="str">
        <x:v>户除外，其一般须预付款项。 
于2026 年6 月30 日，本集团剩余履约合同义务主要与本集团建造合同相关。剩余履约合同义
务预计未来1 年至 5 年按照建造合同工程进度确认为收入。 
十七、 公司财务报表主要项目注释 
1. 货币资金 
2026 年 
6 月 30 日   
2025 年 
12 月 31 日 
  (未经审计)     
库存现金 89,430   84,577 
银行存款 26,463,971,231   21,995,907,416 
其他货币资金 15,009,704   - 
合计 26,479,070,365   21,995,991</x:v>
      </x:c>
    </x:row>
    <x:row r="162">
      <x:c r="A162" t="str">
        <x:v>1cfe46ae-a99c-42b4-af67-bedde84c4b96</x:v>
      </x:c>
      <x:c r="B162" t="str">
        <x:v>601800</x:v>
      </x:c>
      <x:c r="C162" t="str">
        <x:v>中国交建</x:v>
      </x:c>
      <x:c r="D162" t="str">
        <x:v>2026-06-30</x:v>
      </x:c>
      <x:c r="E162" t="str">
        <x:v>interim</x:v>
      </x:c>
      <x:c r="F162" t="str">
        <x:v>bonds_payable</x:v>
      </x:c>
      <x:c r="G162" t="n">
        <x:v>66447743786</x:v>
      </x:c>
      <x:c r="H162" t="str">
        <x:v>CNY</x:v>
      </x:c>
      <x:c r="I162" t="n">
        <x:v>292</x:v>
      </x:c>
      <x:c r="J162" t="str">
        <x:v>应付债券</x:v>
      </x:c>
      <x:c r="K162" t="str">
        <x:v>candidate_pending_automated_verification</x:v>
      </x:c>
      <x:c r="L162" t="str">
        <x:v>https://static.cninfo.com.cn/finalpage/2026-08-28/1225518941.PDF</x:v>
      </x:c>
      <x:c r="M162" t="str">
        <x:v>a6501f9fb7ad4574ca79d1bad4ec5a5ae6be80ade0d6cbd679409ba1bdb15ae0</x:v>
      </x:c>
      <x:c r="N162" t="str">
        <x:v>
          (第一层次)   (第二层次) 
金融负债        
长期借款 466,516,925,275   466,422,296,209   -   466,422,296,209 
应付债券 66,447,743,786   64,627,916,091   4,000,000,000   60,627,916,091 
合计 532,964,669,061   531,050,212,300   4,000,000,000   527,050,212,300 
2025 年 
  账面价值   公允价值   公允价值披露</x:v>
      </x:c>
    </x:row>
    <x:row r="163">
      <x:c r="A163" t="str">
        <x:v>b90c7866-1abb-4550-97fe-1912777f83ee</x:v>
      </x:c>
      <x:c r="B163" t="str">
        <x:v>601800</x:v>
      </x:c>
      <x:c r="C163" t="str">
        <x:v>中国交建</x:v>
      </x:c>
      <x:c r="D163" t="str">
        <x:v>2026-06-30</x:v>
      </x:c>
      <x:c r="E163" t="str">
        <x:v>interim</x:v>
      </x:c>
      <x:c r="F163" t="str">
        <x:v>long_term_borrowings</x:v>
      </x:c>
      <x:c r="G163" t="n">
        <x:v>466516925275</x:v>
      </x:c>
      <x:c r="H163" t="str">
        <x:v>CNY</x:v>
      </x:c>
      <x:c r="I163" t="n">
        <x:v>292</x:v>
      </x:c>
      <x:c r="J163" t="str">
        <x:v>长期借款</x:v>
      </x:c>
      <x:c r="K163" t="str">
        <x:v>candidate_pending_automated_verification</x:v>
      </x:c>
      <x:c r="L163" t="str">
        <x:v>https://static.cninfo.com.cn/finalpage/2026-08-28/1225518941.PDF</x:v>
      </x:c>
      <x:c r="M163" t="str">
        <x:v>a6501f9fb7ad4574ca79d1bad4ec5a5ae6be80ade0d6cbd679409ba1bdb15ae0</x:v>
      </x:c>
      <x:c r="N163" t="str">
        <x:v>账面价值   公允价值   公允价值披露使用的输入值 
活跃市场 
报价   
重要可观察 
输入值 
          (第一层次)   (第二层次) 
金融负债        
长期借款 466,516,925,275   466,422,296,209   -   466,422,296,209 
应付债券 66,447,743,786   64,627,916,091   4,000,000,000   60,627,916,091 
合计 532,964,669,061   531,050,212,300   4,000,000,0</x:v>
      </x:c>
    </x:row>
    <x:row r="164">
      <x:c r="A164" t="str">
        <x:v>5b59762d-78b8-408a-8c75-1fbded5a3aa6</x:v>
      </x:c>
      <x:c r="B164" t="str">
        <x:v>601800</x:v>
      </x:c>
      <x:c r="C164" t="str">
        <x:v>中国交建</x:v>
      </x:c>
      <x:c r="D164" t="str">
        <x:v>2026-06-30</x:v>
      </x:c>
      <x:c r="E164" t="str">
        <x:v>interim</x:v>
      </x:c>
      <x:c r="F164" t="str">
        <x:v>short_term_borrowings</x:v>
      </x:c>
      <x:c r="G164" t="n">
        <x:v>162087073327</x:v>
      </x:c>
      <x:c r="H164" t="str">
        <x:v>CNY</x:v>
      </x:c>
      <x:c r="I164" t="n">
        <x:v>285</x:v>
      </x:c>
      <x:c r="J164" t="str">
        <x:v>短期借款</x:v>
      </x:c>
      <x:c r="K164" t="str">
        <x:v>candidate_pending_automated_verification</x:v>
      </x:c>
      <x:c r="L164" t="str">
        <x:v>https://static.cninfo.com.cn/finalpage/2026-08-28/1225518941.PDF</x:v>
      </x:c>
      <x:c r="M164" t="str">
        <x:v>a6501f9fb7ad4574ca79d1bad4ec5a5ae6be80ade0d6cbd679409ba1bdb15ae0</x:v>
      </x:c>
      <x:c r="N164" t="str">
        <x:v>利息、短期融资券、应付融资租赁款等抵减现
金及现金等价物后的净额。本集团于资产负债表日的杠杆比率如下： 
2026 年 
6 月 30 日   
2025 年 
12 月 31 日 
  (未经审计)     
短期借款 162,087,073,327   106,407,901,960 
长期借款 (含一年内到期部分) 540,442,510,924   493,006,060,477 
应付债券 (含一年内到期部分) 79,796,655,161   69,867,736,534 
短期融资券 50,881,654,742   14,036,131,530 
租赁负债 (含一年内到期部分) 4,193</x:v>
      </x:c>
    </x:row>
    <x:row r="165">
      <x:c r="A165" t="str">
        <x:v>930a4dae-fd5f-488e-952d-4cdf41d6b4f0</x:v>
      </x:c>
      <x:c r="B165" t="str">
        <x:v>601800</x:v>
      </x:c>
      <x:c r="C165" t="str">
        <x:v>中国交建</x:v>
      </x:c>
      <x:c r="D165" t="str">
        <x:v>2026-06-30</x:v>
      </x:c>
      <x:c r="E165" t="str">
        <x:v>interim</x:v>
      </x:c>
      <x:c r="F165" t="str">
        <x:v>long_term_borrowings</x:v>
      </x:c>
      <x:c r="G165" t="n">
        <x:v>255847678242</x:v>
      </x:c>
      <x:c r="H165" t="str">
        <x:v>CNY</x:v>
      </x:c>
      <x:c r="I165" t="n">
        <x:v>282</x:v>
      </x:c>
      <x:c r="J165" t="str">
        <x:v>长期借款</x:v>
      </x:c>
      <x:c r="K165" t="str">
        <x:v>candidate_pending_automated_verification</x:v>
      </x:c>
      <x:c r="L165" t="str">
        <x:v>https://static.cninfo.com.cn/finalpage/2026-08-28/1225518941.PDF</x:v>
      </x:c>
      <x:c r="M165" t="str">
        <x:v>a6501f9fb7ad4574ca79d1bad4ec5a5ae6be80ade0d6cbd679409ba1bdb15ae0</x:v>
      </x:c>
      <x:c r="N165" t="str">
        <x:v>负债按未折现的合同现金流量所作的到期期限分析： 
2026 年6 月 30 日 (未经审计) 
  1 年以内   1 至 2 年   2 至 5 年   5 年以上   合计 
短期借款及长期借款 255,847,678,242   76,613,104,589   154,205,534,758   317,981,496,461   804,647,814,050 
应付债券及短期融资券 65,617,136,101   29,780,451,024   34,190,295,319   5,369,977,961   134,957,860,405 
衍生金融负债 31,30</x:v>
      </x:c>
    </x:row>
    <x:row r="166">
      <x:c r="A166" t="str">
        <x:v>0d0111e1-4bc6-42e1-a1ce-bb8a81f73f0b</x:v>
      </x:c>
      <x:c r="B166" t="str">
        <x:v>601800</x:v>
      </x:c>
      <x:c r="C166" t="str">
        <x:v>中国交建</x:v>
      </x:c>
      <x:c r="D166" t="str">
        <x:v>2026-06-30</x:v>
      </x:c>
      <x:c r="E166" t="str">
        <x:v>interim</x:v>
      </x:c>
      <x:c r="F166" t="str">
        <x:v>cash</x:v>
      </x:c>
      <x:c r="G166" t="n">
        <x:v>4749272585</x:v>
      </x:c>
      <x:c r="H166" t="str">
        <x:v>CNY</x:v>
      </x:c>
      <x:c r="I166" t="n">
        <x:v>254</x:v>
      </x:c>
      <x:c r="J166" t="str">
        <x:v>货币资金</x:v>
      </x:c>
      <x:c r="K166" t="str">
        <x:v>candidate_pending_automated_verification</x:v>
      </x:c>
      <x:c r="L166" t="str">
        <x:v>https://static.cninfo.com.cn/finalpage/2026-08-28/1225518941.PDF</x:v>
      </x:c>
      <x:c r="M166" t="str">
        <x:v>a6501f9fb7ad4574ca79d1bad4ec5a5ae6be80ade0d6cbd679409ba1bdb15ae0</x:v>
      </x:c>
      <x:c r="N166" t="str">
        <x:v>      
现金 188,300,200,957   151,056,340,289 
其中：库存现金 27,418,836   33,949,113 
银行存款 183,523,509,536   146,152,860,794 
其他货币资金 4,749,272,585   4,869,530,382 
减：受到限制的货币资金及三个月以上的定期存款 9,741,191,066   11,226,111,615 
期 / 年末现金及现金等价物余额 178,559,009,891   139,830,228,674 
(4) 不属于现金及现金等价物的货币资金 
2026 年 
6 月 </x:v>
      </x:c>
    </x:row>
    <x:row r="167">
      <x:c r="A167" t="str">
        <x:v>8ecde499-9426-4f39-a719-ab433dfbbb6e</x:v>
      </x:c>
      <x:c r="B167" t="str">
        <x:v>601800</x:v>
      </x:c>
      <x:c r="C167" t="str">
        <x:v>中国交建</x:v>
      </x:c>
      <x:c r="D167" t="str">
        <x:v>2026-06-30</x:v>
      </x:c>
      <x:c r="E167" t="str">
        <x:v>interim</x:v>
      </x:c>
      <x:c r="F167" t="str">
        <x:v>long_term_borrowings</x:v>
      </x:c>
      <x:c r="G167" t="n">
        <x:v>2026</x:v>
      </x:c>
      <x:c r="H167" t="str">
        <x:v>CNY</x:v>
      </x:c>
      <x:c r="I167" t="n">
        <x:v>215</x:v>
      </x:c>
      <x:c r="J167" t="str">
        <x:v>长期借款</x:v>
      </x:c>
      <x:c r="K167" t="str">
        <x:v>candidate_pending_automated_verification</x:v>
      </x:c>
      <x:c r="L167" t="str">
        <x:v>https://static.cninfo.com.cn/finalpage/2026-08-28/1225518941.PDF</x:v>
      </x:c>
      <x:c r="M167" t="str">
        <x:v>a6501f9fb7ad4574ca79d1bad4ec5a5ae6be80ade0d6cbd679409ba1bdb15ae0</x:v>
      </x:c>
      <x:c r="N167" t="str">
        <x:v>中国交通建设股份有限公司 
自 2026 年 1 月 1 日至 2026 年 6 月 30 日止期间财务报表 
第 125 页 
37. 长期借款 
2026 年 
6 月 30 日   
2025 年 
12 月 31 日 
  (未经审计)     
信用借款 155,260,891,227   148,287,489,237 
质押借款 (注 1) 342,964,611,045   303,471,319,472 
保证借款 (注 2) 15,964,131,319   15,981,1</x:v>
      </x:c>
    </x:row>
    <x:row r="168">
      <x:c r="A168" t="str">
        <x:v>0b16db04-abe8-4717-b35e-18e9375136e1</x:v>
      </x:c>
      <x:c r="B168" t="str">
        <x:v>601800</x:v>
      </x:c>
      <x:c r="C168" t="str">
        <x:v>中国交建</x:v>
      </x:c>
      <x:c r="D168" t="str">
        <x:v>2026-06-30</x:v>
      </x:c>
      <x:c r="E168" t="str">
        <x:v>interim</x:v>
      </x:c>
      <x:c r="F168" t="str">
        <x:v>current_portion_long_term_debt</x:v>
      </x:c>
      <x:c r="G168" t="n">
        <x:v>2026</x:v>
      </x:c>
      <x:c r="H168" t="str">
        <x:v>CNY</x:v>
      </x:c>
      <x:c r="I168" t="n">
        <x:v>212</x:v>
      </x:c>
      <x:c r="J168" t="str">
        <x:v>一年内到期的非流动负债</x:v>
      </x:c>
      <x:c r="K168" t="str">
        <x:v>candidate_pending_automated_verification</x:v>
      </x:c>
      <x:c r="L168" t="str">
        <x:v>https://static.cninfo.com.cn/finalpage/2026-08-28/1225518941.PDF</x:v>
      </x:c>
      <x:c r="M168" t="str">
        <x:v>a6501f9fb7ad4574ca79d1bad4ec5a5ae6be80ade0d6cbd679409ba1bdb15ae0</x:v>
      </x:c>
      <x:c r="N168" t="str">
        <x:v>25 年 12 月 31 日，本集团以账面价值为人民币
1,938,415,547 元长期应收工程款为质押取得借款，其中账面价值为人民币 108,000,000
元的长期应收工程款为本集团内部往来已于编制合并报表时抵销) 。 
35. 一年内到期的非流动负债 
2026 年 
6 月 30 日   
2025 年 
12 月 31 日 
  (未经审计)     
一年内到期的长期借款 (附注五、37) 73,925,585,649   67,714,402,494 
一年内到期的长期应付款 (附注五、40) 25,339,806,954   29,546,390,250 
一年内到期的应付债券 (附注五</x:v>
      </x:c>
    </x:row>
    <x:row r="169">
      <x:c r="A169" t="str">
        <x:v>591e22fa-ab4a-4f32-b0af-97754cf728c5</x:v>
      </x:c>
      <x:c r="B169" t="str">
        <x:v>601800</x:v>
      </x:c>
      <x:c r="C169" t="str">
        <x:v>中国交建</x:v>
      </x:c>
      <x:c r="D169" t="str">
        <x:v>2026-06-30</x:v>
      </x:c>
      <x:c r="E169" t="str">
        <x:v>interim</x:v>
      </x:c>
      <x:c r="F169" t="str">
        <x:v>cash</x:v>
      </x:c>
      <x:c r="G169" t="n">
        <x:v>9403125224</x:v>
      </x:c>
      <x:c r="H169" t="str">
        <x:v>CNY</x:v>
      </x:c>
      <x:c r="I169" t="n">
        <x:v>203</x:v>
      </x:c>
      <x:c r="J169" t="str">
        <x:v>货币资金</x:v>
      </x:c>
      <x:c r="K169" t="str">
        <x:v>candidate_pending_automated_verification</x:v>
      </x:c>
      <x:c r="L169" t="str">
        <x:v>https://static.cninfo.com.cn/finalpage/2026-08-28/1225518941.PDF</x:v>
      </x:c>
      <x:c r="M169" t="str">
        <x:v>a6501f9fb7ad4574ca79d1bad4ec5a5ae6be80ade0d6cbd679409ba1bdb15ae0</x:v>
      </x:c>
      <x:c r="N169" t="str">
        <x:v> 6 月 30 日止期间财务报表 
第 113 页 
26. 所有权或使用权受到限制的资产 
2026 年6 月 30 日 (未经审计) 
  账面余额   账面价值   受限类型   受限情况 
货币资金 9,403,125,224  9,403,125,224   
使用权或 
所有权受限   注 1 
应收票据 34,851,266  34,680,327   质押   注 2 
应收账款 6,237,224,009  5,362,652,595   质押   注 2 
存货 30,105,758,090  29,931,845,472   抵押   注 2 
长期应收工程款 29</x:v>
      </x:c>
    </x:row>
    <x:row r="170">
      <x:c r="A170" t="str">
        <x:v>7d557440-384a-439d-8d59-420a58729e61</x:v>
      </x:c>
      <x:c r="B170" t="str">
        <x:v>601800</x:v>
      </x:c>
      <x:c r="C170" t="str">
        <x:v>中国交建</x:v>
      </x:c>
      <x:c r="D170" t="str">
        <x:v>2026-06-30</x:v>
      </x:c>
      <x:c r="E170" t="str">
        <x:v>interim</x:v>
      </x:c>
      <x:c r="F170" t="str">
        <x:v>bonds_payable</x:v>
      </x:c>
      <x:c r="G170" t="n">
        <x:v>2026</x:v>
      </x:c>
      <x:c r="H170" t="str">
        <x:v>CNY</x:v>
      </x:c>
      <x:c r="I170" t="n">
        <x:v>217</x:v>
      </x:c>
      <x:c r="J170" t="str">
        <x:v>应付债券</x:v>
      </x:c>
      <x:c r="K170" t="str">
        <x:v>candidate_pending_automated_verification</x:v>
      </x:c>
      <x:c r="L170" t="str">
        <x:v>https://static.cninfo.com.cn/finalpage/2026-08-28/1225518941.PDF</x:v>
      </x:c>
      <x:c r="M170" t="str">
        <x:v>a6501f9fb7ad4574ca79d1bad4ec5a5ae6be80ade0d6cbd679409ba1bdb15ae0</x:v>
      </x:c>
      <x:c r="N170" t="str">
        <x:v>            
249,092,103,263  
合计 
540,442,510,924                    
493,006,060,477  
38. 应付债券 
(1) 应付债券 
2026 年 
6 月 30 日   
2025 年 
12 月 31 日 
  (未经审计)     
公司债券 45,110,113,937   40,826,103,764 
非公开定向债务融资工具 34,686,541,224   29,041,632,770 
 小计 79,796,655,161   69,867,73</x:v>
      </x:c>
    </x:row>
    <x:row r="171">
      <x:c r="A171" t="str">
        <x:v>3f0fa9eb-8c5e-4567-9af1-b08d8b30a719</x:v>
      </x:c>
      <x:c r="B171" t="str">
        <x:v>000651</x:v>
      </x:c>
      <x:c r="C171" t="str">
        <x:v>格力电器</x:v>
      </x:c>
      <x:c r="D171" t="str">
        <x:v>2026-06-30</x:v>
      </x:c>
      <x:c r="E171" t="str">
        <x:v>interim</x:v>
      </x:c>
      <x:c r="F171" t="str">
        <x:v>cash</x:v>
      </x:c>
      <x:c r="G171" t="n">
        <x:v>13963044908.63</x:v>
      </x:c>
      <x:c r="H171" t="str">
        <x:v>CNY</x:v>
      </x:c>
      <x:c r="I171" t="n">
        <x:v>137</x:v>
      </x:c>
      <x:c r="J171" t="str">
        <x:v>货币资金</x:v>
      </x:c>
      <x:c r="K171" t="str">
        <x:v>candidate_pending_automated_verification</x:v>
      </x:c>
      <x:c r="L171" t="str">
        <x:v>https://static.cninfo.com.cn/finalpage/2026-08-27/1225515004.PDF</x:v>
      </x:c>
      <x:c r="M171" t="str">
        <x:v>50da2e03fddbe9dd424d8fe7881f47fb34efa5d38c96aa9449c12e445c3b2dec</x:v>
      </x:c>
      <x:c r="N171" t="str">
        <x:v>珠海格力电器股份有限公司 2026 年半年度报告全文
136
30.所有权或使用权受限资产
项目
期末
账面价值 受限原因
货币资金 13,963,044,908.63 法定存款准备金及保证金等
应收款项融资 5,188,889,684.45 质押
其他流动资产 1,345,000,000.00 质押
一年内到期的非流动资产 3,300,000,000.00 质押
其他债权投资 9,200,000,000.00 质押
投资性房地产 3,973,621.78 抵押
固定资产 3,314,941,819.11 抵押
无形资产 </x:v>
      </x:c>
    </x:row>
    <x:row r="172">
      <x:c r="A172" t="str">
        <x:v>cb057a60-e92a-4e0c-aa62-33daa3de70c1</x:v>
      </x:c>
      <x:c r="B172" t="str">
        <x:v>000651</x:v>
      </x:c>
      <x:c r="C172" t="str">
        <x:v>格力电器</x:v>
      </x:c>
      <x:c r="D172" t="str">
        <x:v>2026-06-30</x:v>
      </x:c>
      <x:c r="E172" t="str">
        <x:v>interim</x:v>
      </x:c>
      <x:c r="F172" t="str">
        <x:v>current_portion_long_term_debt</x:v>
      </x:c>
      <x:c r="G172" t="n">
        <x:v>13668113331.54</x:v>
      </x:c>
      <x:c r="H172" t="str">
        <x:v>CNY</x:v>
      </x:c>
      <x:c r="I172" t="n">
        <x:v>165</x:v>
      </x:c>
      <x:c r="J172" t="str">
        <x:v>一年内到期的非流动负债</x:v>
      </x:c>
      <x:c r="K172" t="str">
        <x:v>candidate_pending_automated_verification</x:v>
      </x:c>
      <x:c r="L172" t="str">
        <x:v>https://static.cninfo.com.cn/finalpage/2026-08-27/1225515004.PDF</x:v>
      </x:c>
      <x:c r="M172" t="str">
        <x:v>50da2e03fddbe9dd424d8fe7881f47fb34efa5d38c96aa9449c12e445c3b2dec</x:v>
      </x:c>
      <x:c r="N172" t="str">
        <x:v>款 42,103,940,920.24 42,103,940,920.24
吸收存款及同业存放 208,923,102.80 208,923,102.80
其他应付款 11,240,989,639.29 11,240,989,639.29
一年内到期的非流动负债 13,668,113,331.54 13,668,113,331.54
其他流动金融负债 9,829,552,679.74 9,829,552,679.74
长期借款 3,134,980,571.73 3,134,980,571.73
租赁负债 652,797,306.31 652,797,306.31
小计 164,340,275,625.85 164,340,275,625.85
2.以</x:v>
      </x:c>
    </x:row>
    <x:row r="173">
      <x:c r="A173" t="str">
        <x:v>c835a488-ab8f-478f-861e-ade32b0ba18c</x:v>
      </x:c>
      <x:c r="B173" t="str">
        <x:v>000651</x:v>
      </x:c>
      <x:c r="C173" t="str">
        <x:v>格力电器</x:v>
      </x:c>
      <x:c r="D173" t="str">
        <x:v>2026-06-30</x:v>
      </x:c>
      <x:c r="E173" t="str">
        <x:v>interim</x:v>
      </x:c>
      <x:c r="F173" t="str">
        <x:v>short_term_borrowings</x:v>
      </x:c>
      <x:c r="G173" t="n">
        <x:v>67956629538.51</x:v>
      </x:c>
      <x:c r="H173" t="str">
        <x:v>CNY</x:v>
      </x:c>
      <x:c r="I173" t="n">
        <x:v>165</x:v>
      </x:c>
      <x:c r="J173" t="str">
        <x:v>短期借款</x:v>
      </x:c>
      <x:c r="K173" t="str">
        <x:v>candidate_pending_automated_verification</x:v>
      </x:c>
      <x:c r="L173" t="str">
        <x:v>https://static.cninfo.com.cn/finalpage/2026-08-27/1225515004.PDF</x:v>
      </x:c>
      <x:c r="M173" t="str">
        <x:v>50da2e03fddbe9dd424d8fe7881f47fb34efa5d38c96aa9449c12e445c3b2dec</x:v>
      </x:c>
      <x:c r="N173" t="str">
        <x:v>0.40 39,227,549,849.65 31,485,372,397.37 287,538,334,597.42
（续表）
项目
金融负债的分类
以公允价值计量且其变动
计入当期损益的金融负债 其他金融负债 合计
1.以摊余成本计量
短期借款 67,956,629,538.51 67,956,629,538.51
应付票据 15,544,348,535.69 15,544,348,535.69
应付账款 42,103,940,920.24 42,103,940,920.24
吸收存款及同业存放 208,923,102.80 208,923,102.80
其他应付款 11,240,989,639.29 11,240,989,639.</x:v>
      </x:c>
    </x:row>
    <x:row r="174">
      <x:c r="A174" t="str">
        <x:v>6d844da8-7d68-47f8-97f6-c0d271290c4e</x:v>
      </x:c>
      <x:c r="B174" t="str">
        <x:v>000651</x:v>
      </x:c>
      <x:c r="C174" t="str">
        <x:v>格力电器</x:v>
      </x:c>
      <x:c r="D174" t="str">
        <x:v>2026-06-30</x:v>
      </x:c>
      <x:c r="E174" t="str">
        <x:v>interim</x:v>
      </x:c>
      <x:c r="F174" t="str">
        <x:v>long_term_borrowings</x:v>
      </x:c>
      <x:c r="G174" t="n">
        <x:v>2128656424.92</x:v>
      </x:c>
      <x:c r="H174" t="str">
        <x:v>CNY</x:v>
      </x:c>
      <x:c r="I174" t="n">
        <x:v>164</x:v>
      </x:c>
      <x:c r="J174" t="str">
        <x:v>长期借款</x:v>
      </x:c>
      <x:c r="K174" t="str">
        <x:v>candidate_pending_automated_verification</x:v>
      </x:c>
      <x:c r="L174" t="str">
        <x:v>https://static.cninfo.com.cn/finalpage/2026-08-27/1225515004.PDF</x:v>
      </x:c>
      <x:c r="M174" t="str">
        <x:v>50da2e03fddbe9dd424d8fe7881f47fb34efa5d38c96aa9449c12e445c3b2dec</x:v>
      </x:c>
      <x:c r="N174" t="str">
        <x:v>485,845.60 15,655,485,845.60
一年内到期的非流动负债 1,134,773,411.03 1,134,773,411.03
其他流动金融负债 10,302,400,442.76 10,302,400,442.76
长期借款 2,128,656,424.92 2,128,656,424.92
租赁负债 654,153,057.50 654,153,057.50
小计 176,720,963,420.75 176,720,963,420.75
2.以公允价值计量
衍生金融负债
小计
合计 176,720,963,420.75 176,720,963,420.75
2)期初余额
项目
金融资产的分类
以摊余成本计量</x:v>
      </x:c>
    </x:row>
    <x:row r="175">
      <x:c r="A175" t="str">
        <x:v>42d9c8e2-49af-4d97-b5a9-1149ea3c388c</x:v>
      </x:c>
      <x:c r="B175" t="str">
        <x:v>000651</x:v>
      </x:c>
      <x:c r="C175" t="str">
        <x:v>格力电器</x:v>
      </x:c>
      <x:c r="D175" t="str">
        <x:v>2026-06-30</x:v>
      </x:c>
      <x:c r="E175" t="str">
        <x:v>interim</x:v>
      </x:c>
      <x:c r="F175" t="str">
        <x:v>current_portion_long_term_debt</x:v>
      </x:c>
      <x:c r="G175" t="n">
        <x:v>1035690601.9</x:v>
      </x:c>
      <x:c r="H175" t="str">
        <x:v>CNY</x:v>
      </x:c>
      <x:c r="I175" t="n">
        <x:v>167</x:v>
      </x:c>
      <x:c r="J175" t="str">
        <x:v>一年内到期的非流动负债</x:v>
      </x:c>
      <x:c r="K175" t="str">
        <x:v>candidate_pending_automated_verification</x:v>
      </x:c>
      <x:c r="L175" t="str">
        <x:v>https://static.cninfo.com.cn/finalpage/2026-08-27/1225515004.PDF</x:v>
      </x:c>
      <x:c r="M175" t="str">
        <x:v>50da2e03fddbe9dd424d8fe7881f47fb34efa5d38c96aa9449c12e445c3b2dec</x:v>
      </x:c>
      <x:c r="N175" t="str">
        <x:v>情况如下：
报表项目 金额 利率区间
短期借款 79,719,240,399.52 0.70%-3.70%
吸收存款及同业存放 182,482,118.53 0.25%-3.15%
其他应付款 1,569,475,866.05 4.35%
一年内到期的非流动负债 1,035,690,601.90 2.45%-4.85%
长期借款 2,128,656,424.92 2.45%-4.29%
合计 84,635,545,410.92
十二、公允价值的披露
1.以公允价值计量的资产和负债的期末公允价值
项目
期末公允价值
第一层次公允价值
计量
第二层次公允价值
计量
第三层次公允价
值计量 合计
持续的公允价值计量
交易性金融资产 29,699,323,</x:v>
      </x:c>
    </x:row>
    <x:row r="176">
      <x:c r="A176" t="str">
        <x:v>806d591a-97bf-4c2b-8fbf-aef0f8f59fee</x:v>
      </x:c>
      <x:c r="B176" t="str">
        <x:v>000651</x:v>
      </x:c>
      <x:c r="C176" t="str">
        <x:v>格力电器</x:v>
      </x:c>
      <x:c r="D176" t="str">
        <x:v>2026-06-30</x:v>
      </x:c>
      <x:c r="E176" t="str">
        <x:v>interim</x:v>
      </x:c>
      <x:c r="F176" t="str">
        <x:v>current_portion_long_term_debt</x:v>
      </x:c>
      <x:c r="G176" t="n">
        <x:v>1134773411.03</x:v>
      </x:c>
      <x:c r="H176" t="str">
        <x:v>CNY</x:v>
      </x:c>
      <x:c r="I176" t="n">
        <x:v>164</x:v>
      </x:c>
      <x:c r="J176" t="str">
        <x:v>一年内到期的非流动负债</x:v>
      </x:c>
      <x:c r="K176" t="str">
        <x:v>candidate_pending_automated_verification</x:v>
      </x:c>
      <x:c r="L176" t="str">
        <x:v>https://static.cninfo.com.cn/finalpage/2026-08-27/1225515004.PDF</x:v>
      </x:c>
      <x:c r="M176" t="str">
        <x:v>50da2e03fddbe9dd424d8fe7881f47fb34efa5d38c96aa9449c12e445c3b2dec</x:v>
      </x:c>
      <x:c r="N176" t="str">
        <x:v>款 45,994,541,647.67 45,994,541,647.67
吸收存款及同业存放 182,482,118.53 182,482,118.53
其他应付款 15,655,485,845.60 15,655,485,845.60
一年内到期的非流动负债 1,134,773,411.03 1,134,773,411.03
其他流动金融负债 10,302,400,442.76 10,302,400,442.76
长期借款 2,128,656,424.92 2,128,656,424.92
租赁负债 654,153,057.50 654,153,057.50
小计 176,720,963,420.75 176,720,963,420.75
2.</x:v>
      </x:c>
    </x:row>
    <x:row r="177">
      <x:c r="A177" t="str">
        <x:v>40b2f28e-069f-4b03-bbe5-4ca2a0fa5c1f</x:v>
      </x:c>
      <x:c r="B177" t="str">
        <x:v>000651</x:v>
      </x:c>
      <x:c r="C177" t="str">
        <x:v>格力电器</x:v>
      </x:c>
      <x:c r="D177" t="str">
        <x:v>2026-06-30</x:v>
      </x:c>
      <x:c r="E177" t="str">
        <x:v>interim</x:v>
      </x:c>
      <x:c r="F177" t="str">
        <x:v>short_term_borrowings</x:v>
      </x:c>
      <x:c r="G177" t="n">
        <x:v>79719240399.52</x:v>
      </x:c>
      <x:c r="H177" t="str">
        <x:v>CNY</x:v>
      </x:c>
      <x:c r="I177" t="n">
        <x:v>164</x:v>
      </x:c>
      <x:c r="J177" t="str">
        <x:v>短期借款</x:v>
      </x:c>
      <x:c r="K177" t="str">
        <x:v>candidate_pending_automated_verification</x:v>
      </x:c>
      <x:c r="L177" t="str">
        <x:v>https://static.cninfo.com.cn/finalpage/2026-08-27/1225515004.PDF</x:v>
      </x:c>
      <x:c r="M177" t="str">
        <x:v>50da2e03fddbe9dd424d8fe7881f47fb34efa5d38c96aa9449c12e445c3b2dec</x:v>
      </x:c>
      <x:c r="N177" t="str">
        <x:v>8.40 51,899,163,963.61 34,581,261,537.85 301,065,261,379.86
（续表）
项目
金融负债的分类
以公允价值计量且其变动
计入当期损益的金融负债 其他金融负债 合计
1.以摊余成本计量
短期借款 79,719,240,399.52 79,719,240,399.52
应付票据 20,949,230,073.22 20,949,230,073.22
应付账款 45,994,541,647.67 45,994,541,647.67
吸收存款及同业存放 182,482,118.53 182,482,118.53
其他应付款 15,655,485,845.60 15,655,485,845.</x:v>
      </x:c>
    </x:row>
    <x:row r="178">
      <x:c r="A178" t="str">
        <x:v>15134e35-e842-42bc-88b8-4a36916e9685</x:v>
      </x:c>
      <x:c r="B178" t="str">
        <x:v>000651</x:v>
      </x:c>
      <x:c r="C178" t="str">
        <x:v>格力电器</x:v>
      </x:c>
      <x:c r="D178" t="str">
        <x:v>2026-06-30</x:v>
      </x:c>
      <x:c r="E178" t="str">
        <x:v>interim</x:v>
      </x:c>
      <x:c r="F178" t="str">
        <x:v>cash</x:v>
      </x:c>
      <x:c r="G178" t="n">
        <x:v>110553006650.89</x:v>
      </x:c>
      <x:c r="H178" t="str">
        <x:v>CNY</x:v>
      </x:c>
      <x:c r="I178" t="n">
        <x:v>164</x:v>
      </x:c>
      <x:c r="J178" t="str">
        <x:v>货币资金</x:v>
      </x:c>
      <x:c r="K178" t="str">
        <x:v>candidate_pending_automated_verification</x:v>
      </x:c>
      <x:c r="L178" t="str">
        <x:v>https://static.cninfo.com.cn/finalpage/2026-08-27/1225515004.PDF</x:v>
      </x:c>
      <x:c r="M178" t="str">
        <x:v>50da2e03fddbe9dd424d8fe7881f47fb34efa5d38c96aa9449c12e445c3b2dec</x:v>
      </x:c>
      <x:c r="N178" t="str">
        <x:v>.75 176,720,963,420.75
2)期初余额
项目
金融资产的分类
以摊余成本计量的
金融资产
以公允价值计量且
其变动计入其他综
合收益的金融资产
以公允价值计量且
其变动计入当期损
益的金融资产
合计
1.以摊余成本计量
货币资金 110,553,006,650.89 110,553,006,650.89
应收票据 883,500.00 883,500.00
应收账款 15,987,180,598.76 15,987,180,598.76
其他应收款 327,529,462.48 327,529,462.48
买入返售金融资产 4,800,560,684.94 4,800,560,684.94</x:v>
      </x:c>
    </x:row>
    <x:row r="179">
      <x:c r="A179" t="str">
        <x:v>abad7f7b-1d8d-40d6-81cd-29490dcfa4bc</x:v>
      </x:c>
      <x:c r="B179" t="str">
        <x:v>000651</x:v>
      </x:c>
      <x:c r="C179" t="str">
        <x:v>格力电器</x:v>
      </x:c>
      <x:c r="D179" t="str">
        <x:v>2026-06-30</x:v>
      </x:c>
      <x:c r="E179" t="str">
        <x:v>interim</x:v>
      </x:c>
      <x:c r="F179" t="str">
        <x:v>cash</x:v>
      </x:c>
      <x:c r="G179" t="n">
        <x:v>128248277441.37</x:v>
      </x:c>
      <x:c r="H179" t="str">
        <x:v>CNY</x:v>
      </x:c>
      <x:c r="I179" t="n">
        <x:v>163</x:v>
      </x:c>
      <x:c r="J179" t="str">
        <x:v>货币资金</x:v>
      </x:c>
      <x:c r="K179" t="str">
        <x:v>candidate_pending_automated_verification</x:v>
      </x:c>
      <x:c r="L179" t="str">
        <x:v>https://static.cninfo.com.cn/finalpage/2026-08-27/1225515004.PDF</x:v>
      </x:c>
      <x:c r="M179" t="str">
        <x:v>50da2e03fddbe9dd424d8fe7881f47fb34efa5d38c96aa9449c12e445c3b2dec</x:v>
      </x:c>
      <x:c r="N179" t="str">
        <x:v>资产负债表日各类金融工具的账面价值如下：
1)期末余额
项目
金融资产的分类
以摊余成本计量的
金融资产
以公允价值计量
且其变动计入其
他综合收益的金
融资产
以公允价值计量
且其变动计入当
期损益的金融资
产
合计
1.以摊余成本计量
货币资金 128,248,277,441.37 128,248,277,441.37
应收账款 17,176,523,584.59 17,176,523,584.59
其他应收款 626,875,914.25 626,875,914.25
买入返售金融资产 1,970,564,369.87 1,970,564,369.87
一年内到期的非流动资产 18,370,286,851.45 18,370,286</x:v>
      </x:c>
    </x:row>
    <x:row r="180">
      <x:c r="A180" t="str">
        <x:v>b6741950-7f68-439b-99f1-8ad7cba78818</x:v>
      </x:c>
      <x:c r="B180" t="str">
        <x:v>000651</x:v>
      </x:c>
      <x:c r="C180" t="str">
        <x:v>格力电器</x:v>
      </x:c>
      <x:c r="D180" t="str">
        <x:v>2026-06-30</x:v>
      </x:c>
      <x:c r="E180" t="str">
        <x:v>interim</x:v>
      </x:c>
      <x:c r="F180" t="str">
        <x:v>short_term_borrowings</x:v>
      </x:c>
      <x:c r="G180" t="n">
        <x:v>4679124065.17</x:v>
      </x:c>
      <x:c r="H180" t="str">
        <x:v>CNY</x:v>
      </x:c>
      <x:c r="I180" t="n">
        <x:v>154</x:v>
      </x:c>
      <x:c r="J180" t="str">
        <x:v>短期借款</x:v>
      </x:c>
      <x:c r="K180" t="str">
        <x:v>candidate_pending_automated_verification</x:v>
      </x:c>
      <x:c r="L180" t="str">
        <x:v>https://static.cninfo.com.cn/finalpage/2026-08-27/1225515004.PDF</x:v>
      </x:c>
      <x:c r="M180" t="str">
        <x:v>50da2e03fddbe9dd424d8fe7881f47fb34efa5d38c96aa9449c12e445c3b2dec</x:v>
      </x:c>
      <x:c r="N180" t="str">
        <x:v>,770.58 595,259.95 81,220.65 620,655.99 1,375,965.62 6,743,497.53
其他非流动资
产 477,725.09 91,450.07 764,643.51 1,333,818.67
短期借款 4,679,124,065.17 681,308,889.67 5,360,432,954.84
应付账款 216,582,576.03 8,509,511.42 3,517,137.91 112,976,060.04 22,392,063.00 16,254,324.46 380,231,672.86
其他应付款 203,868,849.42 2,586,877.92 12,981,43</x:v>
      </x:c>
    </x:row>
    <x:row r="181">
      <x:c r="A181" t="str">
        <x:v>9367c7fa-a76b-4be4-8b90-277d9ed20318</x:v>
      </x:c>
      <x:c r="B181" t="str">
        <x:v>000651</x:v>
      </x:c>
      <x:c r="C181" t="str">
        <x:v>格力电器</x:v>
      </x:c>
      <x:c r="D181" t="str">
        <x:v>2026-06-30</x:v>
      </x:c>
      <x:c r="E181" t="str">
        <x:v>interim</x:v>
      </x:c>
      <x:c r="F181" t="str">
        <x:v>cash</x:v>
      </x:c>
      <x:c r="G181" t="n">
        <x:v>1451808411.66</x:v>
      </x:c>
      <x:c r="H181" t="str">
        <x:v>CNY</x:v>
      </x:c>
      <x:c r="I181" t="n">
        <x:v>154</x:v>
      </x:c>
      <x:c r="J181" t="str">
        <x:v>货币资金</x:v>
      </x:c>
      <x:c r="K181" t="str">
        <x:v>candidate_pending_automated_verification</x:v>
      </x:c>
      <x:c r="L181" t="str">
        <x:v>https://static.cninfo.com.cn/finalpage/2026-08-27/1225515004.PDF</x:v>
      </x:c>
      <x:c r="M181" t="str">
        <x:v>50da2e03fddbe9dd424d8fe7881f47fb34efa5d38c96aa9449c12e445c3b2dec</x:v>
      </x:c>
      <x:c r="N181" t="str">
        <x:v>人民币 港币折合人民币 欧元折合人民币 雷亚尔折合人民
币 英镑折合人民币 泰铢折合人民币 其他 总计折合人民币
2026-6-30 汇率 6.8109 0.8686 7.7671 1.3142 9.0145 0.2042 不适用 不适用
货币资金 1,451,808,411.66 4,053,913,521.90 5,346,094,515.84 199,838,828.62 28,895.44 127,247,470.68 51,993,882.08 11,230,925,526.22
应收账款 3,939,939,765.83 81,903,681.30 35,633,862.54 799,625,848.74 86,664.6</x:v>
      </x:c>
    </x:row>
    <x:row r="182">
      <x:c r="A182" t="str">
        <x:v>80b42651-d336-4393-8342-29dc304a704b</x:v>
      </x:c>
      <x:c r="B182" t="str">
        <x:v>000651</x:v>
      </x:c>
      <x:c r="C182" t="str">
        <x:v>格力电器</x:v>
      </x:c>
      <x:c r="D182" t="str">
        <x:v>2026-06-30</x:v>
      </x:c>
      <x:c r="E182" t="str">
        <x:v>interim</x:v>
      </x:c>
      <x:c r="F182" t="str">
        <x:v>cash</x:v>
      </x:c>
      <x:c r="G182" t="n">
        <x:v>128248277441.37</x:v>
      </x:c>
      <x:c r="H182" t="str">
        <x:v>CNY</x:v>
      </x:c>
      <x:c r="I182" t="n">
        <x:v>153</x:v>
      </x:c>
      <x:c r="J182" t="str">
        <x:v>货币资金</x:v>
      </x:c>
      <x:c r="K182" t="str">
        <x:v>candidate_pending_automated_verification</x:v>
      </x:c>
      <x:c r="L182" t="str">
        <x:v>https://static.cninfo.com.cn/finalpage/2026-08-27/1225515004.PDF</x:v>
      </x:c>
      <x:c r="M182" t="str">
        <x:v>50da2e03fddbe9dd424d8fe7881f47fb34efa5d38c96aa9449c12e445c3b2dec</x:v>
      </x:c>
      <x:c r="N182" t="str">
        <x:v>珠海格力电器股份有限公司 2026 年半年度报告全文
152
（4）现金和现金等价物的构成
项目 期末余额 期初余额
一、货币资金 128,248,277,441.37 110,553,006,650.89
其中：库存现金 457,033.07 317,120.96
可随时用于支付的银行存款 12,757,199,387.04 13,916,698,082.57
可随时用于支付的其他货币资金 1,132,088,421.89 578,571,096.14
可随时用于支付的存放中央银行款项 10,000,000.51 9,5</x:v>
      </x:c>
    </x:row>
    <x:row r="183">
      <x:c r="A183" t="str">
        <x:v>4bb8c974-569e-40ec-bf99-92ee462c0683</x:v>
      </x:c>
      <x:c r="B183" t="str">
        <x:v>000651</x:v>
      </x:c>
      <x:c r="C183" t="str">
        <x:v>格力电器</x:v>
      </x:c>
      <x:c r="D183" t="str">
        <x:v>2026-06-30</x:v>
      </x:c>
      <x:c r="E183" t="str">
        <x:v>interim</x:v>
      </x:c>
      <x:c r="F183" t="str">
        <x:v>long_term_borrowings</x:v>
      </x:c>
      <x:c r="G183" t="n">
        <x:v>1033023707.47</x:v>
      </x:c>
      <x:c r="H183" t="str">
        <x:v>CNY</x:v>
      </x:c>
      <x:c r="I183" t="n">
        <x:v>141</x:v>
      </x:c>
      <x:c r="J183" t="str">
        <x:v>长期借款</x:v>
      </x:c>
      <x:c r="K183" t="str">
        <x:v>candidate_pending_automated_verification</x:v>
      </x:c>
      <x:c r="L183" t="str">
        <x:v>https://static.cninfo.com.cn/finalpage/2026-08-27/1225515004.PDF</x:v>
      </x:c>
      <x:c r="M183" t="str">
        <x:v>50da2e03fddbe9dd424d8fe7881f47fb34efa5d38c96aa9449c12e445c3b2dec</x:v>
      </x:c>
      <x:c r="N183" t="str">
        <x:v>珠海格力电器股份有限公司 2026 年半年度报告全文
140
40.一年内到期的非流动负债
项目 期末余额 期初余额
一年内到期的长期借款 1,033,023,707.47 13,573,121,799.56
一年内到期的长期应付款 2,666,894.43 7,910,485.23
一年内到期的租赁负债 99,082,809.13 87,081,046.75
合计 1,134,773,411.03 13,668,113,331.54
41.其他流动负债
项目 期末余额 期初余额
销售返利 48,466,650,356.15 </x:v>
      </x:c>
    </x:row>
    <x:row r="184">
      <x:c r="A184" t="str">
        <x:v>5ad772ca-b062-4e64-a9db-7bc4bfd50ba5</x:v>
      </x:c>
      <x:c r="B184" t="str">
        <x:v>000651</x:v>
      </x:c>
      <x:c r="C184" t="str">
        <x:v>格力电器</x:v>
      </x:c>
      <x:c r="D184" t="str">
        <x:v>2026-06-30</x:v>
      </x:c>
      <x:c r="E184" t="str">
        <x:v>interim</x:v>
      </x:c>
      <x:c r="F184" t="str">
        <x:v>long_term_borrowings</x:v>
      </x:c>
      <x:c r="G184" t="n">
        <x:v>3134980571.73</x:v>
      </x:c>
      <x:c r="H184" t="str">
        <x:v>CNY</x:v>
      </x:c>
      <x:c r="I184" t="n">
        <x:v>165</x:v>
      </x:c>
      <x:c r="J184" t="str">
        <x:v>长期借款</x:v>
      </x:c>
      <x:c r="K184" t="str">
        <x:v>candidate_pending_automated_verification</x:v>
      </x:c>
      <x:c r="L184" t="str">
        <x:v>https://static.cninfo.com.cn/finalpage/2026-08-27/1225515004.PDF</x:v>
      </x:c>
      <x:c r="M184" t="str">
        <x:v>50da2e03fddbe9dd424d8fe7881f47fb34efa5d38c96aa9449c12e445c3b2dec</x:v>
      </x:c>
      <x:c r="N184" t="str">
        <x:v>989,639.29 11,240,989,639.29
一年内到期的非流动负债 13,668,113,331.54 13,668,113,331.54
其他流动金融负债 9,829,552,679.74 9,829,552,679.74
长期借款 3,134,980,571.73 3,134,980,571.73
租赁负债 652,797,306.31 652,797,306.31
小计 164,340,275,625.85 164,340,275,625.85
2.以公允价值计量</x:v>
      </x:c>
    </x:row>
    <x:row r="185">
      <x:c r="A185" t="str">
        <x:v>7aeac8e0-7a59-4c86-9fd3-b7f6033710b3</x:v>
      </x:c>
      <x:c r="B185" t="str">
        <x:v>000651</x:v>
      </x:c>
      <x:c r="C185" t="str">
        <x:v>格力电器</x:v>
      </x:c>
      <x:c r="D185" t="str">
        <x:v>2026-06-30</x:v>
      </x:c>
      <x:c r="E185" t="str">
        <x:v>interim</x:v>
      </x:c>
      <x:c r="F185" t="str">
        <x:v>operating_cash_flow</x:v>
      </x:c>
      <x:c r="G185" t="n">
        <x:v>18808832392.46</x:v>
      </x:c>
      <x:c r="H185" t="str">
        <x:v>CNY</x:v>
      </x:c>
      <x:c r="I185" t="n">
        <x:v>61</x:v>
      </x:c>
      <x:c r="J185" t="str">
        <x:v>经营活动产生的现金流量净额</x:v>
      </x:c>
      <x:c r="K185" t="str">
        <x:v>candidate_pending_automated_verification</x:v>
      </x:c>
      <x:c r="L185" t="str">
        <x:v>https://static.cninfo.com.cn/finalpage/2026-08-27/1225515004.PDF</x:v>
      </x:c>
      <x:c r="M185" t="str">
        <x:v>50da2e03fddbe9dd424d8fe7881f47fb34efa5d38c96aa9449c12e445c3b2dec</x:v>
      </x:c>
      <x:c r="N185" t="str">
        <x:v>570.27 8,108,544,962.44
支付其他与经营活动有关的现金 4,277,251,672.75 4,288,154,938.27
经营活动现金流出小计 61,202,684,332.03 75,271,001,043.33
经营活动产生的现金流量净额 18,808,832,392.46 28,328,562,187.20
二、投资活动产生的现金流量：
收回投资收到的现金 20,993,725,865.74 11,134,604,441.31
取得投资收益收到的现金 350,516,324.86 145,226,159.21
处置固定资产、无形资产和其他长期资产收
回的现金净额 116,777,265.13 121,714,938.32
处</x:v>
      </x:c>
    </x:row>
    <x:row r="186">
      <x:c r="A186" t="str">
        <x:v>aed72adc-8787-4315-be43-7dece460333a</x:v>
      </x:c>
      <x:c r="B186" t="str">
        <x:v>000651</x:v>
      </x:c>
      <x:c r="C186" t="str">
        <x:v>格力电器</x:v>
      </x:c>
      <x:c r="D186" t="str">
        <x:v>2026-06-30</x:v>
      </x:c>
      <x:c r="E186" t="str">
        <x:v>interim</x:v>
      </x:c>
      <x:c r="F186" t="str">
        <x:v>current_portion_long_term_debt</x:v>
      </x:c>
      <x:c r="G186" t="n">
        <x:v>1134773411.03</x:v>
      </x:c>
      <x:c r="H186" t="str">
        <x:v>CNY</x:v>
      </x:c>
      <x:c r="I186" t="n">
        <x:v>53</x:v>
      </x:c>
      <x:c r="J186" t="str">
        <x:v>一年内到期的非流动负债</x:v>
      </x:c>
      <x:c r="K186" t="str">
        <x:v>candidate_pending_automated_verification</x:v>
      </x:c>
      <x:c r="L186" t="str">
        <x:v>https://static.cninfo.com.cn/finalpage/2026-08-27/1225515004.PDF</x:v>
      </x:c>
      <x:c r="M186" t="str">
        <x:v>50da2e03fddbe9dd424d8fe7881f47fb34efa5d38c96aa9449c12e445c3b2dec</x:v>
      </x:c>
      <x:c r="N186" t="str">
        <x:v>41.28 1,931,908,540.48
其他应付款 15,655,485,845.60 11,240,989,639.29
其中：应付利息
应付股利 11,240,637,686.03 5,591,546,379.65
持有待售负债
一年内到期的非流动负债 1,134,773,411.03 13,668,113,331.54
其他流动负债 59,824,776,547.61 60,214,780,720.57
流动负债合计 238,126,867,892.47 231,569,831,196.26
非流动负债：
长期借款 2,128,656,424.92 3,134,980,571.73
应付债券</x:v>
      </x:c>
    </x:row>
    <x:row r="187">
      <x:c r="A187" t="str">
        <x:v>902a38ca-195c-40f8-9919-76c0b973119c</x:v>
      </x:c>
      <x:c r="B187" t="str">
        <x:v>000651</x:v>
      </x:c>
      <x:c r="C187" t="str">
        <x:v>格力电器</x:v>
      </x:c>
      <x:c r="D187" t="str">
        <x:v>2026-06-30</x:v>
      </x:c>
      <x:c r="E187" t="str">
        <x:v>interim</x:v>
      </x:c>
      <x:c r="F187" t="str">
        <x:v>short_term_borrowings</x:v>
      </x:c>
      <x:c r="G187" t="n">
        <x:v>79719240399.52</x:v>
      </x:c>
      <x:c r="H187" t="str">
        <x:v>CNY</x:v>
      </x:c>
      <x:c r="I187" t="n">
        <x:v>53</x:v>
      </x:c>
      <x:c r="J187" t="str">
        <x:v>短期借款</x:v>
      </x:c>
      <x:c r="K187" t="str">
        <x:v>candidate_pending_automated_verification</x:v>
      </x:c>
      <x:c r="L187" t="str">
        <x:v>https://static.cninfo.com.cn/finalpage/2026-08-27/1225515004.PDF</x:v>
      </x:c>
      <x:c r="M187" t="str">
        <x:v>50da2e03fddbe9dd424d8fe7881f47fb34efa5d38c96aa9449c12e445c3b2dec</x:v>
      </x:c>
      <x:c r="N187" t="str">
        <x:v>543.84 42,610,141,637.28
非流动资产合计 142,824,566,300.86 140,428,447,922.06
资产总计 399,137,072,924.98 391,371,999,819.49
流动负债：
短期借款 79,719,240,399.52 67,956,629,538.51
向中央银行借款
拆入资金
交易性金融负债
衍生金融负债 65,094,952.36
应付票据 20,949,230,073.22 15,544,348,535.69
应付账款 45,994,541,647.67 42,103,940,920.24
预收款项
合同负债 8,474,270,795.66 15,206,576</x:v>
      </x:c>
    </x:row>
    <x:row r="188">
      <x:c r="A188" t="str">
        <x:v>bd02db06-21fa-4b16-95f5-465adde73ca2</x:v>
      </x:c>
      <x:c r="B188" t="str">
        <x:v>000651</x:v>
      </x:c>
      <x:c r="C188" t="str">
        <x:v>格力电器</x:v>
      </x:c>
      <x:c r="D188" t="str">
        <x:v>2026-06-30</x:v>
      </x:c>
      <x:c r="E188" t="str">
        <x:v>interim</x:v>
      </x:c>
      <x:c r="F188" t="str">
        <x:v>long_term_borrowings</x:v>
      </x:c>
      <x:c r="G188" t="n">
        <x:v>2128656424.92</x:v>
      </x:c>
      <x:c r="H188" t="str">
        <x:v>CNY</x:v>
      </x:c>
      <x:c r="I188" t="n">
        <x:v>167</x:v>
      </x:c>
      <x:c r="J188" t="str">
        <x:v>长期借款</x:v>
      </x:c>
      <x:c r="K188" t="str">
        <x:v>candidate_pending_automated_verification</x:v>
      </x:c>
      <x:c r="L188" t="str">
        <x:v>https://static.cninfo.com.cn/finalpage/2026-08-27/1225515004.PDF</x:v>
      </x:c>
      <x:c r="M188" t="str">
        <x:v>50da2e03fddbe9dd424d8fe7881f47fb34efa5d38c96aa9449c12e445c3b2dec</x:v>
      </x:c>
      <x:c r="N188" t="str">
        <x:v> 0.70%-3.70%
吸收存款及同业存放 182,482,118.53 0.25%-3.15%
其他应付款 1,569,475,866.05 4.35%
一年内到期的非流动负债 1,035,690,601.90 2.45%-4.85%
长期借款 2,128,656,424.92 2.45%-4.29%
合计 84,635,545,410.92
十二、公允价值的披露
1.以公允价值计量的资产和负债的期末公允价值
项目
期末公允价值
第一层次公允价值
计量
第二层次公允价值
计量
第三层次公允价
值计量 合计
持续的公允价值计量
交易性金融资产 29,699,323,714.94 4,719,233,934.50 34,418,557</x:v>
      </x:c>
    </x:row>
    <x:row r="189">
      <x:c r="A189" t="str">
        <x:v>fad8bd37-3c28-4ccf-927b-7c57b6fb0acf</x:v>
      </x:c>
      <x:c r="B189" t="str">
        <x:v>000651</x:v>
      </x:c>
      <x:c r="C189" t="str">
        <x:v>格力电器</x:v>
      </x:c>
      <x:c r="D189" t="str">
        <x:v>2026-06-30</x:v>
      </x:c>
      <x:c r="E189" t="str">
        <x:v>interim</x:v>
      </x:c>
      <x:c r="F189" t="str">
        <x:v>cash</x:v>
      </x:c>
      <x:c r="G189" t="n">
        <x:v>128248277441.37</x:v>
      </x:c>
      <x:c r="H189" t="str">
        <x:v>CNY</x:v>
      </x:c>
      <x:c r="I189" t="n">
        <x:v>52</x:v>
      </x:c>
      <x:c r="J189" t="str">
        <x:v>货币资金</x:v>
      </x:c>
      <x:c r="K189" t="str">
        <x:v>candidate_pending_automated_verification</x:v>
      </x:c>
      <x:c r="L189" t="str">
        <x:v>https://static.cninfo.com.cn/finalpage/2026-08-27/1225515004.PDF</x:v>
      </x:c>
      <x:c r="M189" t="str">
        <x:v>50da2e03fddbe9dd424d8fe7881f47fb34efa5d38c96aa9449c12e445c3b2dec</x:v>
      </x:c>
      <x:c r="N189" t="str">
        <x:v>半年度报告是否经过审计
□是 ☑否
公司半年度财务报告未经审计。
二、财务报表
财务附注中报表的单位为：元
1.合并资产负债表
编制单位：珠海格力电器股份有限公司
2026年 06月 30日
单位：元
项目 期末余额 期初余额
流动资产：
货币资金 128,248,277,441.37 110,553,006,650.89
拆出资金
交易性金融资产 34,418,557,649.44 31,336,448,103.06
衍生金融资产 50,824,024.04
应收票据 883,500.00
应收账款 17,176,523,584.59 15,987,180,598.76
应收款项融资 8,738,921,524.04 6,496,151</x:v>
      </x:c>
    </x:row>
    <x:row r="190">
      <x:c r="A190" t="str">
        <x:v>019cfd20-0841-4e53-84d7-ddd84592f57c</x:v>
      </x:c>
      <x:c r="B190" t="str">
        <x:v>000651</x:v>
      </x:c>
      <x:c r="C190" t="str">
        <x:v>格力电器</x:v>
      </x:c>
      <x:c r="D190" t="str">
        <x:v>2026-06-30</x:v>
      </x:c>
      <x:c r="E190" t="str">
        <x:v>interim</x:v>
      </x:c>
      <x:c r="F190" t="str">
        <x:v>roe</x:v>
      </x:c>
      <x:c r="G190" t="n">
        <x:v>8.68</x:v>
      </x:c>
      <x:c r="H190" t="str">
        <x:v>percent</x:v>
      </x:c>
      <x:c r="I190" t="n">
        <x:v>7</x:v>
      </x:c>
      <x:c r="J190" t="str">
        <x:v>加权平均净资产收益率</x:v>
      </x:c>
      <x:c r="K190" t="str">
        <x:v>candidate_pending_automated_verification</x:v>
      </x:c>
      <x:c r="L190" t="str">
        <x:v>https://static.cninfo.com.cn/finalpage/2026-08-27/1225515004.PDF</x:v>
      </x:c>
      <x:c r="M190" t="str">
        <x:v>50da2e03fddbe9dd424d8fe7881f47fb34efa5d38c96aa9449c12e445c3b2dec</x:v>
      </x:c>
      <x:c r="N190" t="str">
        <x:v>
经营活动产生的现金流量净额（元） 18,808,832,392.46 28,328,562,187.20 -33.60%
基本每股收益（元/股） 2.38 2.60 -8.46%
稀释每股收益（元/股） 2.38 2.60 -8.46%
加权平均净资产收益率 8.68% 10.09% 下降 1.41个百分点
项目 本报告期末 上年度末 本报告期末比上年度末增减
总资产（元） 399,137,072,924.98 391,371,999,819.49 1.98%
归属于上市公司股东的净资产（元） 148,508,076,556.36 145,929,297,804.02 1.77%
五、境内外会计准则下会计数据差异
1.同</x:v>
      </x:c>
    </x:row>
    <x:row r="191">
      <x:c r="A191" t="str">
        <x:v>b97fbc47-1836-4386-be34-4210188bc2b8</x:v>
      </x:c>
      <x:c r="B191" t="str">
        <x:v>000651</x:v>
      </x:c>
      <x:c r="C191" t="str">
        <x:v>格力电器</x:v>
      </x:c>
      <x:c r="D191" t="str">
        <x:v>2026-06-30</x:v>
      </x:c>
      <x:c r="E191" t="str">
        <x:v>interim</x:v>
      </x:c>
      <x:c r="F191" t="str">
        <x:v>long_term_borrowings</x:v>
      </x:c>
      <x:c r="G191" t="n">
        <x:v>2128656424.92</x:v>
      </x:c>
      <x:c r="H191" t="str">
        <x:v>CNY</x:v>
      </x:c>
      <x:c r="I191" t="n">
        <x:v>53</x:v>
      </x:c>
      <x:c r="J191" t="str">
        <x:v>长期借款</x:v>
      </x:c>
      <x:c r="K191" t="str">
        <x:v>candidate_pending_automated_verification</x:v>
      </x:c>
      <x:c r="L191" t="str">
        <x:v>https://static.cninfo.com.cn/finalpage/2026-08-27/1225515004.PDF</x:v>
      </x:c>
      <x:c r="M191" t="str">
        <x:v>50da2e03fddbe9dd424d8fe7881f47fb34efa5d38c96aa9449c12e445c3b2dec</x:v>
      </x:c>
      <x:c r="N191" t="str">
        <x:v>411.03 13,668,113,331.54
其他流动负债 59,824,776,547.61 60,214,780,720.57
流动负债合计 238,126,867,892.47 231,569,831,196.26
非流动负债：
长期借款 2,128,656,424.92 3,134,980,571.73
应付债券</x:v>
      </x:c>
    </x:row>
    <x:row r="192">
      <x:c r="A192" t="str">
        <x:v>08abf58d-b620-4826-8059-98377f67d19f</x:v>
      </x:c>
      <x:c r="B192" t="str">
        <x:v>000651</x:v>
      </x:c>
      <x:c r="C192" t="str">
        <x:v>格力电器</x:v>
      </x:c>
      <x:c r="D192" t="str">
        <x:v>2026-06-30</x:v>
      </x:c>
      <x:c r="E192" t="str">
        <x:v>interim</x:v>
      </x:c>
      <x:c r="F192" t="str">
        <x:v>short_term_borrowings</x:v>
      </x:c>
      <x:c r="G192" t="n">
        <x:v>79719240399.52</x:v>
      </x:c>
      <x:c r="H192" t="str">
        <x:v>CNY</x:v>
      </x:c>
      <x:c r="I192" t="n">
        <x:v>167</x:v>
      </x:c>
      <x:c r="J192" t="str">
        <x:v>短期借款</x:v>
      </x:c>
      <x:c r="K192" t="str">
        <x:v>candidate_pending_automated_verification</x:v>
      </x:c>
      <x:c r="L192" t="str">
        <x:v>https://static.cninfo.com.cn/finalpage/2026-08-27/1225515004.PDF</x:v>
      </x:c>
      <x:c r="M192" t="str">
        <x:v>50da2e03fddbe9dd424d8fe7881f47fb34efa5d38c96aa9449c12e445c3b2dec</x:v>
      </x:c>
      <x:c r="N192" t="str">
        <x:v>和控制外币资产及负债的规模等方式最大程度
降低外汇风险。
3)利率风险
利率风险，是指金融工具的公允价值或未来现金流量因市场利率变动而发生波动的风险。
截至 2026 年 6 月 30 日，公司有息负债情况如下：
报表项目 金额 利率区间
短期借款 79,719,240,399.52 0.70%-3.70%
吸收存款及同业存放 182,482,118.53 0.25%-3.15%
其他应付款 1,569,475,866.05 4.35%
一年内到期的非流动负债 1,035,690,601.90 2.45%-4.85%
长期借款 2,128,656,424.92 2.45%-4.29%
合计 84,635,545,410.92
十二、公允</x:v>
      </x:c>
    </x:row>
    <x:row r="193">
      <x:c r="A193" t="str">
        <x:v>058c2905-9b8c-4d2a-ae58-9139a2b885c7</x:v>
      </x:c>
      <x:c r="B193" t="str">
        <x:v>601318</x:v>
      </x:c>
      <x:c r="C193" t="str">
        <x:v>中国平安</x:v>
      </x:c>
      <x:c r="D193" t="str">
        <x:v>2019-06-30</x:v>
      </x:c>
      <x:c r="E193" t="str">
        <x:v>interim</x:v>
      </x:c>
      <x:c r="F193" t="str">
        <x:v>short_term_borrowings</x:v>
      </x:c>
      <x:c r="G193" t="n">
        <x:v>9088</x:v>
      </x:c>
      <x:c r="H193" t="str">
        <x:v>CNY</x:v>
      </x:c>
      <x:c r="I193" t="n">
        <x:v>169</x:v>
      </x:c>
      <x:c r="J193" t="str">
        <x:v>短期借款</x:v>
      </x:c>
      <x:c r="K193" t="str">
        <x:v>candidate_pending_automated_verification</x:v>
      </x:c>
      <x:c r="L193" t="str">
        <x:v>https://static.cninfo.com.cn/finalpage/2019-08-16/1206534274.PDF</x:v>
      </x:c>
      <x:c r="M193" t="str">
        <x:v>aaf841c725e6212c6438d25ae5b5c3a5fcbd2135dc94e11bac30efdb0520335f</x:v>
      </x:c>
      <x:c r="N193" t="str">
        <x:v>二零一九年中报 中国平安保险 （集团） 股份有限公司
167
财务报表
九、 风险管理（续）
4. 流动性风险（续）
2018 年12月31日 （经审计）
即时偿还 3个月以内 3-12个月 1年至5年 5年以上 无期限 合计
短期借款 9,088 27, 225 64, 638 – – – 100,951
向中央银行借款 – 38,898 113, 059 – – – 151,957
银行同业及其他金融机构存放款项 134,834 139, 023 113, 948 12 – – 387,817
拆入资金 – 14,420 10, 541 – – – 24,961
以 公允价值计量且其变动计入当期损</x:v>
      </x:c>
    </x:row>
    <x:row r="194">
      <x:c r="A194" t="str">
        <x:v>7decb038-619f-48c5-b9ea-3467f7b01861</x:v>
      </x:c>
      <x:c r="B194" t="str">
        <x:v>601318</x:v>
      </x:c>
      <x:c r="C194" t="str">
        <x:v>中国平安</x:v>
      </x:c>
      <x:c r="D194" t="str">
        <x:v>2019-06-30</x:v>
      </x:c>
      <x:c r="E194" t="str">
        <x:v>interim</x:v>
      </x:c>
      <x:c r="F194" t="str">
        <x:v>short_term_borrowings</x:v>
      </x:c>
      <x:c r="G194" t="n">
        <x:v>1135</x:v>
      </x:c>
      <x:c r="H194" t="str">
        <x:v>CNY</x:v>
      </x:c>
      <x:c r="I194" t="n">
        <x:v>167</x:v>
      </x:c>
      <x:c r="J194" t="str">
        <x:v>短期借款</x:v>
      </x:c>
      <x:c r="K194" t="str">
        <x:v>candidate_pending_automated_verification</x:v>
      </x:c>
      <x:c r="L194" t="str">
        <x:v>https://static.cninfo.com.cn/finalpage/2019-08-16/1206534274.PDF</x:v>
      </x:c>
      <x:c r="M194" t="str">
        <x:v>aaf841c725e6212c6438d25ae5b5c3a5fcbd2135dc94e11bac30efdb0520335f</x:v>
      </x:c>
      <x:c r="N194" t="str">
        <x:v>二零一九年中报 中国平安保险 （集团） 股份有限公司
165
财务报表
九、 风险管理（续）
4. 流动性风险（续）
2019 年6月30日 （未经审计）
即时偿还 3个月以内 3-12个月 1年至5年 5年以上 无期限 合计
短期借款 1,135 35, 185 66, 976 – – – 103,296
向中央银行借款 – 71,967 66, 765 – – – 138,732
银行同业及其他金融机构存放款项 163,760 49, 402 52, 705 – – – 265,867
拆入资金 – 7,493 11, 585 – – – 19,078
以公允价值计量且其变动计入
 当期损益的金融</x:v>
      </x:c>
    </x:row>
    <x:row r="195">
      <x:c r="A195" t="str">
        <x:v>2c3da931-59d2-43db-8969-9b92c8f18e58</x:v>
      </x:c>
      <x:c r="B195" t="str">
        <x:v>601318</x:v>
      </x:c>
      <x:c r="C195" t="str">
        <x:v>中国平安</x:v>
      </x:c>
      <x:c r="D195" t="str">
        <x:v>2019-06-30</x:v>
      </x:c>
      <x:c r="E195" t="str">
        <x:v>interim</x:v>
      </x:c>
      <x:c r="F195" t="str">
        <x:v>cash</x:v>
      </x:c>
      <x:c r="G195" t="n">
        <x:v>212352</x:v>
      </x:c>
      <x:c r="H195" t="str">
        <x:v>CNY</x:v>
      </x:c>
      <x:c r="I195" t="n">
        <x:v>166</x:v>
      </x:c>
      <x:c r="J195" t="str">
        <x:v>货币资金</x:v>
      </x:c>
      <x:c r="K195" t="str">
        <x:v>candidate_pending_automated_verification</x:v>
      </x:c>
      <x:c r="L195" t="str">
        <x:v>https://static.cninfo.com.cn/finalpage/2019-08-16/1206534274.PDF</x:v>
      </x:c>
      <x:c r="M195" t="str">
        <x:v>aaf841c725e6212c6438d25ae5b5c3a5fcbd2135dc94e11bac30efdb0520335f</x:v>
      </x:c>
      <x:c r="N195" t="str">
        <x:v>金融负债及保险合同负债 （不含投资连结账户余额） 的相关剩余合同到期日 （未经折现的合同现金流量及预期
现金流量） 分析如下 ：
2019 年6月30日 （未经审计）
即时偿还 3个月以内 3-12个月 1年至5年 5年以上 无期限 合计
货币资金 212,352 22, 453 61, 285 565 – 211,034 507, 689
结算备付金 6,181 – – – – – 6,181
拆出资金 1,142 72, 700 10, 478 – – – 84,320
买入返售金融资产 3,267 35, 198 5,228 88 – – 43,781
应收保费 7,511 21, 031 12, 491 35</x:v>
      </x:c>
    </x:row>
    <x:row r="196">
      <x:c r="A196" t="str">
        <x:v>320d264a-807f-42c3-be4a-473f8777b043</x:v>
      </x:c>
      <x:c r="B196" t="str">
        <x:v>601318</x:v>
      </x:c>
      <x:c r="C196" t="str">
        <x:v>中国平安</x:v>
      </x:c>
      <x:c r="D196" t="str">
        <x:v>2019-06-30</x:v>
      </x:c>
      <x:c r="E196" t="str">
        <x:v>interim</x:v>
      </x:c>
      <x:c r="F196" t="str">
        <x:v>cash</x:v>
      </x:c>
      <x:c r="G196" t="n">
        <x:v>474059</x:v>
      </x:c>
      <x:c r="H196" t="str">
        <x:v>CNY</x:v>
      </x:c>
      <x:c r="I196" t="n">
        <x:v>165</x:v>
      </x:c>
      <x:c r="J196" t="str">
        <x:v>货币资金</x:v>
      </x:c>
      <x:c r="K196" t="str">
        <x:v>candidate_pending_automated_verification</x:v>
      </x:c>
      <x:c r="L196" t="str">
        <x:v>https://static.cninfo.com.cn/finalpage/2019-08-16/1206534274.PDF</x:v>
      </x:c>
      <x:c r="M196" t="str">
        <x:v>aaf841c725e6212c6438d25ae5b5c3a5fcbd2135dc94e11bac30efdb0520335f</x:v>
      </x:c>
      <x:c r="N196" t="str">
        <x:v>二零一九年中报 中国平安保险 （集团） 股份有限公司
163
财务报表
九、 风险管理（续）
3. 信用风险（续）
2018 年12月31日 （经审计）
账面价值 第一阶段 第二阶段 第三阶段 最大信用风险敞口
货币资金 474,059 – – 474,059
结算备付金 8,964 – – 8,964
拆出资金 74,434 – – 74,434
买入返售金融资产 92,543 94 314 92,951
应收账款 21,193 620 198 22,011
长期应收款 161,723 3,080 411 165, 214
发放贷款及垫款 1,862,894 37,254 29,694 </x:v>
      </x:c>
    </x:row>
    <x:row r="197">
      <x:c r="A197" t="str">
        <x:v>6971db63-e4b4-4276-809a-dd9a46c1af6f</x:v>
      </x:c>
      <x:c r="B197" t="str">
        <x:v>601318</x:v>
      </x:c>
      <x:c r="C197" t="str">
        <x:v>中国平安</x:v>
      </x:c>
      <x:c r="D197" t="str">
        <x:v>2019-06-30</x:v>
      </x:c>
      <x:c r="E197" t="str">
        <x:v>interim</x:v>
      </x:c>
      <x:c r="F197" t="str">
        <x:v>cash</x:v>
      </x:c>
      <x:c r="G197" t="n">
        <x:v>505779</x:v>
      </x:c>
      <x:c r="H197" t="str">
        <x:v>CNY</x:v>
      </x:c>
      <x:c r="I197" t="n">
        <x:v>164</x:v>
      </x:c>
      <x:c r="J197" t="str">
        <x:v>货币资金</x:v>
      </x:c>
      <x:c r="K197" t="str">
        <x:v>candidate_pending_automated_verification</x:v>
      </x:c>
      <x:c r="L197" t="str">
        <x:v>https://static.cninfo.com.cn/finalpage/2019-08-16/1206534274.PDF</x:v>
      </x:c>
      <x:c r="M197" t="str">
        <x:v>aaf841c725e6212c6438d25ae5b5c3a5fcbd2135dc94e11bac30efdb0520335f</x:v>
      </x:c>
      <x:c r="N197" t="str">
        <x:v>范围的金融工具的信用风险敞口进行了列示。在不考虑担保或其他信用增级措施的影响下，对于
表内资产，最大信用风险敞口以资产负债表中账面净值列示 ：
2019 年6月30日 （未经审计）
账面价值 第一阶段 第二阶段 第三阶段 最大信用风险敞口
货币资金 505,779 – – 505,779
结算备付金 6,181 – – 6,181
拆出资金 84,004 – – 84,004
买入返售金融资产 42,179 – 553 42, 732
应收账款 25,643 188 225 26, 056
长期应收款 176,018 8,030 579 184, 627
发放贷款及垫款 1,942,820 46, 036 18, 6</x:v>
      </x:c>
    </x:row>
    <x:row r="198">
      <x:c r="A198" t="str">
        <x:v>13c28a3d-7b2a-47e5-9694-de1e52443a1c</x:v>
      </x:c>
      <x:c r="B198" t="str">
        <x:v>601318</x:v>
      </x:c>
      <x:c r="C198" t="str">
        <x:v>中国平安</x:v>
      </x:c>
      <x:c r="D198" t="str">
        <x:v>2019-06-30</x:v>
      </x:c>
      <x:c r="E198" t="str">
        <x:v>interim</x:v>
      </x:c>
      <x:c r="F198" t="str">
        <x:v>bonds_payable</x:v>
      </x:c>
      <x:c r="G198" t="n">
        <x:v>7439</x:v>
      </x:c>
      <x:c r="H198" t="str">
        <x:v>CNY</x:v>
      </x:c>
      <x:c r="I198" t="n">
        <x:v>144</x:v>
      </x:c>
      <x:c r="J198" t="str">
        <x:v>应付债券</x:v>
      </x:c>
      <x:c r="K198" t="str">
        <x:v>candidate_pending_automated_verification</x:v>
      </x:c>
      <x:c r="L198" t="str">
        <x:v>https://static.cninfo.com.cn/finalpage/2019-08-16/1206534274.PDF</x:v>
      </x:c>
      <x:c r="M198" t="str">
        <x:v>aaf841c725e6212c6438d25ae5b5c3a5fcbd2135dc94e11bac30efdb0520335f</x:v>
      </x:c>
      <x:c r="N198" t="str">
        <x:v>,173
金融投资 14,867 17,634
其他 – 2,658
小计 86,583 81,424
银行业务利息支出
向中央银行借款 2,360 2,185
金融企业往来 5,904 10,703
吸收存款 27,028 23,136
应付债券 7,439 8,174
其他 96 –
小计 42,827 44,198
银行业务利息净收入 43,756 37,226
本集团截至2019 年6月30日止6个月期间已发生减值的金融资产产生的利息收入为人民币 335 百万元 （截至2018 年6月30日止6个
月期间 ： 人民币340 百万元） 。</x:v>
      </x:c>
    </x:row>
    <x:row r="199">
      <x:c r="A199" t="str">
        <x:v>d79ce565-1647-4bcc-89bf-f6c403228051</x:v>
      </x:c>
      <x:c r="B199" t="str">
        <x:v>601318</x:v>
      </x:c>
      <x:c r="C199" t="str">
        <x:v>中国平安</x:v>
      </x:c>
      <x:c r="D199" t="str">
        <x:v>2019-06-30</x:v>
      </x:c>
      <x:c r="E199" t="str">
        <x:v>interim</x:v>
      </x:c>
      <x:c r="F199" t="str">
        <x:v>cash</x:v>
      </x:c>
      <x:c r="G199" t="n">
        <x:v>1533</x:v>
      </x:c>
      <x:c r="H199" t="str">
        <x:v>CNY</x:v>
      </x:c>
      <x:c r="I199" t="n">
        <x:v>132</x:v>
      </x:c>
      <x:c r="J199" t="str">
        <x:v>货币资金</x:v>
      </x:c>
      <x:c r="K199" t="str">
        <x:v>candidate_pending_automated_verification</x:v>
      </x:c>
      <x:c r="L199" t="str">
        <x:v>https://static.cninfo.com.cn/finalpage/2019-08-16/1206534274.PDF</x:v>
      </x:c>
      <x:c r="M199" t="str">
        <x:v>aaf841c725e6212c6438d25ae5b5c3a5fcbd2135dc94e11bac30efdb0520335f</x:v>
      </x:c>
      <x:c r="N199" t="str">
        <x:v>） 股份有限公司
130
八、 中期简要合并财务报表项目附注（续）
15. 独立账户资产和独立账户负债
投资连结保险投资账户组合情况 ：
2019 年6月30日 2018 年12月31日
（未经审计） （经审计）
独立账户资产 ：   
 货币资金 1,533 951
 以公允价值计量且其变动计入当期损益的金融资产 33,980 29,019
  债券 4,005 4,487
  基金 26,022 21,766
  股票 2,493 1,481
  其他 1,460 1,285
 买入返售金融资产 501 730
 定期存款 5,472 4,511
 其他 257 1,097
41,743 36,308
独立账</x:v>
      </x:c>
    </x:row>
    <x:row r="200">
      <x:c r="A200" t="str">
        <x:v>c5769d10-031e-4232-8dc0-71bd3aee3190</x:v>
      </x:c>
      <x:c r="B200" t="str">
        <x:v>601318</x:v>
      </x:c>
      <x:c r="C200" t="str">
        <x:v>中国平安</x:v>
      </x:c>
      <x:c r="D200" t="str">
        <x:v>2019-06-30</x:v>
      </x:c>
      <x:c r="E200" t="str">
        <x:v>interim</x:v>
      </x:c>
      <x:c r="F200" t="str">
        <x:v>cash</x:v>
      </x:c>
      <x:c r="G200" t="n">
        <x:v>2019</x:v>
      </x:c>
      <x:c r="H200" t="str">
        <x:v>CNY</x:v>
      </x:c>
      <x:c r="I200" t="n">
        <x:v>122</x:v>
      </x:c>
      <x:c r="J200" t="str">
        <x:v>货币资金</x:v>
      </x:c>
      <x:c r="K200" t="str">
        <x:v>candidate_pending_automated_verification</x:v>
      </x:c>
      <x:c r="L200" t="str">
        <x:v>https://static.cninfo.com.cn/finalpage/2019-08-16/1206534274.PDF</x:v>
      </x:c>
      <x:c r="M200" t="str">
        <x:v>aaf841c725e6212c6438d25ae5b5c3a5fcbd2135dc94e11bac30efdb0520335f</x:v>
      </x:c>
      <x:c r="N200" t="str">
        <x:v>中期简要财务报表附注
截至2019 年6月30日止6个月期间
（除特别注明外，金额单位为人民币百万元）
二零一九年中报 中国平安保险 （集团） 股份有限公司
120
八、 中期简要合并财务报表项目附注
1. 货币资金
2019 年6月30日 2018 年12月31日
（未经审计） （经审计）
现金 5,145 5,019
银行存款 128,633 104,129
 其中 ： 证券经纪业务客户 34,713 18,342
存放中央银行款项 264,651 273,513
 其中 ： 存放中央银行法定准备金－人民币 204,682 223,067
存放中央银行法定准备金－外币 6,9</x:v>
      </x:c>
    </x:row>
    <x:row r="201">
      <x:c r="A201" t="str">
        <x:v>54d4f2ea-bfbd-4d2f-9b76-7e08a313e349</x:v>
      </x:c>
      <x:c r="B201" t="str">
        <x:v>601318</x:v>
      </x:c>
      <x:c r="C201" t="str">
        <x:v>中国平安</x:v>
      </x:c>
      <x:c r="D201" t="str">
        <x:v>2019-06-30</x:v>
      </x:c>
      <x:c r="E201" t="str">
        <x:v>interim</x:v>
      </x:c>
      <x:c r="F201" t="str">
        <x:v>bonds_payable</x:v>
      </x:c>
      <x:c r="G201" t="n">
        <x:v>593120</x:v>
      </x:c>
      <x:c r="H201" t="str">
        <x:v>CNY</x:v>
      </x:c>
      <x:c r="I201" t="n">
        <x:v>102</x:v>
      </x:c>
      <x:c r="J201" t="str">
        <x:v>应付债券</x:v>
      </x:c>
      <x:c r="K201" t="str">
        <x:v>candidate_pending_automated_verification</x:v>
      </x:c>
      <x:c r="L201" t="str">
        <x:v>https://static.cninfo.com.cn/finalpage/2019-08-16/1206534274.PDF</x:v>
      </x:c>
      <x:c r="M201" t="str">
        <x:v>aaf841c725e6212c6438d25ae5b5c3a5fcbd2135dc94e11bac30efdb0520335f</x:v>
      </x:c>
      <x:c r="N201" t="str">
        <x:v>52,591
 吸收存款 19 2,306,107 2,089,029
 保户储金及投资款 20 673,407 622,915
 保险合同准备金 21 1,795,562 1,605,411
 长期借款 185,556 148,069
 应付债券 22 593,120 556,875
 租赁负债 17,212 –
 递延所得税负债 25,630 18,476
 其他负债 213,242 219,598
 独立账户负债 15 41,743 36,308
 负债合计 6,798,426 6,459,317</x:v>
      </x:c>
    </x:row>
    <x:row r="202">
      <x:c r="A202" t="str">
        <x:v>8d50f40b-b4c7-4558-ae42-7fabcde8bc08</x:v>
      </x:c>
      <x:c r="B202" t="str">
        <x:v>601318</x:v>
      </x:c>
      <x:c r="C202" t="str">
        <x:v>中国平安</x:v>
      </x:c>
      <x:c r="D202" t="str">
        <x:v>2019-06-30</x:v>
      </x:c>
      <x:c r="E202" t="str">
        <x:v>interim</x:v>
      </x:c>
      <x:c r="F202" t="str">
        <x:v>long_term_borrowings</x:v>
      </x:c>
      <x:c r="G202" t="n">
        <x:v>185556</x:v>
      </x:c>
      <x:c r="H202" t="str">
        <x:v>CNY</x:v>
      </x:c>
      <x:c r="I202" t="n">
        <x:v>102</x:v>
      </x:c>
      <x:c r="J202" t="str">
        <x:v>长期借款</x:v>
      </x:c>
      <x:c r="K202" t="str">
        <x:v>candidate_pending_automated_verification</x:v>
      </x:c>
      <x:c r="L202" t="str">
        <x:v>https://static.cninfo.com.cn/finalpage/2019-08-16/1206534274.PDF</x:v>
      </x:c>
      <x:c r="M202" t="str">
        <x:v>aaf841c725e6212c6438d25ae5b5c3a5fcbd2135dc94e11bac30efdb0520335f</x:v>
      </x:c>
      <x:c r="N202" t="str">
        <x:v>51,679
 应付保单红利 57,407 52,591
 吸收存款 19 2,306,107 2,089,029
 保户储金及投资款 20 673,407 622,915
 保险合同准备金 21 1,795,562 1,605,411
 长期借款 185,556 148,069
 应付债券 22 593,120 556,875
 租赁负债 17,212 –
 递延所得税负债 25,630 18,476
 其他负债 213,242 219,598
 独立账户负债 15 41,743 36,308
 负债合计 6,798,426 6,459,317</x:v>
      </x:c>
    </x:row>
    <x:row r="203">
      <x:c r="A203" t="str">
        <x:v>de979ae2-1672-4e11-9b25-8a60d3ff5350</x:v>
      </x:c>
      <x:c r="B203" t="str">
        <x:v>601318</x:v>
      </x:c>
      <x:c r="C203" t="str">
        <x:v>中国平安</x:v>
      </x:c>
      <x:c r="D203" t="str">
        <x:v>2019-06-30</x:v>
      </x:c>
      <x:c r="E203" t="str">
        <x:v>interim</x:v>
      </x:c>
      <x:c r="F203" t="str">
        <x:v>short_term_borrowings</x:v>
      </x:c>
      <x:c r="G203" t="n">
        <x:v>101118</x:v>
      </x:c>
      <x:c r="H203" t="str">
        <x:v>CNY</x:v>
      </x:c>
      <x:c r="I203" t="n">
        <x:v>102</x:v>
      </x:c>
      <x:c r="J203" t="str">
        <x:v>短期借款</x:v>
      </x:c>
      <x:c r="K203" t="str">
        <x:v>candidate_pending_automated_verification</x:v>
      </x:c>
      <x:c r="L203" t="str">
        <x:v>https://static.cninfo.com.cn/finalpage/2019-08-16/1206534274.PDF</x:v>
      </x:c>
      <x:c r="M203" t="str">
        <x:v>aaf841c725e6212c6438d25ae5b5c3a5fcbd2135dc94e11bac30efdb0520335f</x:v>
      </x:c>
      <x:c r="N203" t="str">
        <x:v>6月30日
（除特别注明外，金额单位为人民币百万元）
二零一九年中报 中国平安保险 （集团） 股份有限公司
100
附注八 2019 年6月30日 2018 年12月31日
（未经审计） （经审计） 
负债及股东权益
负债   
 短期借款 101,118 93,627
 向中央银行借款 137,101 149,756
 银行同业及其他金融机构存放款项 16 264,982 387,096
 拆入资金 18,736 24,606
 以公允价值计量且其变动计入当期损益的金融负债 22,948 16,975
 衍生金融负债 24,607 22,247
 卖出回购金融资产款 17 125,352 189,028
 </x:v>
      </x:c>
    </x:row>
    <x:row r="204">
      <x:c r="A204" t="str">
        <x:v>f6a6af37-f871-49c0-b1a6-875061728cdd</x:v>
      </x:c>
      <x:c r="B204" t="str">
        <x:v>601318</x:v>
      </x:c>
      <x:c r="C204" t="str">
        <x:v>中国平安</x:v>
      </x:c>
      <x:c r="D204" t="str">
        <x:v>2019-06-30</x:v>
      </x:c>
      <x:c r="E204" t="str">
        <x:v>interim</x:v>
      </x:c>
      <x:c r="F204" t="str">
        <x:v>cash</x:v>
      </x:c>
      <x:c r="G204" t="n">
        <x:v>505779</x:v>
      </x:c>
      <x:c r="H204" t="str">
        <x:v>CNY</x:v>
      </x:c>
      <x:c r="I204" t="n">
        <x:v>101</x:v>
      </x:c>
      <x:c r="J204" t="str">
        <x:v>货币资金</x:v>
      </x:c>
      <x:c r="K204" t="str">
        <x:v>candidate_pending_automated_verification</x:v>
      </x:c>
      <x:c r="L204" t="str">
        <x:v>https://static.cninfo.com.cn/finalpage/2019-08-16/1206534274.PDF</x:v>
      </x:c>
      <x:c r="M204" t="str">
        <x:v>aaf841c725e6212c6438d25ae5b5c3a5fcbd2135dc94e11bac30efdb0520335f</x:v>
      </x:c>
      <x:c r="N204" t="str">
        <x:v>产负债表
2019 年6月30日
（除特别注明外，金额单位为人民币百万元）
二零一九年中报 中国平安保险 （集团） 股份有限公司
99
财务报表
附注八 2019 年6月30日 2018 年12月31日
（未经审计） （经审计） 
资产
 货币资金 1 505,779 474,059
 结算备付金 6,181 8,964
 拆出资金 2 84,004 74,434
 买入返售金融资产 3 42,732 92,951
 应收保费 4 76,238 67,150
 应收账款 26,056 22,011
 应收分保账款 5 10,551 8,683
 衍生金融资产 17,955 21,911
 应收分保合同准备金 18,401</x:v>
      </x:c>
    </x:row>
    <x:row r="205">
      <x:c r="A205" t="str">
        <x:v>7ea65fcc-2128-418d-819d-e1d12d32571c</x:v>
      </x:c>
      <x:c r="B205" t="str">
        <x:v>601318</x:v>
      </x:c>
      <x:c r="C205" t="str">
        <x:v>中国平安</x:v>
      </x:c>
      <x:c r="D205" t="str">
        <x:v>2019-06-30</x:v>
      </x:c>
      <x:c r="E205" t="str">
        <x:v>interim</x:v>
      </x:c>
      <x:c r="F205" t="str">
        <x:v>operating_cash_flow</x:v>
      </x:c>
      <x:c r="G205" t="n">
        <x:v>181853</x:v>
      </x:c>
      <x:c r="H205" t="str">
        <x:v>CNY</x:v>
      </x:c>
      <x:c r="I205" t="n">
        <x:v>108</x:v>
      </x:c>
      <x:c r="J205" t="str">
        <x:v>经营活动产生的现金流量净额</x:v>
      </x:c>
      <x:c r="K205" t="str">
        <x:v>candidate_pending_automated_verification</x:v>
      </x:c>
      <x:c r="L205" t="str">
        <x:v>https://static.cninfo.com.cn/finalpage/2019-08-16/1206534274.PDF</x:v>
      </x:c>
      <x:c r="M205" t="str">
        <x:v>aaf841c725e6212c6438d25ae5b5c3a5fcbd2135dc94e11bac30efdb0520335f</x:v>
      </x:c>
      <x:c r="N205" t="str">
        <x:v>) (27,511)
银行业务及证券业务为交易目的持有的金融资产净增加额 (5,318) (44,641)
支付的其他与经营活动有关的现金 (109,329) (94,607)
经营活动现金流出小计 (585,611) (634,266)
经营活动产生的现金流量净额 181,853 138,936</x:v>
      </x:c>
    </x:row>
    <x:row r="206">
      <x:c r="A206" t="str">
        <x:v>72e01cad-8a9d-4232-95ec-63b63b54eaa0</x:v>
      </x:c>
      <x:c r="B206" t="str">
        <x:v>601318</x:v>
      </x:c>
      <x:c r="C206" t="str">
        <x:v>中国平安</x:v>
      </x:c>
      <x:c r="D206" t="str">
        <x:v>2019-06-30</x:v>
      </x:c>
      <x:c r="E206" t="str">
        <x:v>interim</x:v>
      </x:c>
      <x:c r="F206" t="str">
        <x:v>cash</x:v>
      </x:c>
      <x:c r="G206" t="n">
        <x:v>152703</x:v>
      </x:c>
      <x:c r="H206" t="str">
        <x:v>CNY</x:v>
      </x:c>
      <x:c r="I206" t="n">
        <x:v>168</x:v>
      </x:c>
      <x:c r="J206" t="str">
        <x:v>货币资金</x:v>
      </x:c>
      <x:c r="K206" t="str">
        <x:v>candidate_pending_automated_verification</x:v>
      </x:c>
      <x:c r="L206" t="str">
        <x:v>https://static.cninfo.com.cn/finalpage/2019-08-16/1206534274.PDF</x:v>
      </x:c>
      <x:c r="M206" t="str">
        <x:v>aaf841c725e6212c6438d25ae5b5c3a5fcbd2135dc94e11bac30efdb0520335f</x:v>
      </x:c>
      <x:c r="N206" t="str">
        <x:v>单位为人民币百万元）
二零一九年中报 中国平安保险 （集团） 股份有限公司
166
九、 风险管理（续）
4. 流动性风险（续）
2018 年12月31日 （经审计）
即时偿还 3个月以内 3-12个月 1年至5年 5年以上 无期限 合计
货币资金 152,703 27, 093 50, 163 618 – 248,567 479, 144
结算备付金 8,964 – – – – – 8,964
拆出资金 1,522 62, 508 10, 753 – – – 74,783
买入返售金融资产 1,820 85, 867 5,505 410 – – 93,602
应收保费 22,440 20, 887 13, 447 </x:v>
      </x:c>
    </x:row>
    <x:row r="207">
      <x:c r="A207" t="str">
        <x:v>6ede67f2-7469-4b32-9888-d05d831cc502</x:v>
      </x:c>
      <x:c r="B207" t="str">
        <x:v>000333</x:v>
      </x:c>
      <x:c r="C207" t="str">
        <x:v>美的集团</x:v>
      </x:c>
      <x:c r="D207" t="str">
        <x:v>2021-03-31</x:v>
      </x:c>
      <x:c r="E207" t="str">
        <x:v>first_quarter</x:v>
      </x:c>
      <x:c r="F207" t="str">
        <x:v>roe</x:v>
      </x:c>
      <x:c r="G207" t="n">
        <x:v>5.35</x:v>
      </x:c>
      <x:c r="H207" t="str">
        <x:v>percent</x:v>
      </x:c>
      <x:c r="I207" t="n">
        <x:v>3</x:v>
      </x:c>
      <x:c r="J207" t="str">
        <x:v>加权平均净资产收益率</x:v>
      </x:c>
      <x:c r="K207" t="str">
        <x:v>candidate_pending_automated_verification</x:v>
      </x:c>
      <x:c r="L207" t="str">
        <x:v>https://static.cninfo.com.cn/finalpage/2021-04-30/1209870320.PDF</x:v>
      </x:c>
      <x:c r="M207" t="str">
        <x:v>f68e946df248e9b3cf27ad684910928431ae112605a23f1e3429808637e1b4b6</x:v>
      </x:c>
      <x:c r="N207" t="str">
        <x:v>6,912 38.04% 
经营活动产生的现金流量净额（千元） 8,553,861 7,668,597 11.54% 
基本每股收益（元/股） 0.93 0.70 32.86% 
稀释每股收益（元/股） 0.92 0.69 33.33% 
加权平均净资产收益率 5.35% 4.62% 0.73% 
 本报告期末 上年度末 本报告期末比上年度末增减 
总资产（千元） 369,174,526 360,382,603 2.44% 
归属于上市公司股东的净资产（千元） 117,532,628 117,516,260 0.01% 
截止披露前一交易日的公司总股本： 
截止披露前一交易日的公司总股本（股） 7,047,686,070 </x:v>
      </x:c>
    </x:row>
    <x:row r="208">
      <x:c r="A208" t="str">
        <x:v>a4345798-3a17-4ed2-bdd2-5e714f987364</x:v>
      </x:c>
      <x:c r="B208" t="str">
        <x:v>601601</x:v>
      </x:c>
      <x:c r="C208" t="str">
        <x:v>中国太保</x:v>
      </x:c>
      <x:c r="D208" t="str">
        <x:v>2025-12-31</x:v>
      </x:c>
      <x:c r="E208" t="str">
        <x:v>annual</x:v>
      </x:c>
      <x:c r="F208" t="str">
        <x:v>cash</x:v>
      </x:c>
      <x:c r="G208" t="n">
        <x:v>29357</x:v>
      </x:c>
      <x:c r="H208" t="str">
        <x:v>CNY</x:v>
      </x:c>
      <x:c r="I208" t="n">
        <x:v>294</x:v>
      </x:c>
      <x:c r="J208" t="str">
        <x:v>货币资金</x:v>
      </x:c>
      <x:c r="K208" t="str">
        <x:v>candidate_pending_automated_verification</x:v>
      </x:c>
      <x:c r="L208" t="str">
        <x:v>https://static.cninfo.com.cn/finalpage/2026-03-27/1225035569.PDF</x:v>
      </x:c>
      <x:c r="M208" t="str">
        <x:v>3787b6a6ec1bf480be2092e7bae156bd0f1d1b7f9f28bd9226d038951c788dee</x:v>
      </x:c>
      <x:c r="N208" t="str">
        <x:v>他
信
息
公
司
治
理
经
营
业
绩
财
务
报
告
十二、风险管理（续）
4. 流动性风险（续）
下表列示了本集团资产和负债按预计使用和清算时间所做的流动分析：（续）
2024 年 12 月 31 日
流动 非流动 合计
资产：
 货币资金 29,357 – 29,357
 衍生金融资产 13 13 26
 买入返售金融资产 10,905 – 10,905
 定期存款 25,296 148,522 173,818
 金融投资：
  交易性金融资产 383,995 283,204 667,199
  债权投资 15,430 49,414 64,844
  其他债权投资 66,871 1,541,101 1,6</x:v>
      </x:c>
    </x:row>
    <x:row r="209">
      <x:c r="A209" t="str">
        <x:v>8723468c-f27d-484e-bf70-592ca8435f28</x:v>
      </x:c>
      <x:c r="B209" t="str">
        <x:v>601601</x:v>
      </x:c>
      <x:c r="C209" t="str">
        <x:v>中国太保</x:v>
      </x:c>
      <x:c r="D209" t="str">
        <x:v>2025-12-31</x:v>
      </x:c>
      <x:c r="E209" t="str">
        <x:v>annual</x:v>
      </x:c>
      <x:c r="F209" t="str">
        <x:v>long_term_borrowings</x:v>
      </x:c>
      <x:c r="G209" t="n">
        <x:v>92</x:v>
      </x:c>
      <x:c r="H209" t="str">
        <x:v>CNY</x:v>
      </x:c>
      <x:c r="I209" t="n">
        <x:v>293</x:v>
      </x:c>
      <x:c r="J209" t="str">
        <x:v>长期借款</x:v>
      </x:c>
      <x:c r="K209" t="str">
        <x:v>candidate_pending_automated_verification</x:v>
      </x:c>
      <x:c r="L209" t="str">
        <x:v>https://static.cninfo.com.cn/finalpage/2026-03-27/1225035569.PDF</x:v>
      </x:c>
      <x:c r="M209" t="str">
        <x:v>3787b6a6ec1bf480be2092e7bae156bd0f1d1b7f9f28bd9226d038951c788dee</x:v>
      </x:c>
      <x:c r="N209" t="str">
        <x:v>8,930 – 218,930
 应付债券 – 22,678 22,678
 保险合同负债 86,728 2,379,879 2,466,607
 应付手续费及佣金 5,449 386 5,835
 租赁负债 723 848 1,571
 长期借款 62 92 154
 其他 46,068 1,665 47,733
总计 360,332 2,405,548 2,765,880</x:v>
      </x:c>
    </x:row>
    <x:row r="210">
      <x:c r="A210" t="str">
        <x:v>28ccb317-e9f9-440b-9b43-e0fffd347cd3</x:v>
      </x:c>
      <x:c r="B210" t="str">
        <x:v>601601</x:v>
      </x:c>
      <x:c r="C210" t="str">
        <x:v>中国太保</x:v>
      </x:c>
      <x:c r="D210" t="str">
        <x:v>2025-12-31</x:v>
      </x:c>
      <x:c r="E210" t="str">
        <x:v>annual</x:v>
      </x:c>
      <x:c r="F210" t="str">
        <x:v>cash</x:v>
      </x:c>
      <x:c r="G210" t="n">
        <x:v>62789</x:v>
      </x:c>
      <x:c r="H210" t="str">
        <x:v>CNY</x:v>
      </x:c>
      <x:c r="I210" t="n">
        <x:v>293</x:v>
      </x:c>
      <x:c r="J210" t="str">
        <x:v>货币资金</x:v>
      </x:c>
      <x:c r="K210" t="str">
        <x:v>candidate_pending_automated_verification</x:v>
      </x:c>
      <x:c r="L210" t="str">
        <x:v>https://static.cninfo.com.cn/finalpage/2026-03-27/1225035569.PDF</x:v>
      </x:c>
      <x:c r="M210" t="str">
        <x:v>3787b6a6ec1bf480be2092e7bae156bd0f1d1b7f9f28bd9226d038951c788dee</x:v>
      </x:c>
      <x:c r="N210" t="str">
        <x:v>1 至 2 年 2 至 5 年 5 年以上 合计
未纳入租赁负债的未来合同现金流 33 26 45 7 111
下表列示了本集团资产和负债按预计使用和清算时间所做的流动分析：
2025 年 12 月 31 日
流动 非流动 合计
资产：
 货币资金 62,789 – 62,789
 衍生金融资产 5 – 5
 买入返售金融资产 24,512 – 24,512
 定期存款 41,081 146,229 187,310
 金融投资：
  交易性金融资产 406,738 308,130 714,868
  债权投资 6,452 46,149 52,601
  其他债权投资 35,130 1,736,948 1,772,0</x:v>
      </x:c>
    </x:row>
    <x:row r="211">
      <x:c r="A211" t="str">
        <x:v>25ee2571-e300-4805-b6b8-1ac9106b7cbc</x:v>
      </x:c>
      <x:c r="B211" t="str">
        <x:v>601601</x:v>
      </x:c>
      <x:c r="C211" t="str">
        <x:v>中国太保</x:v>
      </x:c>
      <x:c r="D211" t="str">
        <x:v>2025-12-31</x:v>
      </x:c>
      <x:c r="E211" t="str">
        <x:v>annual</x:v>
      </x:c>
      <x:c r="F211" t="str">
        <x:v>cash</x:v>
      </x:c>
      <x:c r="G211" t="n">
        <x:v>29136</x:v>
      </x:c>
      <x:c r="H211" t="str">
        <x:v>CNY</x:v>
      </x:c>
      <x:c r="I211" t="n">
        <x:v>292</x:v>
      </x:c>
      <x:c r="J211" t="str">
        <x:v>货币资金</x:v>
      </x:c>
      <x:c r="K211" t="str">
        <x:v>candidate_pending_automated_verification</x:v>
      </x:c>
      <x:c r="L211" t="str">
        <x:v>https://static.cninfo.com.cn/finalpage/2026-03-27/1225035569.PDF</x:v>
      </x:c>
      <x:c r="M211" t="str">
        <x:v>3787b6a6ec1bf480be2092e7bae156bd0f1d1b7f9f28bd9226d038951c788dee</x:v>
      </x:c>
      <x:c r="N211" t="str">
        <x:v>风险（续）
下表概括了主要金融资产和金融负债按未折现的合同现金流量及预期现金流量的剩余到期日所作的到期期
限分析：（续）
2024 年 12 月 31 日
即期 / 已逾期 1 年以内 1 至 5 年 5 年以上 无期限 合计
金融资产：
货币资金 29,136 221 – – – 29,357
衍生金融资产 – 13 13 – – 26
买入返售金融资产 – 10,905 – – – 10,905
定期存款 – 26,288 160,777 – – 187,065
金融投资：
 交易性金融资产 388 29,170 63,209 306,695 366,452 765,914
 债权投资 – 17,996 19,</x:v>
      </x:c>
    </x:row>
    <x:row r="212">
      <x:c r="A212" t="str">
        <x:v>faec3e70-7172-4b5b-8822-30f6e6a9f013</x:v>
      </x:c>
      <x:c r="B212" t="str">
        <x:v>601601</x:v>
      </x:c>
      <x:c r="C212" t="str">
        <x:v>中国太保</x:v>
      </x:c>
      <x:c r="D212" t="str">
        <x:v>2025-12-31</x:v>
      </x:c>
      <x:c r="E212" t="str">
        <x:v>annual</x:v>
      </x:c>
      <x:c r="F212" t="str">
        <x:v>cash</x:v>
      </x:c>
      <x:c r="G212" t="n">
        <x:v>58708</x:v>
      </x:c>
      <x:c r="H212" t="str">
        <x:v>CNY</x:v>
      </x:c>
      <x:c r="I212" t="n">
        <x:v>291</x:v>
      </x:c>
      <x:c r="J212" t="str">
        <x:v>货币资金</x:v>
      </x:c>
      <x:c r="K212" t="str">
        <x:v>candidate_pending_automated_verification</x:v>
      </x:c>
      <x:c r="L212" t="str">
        <x:v>https://static.cninfo.com.cn/finalpage/2026-03-27/1225035569.PDF</x:v>
      </x:c>
      <x:c r="M212" t="str">
        <x:v>3787b6a6ec1bf480be2092e7bae156bd0f1d1b7f9f28bd9226d038951c788dee</x:v>
      </x:c>
      <x:c r="N212" t="str">
        <x:v>流动性风险（续）
下表概括了主要金融资产和金融负债按未折现的合同现金流量及预期现金流量的剩余到期日所作的到期期
限分析：
2025 年 12 月 31 日
即期 / 已逾期 1 年以内 1 至 5 年 5 年以上 无期限 合计
金融资产：
货币资金 58,708 4,081 – – – 62,789
衍生金融资产 – 5 – – – 5
买入返售金融资产 – 24,516 – – – 24,516
定期存款 – 45,131 153,587 – – 198,718
金融投资：
 交易性金融资产 388 28,880 90,239 317,599 399,340 836,446
 债权投资 – 9,292 24,02</x:v>
      </x:c>
    </x:row>
    <x:row r="213">
      <x:c r="A213" t="str">
        <x:v>d1c4a7bf-a072-41a0-9bcf-00c074c95f14</x:v>
      </x:c>
      <x:c r="B213" t="str">
        <x:v>601601</x:v>
      </x:c>
      <x:c r="C213" t="str">
        <x:v>中国太保</x:v>
      </x:c>
      <x:c r="D213" t="str">
        <x:v>2025-12-31</x:v>
      </x:c>
      <x:c r="E213" t="str">
        <x:v>annual</x:v>
      </x:c>
      <x:c r="F213" t="str">
        <x:v>cash</x:v>
      </x:c>
      <x:c r="G213" t="n">
        <x:v>62789</x:v>
      </x:c>
      <x:c r="H213" t="str">
        <x:v>CNY</x:v>
      </x:c>
      <x:c r="I213" t="n">
        <x:v>286</x:v>
      </x:c>
      <x:c r="J213" t="str">
        <x:v>货币资金</x:v>
      </x:c>
      <x:c r="K213" t="str">
        <x:v>candidate_pending_automated_verification</x:v>
      </x:c>
      <x:c r="L213" t="str">
        <x:v>https://static.cninfo.com.cn/finalpage/2026-03-27/1225035569.PDF</x:v>
      </x:c>
      <x:c r="M213" t="str">
        <x:v>3787b6a6ec1bf480be2092e7bae156bd0f1d1b7f9f28bd9226d038951c788dee</x:v>
      </x:c>
      <x:c r="N213" t="str">
        <x:v>的影响下，本集团资产负债表中的金融资产账面价值反映其在资产负债
表日的最大信用风险敞口。
下表对纳入预期信用损失评估范围的金融工具的信用风险敞口进行了列示：
2025 年 12 月 31 日
第一阶段 第二阶段 第三阶段 最大信用风险敞口
货币资金 62,789 – – 62,789
买入返售金融资产 24,512 – – 24,512
定期存款 175,894 11,416 – 187,310
金融投资： 1,814,586 7,836 2,257 1,824,679
 债权投资 51,301 618 682 52,601
 其他债权投资 1,763,285 7,218 1,575 1,772,078
存出资本保</x:v>
      </x:c>
    </x:row>
    <x:row r="214">
      <x:c r="A214" t="str">
        <x:v>10539e11-8d7c-423c-803f-7d3eb888ec65</x:v>
      </x:c>
      <x:c r="B214" t="str">
        <x:v>601601</x:v>
      </x:c>
      <x:c r="C214" t="str">
        <x:v>中国太保</x:v>
      </x:c>
      <x:c r="D214" t="str">
        <x:v>2025-12-31</x:v>
      </x:c>
      <x:c r="E214" t="str">
        <x:v>annual</x:v>
      </x:c>
      <x:c r="F214" t="str">
        <x:v>long_term_borrowings</x:v>
      </x:c>
      <x:c r="G214" t="n">
        <x:v>92</x:v>
      </x:c>
      <x:c r="H214" t="str">
        <x:v>CNY</x:v>
      </x:c>
      <x:c r="I214" t="n">
        <x:v>281</x:v>
      </x:c>
      <x:c r="J214" t="str">
        <x:v>长期借款</x:v>
      </x:c>
      <x:c r="K214" t="str">
        <x:v>candidate_pending_automated_verification</x:v>
      </x:c>
      <x:c r="L214" t="str">
        <x:v>https://static.cninfo.com.cn/finalpage/2026-03-27/1225035569.PDF</x:v>
      </x:c>
      <x:c r="M214" t="str">
        <x:v>3787b6a6ec1bf480be2092e7bae156bd0f1d1b7f9f28bd9226d038951c788dee</x:v>
      </x:c>
      <x:c r="N214" t="str">
        <x:v> 149,100 1,515,661 – 13,763 1,772,078
存出资本保证金 2,598 3,733 362 – – 207 6,900
金融负债：
卖出回购金融资产款 218,819 – – – – 111 218,930
长期借款 62 92 – – – – 154
应付债券 – 10,000 – – – 12,678 22,678
2024 年 12 月 31 日
1 年以内 1 至 3 年 3 至 5 年 5 年以上 浮动利率 不计息 合计
金融资产：
货币资金 221 – – – 29,128 8 29,357
买入返售金融资产 10,902 – – – – 3 10,905
定期存款 2</x:v>
      </x:c>
    </x:row>
    <x:row r="215">
      <x:c r="A215" t="str">
        <x:v>36f2d965-1420-4e1f-b9ce-f90af9c82f36</x:v>
      </x:c>
      <x:c r="B215" t="str">
        <x:v>601601</x:v>
      </x:c>
      <x:c r="C215" t="str">
        <x:v>中国太保</x:v>
      </x:c>
      <x:c r="D215" t="str">
        <x:v>2025-12-31</x:v>
      </x:c>
      <x:c r="E215" t="str">
        <x:v>annual</x:v>
      </x:c>
      <x:c r="F215" t="str">
        <x:v>cash</x:v>
      </x:c>
      <x:c r="G215" t="n">
        <x:v>4081</x:v>
      </x:c>
      <x:c r="H215" t="str">
        <x:v>CNY</x:v>
      </x:c>
      <x:c r="I215" t="n">
        <x:v>281</x:v>
      </x:c>
      <x:c r="J215" t="str">
        <x:v>货币资金</x:v>
      </x:c>
      <x:c r="K215" t="str">
        <x:v>candidate_pending_automated_verification</x:v>
      </x:c>
      <x:c r="L215" t="str">
        <x:v>https://static.cninfo.com.cn/finalpage/2026-03-27/1225035569.PDF</x:v>
      </x:c>
      <x:c r="M215" t="str">
        <x:v>3787b6a6ec1bf480be2092e7bae156bd0f1d1b7f9f28bd9226d038951c788dee</x:v>
      </x:c>
      <x:c r="N215" t="str">
        <x:v>计重估日或到期日列示了本集团承担利率风险的主要金融工具，未包括在下表中的其
他金融工具为不带息且不涉及利率风险：
2025 年 12 月 31 日
1 年以内 1 至 3 年 3 至 5 年 5 年以上 浮动利率 不计息 合计
金融资产：
货币资金 4,081 – – – 58,705 3 62,789
买入返售金融资产 24,508 – – – – 4 24,512
定期存款 40,271 69,522 73,579 – – 3,938 187,310
金融投资：
 交易性金融资产 13,616 24,098 26,377 243,185 – 4,245 311,521
 债权投资 6,411 3,264 13</x:v>
      </x:c>
    </x:row>
    <x:row r="216">
      <x:c r="A216" t="str">
        <x:v>66920f7f-9ca7-48fe-bd81-7877b63db2ac</x:v>
      </x:c>
      <x:c r="B216" t="str">
        <x:v>601601</x:v>
      </x:c>
      <x:c r="C216" t="str">
        <x:v>中国太保</x:v>
      </x:c>
      <x:c r="D216" t="str">
        <x:v>2025-12-31</x:v>
      </x:c>
      <x:c r="E216" t="str">
        <x:v>annual</x:v>
      </x:c>
      <x:c r="F216" t="str">
        <x:v>bonds_payable</x:v>
      </x:c>
      <x:c r="G216" t="n">
        <x:v>10286</x:v>
      </x:c>
      <x:c r="H216" t="str">
        <x:v>CNY</x:v>
      </x:c>
      <x:c r="I216" t="n">
        <x:v>279</x:v>
      </x:c>
      <x:c r="J216" t="str">
        <x:v>应付债券</x:v>
      </x:c>
      <x:c r="K216" t="str">
        <x:v>candidate_pending_automated_verification</x:v>
      </x:c>
      <x:c r="L216" t="str">
        <x:v>https://static.cninfo.com.cn/finalpage/2026-03-27/1225035569.PDF</x:v>
      </x:c>
      <x:c r="M216" t="str">
        <x:v>3787b6a6ec1bf480be2092e7bae156bd0f1d1b7f9f28bd9226d038951c788dee</x:v>
      </x:c>
      <x:c r="N216" t="str">
        <x:v>如下：（续）
2025 年 12 月 31 日
人民币 美元（折人民币） 港币（折人民币） 其他币种（折人民币） 合计
衍生金融负债 2 61 2,306 3 2,372
卖出回购金融资产款 218,565 365 – – 218,930
应付债券 10,286 – 12,392 – 22,678
应付手续费及佣金 5,786 – 49 – 5,835
租赁负债 1,547 – 24 – 1,571
长期借款 154 – – – 154
其他负债 47,138 420 175 – 47,733
小计 283,478 846 14,946 3 299,273
净额 2,675,594 28,225 6,028 709</x:v>
      </x:c>
    </x:row>
    <x:row r="217">
      <x:c r="A217" t="str">
        <x:v>822f63d5-4049-4822-893e-f56701e49717</x:v>
      </x:c>
      <x:c r="B217" t="str">
        <x:v>601601</x:v>
      </x:c>
      <x:c r="C217" t="str">
        <x:v>中国太保</x:v>
      </x:c>
      <x:c r="D217" t="str">
        <x:v>2025-12-31</x:v>
      </x:c>
      <x:c r="E217" t="str">
        <x:v>annual</x:v>
      </x:c>
      <x:c r="F217" t="str">
        <x:v>long_term_borrowings</x:v>
      </x:c>
      <x:c r="G217" t="n">
        <x:v>154</x:v>
      </x:c>
      <x:c r="H217" t="str">
        <x:v>CNY</x:v>
      </x:c>
      <x:c r="I217" t="n">
        <x:v>279</x:v>
      </x:c>
      <x:c r="J217" t="str">
        <x:v>长期借款</x:v>
      </x:c>
      <x:c r="K217" t="str">
        <x:v>candidate_pending_automated_verification</x:v>
      </x:c>
      <x:c r="L217" t="str">
        <x:v>https://static.cninfo.com.cn/finalpage/2026-03-27/1225035569.PDF</x:v>
      </x:c>
      <x:c r="M217" t="str">
        <x:v>3787b6a6ec1bf480be2092e7bae156bd0f1d1b7f9f28bd9226d038951c788dee</x:v>
      </x:c>
      <x:c r="N217" t="str">
        <x:v>372
卖出回购金融资产款 218,565 365 – – 218,930
应付债券 10,286 – 12,392 – 22,678
应付手续费及佣金 5,786 – 49 – 5,835
租赁负债 1,547 – 24 – 1,571
长期借款 154 – – – 154
其他负债 47,138 420 175 – 47,733
小计 283,478 846 14,946 3 299,273
净额 2,675,594 28,225 6,028 709 2,710,556
2024 年 12 月 31 日
人民币 美元（折人民币） 港币（折人民币） 其他币种（折人民币） 合计
货币资金 23,259 5,8</x:v>
      </x:c>
    </x:row>
    <x:row r="218">
      <x:c r="A218" t="str">
        <x:v>bc3d0a6b-3ef6-4067-b4c6-2dc74587e767</x:v>
      </x:c>
      <x:c r="B218" t="str">
        <x:v>601601</x:v>
      </x:c>
      <x:c r="C218" t="str">
        <x:v>中国太保</x:v>
      </x:c>
      <x:c r="D218" t="str">
        <x:v>2025-12-31</x:v>
      </x:c>
      <x:c r="E218" t="str">
        <x:v>annual</x:v>
      </x:c>
      <x:c r="F218" t="str">
        <x:v>cash</x:v>
      </x:c>
      <x:c r="G218" t="n">
        <x:v>23259</x:v>
      </x:c>
      <x:c r="H218" t="str">
        <x:v>CNY</x:v>
      </x:c>
      <x:c r="I218" t="n">
        <x:v>279</x:v>
      </x:c>
      <x:c r="J218" t="str">
        <x:v>货币资金</x:v>
      </x:c>
      <x:c r="K218" t="str">
        <x:v>candidate_pending_automated_verification</x:v>
      </x:c>
      <x:c r="L218" t="str">
        <x:v>https://static.cninfo.com.cn/finalpage/2026-03-27/1225035569.PDF</x:v>
      </x:c>
      <x:c r="M218" t="str">
        <x:v>3787b6a6ec1bf480be2092e7bae156bd0f1d1b7f9f28bd9226d038951c788dee</x:v>
      </x:c>
      <x:c r="N218" t="str">
        <x:v>3,478 846 14,946 3 299,273
净额 2,675,594 28,225 6,028 709 2,710,556
2024 年 12 月 31 日
人民币 美元（折人民币） 港币（折人民币） 其他币种（折人民币） 合计
货币资金 23,259 5,822 274 2 29,357
衍生金融资产 13 1 – 12 26
买入返售金融资产 10,905 – – – 10,905
定期存款 172,829 989 – – 173,818
金融投资：
 交易性金融资产 648,416 16,648 1,579 556 667,199
 债权投资 64,844 – – – 64,844
 其他债权投资 </x:v>
      </x:c>
    </x:row>
    <x:row r="219">
      <x:c r="A219" t="str">
        <x:v>45605197-8c98-4bc2-87d2-b46357a9982c</x:v>
      </x:c>
      <x:c r="B219" t="str">
        <x:v>601601</x:v>
      </x:c>
      <x:c r="C219" t="str">
        <x:v>中国太保</x:v>
      </x:c>
      <x:c r="D219" t="str">
        <x:v>2025-12-31</x:v>
      </x:c>
      <x:c r="E219" t="str">
        <x:v>annual</x:v>
      </x:c>
      <x:c r="F219" t="str">
        <x:v>cash</x:v>
      </x:c>
      <x:c r="G219" t="n">
        <x:v>39528</x:v>
      </x:c>
      <x:c r="H219" t="str">
        <x:v>CNY</x:v>
      </x:c>
      <x:c r="I219" t="n">
        <x:v>278</x:v>
      </x:c>
      <x:c r="J219" t="str">
        <x:v>货币资金</x:v>
      </x:c>
      <x:c r="K219" t="str">
        <x:v>candidate_pending_automated_verification</x:v>
      </x:c>
      <x:c r="L219" t="str">
        <x:v>https://static.cninfo.com.cn/finalpage/2026-03-27/1225035569.PDF</x:v>
      </x:c>
      <x:c r="M219" t="str">
        <x:v>3787b6a6ec1bf480be2092e7bae156bd0f1d1b7f9f28bd9226d038951c788dee</x:v>
      </x:c>
      <x:c r="N219" t="str">
        <x:v>外币存款及普通股等而承担一定
的外汇风险外并无重大集中的外汇风险。
本集团于资产负债表日按主要货币列示的金融资产和金融负债列示如下：
2025 年 12 月 31 日
人民币 美元（折人民币） 港币（折人民币） 其他币种（折人民币） 合计
货币资金 39,528 5,433 17,825 3 62,789
衍生金融资产 – 3 – 2 5
买入返售金融资产 24,512 – – – 24,512
定期存款 186,491 819 – – 187,310
金融投资：
 交易性金融资产 693,299 17,906 2,956 707 714,868
 债权投资 52,601 – – – 52,601
 其他债权投资 </x:v>
      </x:c>
    </x:row>
    <x:row r="220">
      <x:c r="A220" t="str">
        <x:v>8aff8b4d-9775-4f73-b486-b6b28dfe03c3</x:v>
      </x:c>
      <x:c r="B220" t="str">
        <x:v>601601</x:v>
      </x:c>
      <x:c r="C220" t="str">
        <x:v>中国太保</x:v>
      </x:c>
      <x:c r="D220" t="str">
        <x:v>2025-12-31</x:v>
      </x:c>
      <x:c r="E220" t="str">
        <x:v>annual</x:v>
      </x:c>
      <x:c r="F220" t="str">
        <x:v>cash</x:v>
      </x:c>
      <x:c r="G220" t="n">
        <x:v>1674</x:v>
      </x:c>
      <x:c r="H220" t="str">
        <x:v>CNY</x:v>
      </x:c>
      <x:c r="I220" t="n">
        <x:v>249</x:v>
      </x:c>
      <x:c r="J220" t="str">
        <x:v>货币资金</x:v>
      </x:c>
      <x:c r="K220" t="str">
        <x:v>candidate_pending_automated_verification</x:v>
      </x:c>
      <x:c r="L220" t="str">
        <x:v>https://static.cninfo.com.cn/finalpage/2026-03-27/1225035569.PDF</x:v>
      </x:c>
      <x:c r="M220" t="str">
        <x:v>3787b6a6ec1bf480be2092e7bae156bd0f1d1b7f9f28bd9226d038951c788dee</x:v>
      </x:c>
      <x:c r="N220" t="str">
        <x:v>合并结构化主体非控制性权益现金净额 2,144 4,414
51. 现金和现金等价物
2025 年 12 月 31 日 2024 年 12 月 31 日
现金：
 可随时用于支付的银行存款 60,824 27,556
 可随时用于支付的其他货币资金 1,674 1,215
现金等价物：
 原期限不超过三个月的投资 24,508 10,902
合计 87,006 39,673
52. 现金流量表补充资料
(1) 将净利润调节为经营活动产生的现金流量：
2025 年 2024 年
净利润 55,399 46,441
加：信用减值损失 1,155 531
  其他资产减值损失 28 406
  固定资产及投资性房地产折</x:v>
      </x:c>
    </x:row>
    <x:row r="221">
      <x:c r="A221" t="str">
        <x:v>fd113c15-2adc-487d-b2fa-8b3ba28ba98c</x:v>
      </x:c>
      <x:c r="B221" t="str">
        <x:v>601601</x:v>
      </x:c>
      <x:c r="C221" t="str">
        <x:v>中国太保</x:v>
      </x:c>
      <x:c r="D221" t="str">
        <x:v>2025-12-31</x:v>
      </x:c>
      <x:c r="E221" t="str">
        <x:v>annual</x:v>
      </x:c>
      <x:c r="F221" t="str">
        <x:v>cash</x:v>
      </x:c>
      <x:c r="G221" t="n">
        <x:v>2025</x:v>
      </x:c>
      <x:c r="H221" t="str">
        <x:v>CNY</x:v>
      </x:c>
      <x:c r="I221" t="n">
        <x:v>209</x:v>
      </x:c>
      <x:c r="J221" t="str">
        <x:v>货币资金</x:v>
      </x:c>
      <x:c r="K221" t="str">
        <x:v>candidate_pending_automated_verification</x:v>
      </x:c>
      <x:c r="L221" t="str">
        <x:v>https://static.cninfo.com.cn/finalpage/2026-03-27/1225035569.PDF</x:v>
      </x:c>
      <x:c r="M221" t="str">
        <x:v>3787b6a6ec1bf480be2092e7bae156bd0f1d1b7f9f28bd9226d038951c788dee</x:v>
      </x:c>
      <x:c r="N221" t="str">
        <x:v>中国太平洋保险（集团）股份有限公司
56
财务报告
财务报表附注
六、合并财务报表主要项目附注
1. 货币资金
2025 年 12 月 31 日
币种 原币 汇率 折合人民币
银行存款 人民币 37,854 1.00000 37,854
美元 773 7.02880 5,433
港币 19,735 0.90322 17,825
其他 3
小计 61,115
其他货币资金 人民币 1,674 1.00000 1,674
小计 1,674
合计 62,789
2024 年 12 </x:v>
      </x:c>
    </x:row>
    <x:row r="222">
      <x:c r="A222" t="str">
        <x:v>fa5a2c08-c676-40d0-be76-14593ad1fe05</x:v>
      </x:c>
      <x:c r="B222" t="str">
        <x:v>601601</x:v>
      </x:c>
      <x:c r="C222" t="str">
        <x:v>中国太保</x:v>
      </x:c>
      <x:c r="D222" t="str">
        <x:v>2025-12-31</x:v>
      </x:c>
      <x:c r="E222" t="str">
        <x:v>annual</x:v>
      </x:c>
      <x:c r="F222" t="str">
        <x:v>cash</x:v>
      </x:c>
      <x:c r="G222" t="n">
        <x:v>112</x:v>
      </x:c>
      <x:c r="H222" t="str">
        <x:v>CNY</x:v>
      </x:c>
      <x:c r="I222" t="n">
        <x:v>207</x:v>
      </x:c>
      <x:c r="J222" t="str">
        <x:v>货币资金</x:v>
      </x:c>
      <x:c r="K222" t="str">
        <x:v>candidate_pending_automated_verification</x:v>
      </x:c>
      <x:c r="L222" t="str">
        <x:v>https://static.cninfo.com.cn/finalpage/2026-03-27/1225035569.PDF</x:v>
      </x:c>
      <x:c r="M222" t="str">
        <x:v>3787b6a6ec1bf480be2092e7bae156bd0f1d1b7f9f28bd9226d038951c788dee</x:v>
      </x:c>
      <x:c r="N222" t="str">
        <x:v>9,294
合并成本合计 10,897 9,294
减：取得的可辨认净资产公允价值份额 10,897
商誉 / 合并成本小于取得的可辨认净资产公允价值份额的金额 –
(2) 被购买方于购买日可辨认资产和负债
购买日公允价值 购买日账面价值
货币资金 112 112
投资性房地产及长期待摊费用 22,501 19,448
其他资产 235 235
长期借款 (5,627) (5,627)
递延所得税负债 (763) –
其他负债 (891) (891)
净资产 15,567 13,277
减：少数股东权益 4,670 3,983
取得的净资产 10,897 9,294
本集团在确定瑞永景房产的资产负债于购买日的</x:v>
      </x:c>
    </x:row>
    <x:row r="223">
      <x:c r="A223" t="str">
        <x:v>9fc136ef-e780-4c60-9be3-980e5c97509a</x:v>
      </x:c>
      <x:c r="B223" t="str">
        <x:v>601601</x:v>
      </x:c>
      <x:c r="C223" t="str">
        <x:v>中国太保</x:v>
      </x:c>
      <x:c r="D223" t="str">
        <x:v>2025-12-31</x:v>
      </x:c>
      <x:c r="E223" t="str">
        <x:v>annual</x:v>
      </x:c>
      <x:c r="F223" t="str">
        <x:v>operating_cash_flow</x:v>
      </x:c>
      <x:c r="G223" t="n">
        <x:v>195523</x:v>
      </x:c>
      <x:c r="H223" t="str">
        <x:v>CNY</x:v>
      </x:c>
      <x:c r="I223" t="n">
        <x:v>163</x:v>
      </x:c>
      <x:c r="J223" t="str">
        <x:v>经营活动产生的现金流量净额</x:v>
      </x:c>
      <x:c r="K223" t="str">
        <x:v>candidate_pending_automated_verification</x:v>
      </x:c>
      <x:c r="L223" t="str">
        <x:v>https://static.cninfo.com.cn/finalpage/2026-03-27/1225035569.PDF</x:v>
      </x:c>
      <x:c r="M223" t="str">
        <x:v>3787b6a6ec1bf480be2092e7bae156bd0f1d1b7f9f28bd9226d038951c788dee</x:v>
      </x:c>
      <x:c r="N223" t="str">
        <x:v> (26,244) (26,393)
  支付的各项税费 (10,525) (10,226)
  支付其他与经营活动有关的现金 50 (65,971) (68,337)
  经营活动现金流出小计 (337,388) (336,560)
  经营活动产生的现金流量净额 52 195,523 154,404
二、投资活动产生的现金流量
  收回投资收到的现金 661,984 728,928
  取得投资收益和利息收入收到的现金 73,938 66,702
  处置子公司及其他营业单位收到的现金净额 312 168
  处置固定资产、无形资产和其他长期资产收到的现金净额 133 36
  收到的其他与投资活动有关的现金 116 –
  投资活动现</x:v>
      </x:c>
    </x:row>
    <x:row r="224">
      <x:c r="A224" t="str">
        <x:v>e29075cc-407e-465e-8ca8-6f5fa07a4020</x:v>
      </x:c>
      <x:c r="B224" t="str">
        <x:v>601601</x:v>
      </x:c>
      <x:c r="C224" t="str">
        <x:v>中国太保</x:v>
      </x:c>
      <x:c r="D224" t="str">
        <x:v>2025-12-31</x:v>
      </x:c>
      <x:c r="E224" t="str">
        <x:v>annual</x:v>
      </x:c>
      <x:c r="F224" t="str">
        <x:v>bonds_payable</x:v>
      </x:c>
      <x:c r="G224" t="n">
        <x:v>22678</x:v>
      </x:c>
      <x:c r="H224" t="str">
        <x:v>CNY</x:v>
      </x:c>
      <x:c r="I224" t="n">
        <x:v>297</x:v>
      </x:c>
      <x:c r="J224" t="str">
        <x:v>应付债券</x:v>
      </x:c>
      <x:c r="K224" t="str">
        <x:v>candidate_pending_automated_verification</x:v>
      </x:c>
      <x:c r="L224" t="str">
        <x:v>https://static.cninfo.com.cn/finalpage/2026-03-27/1225035569.PDF</x:v>
      </x:c>
      <x:c r="M224" t="str">
        <x:v>3787b6a6ec1bf480be2092e7bae156bd0f1d1b7f9f28bd9226d038951c788dee</x:v>
      </x:c>
      <x:c r="N224" t="str">
        <x:v>
2025 年 12 月 31 日 2024 年 12 月 31 日
账面价值 公允价值 账面价值 公允价值
金融资产：
 债权投资 52,601 56,812 64,844 70,062
金融负债：
 长期借款 154 154 – –
 应付债券 22,678 23,103 10,286 10,758
其他金融资产和金融负债的账面金额接近其公允价值。</x:v>
      </x:c>
    </x:row>
    <x:row r="225">
      <x:c r="A225" t="str">
        <x:v>19e75b65-6cb0-4e51-bca2-ff5d2fcf1cd9</x:v>
      </x:c>
      <x:c r="B225" t="str">
        <x:v>601601</x:v>
      </x:c>
      <x:c r="C225" t="str">
        <x:v>中国太保</x:v>
      </x:c>
      <x:c r="D225" t="str">
        <x:v>2025-12-31</x:v>
      </x:c>
      <x:c r="E225" t="str">
        <x:v>annual</x:v>
      </x:c>
      <x:c r="F225" t="str">
        <x:v>revenue</x:v>
      </x:c>
      <x:c r="G225" t="n">
        <x:v>435156</x:v>
      </x:c>
      <x:c r="H225" t="str">
        <x:v>reported_amount</x:v>
      </x:c>
      <x:c r="I225" t="n">
        <x:v>33</x:v>
      </x:c>
      <x:c r="J225" t="str">
        <x:v>营业收入</x:v>
      </x:c>
      <x:c r="K225" t="str">
        <x:v>candidate_pending_automated_verification</x:v>
      </x:c>
      <x:c r="L225" t="str">
        <x:v>https://static.cninfo.com.cn/finalpage/2026-03-27/1225035569.PDF</x:v>
      </x:c>
      <x:c r="M225" t="str">
        <x:v>3787b6a6ec1bf480be2092e7bae156bd0f1d1b7f9f28bd9226d038951c788dee</x:v>
      </x:c>
      <x:c r="N225" t="str">
        <x:v>经营业绩
中国太平洋保险（集团）股份有限公司
16
会计数据和业务数据摘要
1主要会计数据和财务指标
单位：人民币百万元
主要会计数据 2025 年 2024 年
本年
比上年
增减 (%)
2023 年
营业收入 435,156 404,089 7.7 323,945
利润总额 66,068 55,563 18.9 32,001
净利润注 53,505 44,960 19.0 27,257
扣除非经常性损
 益的净利润注 52,330 44,926 16.5 27,135
经营活动产生的
 现金流量净额 195,523 154,404 26.6 137,863
2025 年末 20</x:v>
      </x:c>
    </x:row>
    <x:row r="226">
      <x:c r="A226" t="str">
        <x:v>2d99fb1d-8047-4711-b3e8-cae931bf8391</x:v>
      </x:c>
      <x:c r="B226" t="str">
        <x:v>601601</x:v>
      </x:c>
      <x:c r="C226" t="str">
        <x:v>中国太保</x:v>
      </x:c>
      <x:c r="D226" t="str">
        <x:v>2025-12-31</x:v>
      </x:c>
      <x:c r="E226" t="str">
        <x:v>annual</x:v>
      </x:c>
      <x:c r="F226" t="str">
        <x:v>long_term_borrowings</x:v>
      </x:c>
      <x:c r="G226" t="n">
        <x:v>154</x:v>
      </x:c>
      <x:c r="H226" t="str">
        <x:v>CNY</x:v>
      </x:c>
      <x:c r="I226" t="n">
        <x:v>297</x:v>
      </x:c>
      <x:c r="J226" t="str">
        <x:v>长期借款</x:v>
      </x:c>
      <x:c r="K226" t="str">
        <x:v>candidate_pending_automated_verification</x:v>
      </x:c>
      <x:c r="L226" t="str">
        <x:v>https://static.cninfo.com.cn/finalpage/2026-03-27/1225035569.PDF</x:v>
      </x:c>
      <x:c r="M226" t="str">
        <x:v>3787b6a6ec1bf480be2092e7bae156bd0f1d1b7f9f28bd9226d038951c788dee</x:v>
      </x:c>
      <x:c r="N226" t="str">
        <x:v>付债券）的账面价值及其公允价值估计。
2025 年 12 月 31 日 2024 年 12 月 31 日
账面价值 公允价值 账面价值 公允价值
金融资产：
 债权投资 52,601 56,812 64,844 70,062
金融负债：
 长期借款 154 154 – –
 应付债券 22,678 23,103 10,286 10,758
其他金融资产和金融负债的账面金额接近其公允价值。</x:v>
      </x:c>
    </x:row>
    <x:row r="227">
      <x:c r="A227" t="str">
        <x:v>be2a2fb0-14d0-4ed4-ad2d-fc4ab614e13a</x:v>
      </x:c>
      <x:c r="B227" t="str">
        <x:v>601601</x:v>
      </x:c>
      <x:c r="C227" t="str">
        <x:v>中国太保</x:v>
      </x:c>
      <x:c r="D227" t="str">
        <x:v>2025-12-31</x:v>
      </x:c>
      <x:c r="E227" t="str">
        <x:v>annual</x:v>
      </x:c>
      <x:c r="F227" t="str">
        <x:v>bonds_payable</x:v>
      </x:c>
      <x:c r="G227" t="n">
        <x:v>22678</x:v>
      </x:c>
      <x:c r="H227" t="str">
        <x:v>CNY</x:v>
      </x:c>
      <x:c r="I227" t="n">
        <x:v>159</x:v>
      </x:c>
      <x:c r="J227" t="str">
        <x:v>应付债券</x:v>
      </x:c>
      <x:c r="K227" t="str">
        <x:v>candidate_pending_automated_verification</x:v>
      </x:c>
      <x:c r="L227" t="str">
        <x:v>https://static.cninfo.com.cn/finalpage/2026-03-27/1225035569.PDF</x:v>
      </x:c>
      <x:c r="M227" t="str">
        <x:v>3787b6a6ec1bf480be2092e7bae156bd0f1d1b7f9f28bd9226d038951c788dee</x:v>
      </x:c>
      <x:c r="N227" t="str">
        <x:v>12 月 31 日
衍生金融负债 2 2,372 96
卖出回购金融资产款 20 218,930 181,695
预收保费 20,237 18,044
应付职工薪酬 21 11,116 10,169
应交税费 22 3,722 2,480
应付债券 23 22,678 10,286
保险合同负债 24 2,466,607 2,229,514
应付手续费及佣金 5,835 5,942
保费准备金 201 129
租赁负债 1,571 2,722
递延所得税负债 17 4,517 7,362
长期借款 154 –
其他负债 26 52,603 47,987
负债合计 2,810,543 2,516,426
股本 27 9,6</x:v>
      </x:c>
    </x:row>
    <x:row r="228">
      <x:c r="A228" t="str">
        <x:v>017fb6d5-5754-4f43-953a-ae70a682105c</x:v>
      </x:c>
      <x:c r="B228" t="str">
        <x:v>601601</x:v>
      </x:c>
      <x:c r="C228" t="str">
        <x:v>中国太保</x:v>
      </x:c>
      <x:c r="D228" t="str">
        <x:v>2025-12-31</x:v>
      </x:c>
      <x:c r="E228" t="str">
        <x:v>annual</x:v>
      </x:c>
      <x:c r="F228" t="str">
        <x:v>long_term_borrowings</x:v>
      </x:c>
      <x:c r="G228" t="n">
        <x:v>154</x:v>
      </x:c>
      <x:c r="H228" t="str">
        <x:v>CNY</x:v>
      </x:c>
      <x:c r="I228" t="n">
        <x:v>159</x:v>
      </x:c>
      <x:c r="J228" t="str">
        <x:v>长期借款</x:v>
      </x:c>
      <x:c r="K228" t="str">
        <x:v>candidate_pending_automated_verification</x:v>
      </x:c>
      <x:c r="L228" t="str">
        <x:v>https://static.cninfo.com.cn/finalpage/2026-03-27/1225035569.PDF</x:v>
      </x:c>
      <x:c r="M228" t="str">
        <x:v>3787b6a6ec1bf480be2092e7bae156bd0f1d1b7f9f28bd9226d038951c788dee</x:v>
      </x:c>
      <x:c r="N228" t="str">
        <x:v> 22,678 10,286
保险合同负债 24 2,466,607 2,229,514
应付手续费及佣金 5,835 5,942
保费准备金 201 129
租赁负债 1,571 2,722
递延所得税负债 17 4,517 7,362
长期借款 154 –
其他负债 26 52,603 47,987
负债合计 2,810,543 2,516,426
股本 27 9,620 9,620
资本公积 28 79,932 79,948
其他综合损益 48 (17,390) 14,917
盈余公积 29 5,114 5,114
一般风险准备 30 35,420 29,928
未分配利润 31 189,447 151</x:v>
      </x:c>
    </x:row>
    <x:row r="229">
      <x:c r="A229" t="str">
        <x:v>03e53734-2477-4e91-b2b8-86d06b98fc3f</x:v>
      </x:c>
      <x:c r="B229" t="str">
        <x:v>601601</x:v>
      </x:c>
      <x:c r="C229" t="str">
        <x:v>中国太保</x:v>
      </x:c>
      <x:c r="D229" t="str">
        <x:v>2025-12-31</x:v>
      </x:c>
      <x:c r="E229" t="str">
        <x:v>annual</x:v>
      </x:c>
      <x:c r="F229" t="str">
        <x:v>cash</x:v>
      </x:c>
      <x:c r="G229" t="n">
        <x:v>62789</x:v>
      </x:c>
      <x:c r="H229" t="str">
        <x:v>CNY</x:v>
      </x:c>
      <x:c r="I229" t="n">
        <x:v>158</x:v>
      </x:c>
      <x:c r="J229" t="str">
        <x:v>货币资金</x:v>
      </x:c>
      <x:c r="K229" t="str">
        <x:v>candidate_pending_automated_verification</x:v>
      </x:c>
      <x:c r="L229" t="str">
        <x:v>https://static.cninfo.com.cn/finalpage/2026-03-27/1225035569.PDF</x:v>
      </x:c>
      <x:c r="M229" t="str">
        <x:v>3787b6a6ec1bf480be2092e7bae156bd0f1d1b7f9f28bd9226d038951c788dee</x:v>
      </x:c>
      <x:c r="N229" t="str">
        <x:v>
息
公
司
治
理
经
营
业
绩
财
务
报
告
合并资产负债表
2025 年 12 月 31 日
（除特别注明外，金额单位均为人民币百万元）
资产 附注六 2025 年
12 月 31 日
2024 年
12 月 31 日
货币资金 1 62,789 29,357
衍生金融资产 2 5 26
买入返售金融资产 3 24,512 10,905
定期存款 4 187,310 173,818
金融投资： 2,715,708 2,482,029
 交易性金融资产 5 714,868 667,199
 债权投资 6 52,601 64,844
 其他债权投资 7 1,772,078 1,607,972
 其他权益</x:v>
      </x:c>
    </x:row>
    <x:row r="230">
      <x:c r="A230" t="str">
        <x:v>37d692f5-71aa-44c0-87f1-a27eeba62d2a</x:v>
      </x:c>
      <x:c r="B230" t="str">
        <x:v>000001</x:v>
      </x:c>
      <x:c r="C230" t="str">
        <x:v>平安银行</x:v>
      </x:c>
      <x:c r="D230" t="str">
        <x:v>2025-03-31</x:v>
      </x:c>
      <x:c r="E230" t="str">
        <x:v>first_quarter</x:v>
      </x:c>
      <x:c r="F230" t="str">
        <x:v>revenue</x:v>
      </x:c>
      <x:c r="G230" t="n">
        <x:v>33709</x:v>
      </x:c>
      <x:c r="H230" t="str">
        <x:v>reported_amount</x:v>
      </x:c>
      <x:c r="I230" t="n">
        <x:v>3</x:v>
      </x:c>
      <x:c r="J230" t="str">
        <x:v>营业收入</x:v>
      </x:c>
      <x:c r="K230" t="str">
        <x:v>candidate_pending_automated_verification</x:v>
      </x:c>
      <x:c r="L230" t="str">
        <x:v>https://static.cninfo.com.cn/finalpage/2025-04-19/1223145614.PDF</x:v>
      </x:c>
      <x:c r="M230" t="str">
        <x:v>5d5fb8b7637c8ef163273107e36332d347f682515b64f95519a9f976d25e1908</x:v>
      </x:c>
      <x:c r="N230" t="str">
        <x:v> 436,159 424,894 2.7% 
股本 19,406 19,406 - 
归属于本行普通股股东的每股净资产（元/股） 22.48 21.89 2.7% 
项  目 2025 年1-3 月 2024 年1-3 月 同比增减 
营业收入 33,709 38,770 (13.1%) 
归属于本行股东的净利润 14,096 14,932 (5.6%) 
扣除非经常性损益后归属于本行股东的净利润 14,043 14,906 (5.8%) 
经营活动产生的现金流量净额 162,946 (21,382) 上年同期为负 
每股经营活动产生的现金流量净额（元/股） 8.40 (1.10) 上年同期为负 
基本/稀释每</x:v>
      </x:c>
    </x:row>
    <x:row r="231">
      <x:c r="A231" t="str">
        <x:v>ec8711ff-c849-4d61-8227-9f465ae1cfa8</x:v>
      </x:c>
      <x:c r="B231" t="str">
        <x:v>000001</x:v>
      </x:c>
      <x:c r="C231" t="str">
        <x:v>平安银行</x:v>
      </x:c>
      <x:c r="D231" t="str">
        <x:v>2025-03-31</x:v>
      </x:c>
      <x:c r="E231" t="str">
        <x:v>first_quarter</x:v>
      </x:c>
      <x:c r="F231" t="str">
        <x:v>operating_cash_flow</x:v>
      </x:c>
      <x:c r="G231" t="n">
        <x:v>162946</x:v>
      </x:c>
      <x:c r="H231" t="str">
        <x:v>reported_amount</x:v>
      </x:c>
      <x:c r="I231" t="n">
        <x:v>3</x:v>
      </x:c>
      <x:c r="J231" t="str">
        <x:v>经营活动产生的现金流量净额</x:v>
      </x:c>
      <x:c r="K231" t="str">
        <x:v>candidate_pending_automated_verification</x:v>
      </x:c>
      <x:c r="L231" t="str">
        <x:v>https://static.cninfo.com.cn/finalpage/2025-04-19/1223145614.PDF</x:v>
      </x:c>
      <x:c r="M231" t="str">
        <x:v>5d5fb8b7637c8ef163273107e36332d347f682515b64f95519a9f976d25e1908</x:v>
      </x:c>
      <x:c r="N231" t="str">
        <x:v>4 年1-3 月 同比增减 
营业收入 33,709 38,770 (13.1%) 
归属于本行股东的净利润 14,096 14,932 (5.6%) 
扣除非经常性损益后归属于本行股东的净利润 14,043 14,906 (5.8%) 
经营活动产生的现金流量净额 162,946 (21,382) 上年同期为负 
每股经营活动产生的现金流量净额（元/股） 8.40 (1.10) 上年同期为负 
基本/稀释每股收益（元/股） 0.62 0.66 (6.1%) 
扣除非经常性损益后的基本/稀释每股收益（元/股） 0.62 0.66 (6.1%) 
平均总资产收益率（未年化） 0.24% 0.26% -0.02 个百分点 
平均总资产收益</x:v>
      </x:c>
    </x:row>
    <x:row r="232">
      <x:c r="A232" t="str">
        <x:v>7c8a894a-ce66-42d8-b212-09dff52f538e</x:v>
      </x:c>
      <x:c r="B232" t="str">
        <x:v>000001</x:v>
      </x:c>
      <x:c r="C232" t="str">
        <x:v>平安银行</x:v>
      </x:c>
      <x:c r="D232" t="str">
        <x:v>2025-12-31</x:v>
      </x:c>
      <x:c r="E232" t="str">
        <x:v>annual</x:v>
      </x:c>
      <x:c r="F232" t="str">
        <x:v>operating_cash_flow</x:v>
      </x:c>
      <x:c r="G232" t="n">
        <x:v>315858</x:v>
      </x:c>
      <x:c r="H232" t="str">
        <x:v>CNY</x:v>
      </x:c>
      <x:c r="I232" t="n">
        <x:v>128</x:v>
      </x:c>
      <x:c r="J232" t="str">
        <x:v>经营活动产生的现金流量净额</x:v>
      </x:c>
      <x:c r="K232" t="str">
        <x:v>candidate_pending_automated_verification</x:v>
      </x:c>
      <x:c r="L232" t="str">
        <x:v>https://static.cninfo.com.cn/finalpage/2026-03-21/1225022887.PDF</x:v>
      </x:c>
      <x:c r="M232" t="str">
        <x:v>2273565ecbe1b32536631fd4a019a4f4a990f4c793cfd5b70eae90d44d3ff16c</x:v>
      </x:c>
      <x:c r="N232" t="str">
        <x:v>为职工支付的现金 (20,285) (20,152)
支付的各项税费 (25,048) (23,827)
支付其他与经营活动有关的现金 51 (33,029) (20,246)
经营活动现金流出小计 (309,500) (467,471)
经营活动产生的现金流量净额 315,858 63,336
后附财务报表附注为本财务报表的组成部分。</x:v>
      </x:c>
    </x:row>
    <x:row r="233">
      <x:c r="A233" t="str">
        <x:v>b5202b55-f7e7-43db-ba29-7af8d1d8c2e1</x:v>
      </x:c>
      <x:c r="B233" t="str">
        <x:v>000001</x:v>
      </x:c>
      <x:c r="C233" t="str">
        <x:v>平安银行</x:v>
      </x:c>
      <x:c r="D233" t="str">
        <x:v>2025-12-31</x:v>
      </x:c>
      <x:c r="E233" t="str">
        <x:v>annual</x:v>
      </x:c>
      <x:c r="F233" t="str">
        <x:v>operating_cash_flow</x:v>
      </x:c>
      <x:c r="G233" t="n">
        <x:v>282461</x:v>
      </x:c>
      <x:c r="H233" t="str">
        <x:v>CNY</x:v>
      </x:c>
      <x:c r="I233" t="n">
        <x:v>133</x:v>
      </x:c>
      <x:c r="J233" t="str">
        <x:v>经营活动产生的现金流量净额</x:v>
      </x:c>
      <x:c r="K233" t="str">
        <x:v>candidate_pending_automated_verification</x:v>
      </x:c>
      <x:c r="L233" t="str">
        <x:v>https://static.cninfo.com.cn/finalpage/2026-03-21/1225022887.PDF</x:v>
      </x:c>
      <x:c r="M233" t="str">
        <x:v>2273565ecbe1b32536631fd4a019a4f4a990f4c793cfd5b70eae90d44d3ff16c</x:v>
      </x:c>
      <x:c r="N233" t="str">
        <x:v>费用 137 186
已发行债务证券利息支出 37 12,125 16,568
经营性应收项目的增加 (14,601) (201,168)
经营性应付项目的增加 226,789 182,630
预计诉讼损失的计提/(转回) 25 (65)
经营活动产生的现金流量净额 282,461 46,490
2．现金及现金等价物净增加/(减少)情况
现金的年末余额 49 4,057 3,421
减：现金的年初余额 (3,421) (3,687)
加：现金等价物的年末余额 49 336,386 252,286
减：现金等价物的年初余额 (252,286) (293,614)
现金及现金等价物净增加/(减少)额 84,736 (41,594)
后附财</x:v>
      </x:c>
    </x:row>
    <x:row r="234">
      <x:c r="A234" t="str">
        <x:v>6d74e3b3-1c01-4b65-b1f3-d104935e80f4</x:v>
      </x:c>
      <x:c r="B234" t="str">
        <x:v>000001</x:v>
      </x:c>
      <x:c r="C234" t="str">
        <x:v>平安银行</x:v>
      </x:c>
      <x:c r="D234" t="str">
        <x:v>2025-12-31</x:v>
      </x:c>
      <x:c r="E234" t="str">
        <x:v>annual</x:v>
      </x:c>
      <x:c r="F234" t="str">
        <x:v>operating_cash_flow</x:v>
      </x:c>
      <x:c r="G234" t="n">
        <x:v>282461</x:v>
      </x:c>
      <x:c r="H234" t="str">
        <x:v>CNY</x:v>
      </x:c>
      <x:c r="I234" t="n">
        <x:v>131</x:v>
      </x:c>
      <x:c r="J234" t="str">
        <x:v>经营活动产生的现金流量净额</x:v>
      </x:c>
      <x:c r="K234" t="str">
        <x:v>candidate_pending_automated_verification</x:v>
      </x:c>
      <x:c r="L234" t="str">
        <x:v>https://static.cninfo.com.cn/finalpage/2026-03-21/1225022887.PDF</x:v>
      </x:c>
      <x:c r="M234" t="str">
        <x:v>2273565ecbe1b32536631fd4a019a4f4a990f4c793cfd5b70eae90d44d3ff16c</x:v>
      </x:c>
      <x:c r="N234" t="str">
        <x:v>为职工支付的现金 (19,809) (19,737)
支付的各项税费 (24,597) (22,907)
支付其他与经营活动有关的现金 51 (32,732) (19,890)
经营活动现金流出小计 (337,887) (466,122)
经营活动产生的现金流量净额 282,461 46,490
后附财务报表附注为本财务报表的组成部分。</x:v>
      </x:c>
    </x:row>
    <x:row r="235">
      <x:c r="A235" t="str">
        <x:v>3fc50ad9-a558-48d8-9bc1-624b6612abdd</x:v>
      </x:c>
      <x:c r="B235" t="str">
        <x:v>000001</x:v>
      </x:c>
      <x:c r="C235" t="str">
        <x:v>平安银行</x:v>
      </x:c>
      <x:c r="D235" t="str">
        <x:v>2025-12-31</x:v>
      </x:c>
      <x:c r="E235" t="str">
        <x:v>annual</x:v>
      </x:c>
      <x:c r="F235" t="str">
        <x:v>operating_cash_flow</x:v>
      </x:c>
      <x:c r="G235" t="n">
        <x:v>315858</x:v>
      </x:c>
      <x:c r="H235" t="str">
        <x:v>CNY</x:v>
      </x:c>
      <x:c r="I235" t="n">
        <x:v>130</x:v>
      </x:c>
      <x:c r="J235" t="str">
        <x:v>经营活动产生的现金流量净额</x:v>
      </x:c>
      <x:c r="K235" t="str">
        <x:v>candidate_pending_automated_verification</x:v>
      </x:c>
      <x:c r="L235" t="str">
        <x:v>https://static.cninfo.com.cn/finalpage/2026-03-21/1225022887.PDF</x:v>
      </x:c>
      <x:c r="M235" t="str">
        <x:v>2273565ecbe1b32536631fd4a019a4f4a990f4c793cfd5b70eae90d44d3ff16c</x:v>
      </x:c>
      <x:c r="N235" t="str">
        <x:v>费用 137 186
已发行债务证券利息支出 37 12,125 16,568
经营性应收项目的增加 (12,365) (202,985)
经营性应付项目的增加 256,763 199,898
预计诉讼损失的计提/(转回) 25 (65)
经营活动产生的现金流量净额 315,858 63,336
2. 现金及现金等价物净增加/(减少)情况
现金的年末余额 49 4,057 3,421
减：现金的年初余额 (3,421) (3,687)
加：现金等价物的年末余额 49 338,578 253,525
减：现金等价物的年初余额 (253,525) (294,532)
现金及现金等价物净增加/(减少)额 85,689 (41,273)
后附</x:v>
      </x:c>
    </x:row>
    <x:row r="236">
      <x:c r="A236" t="str">
        <x:v>305935c0-7854-424f-a019-819736981a11</x:v>
      </x:c>
      <x:c r="B236" t="str">
        <x:v>000001</x:v>
      </x:c>
      <x:c r="C236" t="str">
        <x:v>平安银行</x:v>
      </x:c>
      <x:c r="D236" t="str">
        <x:v>2025-12-31</x:v>
      </x:c>
      <x:c r="E236" t="str">
        <x:v>annual</x:v>
      </x:c>
      <x:c r="F236" t="str">
        <x:v>roe</x:v>
      </x:c>
      <x:c r="G236" t="n">
        <x:v>9.15</x:v>
      </x:c>
      <x:c r="H236" t="str">
        <x:v>percent</x:v>
      </x:c>
      <x:c r="I236" t="n">
        <x:v>17</x:v>
      </x:c>
      <x:c r="J236" t="str">
        <x:v>加权平均净资产收益率</x:v>
      </x:c>
      <x:c r="K236" t="str">
        <x:v>candidate_pending_automated_verification</x:v>
      </x:c>
      <x:c r="L236" t="str">
        <x:v>https://static.cninfo.com.cn/finalpage/2026-03-21/1225022887.PDF</x:v>
      </x:c>
      <x:c r="M236" t="str">
        <x:v>2273565ecbe1b32536631fd4a019a4f4a990f4c793cfd5b70eae90d44d3ff16c</x:v>
      </x:c>
      <x:c r="N236" t="str">
        <x:v>入 131,442 146,695 (10.4%)
归属于本行股东的净利润 42,633 44,508 (4.2%)
成本收入比 29.06% 27.66% +1.40个百分点
平均总资产收益率 0.73% 0.78% -0.05个百分点
加权平均净资产收益率 9.15% 10.08% -0.93个百分点
净息差 1.78% 1.87% -0.09个百分点
非利息净收入占比 33.03% 36.31% -3.28个百分点
2025年12月31日 2024年 12月 31日 本年末比上年末增减
吸收存款本金 3,582,755 3,533,678 1.4%
发放贷款和垫款本金总额 3,390,840 3,374,103 0.</x:v>
      </x:c>
    </x:row>
    <x:row r="237">
      <x:c r="A237" t="str">
        <x:v>9cdc8d7e-492e-46b4-8371-a6b45d66725f</x:v>
      </x:c>
      <x:c r="B237" t="str">
        <x:v>000001</x:v>
      </x:c>
      <x:c r="C237" t="str">
        <x:v>平安银行</x:v>
      </x:c>
      <x:c r="D237" t="str">
        <x:v>2025-12-31</x:v>
      </x:c>
      <x:c r="E237" t="str">
        <x:v>annual</x:v>
      </x:c>
      <x:c r="F237" t="str">
        <x:v>revenue</x:v>
      </x:c>
      <x:c r="G237" t="n">
        <x:v>131442</x:v>
      </x:c>
      <x:c r="H237" t="str">
        <x:v>reported_amount</x:v>
      </x:c>
      <x:c r="I237" t="n">
        <x:v>17</x:v>
      </x:c>
      <x:c r="J237" t="str">
        <x:v>营业收入</x:v>
      </x:c>
      <x:c r="K237" t="str">
        <x:v>candidate_pending_automated_verification</x:v>
      </x:c>
      <x:c r="L237" t="str">
        <x:v>https://static.cninfo.com.cn/finalpage/2026-03-21/1225022887.PDF</x:v>
      </x:c>
      <x:c r="M237" t="str">
        <x:v>2273565ecbe1b32536631fd4a019a4f4a990f4c793cfd5b70eae90d44d3ff16c</x:v>
      </x:c>
      <x:c r="N237" t="str">
        <x:v>第二章 会计数据和财务指标
16
平安银行股份有限公司
2025年年度报告
第二章 会计数据和财务指标
2.1 关键指标
（货币单位：人民币百万元）
项 目 2025年 2024年 本年同比增减
营业收入 131,442 146,695 (10.4%)
归属于本行股东的净利润 42,633 44,508 (4.2%)
成本收入比 29.06% 27.66% +1.40个百分点
平均总资产收益率 0.73% 0.78% -0.05个百分点
加权平均净资产收益率 9.15% 10.08% -0.93个百分点
净息差 1.78% 1.87% -0.09个百分点
非利息净收入占比 </x:v>
      </x:c>
    </x:row>
    <x:row r="238">
      <x:c r="A238" t="str">
        <x:v>40d2d1a7-feb7-439f-a8b1-9e42e86881ea</x:v>
      </x:c>
      <x:c r="B238" t="str">
        <x:v>601166</x:v>
      </x:c>
      <x:c r="C238" t="str">
        <x:v>兴业银行</x:v>
      </x:c>
      <x:c r="D238" t="str">
        <x:v>2025-12-31</x:v>
      </x:c>
      <x:c r="E238" t="str">
        <x:v>annual</x:v>
      </x:c>
      <x:c r="F238" t="str">
        <x:v>roe</x:v>
      </x:c>
      <x:c r="G238" t="n">
        <x:v>9.15</x:v>
      </x:c>
      <x:c r="H238" t="str">
        <x:v>percent</x:v>
      </x:c>
      <x:c r="I238" t="n">
        <x:v>29</x:v>
      </x:c>
      <x:c r="J238" t="str">
        <x:v>加权平均净资产收益率</x:v>
      </x:c>
      <x:c r="K238" t="str">
        <x:v>candidate_pending_automated_verification</x:v>
      </x:c>
      <x:c r="L238" t="str">
        <x:v>https://static.cninfo.com.cn/finalpage/2026-03-27/1225039240.PDF</x:v>
      </x:c>
      <x:c r="M238" t="str">
        <x:v>8ad7c2264a38441715cafd485a9214f0c180bc1eb037837bb0403013fadd586c</x:v>
      </x:c>
      <x:c r="N238" t="str">
        <x:v>损益后的基本每股收益 3.44 3.49 (1.43) 3.48
每股经营活动产生的现金流量净额 30.89 (11.42) 上年同期为负 20.87
盈利能力指标(%)
总资产收益率 0.72 0.75 下降0.03个
百分点 0.80
加权平均净资产收益率 9.15 9.89 下降0.74个
百分点 10.64
扣除非经常性损益后的加权平均净资产收益率 9.10 9.83 下降0.73个
百分点 10.55
净利差 1.50 1.56 下降6BP 1.66
净息差 1.71 1.82 下降11BP 1.93
成本收入比 29.56 29.50 上升0.06个
百分点 29.97
注： 基本每股收益、稀释每股收益、加权平</x:v>
      </x:c>
    </x:row>
    <x:row r="239">
      <x:c r="A239" t="str">
        <x:v>a42dda06-f300-49db-ac53-294877450828</x:v>
      </x:c>
      <x:c r="B239" t="str">
        <x:v>601166</x:v>
      </x:c>
      <x:c r="C239" t="str">
        <x:v>兴业银行</x:v>
      </x:c>
      <x:c r="D239" t="str">
        <x:v>2025-12-31</x:v>
      </x:c>
      <x:c r="E239" t="str">
        <x:v>annual</x:v>
      </x:c>
      <x:c r="F239" t="str">
        <x:v>eps_annual</x:v>
      </x:c>
      <x:c r="G239" t="n">
        <x:v>3.46</x:v>
      </x:c>
      <x:c r="H239" t="str">
        <x:v>CNY/share</x:v>
      </x:c>
      <x:c r="I239" t="n">
        <x:v>29</x:v>
      </x:c>
      <x:c r="J239" t="str">
        <x:v>基本每股收益</x:v>
      </x:c>
      <x:c r="K239" t="str">
        <x:v>candidate_pending_automated_verification</x:v>
      </x:c>
      <x:c r="L239" t="str">
        <x:v>https://static.cninfo.com.cn/finalpage/2026-03-27/1225039240.PDF</x:v>
      </x:c>
      <x:c r="M239" t="str">
        <x:v>8ad7c2264a38441715cafd485a9214f0c180bc1eb037837bb0403013fadd586c</x:v>
      </x:c>
      <x:c r="N239" t="str">
        <x:v>05 0.34 77,116
归属于母公司股东扣除非经常性损益的净利润 77,064 76,772 0.38 76,523
经营活动产生的现金流量净额 653,656 (237,258) 上年同期为负 433,617
每股计 （人民币元）
基本每股收益 3.46 3.51 (1.42) 3.51
稀释每股收益 3.21 3.23 (0.62) 3.24
扣除非经常性损益后的基本每股收益 3.44 3.49 (1.43) 3.48
每股经营活动产生的现金流量净额 30.89 (11.42) 上年同期为负 20.87
盈利能力指标(%)
总资产收益率 0.72 0.75 下降0.03个
百分点 0.80
加权平均净资产</x:v>
      </x:c>
    </x:row>
    <x:row r="240">
      <x:c r="A240" t="str">
        <x:v>19ab47de-2e73-4d08-9ba1-01fc6ede819c</x:v>
      </x:c>
      <x:c r="B240" t="str">
        <x:v>601166</x:v>
      </x:c>
      <x:c r="C240" t="str">
        <x:v>兴业银行</x:v>
      </x:c>
      <x:c r="D240" t="str">
        <x:v>2025-12-31</x:v>
      </x:c>
      <x:c r="E240" t="str">
        <x:v>annual</x:v>
      </x:c>
      <x:c r="F240" t="str">
        <x:v>operating_cash_flow</x:v>
      </x:c>
      <x:c r="G240" t="n">
        <x:v>653656</x:v>
      </x:c>
      <x:c r="H240" t="str">
        <x:v>reported_amount</x:v>
      </x:c>
      <x:c r="I240" t="n">
        <x:v>29</x:v>
      </x:c>
      <x:c r="J240" t="str">
        <x:v>经营活动产生的现金流量净额</x:v>
      </x:c>
      <x:c r="K240" t="str">
        <x:v>candidate_pending_automated_verification</x:v>
      </x:c>
      <x:c r="L240" t="str">
        <x:v>https://static.cninfo.com.cn/finalpage/2026-03-27/1225039240.PDF</x:v>
      </x:c>
      <x:c r="M240" t="str">
        <x:v>8ad7c2264a38441715cafd485a9214f0c180bc1eb037837bb0403013fadd586c</x:v>
      </x:c>
      <x:c r="N240" t="str">
        <x:v>40
利润总额 89,973 87,120 3.27 84,329
归属于母公司股东的净利润 77,469 77,205 0.34 77,116
归属于母公司股东扣除非经常性损益的净利润 77,064 76,772 0.38 76,523
经营活动产生的现金流量净额 653,656 (237,258) 上年同期为负 433,617
每股计 （人民币元）
基本每股收益 3.46 3.51 (1.42) 3.51
稀释每股收益 3.21 3.23 (0.62) 3.24
扣除非经常性损益后的基本每股收益 3.44 3.49 (1.43) 3.48
每股经营活动产生的现金流量净额 30.89 (11.42) 上年同期为负 20.87
盈利能</x:v>
      </x:c>
    </x:row>
    <x:row r="241">
      <x:c r="A241" t="str">
        <x:v>abdc8dc3-50ae-4dec-995a-b6d4b45e1b08</x:v>
      </x:c>
      <x:c r="B241" t="str">
        <x:v>601166</x:v>
      </x:c>
      <x:c r="C241" t="str">
        <x:v>兴业银行</x:v>
      </x:c>
      <x:c r="D241" t="str">
        <x:v>2025-12-31</x:v>
      </x:c>
      <x:c r="E241" t="str">
        <x:v>annual</x:v>
      </x:c>
      <x:c r="F241" t="str">
        <x:v>revenue</x:v>
      </x:c>
      <x:c r="G241" t="n">
        <x:v>212741</x:v>
      </x:c>
      <x:c r="H241" t="str">
        <x:v>reported_amount</x:v>
      </x:c>
      <x:c r="I241" t="n">
        <x:v>29</x:v>
      </x:c>
      <x:c r="J241" t="str">
        <x:v>营业收入</x:v>
      </x:c>
      <x:c r="K241" t="str">
        <x:v>candidate_pending_automated_verification</x:v>
      </x:c>
      <x:c r="L241" t="str">
        <x:v>https://static.cninfo.com.cn/finalpage/2026-03-27/1225039240.PDF</x:v>
      </x:c>
      <x:c r="M241" t="str">
        <x:v>8ad7c2264a38441715cafd485a9214f0c180bc1eb037837bb0403013fadd586c</x:v>
      </x:c>
      <x:c r="N241" t="str">
        <x:v>环境与社会 重要事项 股份变动及股东情况 可转换公司债券相关情况 审计报告及财务报告
第二章 财务摘要
2.1 主要会计数据和财务指标
单位 ： 人民币百万元
项目 2025年 2024年 本期较上年
同期增减(%) 2023年
经营业绩
营业收入 212,741 212,226 0.24 210,831
 利息净收入 148,752 148,107 0.44 146,503
 非利息净收入 63,989 64,119 (0.20) 64,328
营业利润 89,948 87,197 3.15 84,140
利润总额 89,973 87,120 3.27 84,329
归属于母公司股东的净利润 77,469 77,2</x:v>
      </x:c>
    </x:row>
    <x:row r="242">
      <x:c r="A242" t="str">
        <x:v>286b3fe3-0069-4a75-81bb-7def9000c9a7</x:v>
      </x:c>
      <x:c r="B242" t="str">
        <x:v>601166</x:v>
      </x:c>
      <x:c r="C242" t="str">
        <x:v>兴业银行</x:v>
      </x:c>
      <x:c r="D242" t="str">
        <x:v>2025-12-31</x:v>
      </x:c>
      <x:c r="E242" t="str">
        <x:v>annual</x:v>
      </x:c>
      <x:c r="F242" t="str">
        <x:v>bonds_payable</x:v>
      </x:c>
      <x:c r="G242" t="n">
        <x:v>1151915</x:v>
      </x:c>
      <x:c r="H242" t="str">
        <x:v>CNY</x:v>
      </x:c>
      <x:c r="I242" t="n">
        <x:v>330</x:v>
      </x:c>
      <x:c r="J242" t="str">
        <x:v>应付债券</x:v>
      </x:c>
      <x:c r="K242" t="str">
        <x:v>candidate_pending_automated_verification</x:v>
      </x:c>
      <x:c r="L242" t="str">
        <x:v>https://static.cninfo.com.cn/finalpage/2026-03-27/1225039240.PDF</x:v>
      </x:c>
      <x:c r="M242" t="str">
        <x:v>8ad7c2264a38441715cafd485a9214f0c180bc1eb037837bb0403013fadd586c</x:v>
      </x:c>
      <x:c r="N242" t="str">
        <x:v> – – 26,740
衍生金融负债 66,585 8,182 123 74,890
卖出回购金融资产款 250,617 218 11,161 261,996
吸收存款 5,430,477 120,805 79,078 5,630,360
应付债券 1,151,915 75,204 25,868 1,252,987
租赁负债 8,781 314 209 9,304
其他负债 33,834 388 478 34,700
金融负债合计 8,982,835 420,668 147,866 9,551,369
金融资产负债净头寸 907,918 (73,771) (15,250) 818,897</x:v>
      </x:c>
    </x:row>
    <x:row r="243">
      <x:c r="A243" t="str">
        <x:v>4b9cdf8a-58c1-4fc2-b02d-87f9d650521e</x:v>
      </x:c>
      <x:c r="B243" t="str">
        <x:v>601166</x:v>
      </x:c>
      <x:c r="C243" t="str">
        <x:v>兴业银行</x:v>
      </x:c>
      <x:c r="D243" t="str">
        <x:v>2025-12-31</x:v>
      </x:c>
      <x:c r="E243" t="str">
        <x:v>annual</x:v>
      </x:c>
      <x:c r="F243" t="str">
        <x:v>bonds_payable</x:v>
      </x:c>
      <x:c r="G243" t="n">
        <x:v>926947</x:v>
      </x:c>
      <x:c r="H243" t="str">
        <x:v>CNY</x:v>
      </x:c>
      <x:c r="I243" t="n">
        <x:v>329</x:v>
      </x:c>
      <x:c r="J243" t="str">
        <x:v>应付债券</x:v>
      </x:c>
      <x:c r="K243" t="str">
        <x:v>candidate_pending_automated_verification</x:v>
      </x:c>
      <x:c r="L243" t="str">
        <x:v>https://static.cninfo.com.cn/finalpage/2026-03-27/1225039240.PDF</x:v>
      </x:c>
      <x:c r="M243" t="str">
        <x:v>8ad7c2264a38441715cafd485a9214f0c180bc1eb037837bb0403013fadd586c</x:v>
      </x:c>
      <x:c r="N243" t="str">
        <x:v>47 – – 36,547
衍生金融负债 30,951 7,167 155 38,273
卖出回购金融资产款 358,198 5,501 – 363,699
吸收存款 5,722,161 188,690 109,955 6,020,806
应付债券 926,947 10,459 410 937,816
租赁负债 8,285 274 143 8,702
其他负债 31,245 969 216 32,430
金融负债合计 9,518,910 458,642 139,961 10,117,513
金融资产负债净头寸 786,217 (4,590) 40,116 821,743</x:v>
      </x:c>
    </x:row>
    <x:row r="244">
      <x:c r="A244" t="str">
        <x:v>d155bc29-bfb6-4a27-8e13-2fb499ce1853</x:v>
      </x:c>
      <x:c r="B244" t="str">
        <x:v>601166</x:v>
      </x:c>
      <x:c r="C244" t="str">
        <x:v>兴业银行</x:v>
      </x:c>
      <x:c r="D244" t="str">
        <x:v>2025-12-31</x:v>
      </x:c>
      <x:c r="E244" t="str">
        <x:v>annual</x:v>
      </x:c>
      <x:c r="F244" t="str">
        <x:v>bonds_payable</x:v>
      </x:c>
      <x:c r="G244" t="n">
        <x:v>338034</x:v>
      </x:c>
      <x:c r="H244" t="str">
        <x:v>CNY</x:v>
      </x:c>
      <x:c r="I244" t="n">
        <x:v>327</x:v>
      </x:c>
      <x:c r="J244" t="str">
        <x:v>应付债券</x:v>
      </x:c>
      <x:c r="K244" t="str">
        <x:v>candidate_pending_automated_verification</x:v>
      </x:c>
      <x:c r="L244" t="str">
        <x:v>https://static.cninfo.com.cn/finalpage/2026-03-27/1225039240.PDF</x:v>
      </x:c>
      <x:c r="M244" t="str">
        <x:v>8ad7c2264a38441715cafd485a9214f0c180bc1eb037837bb0403013fadd586c</x:v>
      </x:c>
      <x:c r="N244" t="str">
        <x:v>生金融负债 – – – – 74,890 74,890
卖出回购金融资产款 226,889 35,107 – – – 261,996
吸收存款 3,138,792 1,097,327 1,393,002 – 1,239 5,630,360
应付债券 338,034 606,262 303,674 5,017 – 1,252,987
租赁负债 654 1,840 5,893 917 – 9,304
其他负债 3,593 3,281 – – 27,826 34,700
金融负债合计 5,313,057 2,419,210 1,707,401 5,934 105,767 9,551,369
金融资产负债净头寸 (777,2</x:v>
      </x:c>
    </x:row>
    <x:row r="245">
      <x:c r="A245" t="str">
        <x:v>9fd6d48c-ec07-40a1-874d-3470e3559e6d</x:v>
      </x:c>
      <x:c r="B245" t="str">
        <x:v>601166</x:v>
      </x:c>
      <x:c r="C245" t="str">
        <x:v>兴业银行</x:v>
      </x:c>
      <x:c r="D245" t="str">
        <x:v>2025-12-31</x:v>
      </x:c>
      <x:c r="E245" t="str">
        <x:v>annual</x:v>
      </x:c>
      <x:c r="F245" t="str">
        <x:v>bonds_payable</x:v>
      </x:c>
      <x:c r="G245" t="n">
        <x:v>937816</x:v>
      </x:c>
      <x:c r="H245" t="str">
        <x:v>CNY</x:v>
      </x:c>
      <x:c r="I245" t="n">
        <x:v>339</x:v>
      </x:c>
      <x:c r="J245" t="str">
        <x:v>应付债券</x:v>
      </x:c>
      <x:c r="K245" t="str">
        <x:v>candidate_pending_automated_verification</x:v>
      </x:c>
      <x:c r="L245" t="str">
        <x:v>https://static.cninfo.com.cn/finalpage/2026-03-27/1225039240.PDF</x:v>
      </x:c>
      <x:c r="M245" t="str">
        <x:v>8ad7c2264a38441715cafd485a9214f0c180bc1eb037837bb0403013fadd586c</x:v>
      </x:c>
      <x:c r="N245" t="str">
        <x:v>次 第二层次 第三层次
金融资产 ：
 债权投资 1,919,255 1,964,698 – 1,521,485 443,213
金融资产合计 1,919,255 1,964,698 – 1,521,485 443,213
金融负债 ：
 应付债券 937,816 943,371 – 943,371 –
金融负债合计 937,816 943,371 – 943,371 –</x:v>
      </x:c>
    </x:row>
    <x:row r="246">
      <x:c r="A246" t="str">
        <x:v>921a713f-39bf-4ebe-9b02-7a5048447e11</x:v>
      </x:c>
      <x:c r="B246" t="str">
        <x:v>601166</x:v>
      </x:c>
      <x:c r="C246" t="str">
        <x:v>兴业银行</x:v>
      </x:c>
      <x:c r="D246" t="str">
        <x:v>2025-12-31</x:v>
      </x:c>
      <x:c r="E246" t="str">
        <x:v>annual</x:v>
      </x:c>
      <x:c r="F246" t="str">
        <x:v>bonds_payable</x:v>
      </x:c>
      <x:c r="G246" t="n">
        <x:v>292980</x:v>
      </x:c>
      <x:c r="H246" t="str">
        <x:v>CNY</x:v>
      </x:c>
      <x:c r="I246" t="n">
        <x:v>326</x:v>
      </x:c>
      <x:c r="J246" t="str">
        <x:v>应付债券</x:v>
      </x:c>
      <x:c r="K246" t="str">
        <x:v>candidate_pending_automated_verification</x:v>
      </x:c>
      <x:c r="L246" t="str">
        <x:v>https://static.cninfo.com.cn/finalpage/2026-03-27/1225039240.PDF</x:v>
      </x:c>
      <x:c r="M246" t="str">
        <x:v>8ad7c2264a38441715cafd485a9214f0c180bc1eb037837bb0403013fadd586c</x:v>
      </x:c>
      <x:c r="N246" t="str">
        <x:v>
衍生金融负债 – – – – 38,273 38,273
卖出回购金融资产款 344,576 19,123 – – – 363,699
吸收存款 3,213,377 1,164,596 1,642,517 9 307 6,020,806
应付债券 292,980 412,384 227,435 5,017 – 937,816
租赁负债 672 1,765 5,233 1,026 6 8,702
其他负债 2,901 138 – – 29,391 32,430
金融负债合计 5,536,823 2,606,299 1,879,530 6,230 88,631 10,117,513
金融资产负债净头寸 (489,510</x:v>
      </x:c>
    </x:row>
    <x:row r="247">
      <x:c r="A247" t="str">
        <x:v>6fd2cdd6-5d20-414e-8889-bcf1f2f2d9d3</x:v>
      </x:c>
      <x:c r="B247" t="str">
        <x:v>601166</x:v>
      </x:c>
      <x:c r="C247" t="str">
        <x:v>兴业银行</x:v>
      </x:c>
      <x:c r="D247" t="str">
        <x:v>2025-12-31</x:v>
      </x:c>
      <x:c r="E247" t="str">
        <x:v>annual</x:v>
      </x:c>
      <x:c r="F247" t="str">
        <x:v>bonds_payable</x:v>
      </x:c>
      <x:c r="G247" t="n">
        <x:v>937816</x:v>
      </x:c>
      <x:c r="H247" t="str">
        <x:v>CNY</x:v>
      </x:c>
      <x:c r="I247" t="n">
        <x:v>189</x:v>
      </x:c>
      <x:c r="J247" t="str">
        <x:v>应付债券</x:v>
      </x:c>
      <x:c r="K247" t="str">
        <x:v>candidate_pending_automated_verification</x:v>
      </x:c>
      <x:c r="L247" t="str">
        <x:v>https://static.cninfo.com.cn/finalpage/2026-03-27/1225039240.PDF</x:v>
      </x:c>
      <x:c r="M247" t="str">
        <x:v>8ad7c2264a38441715cafd485a9214f0c180bc1eb037837bb0403013fadd586c</x:v>
      </x:c>
      <x:c r="N247" t="str">
        <x:v>026,439 5,632,619
应付职工薪酬 21 39,534 36,560 37,221 34,351
应交税费 22 6,659 9,385 4,526 8,569
预计负债 23 7,588 6,364 7,574 6,344
应付债券 24 937,816 1,252,987 909,219 1,223,162
租赁负债 25 8,702 9,304 8,591 8,720
递延所得税负债 14 204 151 80 –
其他负债 26 41,542 45,158 19,595 24,969
负债合计 10,180,610 9,614,287 9,932,929 9,378,068
后附财务报表附注为本财务报</x:v>
      </x:c>
    </x:row>
    <x:row r="248">
      <x:c r="A248" t="str">
        <x:v>5d35b715-e651-474c-a78f-eac0d29b3cb8</x:v>
      </x:c>
      <x:c r="B248" t="str">
        <x:v>601166</x:v>
      </x:c>
      <x:c r="C248" t="str">
        <x:v>兴业银行</x:v>
      </x:c>
      <x:c r="D248" t="str">
        <x:v>2025-12-31</x:v>
      </x:c>
      <x:c r="E248" t="str">
        <x:v>annual</x:v>
      </x:c>
      <x:c r="F248" t="str">
        <x:v>bonds_payable</x:v>
      </x:c>
      <x:c r="G248" t="n">
        <x:v>1252987</x:v>
      </x:c>
      <x:c r="H248" t="str">
        <x:v>CNY</x:v>
      </x:c>
      <x:c r="I248" t="n">
        <x:v>340</x:v>
      </x:c>
      <x:c r="J248" t="str">
        <x:v>应付债券</x:v>
      </x:c>
      <x:c r="K248" t="str">
        <x:v>candidate_pending_automated_verification</x:v>
      </x:c>
      <x:c r="L248" t="str">
        <x:v>https://static.cninfo.com.cn/finalpage/2026-03-27/1225039240.PDF</x:v>
      </x:c>
      <x:c r="M248" t="str">
        <x:v>8ad7c2264a38441715cafd485a9214f0c180bc1eb037837bb0403013fadd586c</x:v>
      </x:c>
      <x:c r="N248" t="str">
        <x:v>次 第二层次 第三层次
金融资产 ：
 债权投资 1,896,064 1,990,431 – 1,552,411 438,020
金融资产合计 1,896,064 1,990,431 – 1,552,411 438,020
金融负债 ：
 应付债券 1,252,987 1,268,277 – 1,268,277 –
金融负债合计 1,252,987 1,268,277 – 1,268,277 –
第二、三层次公允价值计量的定量信息如下 ：
项目
本集团
2025年末
的公允价值
2024年末
的公允价值 估值技术 输入值
债权投资 1,964,698 1,990,431 现金流量折现法 债券收益率、违约概率、
违约损失率</x:v>
      </x:c>
    </x:row>
    <x:row r="249">
      <x:c r="A249" t="str">
        <x:v>57a8d3e0-acd5-4ec5-8182-8b193f2826ae</x:v>
      </x:c>
      <x:c r="B249" t="str">
        <x:v>601628</x:v>
      </x:c>
      <x:c r="C249" t="str">
        <x:v>中国人寿</x:v>
      </x:c>
      <x:c r="D249" t="str">
        <x:v>2025-12-31</x:v>
      </x:c>
      <x:c r="E249" t="str">
        <x:v>annual</x:v>
      </x:c>
      <x:c r="F249" t="str">
        <x:v>cash</x:v>
      </x:c>
      <x:c r="G249" t="n">
        <x:v>135927</x:v>
      </x:c>
      <x:c r="H249" t="str">
        <x:v>CNY</x:v>
      </x:c>
      <x:c r="I249" t="n">
        <x:v>91</x:v>
      </x:c>
      <x:c r="J249" t="str">
        <x:v>货币资金</x:v>
      </x:c>
      <x:c r="K249" t="str">
        <x:v>candidate_pending_automated_verification</x:v>
      </x:c>
      <x:c r="L249" t="str">
        <x:v>https://static.cninfo.com.cn/finalpage/2026-03-26/1225030448.PDF</x:v>
      </x:c>
      <x:c r="M249" t="str">
        <x:v>575a833fd7b83ad3568483273645236eddb751a92ab89f7e1c09105d92cedb27</x:v>
      </x:c>
      <x:c r="N249" t="str">
        <x:v>89
二零二五年年报 | 财务报告
2025年12月31日公司资产负债表
（除特别注明外，金额单位为人民币百万元）
资产 附注十一 2025年12月31日 2024年12月31日
资产：
货币资金 1 135,927 77,376
买入返售金融资产 2 48,215 25,414
定期存款 3 372,258 344,382
交易性金融资产 4 1,772,784 1,601,948
债权投资 5 – 8,683
其他债权投资 6 4,070,567 3,625,258
其他权益工具投资 7 296,439 146,523
分出再保险合同资产 30,014 30,738</x:v>
      </x:c>
    </x:row>
    <x:row r="250">
      <x:c r="A250" t="str">
        <x:v>48de9562-dd26-4cf0-bcf5-818313cdb203</x:v>
      </x:c>
      <x:c r="B250" t="str">
        <x:v>601628</x:v>
      </x:c>
      <x:c r="C250" t="str">
        <x:v>中国人寿</x:v>
      </x:c>
      <x:c r="D250" t="str">
        <x:v>2025-12-31</x:v>
      </x:c>
      <x:c r="E250" t="str">
        <x:v>annual</x:v>
      </x:c>
      <x:c r="F250" t="str">
        <x:v>bonds_payable</x:v>
      </x:c>
      <x:c r="G250" t="n">
        <x:v>35195</x:v>
      </x:c>
      <x:c r="H250" t="str">
        <x:v>CNY</x:v>
      </x:c>
      <x:c r="I250" t="n">
        <x:v>90</x:v>
      </x:c>
      <x:c r="J250" t="str">
        <x:v>应付债券</x:v>
      </x:c>
      <x:c r="K250" t="str">
        <x:v>candidate_pending_automated_verification</x:v>
      </x:c>
      <x:c r="L250" t="str">
        <x:v>https://static.cninfo.com.cn/finalpage/2026-03-26/1225030448.PDF</x:v>
      </x:c>
      <x:c r="M250" t="str">
        <x:v>575a833fd7b83ad3568483273645236eddb751a92ab89f7e1c09105d92cedb27</x:v>
      </x:c>
      <x:c r="N250" t="str">
        <x:v>10 53,521
卖出回购金融资产款 18 331,863 151,564
预收保费 48,227 28,760
应付职工薪酬 19 13,643 10,582
应交税费 20 2,625 1,617
长期借款 21 50 12,693
应付债券 22 35,195 35,194
保险合同负债 23 6,376,114 5,825,026
分出再保险合同负债 312 160
租赁负债 1,539 1,318
递延所得税负债 16 1,480 147
其他负债 24 89,547 127,651
负债合计 6,982,611 6,248,298
股东权益：
股本 26 28,265 28,265
资本公积 2</x:v>
      </x:c>
    </x:row>
    <x:row r="251">
      <x:c r="A251" t="str">
        <x:v>14227393-2d3b-4be0-bdee-f2a215384cc2</x:v>
      </x:c>
      <x:c r="B251" t="str">
        <x:v>601628</x:v>
      </x:c>
      <x:c r="C251" t="str">
        <x:v>中国人寿</x:v>
      </x:c>
      <x:c r="D251" t="str">
        <x:v>2025-12-31</x:v>
      </x:c>
      <x:c r="E251" t="str">
        <x:v>annual</x:v>
      </x:c>
      <x:c r="F251" t="str">
        <x:v>short_term_borrowings</x:v>
      </x:c>
      <x:c r="G251" t="n">
        <x:v>65</x:v>
      </x:c>
      <x:c r="H251" t="str">
        <x:v>CNY</x:v>
      </x:c>
      <x:c r="I251" t="n">
        <x:v>90</x:v>
      </x:c>
      <x:c r="J251" t="str">
        <x:v>短期借款</x:v>
      </x:c>
      <x:c r="K251" t="str">
        <x:v>candidate_pending_automated_verification</x:v>
      </x:c>
      <x:c r="L251" t="str">
        <x:v>https://static.cninfo.com.cn/finalpage/2026-03-26/1225030448.PDF</x:v>
      </x:c>
      <x:c r="M251" t="str">
        <x:v>575a833fd7b83ad3568483273645236eddb751a92ab89f7e1c09105d92cedb27</x:v>
      </x:c>
      <x:c r="N251" t="str">
        <x:v>88
二零二五年年报 | 财务报告
2025年12月31日合并资产负债表（续）
（除特别注明外，金额单位为人民币百万元）
负债及股东权益 附注十 2025年12月31日 2024年12月31日
负债：
短期借款 6 65
交易性金融负债 82,010 53,521
卖出回购金融资产款 18 331,863 151,564
预收保费 48,227 28,760
应付职工薪酬 19 13,643 10,582
应交税费 20 2,625 1,617
长期借款 21 50 12,693
应付债券 22 35,195 35,194
保险合同负债 23 6,376,114 5,825</x:v>
      </x:c>
    </x:row>
    <x:row r="252">
      <x:c r="A252" t="str">
        <x:v>c7125e95-1d40-452e-962b-76fe4418cd35</x:v>
      </x:c>
      <x:c r="B252" t="str">
        <x:v>601628</x:v>
      </x:c>
      <x:c r="C252" t="str">
        <x:v>中国人寿</x:v>
      </x:c>
      <x:c r="D252" t="str">
        <x:v>2025-12-31</x:v>
      </x:c>
      <x:c r="E252" t="str">
        <x:v>annual</x:v>
      </x:c>
      <x:c r="F252" t="str">
        <x:v>cash</x:v>
      </x:c>
      <x:c r="G252" t="n">
        <x:v>143319</x:v>
      </x:c>
      <x:c r="H252" t="str">
        <x:v>CNY</x:v>
      </x:c>
      <x:c r="I252" t="n">
        <x:v>89</x:v>
      </x:c>
      <x:c r="J252" t="str">
        <x:v>货币资金</x:v>
      </x:c>
      <x:c r="K252" t="str">
        <x:v>candidate_pending_automated_verification</x:v>
      </x:c>
      <x:c r="L252" t="str">
        <x:v>https://static.cninfo.com.cn/finalpage/2026-03-26/1225030448.PDF</x:v>
      </x:c>
      <x:c r="M252" t="str">
        <x:v>575a833fd7b83ad3568483273645236eddb751a92ab89f7e1c09105d92cedb27</x:v>
      </x:c>
      <x:c r="N252" t="str">
        <x:v>87
二零二五年年报 | 财务报告
2025年12月31日合并资产负债表
（除特别注明外，金额单位为人民币百万元）
资产 附注十 2025年12月31日 2024年12月31日
资产：
货币资金 1 143,319 86,519
买入返售金融资产 2 50,879 30,560
定期存款 3 418,688 438,455
交易性金融资产 4 2,067,288 1,908,098
债权投资 5 173,992 196,754
其他债权投资 6 3,926,042 3,458,895
其他权益工具投资 7 317,876 171,817
分出再保险合同资产 23 30</x:v>
      </x:c>
    </x:row>
    <x:row r="253">
      <x:c r="A253" t="str">
        <x:v>b11cc43f-e7b8-4ba4-ae3a-3adbb495cc4a</x:v>
      </x:c>
      <x:c r="B253" t="str">
        <x:v>601628</x:v>
      </x:c>
      <x:c r="C253" t="str">
        <x:v>中国人寿</x:v>
      </x:c>
      <x:c r="D253" t="str">
        <x:v>2025-12-31</x:v>
      </x:c>
      <x:c r="E253" t="str">
        <x:v>annual</x:v>
      </x:c>
      <x:c r="F253" t="str">
        <x:v>long_term_borrowings</x:v>
      </x:c>
      <x:c r="G253" t="n">
        <x:v>50</x:v>
      </x:c>
      <x:c r="H253" t="str">
        <x:v>CNY</x:v>
      </x:c>
      <x:c r="I253" t="n">
        <x:v>90</x:v>
      </x:c>
      <x:c r="J253" t="str">
        <x:v>长期借款</x:v>
      </x:c>
      <x:c r="K253" t="str">
        <x:v>candidate_pending_automated_verification</x:v>
      </x:c>
      <x:c r="L253" t="str">
        <x:v>https://static.cninfo.com.cn/finalpage/2026-03-26/1225030448.PDF</x:v>
      </x:c>
      <x:c r="M253" t="str">
        <x:v>575a833fd7b83ad3568483273645236eddb751a92ab89f7e1c09105d92cedb27</x:v>
      </x:c>
      <x:c r="N253" t="str">
        <x:v> 6 65
交易性金融负债 82,010 53,521
卖出回购金融资产款 18 331,863 151,564
预收保费 48,227 28,760
应付职工薪酬 19 13,643 10,582
应交税费 20 2,625 1,617
长期借款 21 50 12,693
应付债券 22 35,195 35,194
保险合同负债 23 6,376,114 5,825,026
分出再保险合同负债 312 160
租赁负债 1,539 1,318
递延所得税负债 16 1,480 147
其他负债 24 89,547 127,651
负债合计 6,982,611 6,248,298
股东权益：
股本 2</x:v>
      </x:c>
    </x:row>
    <x:row r="254">
      <x:c r="A254" t="str">
        <x:v>988ed972-a430-4eaf-816b-4311cb1a1c84</x:v>
      </x:c>
      <x:c r="B254" t="str">
        <x:v>601628</x:v>
      </x:c>
      <x:c r="C254" t="str">
        <x:v>中国人寿</x:v>
      </x:c>
      <x:c r="D254" t="str">
        <x:v>2025-12-31</x:v>
      </x:c>
      <x:c r="E254" t="str">
        <x:v>annual</x:v>
      </x:c>
      <x:c r="F254" t="str">
        <x:v>operating_cash_flow</x:v>
      </x:c>
      <x:c r="G254" t="n">
        <x:v>458532</x:v>
      </x:c>
      <x:c r="H254" t="str">
        <x:v>CNY</x:v>
      </x:c>
      <x:c r="I254" t="n">
        <x:v>218</x:v>
      </x:c>
      <x:c r="J254" t="str">
        <x:v>经营活动产生的现金流量净额</x:v>
      </x:c>
      <x:c r="K254" t="str">
        <x:v>candidate_pending_automated_verification</x:v>
      </x:c>
      <x:c r="L254" t="str">
        <x:v>https://static.cninfo.com.cn/finalpage/2026-03-26/1225030448.PDF</x:v>
      </x:c>
      <x:c r="M254" t="str">
        <x:v>575a833fd7b83ad3568483273645236eddb751a92ab89f7e1c09105d92cedb27</x:v>
      </x:c>
      <x:c r="N254" t="str">
        <x:v>得税 20,756 949
保险合同负债和分出再保险合同资产的变动 643,780 579,738
经营性应收款项的减少/（增加） (44,568) 4,962
经营性应付款项的增加/（减少） (191,831) (258,866)
经营活动产生的现金流量净额 458,532 375,091
(2) 列示于现金流量表的现金及现金等价物包括
存款 127,742 73,186
结算备付金 8,152 4,160
现金及现金等价物期末余额 135,894 77,346
减：现金及现金等价物期初余额 (77,346) (135,355)
现金及现金等价物净增加/（减少） 额 58,548 (58,009)
   </x:v>
      </x:c>
    </x:row>
    <x:row r="255">
      <x:c r="A255" t="str">
        <x:v>a533223d-3cb8-4df4-ab5f-7b96264b3a63</x:v>
      </x:c>
      <x:c r="B255" t="str">
        <x:v>601628</x:v>
      </x:c>
      <x:c r="C255" t="str">
        <x:v>中国人寿</x:v>
      </x:c>
      <x:c r="D255" t="str">
        <x:v>2025-12-31</x:v>
      </x:c>
      <x:c r="E255" t="str">
        <x:v>annual</x:v>
      </x:c>
      <x:c r="F255" t="str">
        <x:v>cash</x:v>
      </x:c>
      <x:c r="G255" t="n">
        <x:v>50437</x:v>
      </x:c>
      <x:c r="H255" t="str">
        <x:v>CNY</x:v>
      </x:c>
      <x:c r="I255" t="n">
        <x:v>170</x:v>
      </x:c>
      <x:c r="J255" t="str">
        <x:v>货币资金</x:v>
      </x:c>
      <x:c r="K255" t="str">
        <x:v>candidate_pending_automated_verification</x:v>
      </x:c>
      <x:c r="L255" t="str">
        <x:v>https://static.cninfo.com.cn/finalpage/2026-03-26/1225030448.PDF</x:v>
      </x:c>
      <x:c r="M255" t="str">
        <x:v>575a833fd7b83ad3568483273645236eddb751a92ab89f7e1c09105d92cedb27</x:v>
      </x:c>
      <x:c r="N255" t="str">
        <x:v>别注明外，金额单位为人民币百万元）
十 、ﾠ 合并财务报表项目附注（续）
8.ﾠ 金融资产和负债的公允价值（续）
本集团具有直接参与分红特征的保险合同的基础项目公允价值如下：
2025年12月31日 2024年12月31日
货币资金 50,437 38,203
定期存款 115,671 102,607
交易性金融资产 770,972 702,762
债权投资 – 1,938
其他债权投资 1,472,190 1,457,353
其他权益工具投资 41,193 50,316
其他项目 31,819 69,432
合计 2,482,282 2,422,611
9.ﾠ 长期股权投资
</x:v>
      </x:c>
    </x:row>
    <x:row r="256">
      <x:c r="A256" t="str">
        <x:v>d67a7b13-2fd9-44a2-a305-df8a879a977f</x:v>
      </x:c>
      <x:c r="B256" t="str">
        <x:v>601628</x:v>
      </x:c>
      <x:c r="C256" t="str">
        <x:v>中国人寿</x:v>
      </x:c>
      <x:c r="D256" t="str">
        <x:v>2025-12-31</x:v>
      </x:c>
      <x:c r="E256" t="str">
        <x:v>annual</x:v>
      </x:c>
      <x:c r="F256" t="str">
        <x:v>cash</x:v>
      </x:c>
      <x:c r="G256" t="n">
        <x:v>2025</x:v>
      </x:c>
      <x:c r="H256" t="str">
        <x:v>CNY</x:v>
      </x:c>
      <x:c r="I256" t="n">
        <x:v>166</x:v>
      </x:c>
      <x:c r="J256" t="str">
        <x:v>货币资金</x:v>
      </x:c>
      <x:c r="K256" t="str">
        <x:v>candidate_pending_automated_verification</x:v>
      </x:c>
      <x:c r="L256" t="str">
        <x:v>https://static.cninfo.com.cn/finalpage/2026-03-26/1225030448.PDF</x:v>
      </x:c>
      <x:c r="M256" t="str">
        <x:v>575a833fd7b83ad3568483273645236eddb751a92ab89f7e1c09105d92cedb27</x:v>
      </x:c>
      <x:c r="N256" t="str">
        <x:v>164
二零二五年年报 | 财务报告
2025年度财务报表附注（续）
（除特别注明外，金额单位为人民币百万元）
十 、ﾠ 合并财务报表项目附注
1.ﾠ 货币资金
2025年12月31日 2024年12月31日
存款 134,662 81,600
结算备付金 8,657 4,919
合计 143,319 86,519
于2025年12月31日，本集团因特定用途资金等造成使用受限制的活期存款合计人民币912 百万元 （2024年12月31日：人民币
981百万元） 。
于2025年12月31日，本集团存放于</x:v>
      </x:c>
    </x:row>
    <x:row r="257">
      <x:c r="A257" t="str">
        <x:v>0a2b3d6a-6499-44d7-a206-f0098709d979</x:v>
      </x:c>
      <x:c r="B257" t="str">
        <x:v>601628</x:v>
      </x:c>
      <x:c r="C257" t="str">
        <x:v>中国人寿</x:v>
      </x:c>
      <x:c r="D257" t="str">
        <x:v>2025-12-31</x:v>
      </x:c>
      <x:c r="E257" t="str">
        <x:v>annual</x:v>
      </x:c>
      <x:c r="F257" t="str">
        <x:v>cash</x:v>
      </x:c>
      <x:c r="G257" t="n">
        <x:v>86519</x:v>
      </x:c>
      <x:c r="H257" t="str">
        <x:v>CNY</x:v>
      </x:c>
      <x:c r="I257" t="n">
        <x:v>146</x:v>
      </x:c>
      <x:c r="J257" t="str">
        <x:v>货币资金</x:v>
      </x:c>
      <x:c r="K257" t="str">
        <x:v>candidate_pending_automated_verification</x:v>
      </x:c>
      <x:c r="L257" t="str">
        <x:v>https://static.cninfo.com.cn/finalpage/2026-03-26/1225030448.PDF</x:v>
      </x:c>
      <x:c r="M257" t="str">
        <x:v>575a833fd7b83ad3568483273645236eddb751a92ab89f7e1c09105d92cedb27</x:v>
      </x:c>
      <x:c r="N257" t="str">
        <x:v> 预期信用损失计量（续）
前瞻性信息及管理层叠加（续）
下表对纳入预期信用损失评估范围的金融工具的信用风险敞口进行了列示： （续）
账面余额 2024年12月31日
第一阶段 第二阶段 第三阶段
最大信用 
风险敞口
货币资金 86,519 – – 86,519
买入返售金融资产 30,560 – – 30,560
定期存款 438,455 – – 438,455
债权投资 196,505 249 – 196,754
其他债权投资 3,457,022 1,873 – 3,458,895
存出资本保证金 6,591 – – 6,591
其他资产 13,554 – 51 13,605
总</x:v>
      </x:c>
    </x:row>
    <x:row r="258">
      <x:c r="A258" t="str">
        <x:v>9481865a-87c5-45c1-9d68-c544b0504a47</x:v>
      </x:c>
      <x:c r="B258" t="str">
        <x:v>601628</x:v>
      </x:c>
      <x:c r="C258" t="str">
        <x:v>中国人寿</x:v>
      </x:c>
      <x:c r="D258" t="str">
        <x:v>2025-12-31</x:v>
      </x:c>
      <x:c r="E258" t="str">
        <x:v>annual</x:v>
      </x:c>
      <x:c r="F258" t="str">
        <x:v>cash</x:v>
      </x:c>
      <x:c r="G258" t="n">
        <x:v>143319</x:v>
      </x:c>
      <x:c r="H258" t="str">
        <x:v>CNY</x:v>
      </x:c>
      <x:c r="I258" t="n">
        <x:v>145</x:v>
      </x:c>
      <x:c r="J258" t="str">
        <x:v>货币资金</x:v>
      </x:c>
      <x:c r="K258" t="str">
        <x:v>candidate_pending_automated_verification</x:v>
      </x:c>
      <x:c r="L258" t="str">
        <x:v>https://static.cninfo.com.cn/finalpage/2026-03-26/1225030448.PDF</x:v>
      </x:c>
      <x:c r="M258" t="str">
        <x:v>575a833fd7b83ad3568483273645236eddb751a92ab89f7e1c09105d92cedb27</x:v>
      </x:c>
      <x:c r="N258" t="str">
        <x:v> 。各情景权重中，乐观、悲
观情景权重相同，基准情景权重略高。
下表对纳入预期信用损失评估范围的金融工具的信用风险敞口进行了列示：
账面余额 2025年12月31日
第一阶段 第二阶段 第三阶段
最大信用 
风险敞口
货币资金 143,319 – – 143,319
买入返售金融资产 50,879 – – 50,879
定期存款 418,688 – – 418,688
债权投资 173,502 490 – 173,992
其他债权投资 3,922,187 3,855 – 3,926,042
存出资本保证金 6,620 – – 6,620
其他资产 15,318 – 305 15,623
    </x:v>
      </x:c>
    </x:row>
    <x:row r="259">
      <x:c r="A259" t="str">
        <x:v>ace7b352-2a2b-45b9-8a84-a1d046d68353</x:v>
      </x:c>
      <x:c r="B259" t="str">
        <x:v>601628</x:v>
      </x:c>
      <x:c r="C259" t="str">
        <x:v>中国人寿</x:v>
      </x:c>
      <x:c r="D259" t="str">
        <x:v>2025-12-31</x:v>
      </x:c>
      <x:c r="E259" t="str">
        <x:v>annual</x:v>
      </x:c>
      <x:c r="F259" t="str">
        <x:v>long_term_borrowings</x:v>
      </x:c>
      <x:c r="G259" t="n">
        <x:v>6960</x:v>
      </x:c>
      <x:c r="H259" t="str">
        <x:v>CNY</x:v>
      </x:c>
      <x:c r="I259" t="n">
        <x:v>142</x:v>
      </x:c>
      <x:c r="J259" t="str">
        <x:v>长期借款</x:v>
      </x:c>
      <x:c r="K259" t="str">
        <x:v>candidate_pending_automated_verification</x:v>
      </x:c>
      <x:c r="L259" t="str">
        <x:v>https://static.cninfo.com.cn/finalpage/2026-03-26/1225030448.PDF</x:v>
      </x:c>
      <x:c r="M259" t="str">
        <x:v>575a833fd7b83ad3568483273645236eddb751a92ab89f7e1c09105d92cedb27</x:v>
      </x:c>
      <x:c r="N259" t="str">
        <x:v>– – 3,223
货币资金 1,413 148 43 163 10 1,777
合计 37,761 74,673 854 2,438 1,496 117,222
金融负债
短期借款 – – 65 – – 65
长期借款 6,960 – 2,511 3,222 – 12,693
合计 6,960 – 2,576 3,222 – 12,758
       </x:v>
      </x:c>
    </x:row>
    <x:row r="260">
      <x:c r="A260" t="str">
        <x:v>34e2f09b-67df-4c85-acb4-3a84dce42548</x:v>
      </x:c>
      <x:c r="B260" t="str">
        <x:v>601628</x:v>
      </x:c>
      <x:c r="C260" t="str">
        <x:v>中国人寿</x:v>
      </x:c>
      <x:c r="D260" t="str">
        <x:v>2025-12-31</x:v>
      </x:c>
      <x:c r="E260" t="str">
        <x:v>annual</x:v>
      </x:c>
      <x:c r="F260" t="str">
        <x:v>cash</x:v>
      </x:c>
      <x:c r="G260" t="n">
        <x:v>1631</x:v>
      </x:c>
      <x:c r="H260" t="str">
        <x:v>CNY</x:v>
      </x:c>
      <x:c r="I260" t="n">
        <x:v>142</x:v>
      </x:c>
      <x:c r="J260" t="str">
        <x:v>货币资金</x:v>
      </x:c>
      <x:c r="K260" t="str">
        <x:v>candidate_pending_automated_verification</x:v>
      </x:c>
      <x:c r="L260" t="str">
        <x:v>https://static.cninfo.com.cn/finalpage/2026-03-26/1225030448.PDF</x:v>
      </x:c>
      <x:c r="M260" t="str">
        <x:v>575a833fd7b83ad3568483273645236eddb751a92ab89f7e1c09105d92cedb27</x:v>
      </x:c>
      <x:c r="N260" t="str">
        <x:v>,223 1,487 91,039
债权投资 251 – – – – 251
其他债权投资 227 – – – – 227
其他权益工具投资 – 77,877 – – – 77,877
定期存款 3,497 – 125 – – 3,622
货币资金 1,631 44 51 57 16 1,799
合计 38,615 128,682 2,735 3,280 1,503 174,815
折合人民币百万元 
2024年12月31 日 美元 港币 英镑 欧元 其他 合计
金融资产
交易性金融资产 32,731 38,187 811 2,275 1,486 75</x:v>
      </x:c>
    </x:row>
    <x:row r="261">
      <x:c r="A261" t="str">
        <x:v>c45fb66f-a816-4432-9ce2-1671be0df4b6</x:v>
      </x:c>
      <x:c r="B261" t="str">
        <x:v>601628</x:v>
      </x:c>
      <x:c r="C261" t="str">
        <x:v>中国人寿</x:v>
      </x:c>
      <x:c r="D261" t="str">
        <x:v>2025-12-31</x:v>
      </x:c>
      <x:c r="E261" t="str">
        <x:v>annual</x:v>
      </x:c>
      <x:c r="F261" t="str">
        <x:v>operating_cash_flow</x:v>
      </x:c>
      <x:c r="G261" t="n">
        <x:v>11</x:v>
      </x:c>
      <x:c r="H261" t="str">
        <x:v>CNY</x:v>
      </x:c>
      <x:c r="I261" t="n">
        <x:v>101</x:v>
      </x:c>
      <x:c r="J261" t="str">
        <x:v>经营活动产生的现金流量净额</x:v>
      </x:c>
      <x:c r="K261" t="str">
        <x:v>candidate_pending_automated_verification</x:v>
      </x:c>
      <x:c r="L261" t="str">
        <x:v>https://static.cninfo.com.cn/finalpage/2026-03-26/1225030448.PDF</x:v>
      </x:c>
      <x:c r="M261" t="str">
        <x:v>575a833fd7b83ad3568483273645236eddb751a92ab89f7e1c09105d92cedb27</x:v>
      </x:c>
      <x:c r="N261" t="str">
        <x:v>职工支付的现金 (23,230) (22,479)
支付的各项税费 (9,780) (4,156)
支付其他与经营活动有关的现金 (23,580) (21,166)
经营活动现金流出小计 (511,346) (441,529)
经营活动产生的现金流量净额 11(1) 458,532 375,091
二、投资活动产生的现金流量
收回投资收到的现金 2,391,913 2,098,612
取得投资收益和利息收入收到的现金 188,800 183,597
处置固定资产、无形资产和其他长期资产收回的现金净额 91 168
处置子公司及其他营业单位收到的现金净额 56,353 10,645
投资活动现金流入小计</x:v>
      </x:c>
    </x:row>
    <x:row r="262">
      <x:c r="A262" t="str">
        <x:v>4441a3cb-6d65-48af-9665-fae1dcb7730a</x:v>
      </x:c>
      <x:c r="B262" t="str">
        <x:v>601628</x:v>
      </x:c>
      <x:c r="C262" t="str">
        <x:v>中国人寿</x:v>
      </x:c>
      <x:c r="D262" t="str">
        <x:v>2025-12-31</x:v>
      </x:c>
      <x:c r="E262" t="str">
        <x:v>annual</x:v>
      </x:c>
      <x:c r="F262" t="str">
        <x:v>operating_cash_flow</x:v>
      </x:c>
      <x:c r="G262" t="n">
        <x:v>46</x:v>
      </x:c>
      <x:c r="H262" t="str">
        <x:v>CNY</x:v>
      </x:c>
      <x:c r="I262" t="n">
        <x:v>99</x:v>
      </x:c>
      <x:c r="J262" t="str">
        <x:v>经营活动产生的现金流量净额</x:v>
      </x:c>
      <x:c r="K262" t="str">
        <x:v>candidate_pending_automated_verification</x:v>
      </x:c>
      <x:c r="L262" t="str">
        <x:v>https://static.cninfo.com.cn/finalpage/2026-03-26/1225030448.PDF</x:v>
      </x:c>
      <x:c r="M262" t="str">
        <x:v>575a833fd7b83ad3568483273645236eddb751a92ab89f7e1c09105d92cedb27</x:v>
      </x:c>
      <x:c r="N262" t="str">
        <x:v> (25,026) (24,614)
支付的各项税费 (12,866) (6,521)
支付其他与经营活动有关的现金 45(2) (25,515) (21,732)
经营活动现金流出小计 (518,334) (446,736)
经营活动产生的现金流量净额 46(1) 459,925 378,795
二、投资活动产生的现金流量
收回投资收到的现金 2,556,213 2,223,395
取得投资收益和利息收入收到的现金 196,128 190,109
处置固定资产、无形资产和其他长期资产收回的现金净额 290 261
处置子公司及其他营业单位收到的现金净额 57,420 8,664
投资活动现金流入小计</x:v>
      </x:c>
    </x:row>
    <x:row r="263">
      <x:c r="A263" t="str">
        <x:v>26553455-ba24-4024-b02a-353dee81a7b9</x:v>
      </x:c>
      <x:c r="B263" t="str">
        <x:v>601628</x:v>
      </x:c>
      <x:c r="C263" t="str">
        <x:v>中国人寿</x:v>
      </x:c>
      <x:c r="D263" t="str">
        <x:v>2025-12-31</x:v>
      </x:c>
      <x:c r="E263" t="str">
        <x:v>annual</x:v>
      </x:c>
      <x:c r="F263" t="str">
        <x:v>bonds_payable</x:v>
      </x:c>
      <x:c r="G263" t="n">
        <x:v>35195</x:v>
      </x:c>
      <x:c r="H263" t="str">
        <x:v>CNY</x:v>
      </x:c>
      <x:c r="I263" t="n">
        <x:v>92</x:v>
      </x:c>
      <x:c r="J263" t="str">
        <x:v>应付债券</x:v>
      </x:c>
      <x:c r="K263" t="str">
        <x:v>candidate_pending_automated_verification</x:v>
      </x:c>
      <x:c r="L263" t="str">
        <x:v>https://static.cninfo.com.cn/finalpage/2026-03-26/1225030448.PDF</x:v>
      </x:c>
      <x:c r="M263" t="str">
        <x:v>575a833fd7b83ad3568483273645236eddb751a92ab89f7e1c09105d92cedb27</x:v>
      </x:c>
      <x:c r="N263" t="str">
        <x:v>益 附注十一 2025年12月31日 2024年12月31日
负债：
卖出回购金融资产款 311,657 134,463
预收保费 48,227 28,760
应付职工薪酬 12,082 9,212
应交税费 1,651 881
应付债券 35,195 35,194
保险合同负债 6,376,114 5,825,026
分出再保险合同负债 312 160
租赁负债 1,261 1,144
其他负债 25,385 26,953
负债合计 6,811,884 6,061,793
股东权益：
股本 28,265 28,265
资本公积 53,124 52,740
其他综合收益 10 (182,267</x:v>
      </x:c>
    </x:row>
    <x:row r="264">
      <x:c r="A264" t="str">
        <x:v>3ee1ff6a-2d9c-4ba5-bb59-9cb5591915da</x:v>
      </x:c>
      <x:c r="B264" t="str">
        <x:v>601628</x:v>
      </x:c>
      <x:c r="C264" t="str">
        <x:v>中国人寿</x:v>
      </x:c>
      <x:c r="D264" t="str">
        <x:v>2025-12-31</x:v>
      </x:c>
      <x:c r="E264" t="str">
        <x:v>annual</x:v>
      </x:c>
      <x:c r="F264" t="str">
        <x:v>cash</x:v>
      </x:c>
      <x:c r="G264" t="n">
        <x:v>143319</x:v>
      </x:c>
      <x:c r="H264" t="str">
        <x:v>CNY</x:v>
      </x:c>
      <x:c r="I264" t="n">
        <x:v>169</x:v>
      </x:c>
      <x:c r="J264" t="str">
        <x:v>货币资金</x:v>
      </x:c>
      <x:c r="K264" t="str">
        <x:v>candidate_pending_automated_verification</x:v>
      </x:c>
      <x:c r="L264" t="str">
        <x:v>https://static.cninfo.com.cn/finalpage/2026-03-26/1225030448.PDF</x:v>
      </x:c>
      <x:c r="M264" t="str">
        <x:v>575a833fd7b83ad3568483273645236eddb751a92ab89f7e1c09105d92cedb27</x:v>
      </x:c>
      <x:c r="N264" t="str">
        <x:v> 金融资产和负债的公允价值
本集团主要金融资产和负债账面价值和公允价值如下：
账面价值 公允价值
2025年 
12月31日
2024年 
12月31日
2025年 
12月31日
2024年 
12月31日
货币资金 143,319 86,519 143,319 86,519
买入返售金融资产 50,879 30,560 50,879 30,560
定期存款 418,688 438,455 418,688 438,455
交易性金融资产 2,067,288 1,908,098 2,067,288 1,908,098
债权投资 173,992 196,754 180,514 207,21</x:v>
      </x:c>
    </x:row>
    <x:row r="265">
      <x:c r="A265" t="str">
        <x:v>b4dd5c50-6c0a-4657-9798-d2f47bf34971</x:v>
      </x:c>
      <x:c r="B265" t="str">
        <x:v>300750</x:v>
      </x:c>
      <x:c r="C265" t="str">
        <x:v>宁德时代</x:v>
      </x:c>
      <x:c r="D265" t="str">
        <x:v>2021-03-31</x:v>
      </x:c>
      <x:c r="E265" t="str">
        <x:v>first_quarter</x:v>
      </x:c>
      <x:c r="F265" t="str">
        <x:v>short_term_borrowings</x:v>
      </x:c>
      <x:c r="G265" t="n">
        <x:v>6335080182.17</x:v>
      </x:c>
      <x:c r="H265" t="str">
        <x:v>CNY</x:v>
      </x:c>
      <x:c r="I265" t="n">
        <x:v>30</x:v>
      </x:c>
      <x:c r="J265" t="str">
        <x:v>短期借款</x:v>
      </x:c>
      <x:c r="K265" t="str">
        <x:v>candidate_pending_automated_verification</x:v>
      </x:c>
      <x:c r="L265" t="str">
        <x:v>https://static.cninfo.com.cn/finalpage/2021-04-30/1209867063.PDF</x:v>
      </x:c>
      <x:c r="M265" t="str">
        <x:v>a7daf502533b6cc3433c7a1965567cdf2c421c52cf6c79d04c7532ed4598872b</x:v>
      </x:c>
      <x:c r="N265" t="str">
        <x:v>1 年第一季度报告全文 
30 
非流动资产合计 43,753,437,618.91 43,753,437,618.91  
资产总计 156,618,426,940.59 156,618,426,940.59  
流动负债：    
  短期借款 6,335,080,182.17 6,335,080,182.17  
  应付票据 15,636,589,526.90 15,636,589,526.90  
  应付账款 15,634,844,308.52 15,634,844,308.52  
  合同负债 6,875,227,795.16 6,875,227,795.16  
  应付职工薪酬 2,657,564,914.42 2</x:v>
      </x:c>
    </x:row>
    <x:row r="266">
      <x:c r="A266" t="str">
        <x:v>49b7da2e-5921-427e-b684-f6fff5dd51d5</x:v>
      </x:c>
      <x:c r="B266" t="str">
        <x:v>300750</x:v>
      </x:c>
      <x:c r="C266" t="str">
        <x:v>宁德时代</x:v>
      </x:c>
      <x:c r="D266" t="str">
        <x:v>2021-03-31</x:v>
      </x:c>
      <x:c r="E266" t="str">
        <x:v>first_quarter</x:v>
      </x:c>
      <x:c r="F266" t="str">
        <x:v>cash</x:v>
      </x:c>
      <x:c r="G266" t="n">
        <x:v>68424116053.67</x:v>
      </x:c>
      <x:c r="H266" t="str">
        <x:v>CNY</x:v>
      </x:c>
      <x:c r="I266" t="n">
        <x:v>29</x:v>
      </x:c>
      <x:c r="J266" t="str">
        <x:v>货币资金</x:v>
      </x:c>
      <x:c r="K266" t="str">
        <x:v>candidate_pending_automated_verification</x:v>
      </x:c>
      <x:c r="L266" t="str">
        <x:v>https://static.cninfo.com.cn/finalpage/2021-04-30/1209867063.PDF</x:v>
      </x:c>
      <x:c r="M266" t="str">
        <x:v>a7daf502533b6cc3433c7a1965567cdf2c421c52cf6c79d04c7532ed4598872b</x:v>
      </x:c>
      <x:c r="N266" t="str">
        <x:v>年年初财务报表相关情况 
√ 适用 □ 不适用  
是否需要调整年初资产负债表科目 
√ 是 □ 否  
合并资产负债表 
单位：元 
项目 2020 年12 月 31 日 2021 年01 月 01 日 调整数 
流动资产：    
  货币资金 68,424,116,053.67 68,424,116,053.67  
  交易性金融资产 3,288,071,512.61 3,288,071,512.61  
  衍生金融资产 1,330,347,108.86 1,330,347,108.86  
  应收票据 9,877,156,349.23 9,877,156,349.23  
  应收账款 11,293,523,722.88 </x:v>
      </x:c>
    </x:row>
    <x:row r="267">
      <x:c r="A267" t="str">
        <x:v>005c6e89-82fc-4f20-a289-a13d28a26c86</x:v>
      </x:c>
      <x:c r="B267" t="str">
        <x:v>300750</x:v>
      </x:c>
      <x:c r="C267" t="str">
        <x:v>宁德时代</x:v>
      </x:c>
      <x:c r="D267" t="str">
        <x:v>2021-03-31</x:v>
      </x:c>
      <x:c r="E267" t="str">
        <x:v>first_quarter</x:v>
      </x:c>
      <x:c r="F267" t="str">
        <x:v>operating_cash_flow</x:v>
      </x:c>
      <x:c r="G267" t="n">
        <x:v>10966870551.55</x:v>
      </x:c>
      <x:c r="H267" t="str">
        <x:v>CNY</x:v>
      </x:c>
      <x:c r="I267" t="n">
        <x:v>26</x:v>
      </x:c>
      <x:c r="J267" t="str">
        <x:v>经营活动产生的现金流量净额</x:v>
      </x:c>
      <x:c r="K267" t="str">
        <x:v>candidate_pending_automated_verification</x:v>
      </x:c>
      <x:c r="L267" t="str">
        <x:v>https://static.cninfo.com.cn/finalpage/2021-04-30/1209867063.PDF</x:v>
      </x:c>
      <x:c r="M267" t="str">
        <x:v>a7daf502533b6cc3433c7a1965567cdf2c421c52cf6c79d04c7532ed4598872b</x:v>
      </x:c>
      <x:c r="N267" t="str">
        <x:v>,581.76 818,014,513.49 
  支付其他与经营活动有关的现金 345,828,625.23 837,797,285.07 
经营活动现金流出小计 10,438,354,430.12 10,755,644,351.37 
经营活动产生的现金流量净额 10,966,870,551.55 3,146,750,315.68 
二、投资活动产生的现金流量：   
  收回投资收到的现金   
  取得投资收益收到的现金 9,257,589.83  
  处置固定资产、无形资产和其他
长期资产收回的现金净额 
227,975.57  
  处置子公司及其他营业单位收到
的现金净额 
  收到其他与投资活动有关的现金 1,653,611,87</x:v>
      </x:c>
    </x:row>
    <x:row r="268">
      <x:c r="A268" t="str">
        <x:v>27824769-c2ce-4722-87a7-4b74ab7a78ce</x:v>
      </x:c>
      <x:c r="B268" t="str">
        <x:v>300750</x:v>
      </x:c>
      <x:c r="C268" t="str">
        <x:v>宁德时代</x:v>
      </x:c>
      <x:c r="D268" t="str">
        <x:v>2021-03-31</x:v>
      </x:c>
      <x:c r="E268" t="str">
        <x:v>first_quarter</x:v>
      </x:c>
      <x:c r="F268" t="str">
        <x:v>bonds_payable</x:v>
      </x:c>
      <x:c r="G268" t="n">
        <x:v>14339029833.92</x:v>
      </x:c>
      <x:c r="H268" t="str">
        <x:v>CNY</x:v>
      </x:c>
      <x:c r="I268" t="n">
        <x:v>17</x:v>
      </x:c>
      <x:c r="J268" t="str">
        <x:v>应付债券</x:v>
      </x:c>
      <x:c r="K268" t="str">
        <x:v>candidate_pending_automated_verification</x:v>
      </x:c>
      <x:c r="L268" t="str">
        <x:v>https://static.cninfo.com.cn/finalpage/2021-04-30/1209867063.PDF</x:v>
      </x:c>
      <x:c r="M268" t="str">
        <x:v>a7daf502533b6cc3433c7a1965567cdf2c421c52cf6c79d04c7532ed4598872b</x:v>
      </x:c>
      <x:c r="N268" t="str">
        <x:v>,999.58 
流动负债合计 66,877,122,610.85 54,977,189,803.22 
非流动负债：   
  保险合同准备金   
  长期借款 7,046,382,303.41 6,068,163,254.20 
  应付债券 14,339,029,833.92 14,382,255,950.87 
   其中：优先股   
      永续债   
  租赁负债 137,789,322.28  
  长期应付款 1,150,000,000.00 1,193,938,630.30 
  长期应付职工薪酬   
  预计负债 7,708,599,437.28 6,797,704,877.32 
  递延收益 4,67</x:v>
      </x:c>
    </x:row>
    <x:row r="269">
      <x:c r="A269" t="str">
        <x:v>1cca52c4-0751-43b7-aad5-89e066e4c789</x:v>
      </x:c>
      <x:c r="B269" t="str">
        <x:v>300750</x:v>
      </x:c>
      <x:c r="C269" t="str">
        <x:v>宁德时代</x:v>
      </x:c>
      <x:c r="D269" t="str">
        <x:v>2021-03-31</x:v>
      </x:c>
      <x:c r="E269" t="str">
        <x:v>first_quarter</x:v>
      </x:c>
      <x:c r="F269" t="str">
        <x:v>long_term_borrowings</x:v>
      </x:c>
      <x:c r="G269" t="n">
        <x:v>7046382303.41</x:v>
      </x:c>
      <x:c r="H269" t="str">
        <x:v>CNY</x:v>
      </x:c>
      <x:c r="I269" t="n">
        <x:v>17</x:v>
      </x:c>
      <x:c r="J269" t="str">
        <x:v>长期借款</x:v>
      </x:c>
      <x:c r="K269" t="str">
        <x:v>candidate_pending_automated_verification</x:v>
      </x:c>
      <x:c r="L269" t="str">
        <x:v>https://static.cninfo.com.cn/finalpage/2021-04-30/1209867063.PDF</x:v>
      </x:c>
      <x:c r="M269" t="str">
        <x:v>a7daf502533b6cc3433c7a1965567cdf2c421c52cf6c79d04c7532ed4598872b</x:v>
      </x:c>
      <x:c r="N269" t="str">
        <x:v>38,696.49 
  其他流动负债 904,377,178.92 760,008,999.58 
流动负债合计 66,877,122,610.85 54,977,189,803.22 
非流动负债：   
  保险合同准备金   
  长期借款 7,046,382,303.41 6,068,163,254.20 
  应付债券 14,339,029,833.92 14,382,255,950.87 
   其中：优先股   
      永续债   
  租赁负债 137,789,322.28  
  长期应付款 1,150,000,000.00 1,193,938,630.30 
  长期应付职工薪酬   
  预计负债 7,7</x:v>
      </x:c>
    </x:row>
    <x:row r="270">
      <x:c r="A270" t="str">
        <x:v>e61f2d1a-524e-4e03-9a10-cfad90847875</x:v>
      </x:c>
      <x:c r="B270" t="str">
        <x:v>300750</x:v>
      </x:c>
      <x:c r="C270" t="str">
        <x:v>宁德时代</x:v>
      </x:c>
      <x:c r="D270" t="str">
        <x:v>2021-03-31</x:v>
      </x:c>
      <x:c r="E270" t="str">
        <x:v>first_quarter</x:v>
      </x:c>
      <x:c r="F270" t="str">
        <x:v>current_portion_long_term_debt</x:v>
      </x:c>
      <x:c r="G270" t="n">
        <x:v>1473265562.64</x:v>
      </x:c>
      <x:c r="H270" t="str">
        <x:v>CNY</x:v>
      </x:c>
      <x:c r="I270" t="n">
        <x:v>17</x:v>
      </x:c>
      <x:c r="J270" t="str">
        <x:v>一年内到期的非流动负债</x:v>
      </x:c>
      <x:c r="K270" t="str">
        <x:v>candidate_pending_automated_verification</x:v>
      </x:c>
      <x:c r="L270" t="str">
        <x:v>https://static.cninfo.com.cn/finalpage/2021-04-30/1209867063.PDF</x:v>
      </x:c>
      <x:c r="M270" t="str">
        <x:v>a7daf502533b6cc3433c7a1965567cdf2c421c52cf6c79d04c7532ed4598872b</x:v>
      </x:c>
      <x:c r="N270" t="str">
        <x:v>62,168.27 4,407,776,289.55 
   其中：应付利息   
      应付股利 6,172,824.12 6,172,824.12 
  应付手续费及佣金   
  应付分保账款   
  持有待售负债   
  一年内到期的非流动负债 1,473,265,562.64 1,349,038,696.49 
  其他流动负债 904,377,178.92 760,008,999.58 
流动负债合计 66,877,122,610.85 54,977,189,803.22 
非流动负债：   
  保险合同准备金   
  长期借款 7,046,382,303.41 6,068,163,254.20 
  应付债券 14,33</x:v>
      </x:c>
    </x:row>
    <x:row r="271">
      <x:c r="A271" t="str">
        <x:v>1ffaf743-cbf8-4fce-97b4-a0bb4b99322a</x:v>
      </x:c>
      <x:c r="B271" t="str">
        <x:v>300750</x:v>
      </x:c>
      <x:c r="C271" t="str">
        <x:v>宁德时代</x:v>
      </x:c>
      <x:c r="D271" t="str">
        <x:v>2021-03-31</x:v>
      </x:c>
      <x:c r="E271" t="str">
        <x:v>first_quarter</x:v>
      </x:c>
      <x:c r="F271" t="str">
        <x:v>short_term_borrowings</x:v>
      </x:c>
      <x:c r="G271" t="n">
        <x:v>6213829887.31</x:v>
      </x:c>
      <x:c r="H271" t="str">
        <x:v>CNY</x:v>
      </x:c>
      <x:c r="I271" t="n">
        <x:v>16</x:v>
      </x:c>
      <x:c r="J271" t="str">
        <x:v>短期借款</x:v>
      </x:c>
      <x:c r="K271" t="str">
        <x:v>candidate_pending_automated_verification</x:v>
      </x:c>
      <x:c r="L271" t="str">
        <x:v>https://static.cninfo.com.cn/finalpage/2021-04-30/1209867063.PDF</x:v>
      </x:c>
      <x:c r="M271" t="str">
        <x:v>a7daf502533b6cc3433c7a1965567cdf2c421c52cf6c79d04c7532ed4598872b</x:v>
      </x:c>
      <x:c r="N271" t="str">
        <x:v>7 5,002,631,587.80 
非流动资产合计 52,706,588,084.12 43,753,437,618.91 
资产总计 173,328,904,927.36 156,618,426,940.59 
流动负债：   
  短期借款 6,213,829,887.31 6,335,080,182.17 
  向中央银行借款   
  拆入资金   
  交易性金融负债   
  衍生金融负债   
  应付票据 23,346,295,000.95 15,636,589,526.90 
  应付账款 17,844,739,699.91 15,634,844,308.52 
  预收款项   
  合同负债 8,125,49</x:v>
      </x:c>
    </x:row>
    <x:row r="272">
      <x:c r="A272" t="str">
        <x:v>28bb2020-41d2-4f5c-ae04-d25a9acdc304</x:v>
      </x:c>
      <x:c r="B272" t="str">
        <x:v>300750</x:v>
      </x:c>
      <x:c r="C272" t="str">
        <x:v>宁德时代</x:v>
      </x:c>
      <x:c r="D272" t="str">
        <x:v>2021-03-31</x:v>
      </x:c>
      <x:c r="E272" t="str">
        <x:v>first_quarter</x:v>
      </x:c>
      <x:c r="F272" t="str">
        <x:v>cash</x:v>
      </x:c>
      <x:c r="G272" t="n">
        <x:v>71677310067</x:v>
      </x:c>
      <x:c r="H272" t="str">
        <x:v>CNY</x:v>
      </x:c>
      <x:c r="I272" t="n">
        <x:v>15</x:v>
      </x:c>
      <x:c r="J272" t="str">
        <x:v>货币资金</x:v>
      </x:c>
      <x:c r="K272" t="str">
        <x:v>candidate_pending_automated_verification</x:v>
      </x:c>
      <x:c r="L272" t="str">
        <x:v>https://static.cninfo.com.cn/finalpage/2021-04-30/1209867063.PDF</x:v>
      </x:c>
      <x:c r="M272" t="str">
        <x:v>a7daf502533b6cc3433c7a1965567cdf2c421c52cf6c79d04c7532ed4598872b</x:v>
      </x:c>
      <x:c r="N272" t="str">
        <x:v>5 
第四节 财务报表 
一、财务报表 
1、合并资产负债表 
编制单位：宁德时代新能源科技股份有限公司 
2021 年3 月31 日 
单位：元 
项目 2021 年3 月31 日 2020 年12 月 31 日 
流动资产：   
  货币资金 71,677,310,067.00 68,424,116,053.67 
  结算备付金   
  拆出资金   
  交易性金融资产 1,774,375,580.91 3,288,071,512.61 
  衍生金融资产 727,619,072.06 1,330,347,108.86 
  应收票据 9,447,306,209.10 9,877,156,349.23 
  应收账款 12,</x:v>
      </x:c>
    </x:row>
    <x:row r="273">
      <x:c r="A273" t="str">
        <x:v>01bd74cf-0731-47e0-842b-01026f63f2db</x:v>
      </x:c>
      <x:c r="B273" t="str">
        <x:v>300750</x:v>
      </x:c>
      <x:c r="C273" t="str">
        <x:v>宁德时代</x:v>
      </x:c>
      <x:c r="D273" t="str">
        <x:v>2021-03-31</x:v>
      </x:c>
      <x:c r="E273" t="str">
        <x:v>first_quarter</x:v>
      </x:c>
      <x:c r="F273" t="str">
        <x:v>roe</x:v>
      </x:c>
      <x:c r="G273" t="n">
        <x:v>3.01</x:v>
      </x:c>
      <x:c r="H273" t="str">
        <x:v>percent</x:v>
      </x:c>
      <x:c r="I273" t="n">
        <x:v>3</x:v>
      </x:c>
      <x:c r="J273" t="str">
        <x:v>加权平均净资产收益率</x:v>
      </x:c>
      <x:c r="K273" t="str">
        <x:v>candidate_pending_automated_verification</x:v>
      </x:c>
      <x:c r="L273" t="str">
        <x:v>https://static.cninfo.com.cn/finalpage/2021-04-30/1209867063.PDF</x:v>
      </x:c>
      <x:c r="M273" t="str">
        <x:v>a7daf502533b6cc3433c7a1965567cdf2c421c52cf6c79d04c7532ed4598872b</x:v>
      </x:c>
      <x:c r="N273" t="str">
        <x:v>净额（元） 10,966,870,551.55 3,146,750,315.68 248.51% 
基本每股收益（元/股） 0.8463 0.3406 148.47% 
稀释每股收益（元/股） 0.8430 0.3396 148.23% 
加权平均净资产收益率 3.01% 1.93% 1.08% 
 本报告期末 上年度末 本报告期末比上年度末增减 
总资产（元） 173,328,904,927.36 156,618,426,940.59 10.67% 
归属于上市公司股东的净资产（元） 65,644,235,626.60 64,207,299,366.58 2.24% 
非经常性损益项目和金额 
√ 适用 □ 不适用  
</x:v>
      </x:c>
    </x:row>
    <x:row r="274">
      <x:c r="A274" t="str">
        <x:v>929cf7f8-91c2-4667-b5f8-967f55aeb346</x:v>
      </x:c>
      <x:c r="B274" t="str">
        <x:v>300750</x:v>
      </x:c>
      <x:c r="C274" t="str">
        <x:v>宁德时代</x:v>
      </x:c>
      <x:c r="D274" t="str">
        <x:v>2021-03-31</x:v>
      </x:c>
      <x:c r="E274" t="str">
        <x:v>first_quarter</x:v>
      </x:c>
      <x:c r="F274" t="str">
        <x:v>bonds_payable</x:v>
      </x:c>
      <x:c r="G274" t="n">
        <x:v>14382255950.87</x:v>
      </x:c>
      <x:c r="H274" t="str">
        <x:v>CNY</x:v>
      </x:c>
      <x:c r="I274" t="n">
        <x:v>30</x:v>
      </x:c>
      <x:c r="J274" t="str">
        <x:v>应付债券</x:v>
      </x:c>
      <x:c r="K274" t="str">
        <x:v>candidate_pending_automated_verification</x:v>
      </x:c>
      <x:c r="L274" t="str">
        <x:v>https://static.cninfo.com.cn/finalpage/2021-04-30/1209867063.PDF</x:v>
      </x:c>
      <x:c r="M274" t="str">
        <x:v>a7daf502533b6cc3433c7a1965567cdf2c421c52cf6c79d04c7532ed4598872b</x:v>
      </x:c>
      <x:c r="N274" t="str">
        <x:v>8 760,008,999.58  
流动负债合计 54,977,189,803.22 54,977,189,803.22  
非流动负债：    
  长期借款 6,068,163,254.20 6,068,163,254.20  
  应付债券 14,382,255,950.87 14,382,255,950.87  
  租赁负债  43,938,630.30 43,938,630.30 
  长期应付款 1,193,938,630.30 1,150,000,000.00 -43,938,630.30 
  预计负债 6,797,704,877.32 6,797,704,877.32  
  递延收益 3,918,939,197.</x:v>
      </x:c>
    </x:row>
    <x:row r="275">
      <x:c r="A275" t="str">
        <x:v>a58c0473-4ca2-4890-a7ce-17b3e751f3de</x:v>
      </x:c>
      <x:c r="B275" t="str">
        <x:v>300750</x:v>
      </x:c>
      <x:c r="C275" t="str">
        <x:v>宁德时代</x:v>
      </x:c>
      <x:c r="D275" t="str">
        <x:v>2021-03-31</x:v>
      </x:c>
      <x:c r="E275" t="str">
        <x:v>first_quarter</x:v>
      </x:c>
      <x:c r="F275" t="str">
        <x:v>long_term_borrowings</x:v>
      </x:c>
      <x:c r="G275" t="n">
        <x:v>6068163254.2</x:v>
      </x:c>
      <x:c r="H275" t="str">
        <x:v>CNY</x:v>
      </x:c>
      <x:c r="I275" t="n">
        <x:v>30</x:v>
      </x:c>
      <x:c r="J275" t="str">
        <x:v>长期借款</x:v>
      </x:c>
      <x:c r="K275" t="str">
        <x:v>candidate_pending_automated_verification</x:v>
      </x:c>
      <x:c r="L275" t="str">
        <x:v>https://static.cninfo.com.cn/finalpage/2021-04-30/1209867063.PDF</x:v>
      </x:c>
      <x:c r="M275" t="str">
        <x:v>a7daf502533b6cc3433c7a1965567cdf2c421c52cf6c79d04c7532ed4598872b</x:v>
      </x:c>
      <x:c r="N275" t="str">
        <x:v>9 1,349,038,696.49  
  其他流动负债 760,008,999.58 760,008,999.58  
流动负债合计 54,977,189,803.22 54,977,189,803.22  
非流动负债：    
  长期借款 6,068,163,254.20 6,068,163,254.20  
  应付债券 14,382,255,950.87 14,382,255,950.87  
  租赁负债  43,938,630.30 43,938,630.30 
  长期应付款 1,193,938,630.30 1,150,000,000.00 -43,938,630.30 
  预计负债 6,797,704,877</x:v>
      </x:c>
    </x:row>
    <x:row r="276">
      <x:c r="A276" t="str">
        <x:v>e801db78-5c39-4869-b661-8dc46c988f2d</x:v>
      </x:c>
      <x:c r="B276" t="str">
        <x:v>300750</x:v>
      </x:c>
      <x:c r="C276" t="str">
        <x:v>宁德时代</x:v>
      </x:c>
      <x:c r="D276" t="str">
        <x:v>2025-12-31</x:v>
      </x:c>
      <x:c r="E276" t="str">
        <x:v>annual</x:v>
      </x:c>
      <x:c r="F276" t="str">
        <x:v>bonds_payable</x:v>
      </x:c>
      <x:c r="G276" t="n">
        <x:v>9732</x:v>
      </x:c>
      <x:c r="H276" t="str">
        <x:v>CNY</x:v>
      </x:c>
      <x:c r="I276" t="n">
        <x:v>210</x:v>
      </x:c>
      <x:c r="J276" t="str">
        <x:v>应付债券</x:v>
      </x:c>
      <x:c r="K276" t="str">
        <x:v>candidate_pending_automated_verification</x:v>
      </x:c>
      <x:c r="L276" t="str">
        <x:v>https://static.cninfo.com.cn/finalpage/2026-03-10/1225002214.PDF</x:v>
      </x:c>
      <x:c r="M276" t="str">
        <x:v>c15272977147dee7e6935a38ea0e4fd6855370aabb106f54cfe20f7cf6048ec9</x:v>
      </x:c>
      <x:c r="N276" t="str">
        <x:v>应付款 10,504,098    10,504,098 
一年内到期的非流动负
债 22,237,540    22,237,540 
长期借款  15,076,474 46,515,161 16,643,300 78,234,935 
应付债券  9,732 3,433,702  3,443,434 
租赁负债  421,341 1,379,038 1,004,702 2,805,081 
长期应付款  18,080 1,554,541 66,988 1,639,608 
合计 309,676,322 15,525,627 52,882,441 17,714,990 395,799,379 
期初，本公司持有的</x:v>
      </x:c>
    </x:row>
    <x:row r="277">
      <x:c r="A277" t="str">
        <x:v>dae462ad-5fdf-4138-b40a-a3351b71eebb</x:v>
      </x:c>
      <x:c r="B277" t="str">
        <x:v>300750</x:v>
      </x:c>
      <x:c r="C277" t="str">
        <x:v>宁德时代</x:v>
      </x:c>
      <x:c r="D277" t="str">
        <x:v>2025-12-31</x:v>
      </x:c>
      <x:c r="E277" t="str">
        <x:v>annual</x:v>
      </x:c>
      <x:c r="F277" t="str">
        <x:v>short_term_borrowings</x:v>
      </x:c>
      <x:c r="G277" t="n">
        <x:v>12935498</x:v>
      </x:c>
      <x:c r="H277" t="str">
        <x:v>CNY</x:v>
      </x:c>
      <x:c r="I277" t="n">
        <x:v>210</x:v>
      </x:c>
      <x:c r="J277" t="str">
        <x:v>短期借款</x:v>
      </x:c>
      <x:c r="K277" t="str">
        <x:v>candidate_pending_automated_verification</x:v>
      </x:c>
      <x:c r="L277" t="str">
        <x:v>https://static.cninfo.com.cn/finalpage/2026-03-10/1225002214.PDF</x:v>
      </x:c>
      <x:c r="M277" t="str">
        <x:v>c15272977147dee7e6935a38ea0e4fd6855370aabb106f54cfe20f7cf6048ec9</x:v>
      </x:c>
      <x:c r="N277" t="str">
        <x:v> 亿元（2024 年12 月 31 日3,441 亿元） 。 
期末，本公司持有的金融负债按未折现剩余合同现金流量的到期期限分析如下： 
单位：千元 
项目 
2025 年12 月31 日 
一年以内 一至二年 二至五年 五年以上 合计 
短期借款 12,935,498    12,935,498 
衍生金融负债 393,224    393,224 
应付票据 103,276,999    103,276,999 
应付账款 160,328,962    160,328,962 
其他应付款 10,504,098    10,504,098 
一年内到期的非流动负
债 22,237,540    22,237,540 
</x:v>
      </x:c>
    </x:row>
    <x:row r="278">
      <x:c r="A278" t="str">
        <x:v>a1d4011c-fc1b-4e19-afa6-2fb6d1078cd7</x:v>
      </x:c>
      <x:c r="B278" t="str">
        <x:v>300750</x:v>
      </x:c>
      <x:c r="C278" t="str">
        <x:v>宁德时代</x:v>
      </x:c>
      <x:c r="D278" t="str">
        <x:v>2025-12-31</x:v>
      </x:c>
      <x:c r="E278" t="str">
        <x:v>annual</x:v>
      </x:c>
      <x:c r="F278" t="str">
        <x:v>bonds_payable</x:v>
      </x:c>
      <x:c r="G278" t="n">
        <x:v>19434396</x:v>
      </x:c>
      <x:c r="H278" t="str">
        <x:v>CNY</x:v>
      </x:c>
      <x:c r="I278" t="n">
        <x:v>200</x:v>
      </x:c>
      <x:c r="J278" t="str">
        <x:v>应付债券</x:v>
      </x:c>
      <x:c r="K278" t="str">
        <x:v>candidate_pending_automated_verification</x:v>
      </x:c>
      <x:c r="L278" t="str">
        <x:v>https://static.cninfo.com.cn/finalpage/2026-03-10/1225002214.PDF</x:v>
      </x:c>
      <x:c r="M278" t="str">
        <x:v>c15272977147dee7e6935a38ea0e4fd6855370aabb106f54cfe20f7cf6048ec9</x:v>
      </x:c>
      <x:c r="N278" t="str">
        <x:v>
项  目 期初余额 
现金变动 非现金变动 
期末余额 
现金流入 现金流出 计提的利息及其他 
短期借款及长
期借款 116,066,964 39,790,079 -41,860,250 -4,743,544 109,253,249 
应付债券 19,434,396  -12,521,710 151,229 7,063,915 
租赁负债 845,193  -226,549 2,665,390 3,284,033 
合计 136,346,553 39,790,079 -54,608,510 -1,926,925 119,601,197 
67、现金流量表补充资料 
（1）现金流量表补充资料 
单位：千元 
补充资料 本</x:v>
      </x:c>
    </x:row>
    <x:row r="279">
      <x:c r="A279" t="str">
        <x:v>83c9e64c-20b1-453c-bebc-20a5fef5c59f</x:v>
      </x:c>
      <x:c r="B279" t="str">
        <x:v>300750</x:v>
      </x:c>
      <x:c r="C279" t="str">
        <x:v>宁德时代</x:v>
      </x:c>
      <x:c r="D279" t="str">
        <x:v>2025-12-31</x:v>
      </x:c>
      <x:c r="E279" t="str">
        <x:v>annual</x:v>
      </x:c>
      <x:c r="F279" t="str">
        <x:v>bonds_payable</x:v>
      </x:c>
      <x:c r="G279" t="n">
        <x:v>7511773</x:v>
      </x:c>
      <x:c r="H279" t="str">
        <x:v>CNY</x:v>
      </x:c>
      <x:c r="I279" t="n">
        <x:v>191</x:v>
      </x:c>
      <x:c r="J279" t="str">
        <x:v>应付债券</x:v>
      </x:c>
      <x:c r="K279" t="str">
        <x:v>candidate_pending_automated_verification</x:v>
      </x:c>
      <x:c r="L279" t="str">
        <x:v>https://static.cninfo.com.cn/finalpage/2026-03-10/1225002214.PDF</x:v>
      </x:c>
      <x:c r="M279" t="str">
        <x:v>c15272977147dee7e6935a38ea0e4fd6855370aabb106f54cfe20f7cf6048ec9</x:v>
      </x:c>
      <x:c r="N279" t="str">
        <x:v> 亿美元境外债券 3,601,934  53,513 -73,945 53,564 3,527,938 否 
小计 19,434,396   375,213 -223,984 12,521,710 7,063,915   
减：一年内到期的应付债券 7,511,773     3,620,481  
合计 11,922,623   375,213 -223,984 12,521,710 3,443,434   
38、租赁负债 
单位：千元 
项目 期末余额 期初余额 
租赁付款额 4,028,984 938,904 
减：未确认融资费用 744,951 93,711 
减：一年内到期的租赁负债 478,952 182,</x:v>
      </x:c>
    </x:row>
    <x:row r="280">
      <x:c r="A280" t="str">
        <x:v>68ba4bd1-7efd-468b-bbcc-73c3a71fb32e</x:v>
      </x:c>
      <x:c r="B280" t="str">
        <x:v>300750</x:v>
      </x:c>
      <x:c r="C280" t="str">
        <x:v>宁德时代</x:v>
      </x:c>
      <x:c r="D280" t="str">
        <x:v>2025-12-31</x:v>
      </x:c>
      <x:c r="E280" t="str">
        <x:v>annual</x:v>
      </x:c>
      <x:c r="F280" t="str">
        <x:v>long_term_borrowings</x:v>
      </x:c>
      <x:c r="G280" t="n">
        <x:v>18082816</x:v>
      </x:c>
      <x:c r="H280" t="str">
        <x:v>CNY</x:v>
      </x:c>
      <x:c r="I280" t="n">
        <x:v>190</x:v>
      </x:c>
      <x:c r="J280" t="str">
        <x:v>长期借款</x:v>
      </x:c>
      <x:c r="K280" t="str">
        <x:v>candidate_pending_automated_verification</x:v>
      </x:c>
      <x:c r="L280" t="str">
        <x:v>https://static.cninfo.com.cn/finalpage/2026-03-10/1225002214.PDF</x:v>
      </x:c>
      <x:c r="M280" t="str">
        <x:v>c15272977147dee7e6935a38ea0e4fd6855370aabb106f54cfe20f7cf6048ec9</x:v>
      </x:c>
      <x:c r="N280" t="str">
        <x:v>押借款 4,025,971 6,011,659 
保证借款 39,903,286 36,444,429 
信用借款 38,944,244 42,572,318 
抵押及保证借款 12,963,075 10,840,360 
减：一年内到期的长期借款 18,082,816 15,132,226 
合计 78,234,935 81,238,456 
长期借款分类的说明： 
1）截至 2025 年 12 月31 日，上述借款的年利率为1.64%-4.55%（2024 年：1.74%-5.48%）； 
2）抵押的财产详见本报告“第八节 财务报告”之“七、合并财务报表项目注释”“25、所有权或使用权受到限制的资
产”。 
37、应付</x:v>
      </x:c>
    </x:row>
    <x:row r="281">
      <x:c r="A281" t="str">
        <x:v>72fbe4bf-f70f-4f9e-a6a1-3470e4c40715</x:v>
      </x:c>
      <x:c r="B281" t="str">
        <x:v>300750</x:v>
      </x:c>
      <x:c r="C281" t="str">
        <x:v>宁德时代</x:v>
      </x:c>
      <x:c r="D281" t="str">
        <x:v>2025-12-31</x:v>
      </x:c>
      <x:c r="E281" t="str">
        <x:v>annual</x:v>
      </x:c>
      <x:c r="F281" t="str">
        <x:v>bonds_payable</x:v>
      </x:c>
      <x:c r="G281" t="n">
        <x:v>3620481</x:v>
      </x:c>
      <x:c r="H281" t="str">
        <x:v>CNY</x:v>
      </x:c>
      <x:c r="I281" t="n">
        <x:v>189</x:v>
      </x:c>
      <x:c r="J281" t="str">
        <x:v>应付债券</x:v>
      </x:c>
      <x:c r="K281" t="str">
        <x:v>candidate_pending_automated_verification</x:v>
      </x:c>
      <x:c r="L281" t="str">
        <x:v>https://static.cninfo.com.cn/finalpage/2026-03-10/1225002214.PDF</x:v>
      </x:c>
      <x:c r="M281" t="str">
        <x:v>c15272977147dee7e6935a38ea0e4fd6855370aabb106f54cfe20f7cf6048ec9</x:v>
      </x:c>
      <x:c r="N281" t="str">
        <x:v> 742,748 423,046 
合计 11,775,019 9,436,442 
34、一年内到期的非流动负债 
单位：千元 
项目 期末余额 期初余额 
一年内到期的长期借款 18,082,816 15,132,226 
一年内到期的应付债券 3,620,481 7,511,773 
一年内到期的长期应付款 55,291 55,039 
一年内到期的租赁负债 478,952 182,379 
合计 22,237,540 22,881,417 
（1）一年内到期的长期借款 
单位：千元 
项目 期末余额 期初余额 
质押借款 45,484 44,259 
抵押借款 801,713 958,614 
抵押及保证借款 1</x:v>
      </x:c>
    </x:row>
    <x:row r="282">
      <x:c r="A282" t="str">
        <x:v>33e44f16-84aa-42e0-af3b-94f132625206</x:v>
      </x:c>
      <x:c r="B282" t="str">
        <x:v>300750</x:v>
      </x:c>
      <x:c r="C282" t="str">
        <x:v>宁德时代</x:v>
      </x:c>
      <x:c r="D282" t="str">
        <x:v>2025-12-31</x:v>
      </x:c>
      <x:c r="E282" t="str">
        <x:v>annual</x:v>
      </x:c>
      <x:c r="F282" t="str">
        <x:v>long_term_borrowings</x:v>
      </x:c>
      <x:c r="G282" t="n">
        <x:v>18082816</x:v>
      </x:c>
      <x:c r="H282" t="str">
        <x:v>CNY</x:v>
      </x:c>
      <x:c r="I282" t="n">
        <x:v>189</x:v>
      </x:c>
      <x:c r="J282" t="str">
        <x:v>长期借款</x:v>
      </x:c>
      <x:c r="K282" t="str">
        <x:v>candidate_pending_automated_verification</x:v>
      </x:c>
      <x:c r="L282" t="str">
        <x:v>https://static.cninfo.com.cn/finalpage/2026-03-10/1225002214.PDF</x:v>
      </x:c>
      <x:c r="M282" t="str">
        <x:v>c15272977147dee7e6935a38ea0e4fd6855370aabb106f54cfe20f7cf6048ec9</x:v>
      </x:c>
      <x:c r="N282" t="str">
        <x:v>6 
企业所得税 9,866,556 8,047,240 
其他税费 742,748 423,046 
合计 11,775,019 9,436,442 
34、一年内到期的非流动负债 
单位：千元 
项目 期末余额 期初余额 
一年内到期的长期借款 18,082,816 15,132,226 
一年内到期的应付债券 3,620,481 7,511,773 
一年内到期的长期应付款 55,291 55,039 
一年内到期的租赁负债 478,952 182,379 
合计 22,237,540 22,881,417 
（1）一年内到期的长期借款 
单位：千元 
项目 期末余额 期初余额 
质押借款 45,484 44,259</x:v>
      </x:c>
    </x:row>
    <x:row r="283">
      <x:c r="A283" t="str">
        <x:v>76be7315-fd7b-413a-af90-f65a785c42df</x:v>
      </x:c>
      <x:c r="B283" t="str">
        <x:v>300750</x:v>
      </x:c>
      <x:c r="C283" t="str">
        <x:v>宁德时代</x:v>
      </x:c>
      <x:c r="D283" t="str">
        <x:v>2025-12-31</x:v>
      </x:c>
      <x:c r="E283" t="str">
        <x:v>annual</x:v>
      </x:c>
      <x:c r="F283" t="str">
        <x:v>operating_cash_flow</x:v>
      </x:c>
      <x:c r="G283" t="n">
        <x:v>133219982</x:v>
      </x:c>
      <x:c r="H283" t="str">
        <x:v>CNY</x:v>
      </x:c>
      <x:c r="I283" t="n">
        <x:v>120</x:v>
      </x:c>
      <x:c r="J283" t="str">
        <x:v>经营活动产生的现金流量净额</x:v>
      </x:c>
      <x:c r="K283" t="str">
        <x:v>candidate_pending_automated_verification</x:v>
      </x:c>
      <x:c r="L283" t="str">
        <x:v>https://static.cninfo.com.cn/finalpage/2026-03-10/1225002214.PDF</x:v>
      </x:c>
      <x:c r="M283" t="str">
        <x:v>c15272977147dee7e6935a38ea0e4fd6855370aabb106f54cfe20f7cf6048ec9</x:v>
      </x:c>
      <x:c r="N283" t="str">
        <x:v>3  
支付的各项税费  34,458,707   28,529,188  
支付其他与经营活动有关的现金  11,018,649   8,404,599  
经营活动现金流出小计  378,648,372   347,889,072  
经营活动产生的现金流量净额  133,219,982   96,990,345  
二、投资活动产生的现金流量：   
收回投资收到的现金  5,685,583   2,028,899  
取得投资收益收到的现金  2,280,470   1,838,083  
处置固定资产、无形资产和其他长
期资产收回的现金净额  211,949   75,110  
处置子公司及其他营业单位收到的
现金净额  27,41</x:v>
      </x:c>
    </x:row>
    <x:row r="284">
      <x:c r="A284" t="str">
        <x:v>3265a882-e9ae-48db-a2d3-12da1bc17604</x:v>
      </x:c>
      <x:c r="B284" t="str">
        <x:v>300750</x:v>
      </x:c>
      <x:c r="C284" t="str">
        <x:v>宁德时代</x:v>
      </x:c>
      <x:c r="D284" t="str">
        <x:v>2025-12-31</x:v>
      </x:c>
      <x:c r="E284" t="str">
        <x:v>annual</x:v>
      </x:c>
      <x:c r="F284" t="str">
        <x:v>current_portion_long_term_debt</x:v>
      </x:c>
      <x:c r="G284" t="n">
        <x:v>22237540</x:v>
      </x:c>
      <x:c r="H284" t="str">
        <x:v>CNY</x:v>
      </x:c>
      <x:c r="I284" t="n">
        <x:v>112</x:v>
      </x:c>
      <x:c r="J284" t="str">
        <x:v>一年内到期的非流动负债</x:v>
      </x:c>
      <x:c r="K284" t="str">
        <x:v>candidate_pending_automated_verification</x:v>
      </x:c>
      <x:c r="L284" t="str">
        <x:v>https://static.cninfo.com.cn/finalpage/2026-03-10/1225002214.PDF</x:v>
      </x:c>
      <x:c r="M284" t="str">
        <x:v>c15272977147dee7e6935a38ea0e4fd6855370aabb106f54cfe20f7cf6048ec9</x:v>
      </x:c>
      <x:c r="N284" t="str">
        <x:v>11,775,019   9,436,442  
其他应付款  10,504,098   16,161,923  
其中：应付利息   
应付股利   5,400,161  
应付手续费及佣金   
应付分保账款   
持有待售负债   
一年内到期的非流动负债  22,237,540   22,881,417  </x:v>
      </x:c>
    </x:row>
    <x:row r="285">
      <x:c r="A285" t="str">
        <x:v>65895ec0-88a0-40d6-a39c-0d4614c7d500</x:v>
      </x:c>
      <x:c r="B285" t="str">
        <x:v>300750</x:v>
      </x:c>
      <x:c r="C285" t="str">
        <x:v>宁德时代</x:v>
      </x:c>
      <x:c r="D285" t="str">
        <x:v>2025-12-31</x:v>
      </x:c>
      <x:c r="E285" t="str">
        <x:v>annual</x:v>
      </x:c>
      <x:c r="F285" t="str">
        <x:v>short_term_borrowings</x:v>
      </x:c>
      <x:c r="G285" t="n">
        <x:v>12935498</x:v>
      </x:c>
      <x:c r="H285" t="str">
        <x:v>CNY</x:v>
      </x:c>
      <x:c r="I285" t="n">
        <x:v>112</x:v>
      </x:c>
      <x:c r="J285" t="str">
        <x:v>短期借款</x:v>
      </x:c>
      <x:c r="K285" t="str">
        <x:v>candidate_pending_automated_verification</x:v>
      </x:c>
      <x:c r="L285" t="str">
        <x:v>https://static.cninfo.com.cn/finalpage/2026-03-10/1225002214.PDF</x:v>
      </x:c>
      <x:c r="M285" t="str">
        <x:v>c15272977147dee7e6935a38ea0e4fd6855370aabb106f54cfe20f7cf6048ec9</x:v>
      </x:c>
      <x:c r="N285" t="str">
        <x:v>,834  
其他非流动资产  23,261,595   19,275,483  
非流动资产合计 336,346,001   276,516,035  
资产总计 974,827,544   786,658,123  
流动负债：   
短期借款  12,935,498   19,696,282  
向中央银行借款   
拆入资金   
交易性金融负债   
衍生金融负债  393,224   2,116,017  
应付票据  103,276,999   67,356,323  
应付账款  160,328,962   130,977,408  
预收款项   
合同负债  49,233,377   27,834,446</x:v>
      </x:c>
    </x:row>
    <x:row r="286">
      <x:c r="A286" t="str">
        <x:v>e1c69994-f4a5-41f7-92f4-43fcbac7f7a2</x:v>
      </x:c>
      <x:c r="B286" t="str">
        <x:v>300750</x:v>
      </x:c>
      <x:c r="C286" t="str">
        <x:v>宁德时代</x:v>
      </x:c>
      <x:c r="D286" t="str">
        <x:v>2025-12-31</x:v>
      </x:c>
      <x:c r="E286" t="str">
        <x:v>annual</x:v>
      </x:c>
      <x:c r="F286" t="str">
        <x:v>cash</x:v>
      </x:c>
      <x:c r="G286" t="n">
        <x:v>333512927</x:v>
      </x:c>
      <x:c r="H286" t="str">
        <x:v>CNY</x:v>
      </x:c>
      <x:c r="I286" t="n">
        <x:v>111</x:v>
      </x:c>
      <x:c r="J286" t="str">
        <x:v>货币资金</x:v>
      </x:c>
      <x:c r="K286" t="str">
        <x:v>candidate_pending_automated_verification</x:v>
      </x:c>
      <x:c r="L286" t="str">
        <x:v>https://static.cninfo.com.cn/finalpage/2026-03-10/1225002214.PDF</x:v>
      </x:c>
      <x:c r="M286" t="str">
        <x:v>c15272977147dee7e6935a38ea0e4fd6855370aabb106f54cfe20f7cf6048ec9</x:v>
      </x:c>
      <x:c r="N286" t="str">
        <x:v>25 年年度报告全文 
111 
二、财务报表 
财务附注中报表的单位为：千元 
1、合并资产负债表 
编制单位：宁德时代新能源科技股份有限公司 
2025 年12 月31 日 
单位：千元 
项目 期末余额 期初余额 
流动资产：   
货币资金  333,512,927   303,511,993  
结算备付金   
拆出资金   
交易性金融资产  58,993,528   14,282,253  
衍生金融资产  1,133,502   
应收票据  1,380,016   130,403  
应收账款  76,403,264   64,135,510  
应收款项融资  43,205,292   53,309,70</x:v>
      </x:c>
    </x:row>
    <x:row r="287">
      <x:c r="A287" t="str">
        <x:v>86cae6cd-4db4-445c-85e7-6883c137c947</x:v>
      </x:c>
      <x:c r="B287" t="str">
        <x:v>300750</x:v>
      </x:c>
      <x:c r="C287" t="str">
        <x:v>宁德时代</x:v>
      </x:c>
      <x:c r="D287" t="str">
        <x:v>2025-12-31</x:v>
      </x:c>
      <x:c r="E287" t="str">
        <x:v>annual</x:v>
      </x:c>
      <x:c r="F287" t="str">
        <x:v>revenue</x:v>
      </x:c>
      <x:c r="G287" t="n">
        <x:v>423701834</x:v>
      </x:c>
      <x:c r="H287" t="str">
        <x:v>reported_amount</x:v>
      </x:c>
      <x:c r="I287" t="n">
        <x:v>11</x:v>
      </x:c>
      <x:c r="J287" t="str">
        <x:v>营业收入</x:v>
      </x:c>
      <x:c r="K287" t="str">
        <x:v>candidate_pending_automated_verification</x:v>
      </x:c>
      <x:c r="L287" t="str">
        <x:v>https://static.cninfo.com.cn/finalpage/2026-03-10/1225002214.PDF</x:v>
      </x:c>
      <x:c r="M287" t="str">
        <x:v>c15272977147dee7e6935a38ea0e4fd6855370aabb106f54cfe20f7cf6048ec9</x:v>
      </x:c>
      <x:c r="N287" t="str">
        <x:v>、公司聘请的报告期内履行持续督导职责的财务顾问 
□适用 不适用 
五、主要会计数据和财务指标 
公司是否需追溯调整或重述以前年度会计数据 
□是  否 
单位：千元 
项目 2025 年 2024 年 本年比上年增减 2023 年 
营业收入          423,701,834           362,012,554  17.04% 400,917,045  
归属于上市公司股东
的净利润 72,201,282  50,744,682  42.28% 44,121,248  
归属于上市公司股东
的扣除非经常性损益
的净利润 
64,507,864  44,992,919  43.37% 40,091,674  
经营活动产生</x:v>
      </x:c>
    </x:row>
    <x:row r="288">
      <x:c r="A288" t="str">
        <x:v>4a405a95-3b27-4cf2-8970-9630bf838f34</x:v>
      </x:c>
      <x:c r="B288" t="str">
        <x:v>300750</x:v>
      </x:c>
      <x:c r="C288" t="str">
        <x:v>宁德时代</x:v>
      </x:c>
      <x:c r="D288" t="str">
        <x:v>2025-12-31</x:v>
      </x:c>
      <x:c r="E288" t="str">
        <x:v>annual</x:v>
      </x:c>
      <x:c r="F288" t="str">
        <x:v>long_term_borrowings</x:v>
      </x:c>
      <x:c r="G288" t="n">
        <x:v>15076474</x:v>
      </x:c>
      <x:c r="H288" t="str">
        <x:v>CNY</x:v>
      </x:c>
      <x:c r="I288" t="n">
        <x:v>210</x:v>
      </x:c>
      <x:c r="J288" t="str">
        <x:v>长期借款</x:v>
      </x:c>
      <x:c r="K288" t="str">
        <x:v>candidate_pending_automated_verification</x:v>
      </x:c>
      <x:c r="L288" t="str">
        <x:v>https://static.cninfo.com.cn/finalpage/2026-03-10/1225002214.PDF</x:v>
      </x:c>
      <x:c r="M288" t="str">
        <x:v>c15272977147dee7e6935a38ea0e4fd6855370aabb106f54cfe20f7cf6048ec9</x:v>
      </x:c>
      <x:c r="N288" t="str">
        <x:v>   103,276,999 
应付账款 160,328,962    160,328,962 
其他应付款 10,504,098    10,504,098 
一年内到期的非流动负
债 22,237,540    22,237,540 
长期借款  15,076,474 46,515,161 16,643,300 78,234,935 
应付债券  9,732 3,433,702  3,443,434 
租赁负债  421,341 1,379,038 1,004,702 2,805,081 
长期应付款  18,080 1,554,541 66,988 1,639,608 
合计 309,676,322 15,525,62</x:v>
      </x:c>
    </x:row>
    <x:row r="289">
      <x:c r="A289" t="str">
        <x:v>99296bec-cca2-4523-8ecd-b757f2cdf3cd</x:v>
      </x:c>
      <x:c r="B289" t="str">
        <x:v>300750</x:v>
      </x:c>
      <x:c r="C289" t="str">
        <x:v>宁德时代</x:v>
      </x:c>
      <x:c r="D289" t="str">
        <x:v>2025-12-31</x:v>
      </x:c>
      <x:c r="E289" t="str">
        <x:v>annual</x:v>
      </x:c>
      <x:c r="F289" t="str">
        <x:v>cash</x:v>
      </x:c>
      <x:c r="G289" t="n">
        <x:v>18890217</x:v>
      </x:c>
      <x:c r="H289" t="str">
        <x:v>CNY</x:v>
      </x:c>
      <x:c r="I289" t="n">
        <x:v>185</x:v>
      </x:c>
      <x:c r="J289" t="str">
        <x:v>货币资金</x:v>
      </x:c>
      <x:c r="K289" t="str">
        <x:v>candidate_pending_automated_verification</x:v>
      </x:c>
      <x:c r="L289" t="str">
        <x:v>https://static.cninfo.com.cn/finalpage/2026-03-10/1225002214.PDF</x:v>
      </x:c>
      <x:c r="M289" t="str">
        <x:v>c15272977147dee7e6935a38ea0e4fd6855370aabb106f54cfe20f7cf6048ec9</x:v>
      </x:c>
      <x:c r="N289" t="str">
        <x:v> 23,261,595 19,275,483  19,275,483 
25、所有权或使用权受到限制的资产 
单位：千元 
项目 
期末 期初 
账面余额 账面价值 
受
限
类
型 
受限情况 账面余额 账面价值 受限
类型 受限情况 
货币资金 18,890,217 18,890,217 质
押 
保证金及质押定期
存款 23,339,555 23,339,555 质押 保证金及质押定
期存款 
应收票据 1,275,896 1,275,896 质
押 
已质押但尚未到期
的应收票据 130,403 130,403 质押 已质押但尚未到
期的应收票据 
固定资产 7,245,087 5,286,315 抵
押 
以机器</x:v>
      </x:c>
    </x:row>
    <x:row r="290">
      <x:c r="A290" t="str">
        <x:v>f0ddb78f-bf9a-4b8b-9997-9a8354b9854f</x:v>
      </x:c>
      <x:c r="B290" t="str">
        <x:v>300750</x:v>
      </x:c>
      <x:c r="C290" t="str">
        <x:v>宁德时代</x:v>
      </x:c>
      <x:c r="D290" t="str">
        <x:v>2025-12-31</x:v>
      </x:c>
      <x:c r="E290" t="str">
        <x:v>annual</x:v>
      </x:c>
      <x:c r="F290" t="str">
        <x:v>cash</x:v>
      </x:c>
      <x:c r="G290" t="n">
        <x:v>27519824</x:v>
      </x:c>
      <x:c r="H290" t="str">
        <x:v>CNY</x:v>
      </x:c>
      <x:c r="I290" t="n">
        <x:v>164</x:v>
      </x:c>
      <x:c r="J290" t="str">
        <x:v>货币资金</x:v>
      </x:c>
      <x:c r="K290" t="str">
        <x:v>candidate_pending_automated_verification</x:v>
      </x:c>
      <x:c r="L290" t="str">
        <x:v>https://static.cninfo.com.cn/finalpage/2026-03-10/1225002214.PDF</x:v>
      </x:c>
      <x:c r="M290" t="str">
        <x:v>c15272977147dee7e6935a38ea0e4fd6855370aabb106f54cfe20f7cf6048ec9</x:v>
      </x:c>
      <x:c r="N290" t="str">
        <x:v>的子公司属于免征消费税的项目，享受免征消费税的优惠政
策。 
七、合并财务报表项目注释 
1、货币资金 
单位：千元 
项目 期末余额 期初余额 
库存现金 435 373 
银行存款 305,992,667 274,816,769 
其他货币资金 27,519,824 28,694,852 
合计 333,512,927 303,511,993 
其中：存放在境外的款项总额 87,741,244 35,198,866 
其他说明：期末除保证金 18,428,631 千元、质押的定期存款461,587 千元外，不存在因抵押、质押或冻结等对使用有限制
的款项，以及存放在境外且资金汇回受到限制的款项。 
2、交易性金融资产 
</x:v>
      </x:c>
    </x:row>
    <x:row r="291">
      <x:c r="A291" t="str">
        <x:v>9fba75c8-e5aa-4121-a512-4cf2334736dc</x:v>
      </x:c>
      <x:c r="B291" t="str">
        <x:v>601658</x:v>
      </x:c>
      <x:c r="C291" t="str">
        <x:v>邮储银行</x:v>
      </x:c>
      <x:c r="D291" t="str">
        <x:v>2025-12-31</x:v>
      </x:c>
      <x:c r="E291" t="str">
        <x:v>annual</x:v>
      </x:c>
      <x:c r="F291" t="str">
        <x:v>bonds_payable</x:v>
      </x:c>
      <x:c r="G291" t="n">
        <x:v>251284</x:v>
      </x:c>
      <x:c r="H291" t="str">
        <x:v>CNY</x:v>
      </x:c>
      <x:c r="I291" t="n">
        <x:v>363</x:v>
      </x:c>
      <x:c r="J291" t="str">
        <x:v>应付债券</x:v>
      </x:c>
      <x:c r="K291" t="str">
        <x:v>candidate_pending_automated_verification</x:v>
      </x:c>
      <x:c r="L291" t="str">
        <x:v>https://static.cninfo.com.cn/finalpage/2026-03-28/1225046860.PDF</x:v>
      </x:c>
      <x:c r="M291" t="str">
        <x:v>6d6acf8f449c493ffea0e04d330da5012776ce88bfc86c173d9e2f1e66136aec</x:v>
      </x:c>
      <x:c r="N291" t="str">
        <x:v>，这些公允价值未在资产负债表中列报。
2025年12月31日
合并 账面价值 公允价值 第一层级 第二层级 第三层级
金融资产
	 债权投资 4,688,443 4,816,039 – 4,690,467 125,572
金融负债
	 应付债券 251,284 256,245 – 256,245 –
2024年12月31日
合并 账面价值 公允价值 第一层级 第二层级 第三层级
金融资产
	 债权投资 4,306,513 4,535,087 – 4,207,342 327,745
金融负债
	 应付债券 241,980 250,365 – 250,365 –
除上述金融资产和负债外，在资产负债表中非以公允价值</x:v>
      </x:c>
    </x:row>
    <x:row r="292">
      <x:c r="A292" t="str">
        <x:v>18ce673d-c1a1-4f53-9a23-44bdc07695b9</x:v>
      </x:c>
      <x:c r="B292" t="str">
        <x:v>601658</x:v>
      </x:c>
      <x:c r="C292" t="str">
        <x:v>邮储银行</x:v>
      </x:c>
      <x:c r="D292" t="str">
        <x:v>2025-12-31</x:v>
      </x:c>
      <x:c r="E292" t="str">
        <x:v>annual</x:v>
      </x:c>
      <x:c r="F292" t="str">
        <x:v>bonds_payable</x:v>
      </x:c>
      <x:c r="G292" t="n">
        <x:v>241980</x:v>
      </x:c>
      <x:c r="H292" t="str">
        <x:v>CNY</x:v>
      </x:c>
      <x:c r="I292" t="n">
        <x:v>352</x:v>
      </x:c>
      <x:c r="J292" t="str">
        <x:v>应付债券</x:v>
      </x:c>
      <x:c r="K292" t="str">
        <x:v>candidate_pending_automated_verification</x:v>
      </x:c>
      <x:c r="L292" t="str">
        <x:v>https://static.cninfo.com.cn/finalpage/2026-03-28/1225046860.PDF</x:v>
      </x:c>
      <x:c r="M292" t="str">
        <x:v>6d6acf8f449c493ffea0e04d330da5012776ce88bfc86c173d9e2f1e66136aec</x:v>
      </x:c>
      <x:c r="N292" t="str">
        <x:v>288 3,011 – 47,299
衍生金融负债 3,480 3,713 6 7,199
卖出回购金融资产款 187,395 – 7,129 194,524
吸收存款 15,249,859 33,540 4,142 15,287,541
应付债券 241,980 – – 241,980
其他金融负债 68,144 438 47 68,629
金融负债总额 15,956,883 40,702 11,324 16,008,909
资产负债表内敞口净额 858,555 34,738 (6,986) 886,307
衍生金融工具的净名义金额 2,926 (2,908) (161) (143)
信贷承诺 933,624 18</x:v>
      </x:c>
    </x:row>
    <x:row r="293">
      <x:c r="A293" t="str">
        <x:v>668f55e1-b2b3-44ad-a355-0d85d5e755ab</x:v>
      </x:c>
      <x:c r="B293" t="str">
        <x:v>601658</x:v>
      </x:c>
      <x:c r="C293" t="str">
        <x:v>邮储银行</x:v>
      </x:c>
      <x:c r="D293" t="str">
        <x:v>2025-12-31</x:v>
      </x:c>
      <x:c r="E293" t="str">
        <x:v>annual</x:v>
      </x:c>
      <x:c r="F293" t="str">
        <x:v>bonds_payable</x:v>
      </x:c>
      <x:c r="G293" t="n">
        <x:v>249897</x:v>
      </x:c>
      <x:c r="H293" t="str">
        <x:v>CNY</x:v>
      </x:c>
      <x:c r="I293" t="n">
        <x:v>351</x:v>
      </x:c>
      <x:c r="J293" t="str">
        <x:v>应付债券</x:v>
      </x:c>
      <x:c r="K293" t="str">
        <x:v>candidate_pending_automated_verification</x:v>
      </x:c>
      <x:c r="L293" t="str">
        <x:v>https://static.cninfo.com.cn/finalpage/2026-03-28/1225046860.PDF</x:v>
      </x:c>
      <x:c r="M293" t="str">
        <x:v>6d6acf8f449c493ffea0e04d330da5012776ce88bfc86c173d9e2f1e66136aec</x:v>
      </x:c>
      <x:c r="N293" t="str">
        <x:v> 4,938 – 56,135
衍生金融负债 2,031 1,796 844 4,671
卖出回购金融资产款 243,178 12,222 – 255,400
吸收存款 16,519,021 18,858 3,837 16,541,716
应付债券 249,897 1,387 – 251,284
其他金融负债 147,523 342 (7) 147,858
金融负债总额 17,429,302 39,543 4,674 17,473,519
资产负债表内敞口净额 970,218 28,206 3,953 1,002,377
衍生金融工具的净名义金额 10,771 (820) (10,849) (898)
信贷承诺 1,</x:v>
      </x:c>
    </x:row>
    <x:row r="294">
      <x:c r="A294" t="str">
        <x:v>90b053c8-afda-4f00-a900-7be79801bc6b</x:v>
      </x:c>
      <x:c r="B294" t="str">
        <x:v>601328</x:v>
      </x:c>
      <x:c r="C294" t="str">
        <x:v>交通银行</x:v>
      </x:c>
      <x:c r="D294" t="str">
        <x:v>2025-12-31</x:v>
      </x:c>
      <x:c r="E294" t="str">
        <x:v>annual</x:v>
      </x:c>
      <x:c r="F294" t="str">
        <x:v>operating_cash_flow</x:v>
      </x:c>
      <x:c r="G294" t="n">
        <x:v>132441</x:v>
      </x:c>
      <x:c r="H294" t="str">
        <x:v>reported_amount</x:v>
      </x:c>
      <x:c r="I294" t="n">
        <x:v>11</x:v>
      </x:c>
      <x:c r="J294" t="str">
        <x:v>经营活动产生的现金流量净额</x:v>
      </x:c>
      <x:c r="K294" t="str">
        <x:v>candidate_pending_automated_verification</x:v>
      </x:c>
      <x:c r="L294" t="str">
        <x:v>https://static.cninfo.com.cn/finalpage/2026-03-28/1225047367.PDF</x:v>
      </x:c>
      <x:c r="M294" t="str">
        <x:v>df52361e0a40791e9a37634437700b168eb2f76a2db41fe70b6d17099a549963</x:v>
      </x:c>
      <x:c r="N294" t="str">
        <x:v> 0.28  99,698  
净利润（归属于母公司股东）   95,622   93,586  2.18  92,728  
扣除非经常性损益后的净利润 （归属于母公
司股东）
1
 95,282 92,726 2.76 91,826 
经营活动产生的现金流量净额  132,441   (57,348) 不适用 137,323 
报告期末  （除另有标明外，人民币百万元） 
资产总额  15,548,388   14,900,717  4.35 14,060,472 
客户贷款
2
 9,123,571 8,555,122 6.64 7,957,085 
贷款减值准备 243,771 225,525 8.09 206,309 
负债总</x:v>
      </x:c>
    </x:row>
    <x:row r="295">
      <x:c r="A295" t="str">
        <x:v>7d5b9df6-d3f6-4d87-9a03-bbde7a8df554</x:v>
      </x:c>
      <x:c r="B295" t="str">
        <x:v>601328</x:v>
      </x:c>
      <x:c r="C295" t="str">
        <x:v>交通银行</x:v>
      </x:c>
      <x:c r="D295" t="str">
        <x:v>2025-12-31</x:v>
      </x:c>
      <x:c r="E295" t="str">
        <x:v>annual</x:v>
      </x:c>
      <x:c r="F295" t="str">
        <x:v>bonds_payable</x:v>
      </x:c>
      <x:c r="G295" t="n">
        <x:v>692085</x:v>
      </x:c>
      <x:c r="H295" t="str">
        <x:v>CNY</x:v>
      </x:c>
      <x:c r="I295" t="n">
        <x:v>48</x:v>
      </x:c>
      <x:c r="J295" t="str">
        <x:v>应付债券</x:v>
      </x:c>
      <x:c r="K295" t="str">
        <x:v>candidate_pending_automated_verification</x:v>
      </x:c>
      <x:c r="L295" t="str">
        <x:v>https://static.cninfo.com.cn/finalpage/2026-03-28/1225047367.PDF</x:v>
      </x:c>
      <x:c r="M295" t="str">
        <x:v>df52361e0a40791e9a37634437700b168eb2f76a2db41fe70b6d17099a549963</x:v>
      </x:c>
      <x:c r="N295" t="str">
        <x:v>
同业及其他金融机构存放款
项 1,163,044  8.15 1,073,574  7.81 1,133,181 8.74 
已发行存款证 1,403,271  9.84 1,384,372  10.07 1,027,461 7.93 
应付债券 692,085 4.85 691,248  5.03 592,175 4.57 
其他 1,701,891 11.93 1,795,591  13.06 1,656,990  12.78 
负债总额 14,268,106   100.00 13,745,120   100.00  12,961,022  100.00  
报告期末，本集团负债总额142,681.06亿元，</x:v>
      </x:c>
    </x:row>
    <x:row r="296">
      <x:c r="A296" t="str">
        <x:v>18588803-421f-4a99-9678-3511572763bb</x:v>
      </x:c>
      <x:c r="B296" t="str">
        <x:v>601328</x:v>
      </x:c>
      <x:c r="C296" t="str">
        <x:v>交通银行</x:v>
      </x:c>
      <x:c r="D296" t="str">
        <x:v>2025-12-31</x:v>
      </x:c>
      <x:c r="E296" t="str">
        <x:v>annual</x:v>
      </x:c>
      <x:c r="F296" t="str">
        <x:v>revenue</x:v>
      </x:c>
      <x:c r="G296" t="n">
        <x:v>265071</x:v>
      </x:c>
      <x:c r="H296" t="str">
        <x:v>reported_amount</x:v>
      </x:c>
      <x:c r="I296" t="n">
        <x:v>11</x:v>
      </x:c>
      <x:c r="J296" t="str">
        <x:v>营业收入</x:v>
      </x:c>
      <x:c r="K296" t="str">
        <x:v>candidate_pending_automated_verification</x:v>
      </x:c>
      <x:c r="L296" t="str">
        <x:v>https://static.cninfo.com.cn/finalpage/2026-03-28/1225047367.PDF</x:v>
      </x:c>
      <x:c r="M296" t="str">
        <x:v>df52361e0a40791e9a37634437700b168eb2f76a2db41fe70b6d17099a549963</x:v>
      </x:c>
      <x:c r="N296" t="str">
        <x:v>24 年 增减(%) 2023 年 
全年业绩  （除另有标明外，人民币百万元） 
利息净收入  173,075    169,832  1.91 164,123 
手续费及佣金净收入 38,183 36,914 3.44 43,004 
营业收入  265,071   259,826  2.02 257,595 
信用减值损失  54,547  52,567 3.77 56,908 
业务及管理费  77,655  77,687 (0.04)  77,369 
利润总额  103,763   103,475   0.28  99,698  
净利润（归属于母公司股东）   95,622   93,586  2.18 </x:v>
      </x:c>
    </x:row>
    <x:row r="297">
      <x:c r="A297" t="str">
        <x:v>fd05d970-9f7b-410a-b8f3-fce3d043d82c</x:v>
      </x:c>
      <x:c r="B297" t="str">
        <x:v>601318</x:v>
      </x:c>
      <x:c r="C297" t="str">
        <x:v>中国平安</x:v>
      </x:c>
      <x:c r="D297" t="str">
        <x:v>2025-12-31</x:v>
      </x:c>
      <x:c r="E297" t="str">
        <x:v>annual</x:v>
      </x:c>
      <x:c r="F297" t="str">
        <x:v>short_term_borrowings</x:v>
      </x:c>
      <x:c r="G297" t="n">
        <x:v>69763</x:v>
      </x:c>
      <x:c r="H297" t="str">
        <x:v>CNY</x:v>
      </x:c>
      <x:c r="I297" t="n">
        <x:v>333</x:v>
      </x:c>
      <x:c r="J297" t="str">
        <x:v>短期借款</x:v>
      </x:c>
      <x:c r="K297" t="str">
        <x:v>candidate_pending_automated_verification</x:v>
      </x:c>
      <x:c r="L297" t="str">
        <x:v>https://static.cninfo.com.cn/finalpage/2026-03-27/1225038263.PDF</x:v>
      </x:c>
      <x:c r="M297" t="str">
        <x:v>860c455bbad9be59d3d1bf64bf683733feb79157212532df44b91d49a0b03c2a</x:v>
      </x:c>
      <x:c r="N297" t="str">
        <x:v>(1) 外汇风险（续）
本集团主要货币性资产和负债及以公允价值计量的非货币性资产和负债按主要币种列示如下 （续） ：
2025 年12月31日
美元 港元 其他币种 折合
人民币 （折合人民币） （折合人民币） （折合人民币） 人民币合计
短期借款 69,763 7,071 1,087 6,599 84,520
向中央银行借款 223,537 – – – 223,537
银行同业及其他金融机构存放款项 521,076 7,080 7 – 528,163
拆入资金 75,994 19,741 13,072 2,978 111,785
以公允价值计量且其变动计入当期损益的金融负债 221,829 – – – 221,8</x:v>
      </x:c>
    </x:row>
    <x:row r="298">
      <x:c r="A298" t="str">
        <x:v>635b2d97-cadf-4eee-929b-192ca0e3b86e</x:v>
      </x:c>
      <x:c r="B298" t="str">
        <x:v>601318</x:v>
      </x:c>
      <x:c r="C298" t="str">
        <x:v>中国平安</x:v>
      </x:c>
      <x:c r="D298" t="str">
        <x:v>2025-12-31</x:v>
      </x:c>
      <x:c r="E298" t="str">
        <x:v>annual</x:v>
      </x:c>
      <x:c r="F298" t="str">
        <x:v>cash</x:v>
      </x:c>
      <x:c r="G298" t="n">
        <x:v>202821</x:v>
      </x:c>
      <x:c r="H298" t="str">
        <x:v>CNY</x:v>
      </x:c>
      <x:c r="I298" t="n">
        <x:v>353</x:v>
      </x:c>
      <x:c r="J298" t="str">
        <x:v>货币资金</x:v>
      </x:c>
      <x:c r="K298" t="str">
        <x:v>candidate_pending_automated_verification</x:v>
      </x:c>
      <x:c r="L298" t="str">
        <x:v>https://static.cninfo.com.cn/finalpage/2026-03-27/1225038263.PDF</x:v>
      </x:c>
      <x:c r="M298" t="str">
        <x:v>860c455bbad9be59d3d1bf64bf683733feb79157212532df44b91d49a0b03c2a</x:v>
      </x:c>
      <x:c r="N298" t="str">
        <x:v>财务报表
二零二五年年报 中国平安保险 （集团） 股份有限公司
349
九、 风险管理（续）
4. 流动性风险（续）
2024 年12月31日
未标明到期日 即时偿还 3个月以内 3-12个月 1年至5年 5年以上 合计
货币资金 202,821 422,652 25,854 31,994 570 5 683,896
结算备付金 – 33,982 – – – – 33,982
拆出资金 – – 111,710 136,755 29,871 – 278,336
买入返售金融资产 – 619 89,523 1,493 285 – 91,920
应收账款 – 1,370 7,560 18,167 10,0</x:v>
      </x:c>
    </x:row>
    <x:row r="299">
      <x:c r="A299" t="str">
        <x:v>4f0f9212-37b4-466f-a5bb-970a2cc2883e</x:v>
      </x:c>
      <x:c r="B299" t="str">
        <x:v>601318</x:v>
      </x:c>
      <x:c r="C299" t="str">
        <x:v>中国平安</x:v>
      </x:c>
      <x:c r="D299" t="str">
        <x:v>2025-12-31</x:v>
      </x:c>
      <x:c r="E299" t="str">
        <x:v>annual</x:v>
      </x:c>
      <x:c r="F299" t="str">
        <x:v>cash</x:v>
      </x:c>
      <x:c r="G299" t="n">
        <x:v>181361</x:v>
      </x:c>
      <x:c r="H299" t="str">
        <x:v>CNY</x:v>
      </x:c>
      <x:c r="I299" t="n">
        <x:v>351</x:v>
      </x:c>
      <x:c r="J299" t="str">
        <x:v>货币资金</x:v>
      </x:c>
      <x:c r="K299" t="str">
        <x:v>candidate_pending_automated_verification</x:v>
      </x:c>
      <x:c r="L299" t="str">
        <x:v>https://static.cninfo.com.cn/finalpage/2026-03-27/1225038263.PDF</x:v>
      </x:c>
      <x:c r="M299" t="str">
        <x:v>860c455bbad9be59d3d1bf64bf683733feb79157212532df44b91d49a0b03c2a</x:v>
      </x:c>
      <x:c r="N299" t="str">
        <x:v>集团金融资产、金融负债、保险合同负债及分出再保险合同负债的相关剩余合同到期日 （未经折现的合同现金流量及预期现
金流量） 分析如下 ：
2025 年12月31日
未标明到期日 即时偿还 3个月以内 3-12个月 1年至5年 5年以上 合计
货币资金 181,361 528,550 22,326 12,590 1,003 5 745,835
结算备付金 – 35,330 – – – – 35,330
拆出资金 – – 141,986 93,688 40,256 – 275,930
买入返售金融资产 – 258 182,189 652 489 – 183,588
应收账款 – 1,998 11,952 19,303 12</x:v>
      </x:c>
    </x:row>
    <x:row r="300">
      <x:c r="A300" t="str">
        <x:v>302a428e-65ec-4980-ae4b-58ce68d8050f</x:v>
      </x:c>
      <x:c r="B300" t="str">
        <x:v>601318</x:v>
      </x:c>
      <x:c r="C300" t="str">
        <x:v>中国平安</x:v>
      </x:c>
      <x:c r="D300" t="str">
        <x:v>2025-12-31</x:v>
      </x:c>
      <x:c r="E300" t="str">
        <x:v>annual</x:v>
      </x:c>
      <x:c r="F300" t="str">
        <x:v>cash</x:v>
      </x:c>
      <x:c r="G300" t="n">
        <x:v>683433</x:v>
      </x:c>
      <x:c r="H300" t="str">
        <x:v>CNY</x:v>
      </x:c>
      <x:c r="I300" t="n">
        <x:v>343</x:v>
      </x:c>
      <x:c r="J300" t="str">
        <x:v>货币资金</x:v>
      </x:c>
      <x:c r="K300" t="str">
        <x:v>candidate_pending_automated_verification</x:v>
      </x:c>
      <x:c r="L300" t="str">
        <x:v>https://static.cninfo.com.cn/finalpage/2026-03-27/1225038263.PDF</x:v>
      </x:c>
      <x:c r="M300" t="str">
        <x:v>860c455bbad9be59d3d1bf64bf683733feb79157212532df44b91d49a0b03c2a</x:v>
      </x:c>
      <x:c r="N300" t="str">
        <x:v>财务报表
二零二五年年报 中国平安保险 （集团） 股份有限公司
339
九、 风险管理（续）
3. 信用风险（续）
(2) 预期信用损失计量（续）
2024 年12月31日
账面价值 第一阶段 第二阶段 第三阶段 最大信用风险敞口
货币资金 683,433 – – 683,433
结算备付金 33,982 – – 33,982
拆出资金 266,938 – – 266,938
买入返售金融资产 91,614 – 226 91,840
应收账款 35,975 12 19 36,006
长期应收款 206,817 2,206 1,153 210,176
发放贷款及垫款 3,275,691 102,687 13,4</x:v>
      </x:c>
    </x:row>
    <x:row r="301">
      <x:c r="A301" t="str">
        <x:v>d6fc9be7-df44-4493-8796-1d4fbd46c7dd</x:v>
      </x:c>
      <x:c r="B301" t="str">
        <x:v>601318</x:v>
      </x:c>
      <x:c r="C301" t="str">
        <x:v>中国平安</x:v>
      </x:c>
      <x:c r="D301" t="str">
        <x:v>2025-12-31</x:v>
      </x:c>
      <x:c r="E301" t="str">
        <x:v>annual</x:v>
      </x:c>
      <x:c r="F301" t="str">
        <x:v>cash</x:v>
      </x:c>
      <x:c r="G301" t="n">
        <x:v>745679</x:v>
      </x:c>
      <x:c r="H301" t="str">
        <x:v>CNY</x:v>
      </x:c>
      <x:c r="I301" t="n">
        <x:v>342</x:v>
      </x:c>
      <x:c r="J301" t="str">
        <x:v>货币资金</x:v>
      </x:c>
      <x:c r="K301" t="str">
        <x:v>candidate_pending_automated_verification</x:v>
      </x:c>
      <x:c r="L301" t="str">
        <x:v>https://static.cninfo.com.cn/finalpage/2026-03-27/1225038263.PDF</x:v>
      </x:c>
      <x:c r="M301" t="str">
        <x:v>860c455bbad9be59d3d1bf64bf683733feb79157212532df44b91d49a0b03c2a</x:v>
      </x:c>
      <x:c r="N301" t="str">
        <x:v>信用损失评估范围的金融工具的信用风险敞口进行了列示。在不考虑担保或其他信用增级措施的影响下，对于
表内资产，最大信用风险敞口以资产负债表中账面净值列示 ：
2025 年12月31日
账面价值 第一阶段 第二阶段 第三阶段 最大信用风险敞口
货币资金 745,679 – – 745,679
结算备付金 35,330 – – 35,330
拆出资金 272,995 – – 272,995
买入返售金融资产 183,265 – 232 183,497
应收账款 43,062 376 240 43,678
长期应收款 254,859 2,263 1,080 258,202
发放贷款及垫款 3,286,753 107,235 </x:v>
      </x:c>
    </x:row>
    <x:row r="302">
      <x:c r="A302" t="str">
        <x:v>8aaa64f5-5282-44c7-b578-90b65a044b1b</x:v>
      </x:c>
      <x:c r="B302" t="str">
        <x:v>601318</x:v>
      </x:c>
      <x:c r="C302" t="str">
        <x:v>中国平安</x:v>
      </x:c>
      <x:c r="D302" t="str">
        <x:v>2025-12-31</x:v>
      </x:c>
      <x:c r="E302" t="str">
        <x:v>annual</x:v>
      </x:c>
      <x:c r="F302" t="str">
        <x:v>bonds_payable</x:v>
      </x:c>
      <x:c r="G302" t="n">
        <x:v>920348</x:v>
      </x:c>
      <x:c r="H302" t="str">
        <x:v>CNY</x:v>
      </x:c>
      <x:c r="I302" t="n">
        <x:v>335</x:v>
      </x:c>
      <x:c r="J302" t="str">
        <x:v>应付债券</x:v>
      </x:c>
      <x:c r="K302" t="str">
        <x:v>candidate_pending_automated_verification</x:v>
      </x:c>
      <x:c r="L302" t="str">
        <x:v>https://static.cninfo.com.cn/finalpage/2026-03-27/1225038263.PDF</x:v>
      </x:c>
      <x:c r="M302" t="str">
        <x:v>860c455bbad9be59d3d1bf64bf683733feb79157212532df44b91d49a0b03c2a</x:v>
      </x:c>
      <x:c r="N302" t="str">
        <x:v>,246 3,541,448
保险合同负债 4,973,324 10,376 1,072 23 4,984,795
分出再保险合同负债 569 – – – 569
长期借款 103,913 11,715 620 5,792 122,040
应付债券 920,348 45,955 739 – 967,042
其他负债 255,527 4,002 1,096 73 260,698
11,115,590 270,354 43,861 30,144 11,459,949
外币净头寸 76,331 13,088 25,704 115,123
外币衍生金融工具名义金额 33,100 (12,336) (9,086) 11,678</x:v>
      </x:c>
    </x:row>
    <x:row r="303">
      <x:c r="A303" t="str">
        <x:v>180c76c1-c73b-4ed0-a656-f24fd0f37207</x:v>
      </x:c>
      <x:c r="B303" t="str">
        <x:v>601318</x:v>
      </x:c>
      <x:c r="C303" t="str">
        <x:v>中国平安</x:v>
      </x:c>
      <x:c r="D303" t="str">
        <x:v>2025-12-31</x:v>
      </x:c>
      <x:c r="E303" t="str">
        <x:v>annual</x:v>
      </x:c>
      <x:c r="F303" t="str">
        <x:v>long_term_borrowings</x:v>
      </x:c>
      <x:c r="G303" t="n">
        <x:v>103913</x:v>
      </x:c>
      <x:c r="H303" t="str">
        <x:v>CNY</x:v>
      </x:c>
      <x:c r="I303" t="n">
        <x:v>335</x:v>
      </x:c>
      <x:c r="J303" t="str">
        <x:v>长期借款</x:v>
      </x:c>
      <x:c r="K303" t="str">
        <x:v>candidate_pending_automated_verification</x:v>
      </x:c>
      <x:c r="L303" t="str">
        <x:v>https://static.cninfo.com.cn/finalpage/2026-03-27/1225038263.PDF</x:v>
      </x:c>
      <x:c r="M303" t="str">
        <x:v>860c455bbad9be59d3d1bf64bf683733feb79157212532df44b91d49a0b03c2a</x:v>
      </x:c>
      <x:c r="N303" t="str">
        <x:v>6,564
吸收存款 3,341,743 155,273 30,186 14,246 3,541,448
保险合同负债 4,973,324 10,376 1,072 23 4,984,795
分出再保险合同负债 569 – – – 569
长期借款 103,913 11,715 620 5,792 122,040
应付债券 920,348 45,955 739 – 967,042
其他负债 255,527 4,002 1,096 73 260,698
11,115,590 270,354 43,861 30,144 11,459,949
外币净头寸 76,331 13,088 25,704 115,123
外币衍生金</x:v>
      </x:c>
    </x:row>
    <x:row r="304">
      <x:c r="A304" t="str">
        <x:v>91204b75-2891-46a7-95a0-3cd8e5fd60f6</x:v>
      </x:c>
      <x:c r="B304" t="str">
        <x:v>601318</x:v>
      </x:c>
      <x:c r="C304" t="str">
        <x:v>中国平安</x:v>
      </x:c>
      <x:c r="D304" t="str">
        <x:v>2025-12-31</x:v>
      </x:c>
      <x:c r="E304" t="str">
        <x:v>annual</x:v>
      </x:c>
      <x:c r="F304" t="str">
        <x:v>short_term_borrowings</x:v>
      </x:c>
      <x:c r="G304" t="n">
        <x:v>83131</x:v>
      </x:c>
      <x:c r="H304" t="str">
        <x:v>CNY</x:v>
      </x:c>
      <x:c r="I304" t="n">
        <x:v>335</x:v>
      </x:c>
      <x:c r="J304" t="str">
        <x:v>短期借款</x:v>
      </x:c>
      <x:c r="K304" t="str">
        <x:v>candidate_pending_automated_verification</x:v>
      </x:c>
      <x:c r="L304" t="str">
        <x:v>https://static.cninfo.com.cn/finalpage/2026-03-27/1225038263.PDF</x:v>
      </x:c>
      <x:c r="M304" t="str">
        <x:v>860c455bbad9be59d3d1bf64bf683733feb79157212532df44b91d49a0b03c2a</x:v>
      </x:c>
      <x:c r="N304" t="str">
        <x:v>(1) 外汇风险（续）
本集团主要货币性资产和负债及以公允价值计量的非货币性资产和负债按主要币种列示如下 （续） ：
2024 年12月31日
美元 港元 其他币种 折合
人民币 （折合人民币） （折合人民币） （折合人民币） 人民币合计
短期借款 83,131 7,317 1,522 3,692 95,662
向中央银行借款 86,110 – – – 86,110
银行同业及其他金融机构存放款项 417,698 733 14 – 418,445
拆入资金 72,888 28,940 7,780 6,318 115,926
以公允价值计量且其变动计入当期损益的金融负债 172,517 251 – – 172,768</x:v>
      </x:c>
    </x:row>
    <x:row r="305">
      <x:c r="A305" t="str">
        <x:v>5cbc2339-0c91-4acc-a9d7-78be29415c6a</x:v>
      </x:c>
      <x:c r="B305" t="str">
        <x:v>601318</x:v>
      </x:c>
      <x:c r="C305" t="str">
        <x:v>中国平安</x:v>
      </x:c>
      <x:c r="D305" t="str">
        <x:v>2025-12-31</x:v>
      </x:c>
      <x:c r="E305" t="str">
        <x:v>annual</x:v>
      </x:c>
      <x:c r="F305" t="str">
        <x:v>cash</x:v>
      </x:c>
      <x:c r="G305" t="n">
        <x:v>626864</x:v>
      </x:c>
      <x:c r="H305" t="str">
        <x:v>CNY</x:v>
      </x:c>
      <x:c r="I305" t="n">
        <x:v>334</x:v>
      </x:c>
      <x:c r="J305" t="str">
        <x:v>货币资金</x:v>
      </x:c>
      <x:c r="K305" t="str">
        <x:v>candidate_pending_automated_verification</x:v>
      </x:c>
      <x:c r="L305" t="str">
        <x:v>https://static.cninfo.com.cn/finalpage/2026-03-27/1225038263.PDF</x:v>
      </x:c>
      <x:c r="M305" t="str">
        <x:v>860c455bbad9be59d3d1bf64bf683733feb79157212532df44b91d49a0b03c2a</x:v>
      </x:c>
      <x:c r="N305" t="str">
        <x:v>(1) 外汇风险（续）
本集团主要货币性资产和负债及以公允价值计量的非货币性资产和负债按主要币种列示如下 （续） ：
2024 年12月31日
美元 港元 其他币种 折合
人民币 （折合人民币） （折合人民币） （折合人民币） 人民币合计
货币资金 626,864 44,171 4,798 7,600 683,433
结算备付金 33,948 11 23 – 33,982
拆出资金 240,898 22,271 3,701 68 266,938
买入返售金融资产 91,840 – – – 91,840
应收账款 35,915 27 – 64 36,006
分出再保险合同资产 21,765 3,761 558 – 26</x:v>
      </x:c>
    </x:row>
    <x:row r="306">
      <x:c r="A306" t="str">
        <x:v>6dcb04db-602e-4dd4-97f3-8a1a134dcb6c</x:v>
      </x:c>
      <x:c r="B306" t="str">
        <x:v>601318</x:v>
      </x:c>
      <x:c r="C306" t="str">
        <x:v>中国平安</x:v>
      </x:c>
      <x:c r="D306" t="str">
        <x:v>2025-12-31</x:v>
      </x:c>
      <x:c r="E306" t="str">
        <x:v>annual</x:v>
      </x:c>
      <x:c r="F306" t="str">
        <x:v>bonds_payable</x:v>
      </x:c>
      <x:c r="G306" t="n">
        <x:v>803581</x:v>
      </x:c>
      <x:c r="H306" t="str">
        <x:v>CNY</x:v>
      </x:c>
      <x:c r="I306" t="n">
        <x:v>333</x:v>
      </x:c>
      <x:c r="J306" t="str">
        <x:v>应付债券</x:v>
      </x:c>
      <x:c r="K306" t="str">
        <x:v>candidate_pending_automated_verification</x:v>
      </x:c>
      <x:c r="L306" t="str">
        <x:v>https://static.cninfo.com.cn/finalpage/2026-03-27/1225038263.PDF</x:v>
      </x:c>
      <x:c r="M306" t="str">
        <x:v>860c455bbad9be59d3d1bf64bf683733feb79157212532df44b91d49a0b03c2a</x:v>
      </x:c>
      <x:c r="N306" t="str">
        <x:v>539 32,384 3,588,691
保险合同负债 5,359,512 525 849 24 5,360,910
分出再保险合同负债 537 – – – 537
长期借款 136,489 5,399 989 7,217 150,094
应付债券 803,581 39,714 10,366 – 853,661
其他负债 253,372 1,656 1,355 236 256,619
11,940,683 261,696 59,246 49,445 12,311,070
外币净头寸 139,165 (3,769) 12,499 147,895
外币衍生金融工具名义金额 (8,745) (5,673) 8,083 (6</x:v>
      </x:c>
    </x:row>
    <x:row r="307">
      <x:c r="A307" t="str">
        <x:v>f206450a-81ad-4d22-b1f0-4563f0ec792d</x:v>
      </x:c>
      <x:c r="B307" t="str">
        <x:v>601318</x:v>
      </x:c>
      <x:c r="C307" t="str">
        <x:v>中国平安</x:v>
      </x:c>
      <x:c r="D307" t="str">
        <x:v>2025-12-31</x:v>
      </x:c>
      <x:c r="E307" t="str">
        <x:v>annual</x:v>
      </x:c>
      <x:c r="F307" t="str">
        <x:v>long_term_borrowings</x:v>
      </x:c>
      <x:c r="G307" t="n">
        <x:v>136489</x:v>
      </x:c>
      <x:c r="H307" t="str">
        <x:v>CNY</x:v>
      </x:c>
      <x:c r="I307" t="n">
        <x:v>333</x:v>
      </x:c>
      <x:c r="J307" t="str">
        <x:v>长期借款</x:v>
      </x:c>
      <x:c r="K307" t="str">
        <x:v>candidate_pending_automated_verification</x:v>
      </x:c>
      <x:c r="L307" t="str">
        <x:v>https://static.cninfo.com.cn/finalpage/2026-03-27/1225038263.PDF</x:v>
      </x:c>
      <x:c r="M307" t="str">
        <x:v>860c455bbad9be59d3d1bf64bf683733feb79157212532df44b91d49a0b03c2a</x:v>
      </x:c>
      <x:c r="N307" t="str">
        <x:v>2 7 60,831
吸收存款 3,351,050 174,718 30,539 32,384 3,588,691
保险合同负债 5,359,512 525 849 24 5,360,910
分出再保险合同负债 537 – – – 537
长期借款 136,489 5,399 989 7,217 150,094
应付债券 803,581 39,714 10,366 – 853,661
其他负债 253,372 1,656 1,355 236 256,619
11,940,683 261,696 59,246 49,445 12,311,070
外币净头寸 139,165 (3,769) 12,499 147,895
</x:v>
      </x:c>
    </x:row>
    <x:row r="308">
      <x:c r="A308" t="str">
        <x:v>f6b1a2c3-e402-426d-97a7-65853c3a465d</x:v>
      </x:c>
      <x:c r="B308" t="str">
        <x:v>601318</x:v>
      </x:c>
      <x:c r="C308" t="str">
        <x:v>中国平安</x:v>
      </x:c>
      <x:c r="D308" t="str">
        <x:v>2025-12-31</x:v>
      </x:c>
      <x:c r="E308" t="str">
        <x:v>annual</x:v>
      </x:c>
      <x:c r="F308" t="str">
        <x:v>cash</x:v>
      </x:c>
      <x:c r="G308" t="n">
        <x:v>700506</x:v>
      </x:c>
      <x:c r="H308" t="str">
        <x:v>CNY</x:v>
      </x:c>
      <x:c r="I308" t="n">
        <x:v>332</x:v>
      </x:c>
      <x:c r="J308" t="str">
        <x:v>货币资金</x:v>
      </x:c>
      <x:c r="K308" t="str">
        <x:v>candidate_pending_automated_verification</x:v>
      </x:c>
      <x:c r="L308" t="str">
        <x:v>https://static.cninfo.com.cn/finalpage/2026-03-27/1225038263.PDF</x:v>
      </x:c>
      <x:c r="M308" t="str">
        <x:v>860c455bbad9be59d3d1bf64bf683733feb79157212532df44b91d49a0b03c2a</x:v>
      </x:c>
      <x:c r="N308" t="str">
        <x:v>（续）
(1) 外汇风险（续）
本集团主要货币性资产和负债及以公允价值计量的非货币性资产和负债按主要币种列示如下 ：
2025 年12月31日
美元 港元 其他币种 折合
人民币 （折合人民币） （折合人民币） （折合人民币） 人民币合计
货币资金 700,506 28,372 7,072 9,729 745,679
结算备付金 35,313 7 10 – 35,330
拆出资金 237,417 31,740 2,276 1,562 272,995
买入返售金融资产 183,497 – – – 183,497
应收账款 43,579 15 8 76 43,678
分出再保险合同资产 24,969 – 546 – 25</x:v>
      </x:c>
    </x:row>
    <x:row r="309">
      <x:c r="A309" t="str">
        <x:v>bb992164-d3ac-4cff-9db9-54f03e4304a3</x:v>
      </x:c>
      <x:c r="B309" t="str">
        <x:v>601318</x:v>
      </x:c>
      <x:c r="C309" t="str">
        <x:v>中国平安</x:v>
      </x:c>
      <x:c r="D309" t="str">
        <x:v>2025-12-31</x:v>
      </x:c>
      <x:c r="E309" t="str">
        <x:v>annual</x:v>
      </x:c>
      <x:c r="F309" t="str">
        <x:v>bonds_payable</x:v>
      </x:c>
      <x:c r="G309" t="n">
        <x:v>4893</x:v>
      </x:c>
      <x:c r="H309" t="str">
        <x:v>CNY</x:v>
      </x:c>
      <x:c r="I309" t="n">
        <x:v>322</x:v>
      </x:c>
      <x:c r="J309" t="str">
        <x:v>应付债券</x:v>
      </x:c>
      <x:c r="K309" t="str">
        <x:v>candidate_pending_automated_verification</x:v>
      </x:c>
      <x:c r="L309" t="str">
        <x:v>https://static.cninfo.com.cn/finalpage/2026-03-27/1225038263.PDF</x:v>
      </x:c>
      <x:c r="M309" t="str">
        <x:v>860c455bbad9be59d3d1bf64bf683733feb79157212532df44b91d49a0b03c2a</x:v>
      </x:c>
      <x:c r="N309" t="str">
        <x:v>次披露的分析 ：
2025 年12月31日
第一层次 第二层次 第三层次 公允价值合计
债权投资 219 1,133,048 201,272 1,334,539
金融资产合计 219 1,133,048 201,272 1,334,539
应付债券 4,893 848,149 – 853,042
金融负债合计 4,893 848,149 – 853,042
2024 年12月31日
第一层次 第二层次 第三层次 公允价值合计
债权投资 261 1,158,509 168,077 1,326,847
金融资产合计 261 1,158,509 168,077 1,326,847
应付债券 13,135 9</x:v>
      </x:c>
    </x:row>
    <x:row r="310">
      <x:c r="A310" t="str">
        <x:v>01939f31-cb17-4d59-8bc1-03d6ec6fd37c</x:v>
      </x:c>
      <x:c r="B310" t="str">
        <x:v>601318</x:v>
      </x:c>
      <x:c r="C310" t="str">
        <x:v>中国平安</x:v>
      </x:c>
      <x:c r="D310" t="str">
        <x:v>2025-12-31</x:v>
      </x:c>
      <x:c r="E310" t="str">
        <x:v>annual</x:v>
      </x:c>
      <x:c r="F310" t="str">
        <x:v>short_term_borrowings</x:v>
      </x:c>
      <x:c r="G310" t="n">
        <x:v>84520</x:v>
      </x:c>
      <x:c r="H310" t="str">
        <x:v>CNY</x:v>
      </x:c>
      <x:c r="I310" t="n">
        <x:v>318</x:v>
      </x:c>
      <x:c r="J310" t="str">
        <x:v>短期借款</x:v>
      </x:c>
      <x:c r="K310" t="str">
        <x:v>candidate_pending_automated_verification</x:v>
      </x:c>
      <x:c r="L310" t="str">
        <x:v>https://static.cninfo.com.cn/finalpage/2026-03-27/1225038263.PDF</x:v>
      </x:c>
      <x:c r="M310" t="str">
        <x:v>860c455bbad9be59d3d1bf64bf683733feb79157212532df44b91d49a0b03c2a</x:v>
      </x:c>
      <x:c r="N310" t="str">
        <x:v>37
其他权益工具投资 609,550 356,493 609,550 356,493
存出资本保证金 15,380 16,404 15,380 16,404
其他资产 100,094 83,314 100,094 83,314
金融负债
短期借款 84,520 95,662 84,520 95,662
向中央银行借款 223,537 86,110 223,537 86,110
银行同业及其他金融机构存放款项 528,163 418,445 528,163 418,445
拆入资金 118,295 115,926 118,295 115,926
以公允价值计量且其变动计入当期损益的金融负债 221,829 172,</x:v>
      </x:c>
    </x:row>
    <x:row r="311">
      <x:c r="A311" t="str">
        <x:v>5d89c3a5-a76d-4931-801d-ed62c293d968</x:v>
      </x:c>
      <x:c r="B311" t="str">
        <x:v>601318</x:v>
      </x:c>
      <x:c r="C311" t="str">
        <x:v>中国平安</x:v>
      </x:c>
      <x:c r="D311" t="str">
        <x:v>2025-12-31</x:v>
      </x:c>
      <x:c r="E311" t="str">
        <x:v>annual</x:v>
      </x:c>
      <x:c r="F311" t="str">
        <x:v>cash</x:v>
      </x:c>
      <x:c r="G311" t="n">
        <x:v>745679</x:v>
      </x:c>
      <x:c r="H311" t="str">
        <x:v>CNY</x:v>
      </x:c>
      <x:c r="I311" t="n">
        <x:v>318</x:v>
      </x:c>
      <x:c r="J311" t="str">
        <x:v>货币资金</x:v>
      </x:c>
      <x:c r="K311" t="str">
        <x:v>candidate_pending_automated_verification</x:v>
      </x:c>
      <x:c r="L311" t="str">
        <x:v>https://static.cninfo.com.cn/finalpage/2026-03-27/1225038263.PDF</x:v>
      </x:c>
      <x:c r="M311" t="str">
        <x:v>860c455bbad9be59d3d1bf64bf683733feb79157212532df44b91d49a0b03c2a</x:v>
      </x:c>
      <x:c r="N311" t="str">
        <x:v>项及吸
收存款等。
(1) 金融工具分类
资产负债表日的各类金融工具的账面价值和公允价值如下 ：
账面价值 公允价值
2025 年 2024 年 2025 年 2024 年
12月31日 12月31日 12月31日 12月31日
金融资产
货币资金 745,679 683,433 745,679 683,433
结算备付金 35,330 33,982 35,330 33,982
拆出资金 272,995 266,938 272,995 266,938
买入返售金融资产 183,497 91,840 183,497 91,840
应收账款 43,678 36,006 43,678 36,006
衍生金融资产 30,00</x:v>
      </x:c>
    </x:row>
    <x:row r="312">
      <x:c r="A312" t="str">
        <x:v>65072872-68cd-445d-9cd6-b9ee9cd89f3f</x:v>
      </x:c>
      <x:c r="B312" t="str">
        <x:v>601318</x:v>
      </x:c>
      <x:c r="C312" t="str">
        <x:v>中国平安</x:v>
      </x:c>
      <x:c r="D312" t="str">
        <x:v>2025-12-31</x:v>
      </x:c>
      <x:c r="E312" t="str">
        <x:v>annual</x:v>
      </x:c>
      <x:c r="F312" t="str">
        <x:v>operating_cash_flow</x:v>
      </x:c>
      <x:c r="G312" t="n">
        <x:v>658632</x:v>
      </x:c>
      <x:c r="H312" t="str">
        <x:v>CNY</x:v>
      </x:c>
      <x:c r="I312" t="n">
        <x:v>315</x:v>
      </x:c>
      <x:c r="J312" t="str">
        <x:v>经营活动产生的现金流量净额</x:v>
      </x:c>
      <x:c r="K312" t="str">
        <x:v>candidate_pending_automated_verification</x:v>
      </x:c>
      <x:c r="L312" t="str">
        <x:v>https://static.cninfo.com.cn/finalpage/2026-03-27/1225038263.PDF</x:v>
      </x:c>
      <x:c r="M312" t="str">
        <x:v>860c455bbad9be59d3d1bf64bf683733feb79157212532df44b91d49a0b03c2a</x:v>
      </x:c>
      <x:c r="N312" t="str">
        <x:v>2 385,595
银行业务及证券业务卖出回购资金的变动 (60,525) 74,541
应交税费的变动 (3,499) 7,136
其他负债的变动 129,626 234,313
经营性应付项目的净增加额 804,401 675,454
经营活动产生的现金流量净额 658,632 382,474
   </x:v>
      </x:c>
    </x:row>
    <x:row r="313">
      <x:c r="A313" t="str">
        <x:v>34e697ea-a951-45fa-ad51-a2a8eba2e50f</x:v>
      </x:c>
      <x:c r="B313" t="str">
        <x:v>601318</x:v>
      </x:c>
      <x:c r="C313" t="str">
        <x:v>中国平安</x:v>
      </x:c>
      <x:c r="D313" t="str">
        <x:v>2025-12-31</x:v>
      </x:c>
      <x:c r="E313" t="str">
        <x:v>annual</x:v>
      </x:c>
      <x:c r="F313" t="str">
        <x:v>cash</x:v>
      </x:c>
      <x:c r="G313" t="n">
        <x:v>22508</x:v>
      </x:c>
      <x:c r="H313" t="str">
        <x:v>CNY</x:v>
      </x:c>
      <x:c r="I313" t="n">
        <x:v>255</x:v>
      </x:c>
      <x:c r="J313" t="str">
        <x:v>货币资金</x:v>
      </x:c>
      <x:c r="K313" t="str">
        <x:v>candidate_pending_automated_verification</x:v>
      </x:c>
      <x:c r="L313" t="str">
        <x:v>https://static.cninfo.com.cn/finalpage/2026-03-27/1225038263.PDF</x:v>
      </x:c>
      <x:c r="M313" t="str">
        <x:v>860c455bbad9be59d3d1bf64bf683733feb79157212532df44b91d49a0b03c2a</x:v>
      </x:c>
      <x:c r="N313" t="str">
        <x:v>款 228,066 27,801 1,905 1,500 259,272
存放中央银行款项 262,020 3,068 464 – 265,552
存放银行同业款项 111,192 12,996 2,217 5,938 132,343
其他货币资金 22,508 182 114 38 22,842
626,864 44,171 4,798 7,600 683,433
本集团的折算汇率按主要币种列示如下 ：
2025 年12月31日 2024 年12月31日
美元 港元 美元 港元
折算汇率 7.0288 0.9032 7.1884 0.9260
本集团的存放银行同业款项按同业所在地区和类型分析如下 ：</x:v>
      </x:c>
    </x:row>
    <x:row r="314">
      <x:c r="A314" t="str">
        <x:v>2a15cbb4-eabe-4f22-8c1f-7c04c80de79c</x:v>
      </x:c>
      <x:c r="B314" t="str">
        <x:v>601318</x:v>
      </x:c>
      <x:c r="C314" t="str">
        <x:v>中国平安</x:v>
      </x:c>
      <x:c r="D314" t="str">
        <x:v>2025-12-31</x:v>
      </x:c>
      <x:c r="E314" t="str">
        <x:v>annual</x:v>
      </x:c>
      <x:c r="F314" t="str">
        <x:v>cash</x:v>
      </x:c>
      <x:c r="G314" t="n">
        <x:v>2025</x:v>
      </x:c>
      <x:c r="H314" t="str">
        <x:v>CNY</x:v>
      </x:c>
      <x:c r="I314" t="n">
        <x:v>254</x:v>
      </x:c>
      <x:c r="J314" t="str">
        <x:v>货币资金</x:v>
      </x:c>
      <x:c r="K314" t="str">
        <x:v>candidate_pending_automated_verification</x:v>
      </x:c>
      <x:c r="L314" t="str">
        <x:v>https://static.cninfo.com.cn/finalpage/2026-03-27/1225038263.PDF</x:v>
      </x:c>
      <x:c r="M314" t="str">
        <x:v>860c455bbad9be59d3d1bf64bf683733feb79157212532df44b91d49a0b03c2a</x:v>
      </x:c>
      <x:c r="N314" t="str">
        <x:v>二零二五年年报 中国平安保险 （集团） 股份有限公司
250
财务报表附注
2025年度
（除特别注明外，金额单位为人民币百万元）
八、 合并财务报表主要项目注释
1. 货币资金
2025 年12月31日 2024 年12月31日
库存现金 4,059 3,424
银行存款 300,547 259,272
 其中 ： 证券经纪业务客户 140,568 106,177
存放中央银行款项 250,168 265,552
 其中 ： 存放中央银行法定准备金－人民币 178,914 201,126
    存放中央银行法定准备金－外币 2,512 1</x:v>
      </x:c>
    </x:row>
    <x:row r="315">
      <x:c r="A315" t="str">
        <x:v>9a949b0a-fa9c-459f-9de1-aac0190f2491</x:v>
      </x:c>
      <x:c r="B315" t="str">
        <x:v>601318</x:v>
      </x:c>
      <x:c r="C315" t="str">
        <x:v>中国平安</x:v>
      </x:c>
      <x:c r="D315" t="str">
        <x:v>2025-12-31</x:v>
      </x:c>
      <x:c r="E315" t="str">
        <x:v>annual</x:v>
      </x:c>
      <x:c r="F315" t="str">
        <x:v>bonds_payable</x:v>
      </x:c>
      <x:c r="G315" t="n">
        <x:v>72235</x:v>
      </x:c>
      <x:c r="H315" t="str">
        <x:v>CNY</x:v>
      </x:c>
      <x:c r="I315" t="n">
        <x:v>253</x:v>
      </x:c>
      <x:c r="J315" t="str">
        <x:v>应付债券</x:v>
      </x:c>
      <x:c r="K315" t="str">
        <x:v>candidate_pending_automated_verification</x:v>
      </x:c>
      <x:c r="L315" t="str">
        <x:v>https://static.cninfo.com.cn/finalpage/2026-03-27/1225038263.PDF</x:v>
      </x:c>
      <x:c r="M315" t="str">
        <x:v>860c455bbad9be59d3d1bf64bf683733feb79157212532df44b91d49a0b03c2a</x:v>
      </x:c>
      <x:c r="N315" t="str">
        <x:v>合同负债 4,703,643 282,048 – – – (896) 4,984,795
分出再保险合同负债 – 569 – – – – 569
长期借款 11,036 – – 172,799 1,231 (63,026) 122,040
应付债券 72,235 10,111 695,200 165,356 – 24,140 967,042
其他 151,756 47,152 407,857 187,993 119,161 (28,687) 885,232
分部负债合计 5,239,457 382,445 5,274,428 806,792 133,460 (183,467) 11,653,115
分部权益合计 4</x:v>
      </x:c>
    </x:row>
    <x:row r="316">
      <x:c r="A316" t="str">
        <x:v>f8ed8262-e061-4f35-ba67-1e194c807868</x:v>
      </x:c>
      <x:c r="B316" t="str">
        <x:v>601318</x:v>
      </x:c>
      <x:c r="C316" t="str">
        <x:v>中国平安</x:v>
      </x:c>
      <x:c r="D316" t="str">
        <x:v>2025-12-31</x:v>
      </x:c>
      <x:c r="E316" t="str">
        <x:v>annual</x:v>
      </x:c>
      <x:c r="F316" t="str">
        <x:v>long_term_borrowings</x:v>
      </x:c>
      <x:c r="G316" t="n">
        <x:v>11036</x:v>
      </x:c>
      <x:c r="H316" t="str">
        <x:v>CNY</x:v>
      </x:c>
      <x:c r="I316" t="n">
        <x:v>253</x:v>
      </x:c>
      <x:c r="J316" t="str">
        <x:v>长期借款</x:v>
      </x:c>
      <x:c r="K316" t="str">
        <x:v>candidate_pending_automated_verification</x:v>
      </x:c>
      <x:c r="L316" t="str">
        <x:v>https://static.cninfo.com.cn/finalpage/2026-03-27/1225038263.PDF</x:v>
      </x:c>
      <x:c r="M316" t="str">
        <x:v>860c455bbad9be59d3d1bf64bf683733feb79157212532df44b91d49a0b03c2a</x:v>
      </x:c>
      <x:c r="N316" t="str">
        <x:v>收存款 – – 3,592,313 – 3,934 (54,799) 3,541,448
保险合同负债 4,703,643 282,048 – – – (896) 4,984,795
分出再保险合同负债 – 569 – – – – 569
长期借款 11,036 – – 172,799 1,231 (63,026) 122,040
应付债券 72,235 10,111 695,200 165,356 – 24,140 967,042
其他 151,756 47,152 407,857 187,993 119,161 (28,687) 885,232
分部负债合计 5,239,457 382,445 5,274,42</x:v>
      </x:c>
    </x:row>
    <x:row r="317">
      <x:c r="A317" t="str">
        <x:v>05800a81-af95-4b8f-af3c-fbd33c840dfa</x:v>
      </x:c>
      <x:c r="B317" t="str">
        <x:v>601318</x:v>
      </x:c>
      <x:c r="C317" t="str">
        <x:v>中国平安</x:v>
      </x:c>
      <x:c r="D317" t="str">
        <x:v>2025-12-31</x:v>
      </x:c>
      <x:c r="E317" t="str">
        <x:v>annual</x:v>
      </x:c>
      <x:c r="F317" t="str">
        <x:v>short_term_borrowings</x:v>
      </x:c>
      <x:c r="G317" t="n">
        <x:v>2973</x:v>
      </x:c>
      <x:c r="H317" t="str">
        <x:v>CNY</x:v>
      </x:c>
      <x:c r="I317" t="n">
        <x:v>253</x:v>
      </x:c>
      <x:c r="J317" t="str">
        <x:v>短期借款</x:v>
      </x:c>
      <x:c r="K317" t="str">
        <x:v>candidate_pending_automated_verification</x:v>
      </x:c>
      <x:c r="L317" t="str">
        <x:v>https://static.cninfo.com.cn/finalpage/2026-03-27/1225038263.PDF</x:v>
      </x:c>
      <x:c r="M317" t="str">
        <x:v>860c455bbad9be59d3d1bf64bf683733feb79157212532df44b91d49a0b03c2a</x:v>
      </x:c>
      <x:c r="N317" t="str">
        <x:v>财务报表
二零二五年年报 中国平安保险 （集团） 股份有限公司
249
寿险及
健康险 财产保险 银行 资产管理 金融赋能
其他业务及
合并抵销 合计
分部负债
短期借款 2,973 – – 116,284 7,778 (31,373) 95,662
银行同业及其他金融机构存放款项 – – 447,877 – – (29,432) 418,445
卖出回购金融资产款 225,802 42,415 131,181 60,826 502 1,566 462,292
代理买卖证券款 66,616 – – 102,230 – (127) 168</x:v>
      </x:c>
    </x:row>
    <x:row r="318">
      <x:c r="A318" t="str">
        <x:v>b91c6d24-8473-4cc2-b33c-10c2c15b6516</x:v>
      </x:c>
      <x:c r="B318" t="str">
        <x:v>601318</x:v>
      </x:c>
      <x:c r="C318" t="str">
        <x:v>中国平安</x:v>
      </x:c>
      <x:c r="D318" t="str">
        <x:v>2025-12-31</x:v>
      </x:c>
      <x:c r="E318" t="str">
        <x:v>annual</x:v>
      </x:c>
      <x:c r="F318" t="str">
        <x:v>cash</x:v>
      </x:c>
      <x:c r="G318" t="n">
        <x:v>162717</x:v>
      </x:c>
      <x:c r="H318" t="str">
        <x:v>CNY</x:v>
      </x:c>
      <x:c r="I318" t="n">
        <x:v>252</x:v>
      </x:c>
      <x:c r="J318" t="str">
        <x:v>货币资金</x:v>
      </x:c>
      <x:c r="K318" t="str">
        <x:v>candidate_pending_automated_verification</x:v>
      </x:c>
      <x:c r="L318" t="str">
        <x:v>https://static.cninfo.com.cn/finalpage/2026-03-27/1225038263.PDF</x:v>
      </x:c>
      <x:c r="M318" t="str">
        <x:v>860c455bbad9be59d3d1bf64bf683733feb79157212532df44b91d49a0b03c2a</x:v>
      </x:c>
      <x:c r="N318" t="str">
        <x:v>97 15,021 44,508 (11,114) 13,285 (7,064) 146,733
归属于母公司股东的净利润 93,025 14,952 25,796 (11,899) 12,907 (8,174) 126,607
分部资产
货币资金 162,717 24,612 401,063 111,837 28,472 (45,268) 683,433
拆出资金 – – 267,252 – 505 (819) 266,938
买入返售金融资产 34,925 814 32,719 16,722 549 6,111 91,840
应收账款 3,440 19 – 30,776 2,489 (718) 36,006
分出</x:v>
      </x:c>
    </x:row>
    <x:row r="319">
      <x:c r="A319" t="str">
        <x:v>766920c7-08c8-4081-8d5b-47f019625a9d</x:v>
      </x:c>
      <x:c r="B319" t="str">
        <x:v>601318</x:v>
      </x:c>
      <x:c r="C319" t="str">
        <x:v>中国平安</x:v>
      </x:c>
      <x:c r="D319" t="str">
        <x:v>2025-12-31</x:v>
      </x:c>
      <x:c r="E319" t="str">
        <x:v>annual</x:v>
      </x:c>
      <x:c r="F319" t="str">
        <x:v>bonds_payable</x:v>
      </x:c>
      <x:c r="G319" t="n">
        <x:v>88138</x:v>
      </x:c>
      <x:c r="H319" t="str">
        <x:v>CNY</x:v>
      </x:c>
      <x:c r="I319" t="n">
        <x:v>250</x:v>
      </x:c>
      <x:c r="J319" t="str">
        <x:v>应付债券</x:v>
      </x:c>
      <x:c r="K319" t="str">
        <x:v>candidate_pending_automated_verification</x:v>
      </x:c>
      <x:c r="L319" t="str">
        <x:v>https://static.cninfo.com.cn/finalpage/2026-03-27/1225038263.PDF</x:v>
      </x:c>
      <x:c r="M319" t="str">
        <x:v>860c455bbad9be59d3d1bf64bf683733feb79157212532df44b91d49a0b03c2a</x:v>
      </x:c>
      <x:c r="N319" t="str">
        <x:v>1
保险合同负债 5,053,125 307,761 – – – 24 5,360,910
分出再保险合同负债 – 537 – – – – 537
长期借款 5,470 – – 228,343 6,963 (90,682) 150,094
应付债券 88,138 16,165 544,534 174,765 2,928 27,131 853,661
其他 157,664 60,263 550,264 193,338 113,021 (28,536) 1,046,014
分部负债合计 5,864,343 415,719 5,374,593 908,077 152,269 (232,518) 12,482,483
分部</x:v>
      </x:c>
    </x:row>
    <x:row r="320">
      <x:c r="A320" t="str">
        <x:v>718d64df-973c-44eb-bb7f-9b12a3dd8ede</x:v>
      </x:c>
      <x:c r="B320" t="str">
        <x:v>601318</x:v>
      </x:c>
      <x:c r="C320" t="str">
        <x:v>中国平安</x:v>
      </x:c>
      <x:c r="D320" t="str">
        <x:v>2025-12-31</x:v>
      </x:c>
      <x:c r="E320" t="str">
        <x:v>annual</x:v>
      </x:c>
      <x:c r="F320" t="str">
        <x:v>long_term_borrowings</x:v>
      </x:c>
      <x:c r="G320" t="n">
        <x:v>5470</x:v>
      </x:c>
      <x:c r="H320" t="str">
        <x:v>CNY</x:v>
      </x:c>
      <x:c r="I320" t="n">
        <x:v>250</x:v>
      </x:c>
      <x:c r="J320" t="str">
        <x:v>长期借款</x:v>
      </x:c>
      <x:c r="K320" t="str">
        <x:v>candidate_pending_automated_verification</x:v>
      </x:c>
      <x:c r="L320" t="str">
        <x:v>https://static.cninfo.com.cn/finalpage/2026-03-27/1225038263.PDF</x:v>
      </x:c>
      <x:c r="M320" t="str">
        <x:v>860c455bbad9be59d3d1bf64bf683733feb79157212532df44b91d49a0b03c2a</x:v>
      </x:c>
      <x:c r="N320" t="str">
        <x:v>1
吸收存款 – – 3,633,569 – 9,457 (54,335) 3,588,691
保险合同负债 5,053,125 307,761 – – – 24 5,360,910
分出再保险合同负债 – 537 – – – – 537
长期借款 5,470 – – 228,343 6,963 (90,682) 150,094
应付债券 88,138 16,165 544,534 174,765 2,928 27,131 853,661
其他 157,664 60,263 550,264 193,338 113,021 (28,536) 1,046,014
分部负债合计 5,864,343 415,719 5,</x:v>
      </x:c>
    </x:row>
    <x:row r="321">
      <x:c r="A321" t="str">
        <x:v>8af7e24e-2f49-4787-9633-eac1dbbd49d9</x:v>
      </x:c>
      <x:c r="B321" t="str">
        <x:v>601318</x:v>
      </x:c>
      <x:c r="C321" t="str">
        <x:v>中国平安</x:v>
      </x:c>
      <x:c r="D321" t="str">
        <x:v>2025-12-31</x:v>
      </x:c>
      <x:c r="E321" t="str">
        <x:v>annual</x:v>
      </x:c>
      <x:c r="F321" t="str">
        <x:v>short_term_borrowings</x:v>
      </x:c>
      <x:c r="G321" t="n">
        <x:v>4735</x:v>
      </x:c>
      <x:c r="H321" t="str">
        <x:v>CNY</x:v>
      </x:c>
      <x:c r="I321" t="n">
        <x:v>250</x:v>
      </x:c>
      <x:c r="J321" t="str">
        <x:v>短期借款</x:v>
      </x:c>
      <x:c r="K321" t="str">
        <x:v>candidate_pending_automated_verification</x:v>
      </x:c>
      <x:c r="L321" t="str">
        <x:v>https://static.cninfo.com.cn/finalpage/2026-03-27/1225038263.PDF</x:v>
      </x:c>
      <x:c r="M321" t="str">
        <x:v>860c455bbad9be59d3d1bf64bf683733feb79157212532df44b91d49a0b03c2a</x:v>
      </x:c>
      <x:c r="N321" t="str">
        <x:v>002 158,451 86,506 18,521 (17,207) 632,115
分部资产合计 6,381,437 561,927 5,925,777 992,255 255,100 (218,025) 13,898,471
分部负债
短期借款 4,735 – – 111,109 17,436 (48,760) 84,520
银行同业及其他金融机构存放款项 – – 565,370 – – (37,207) 528,163
卖出回购金融资产款 468,168 30,886 80,856 61,588 1,527 522 643,547
代理买卖证券款 82,436 – – 138,149 – (30) 220,</x:v>
      </x:c>
    </x:row>
    <x:row r="322">
      <x:c r="A322" t="str">
        <x:v>613d60ac-f383-4cc7-a05e-1df4613f4afa</x:v>
      </x:c>
      <x:c r="B322" t="str">
        <x:v>601318</x:v>
      </x:c>
      <x:c r="C322" t="str">
        <x:v>中国平安</x:v>
      </x:c>
      <x:c r="D322" t="str">
        <x:v>2025-12-31</x:v>
      </x:c>
      <x:c r="E322" t="str">
        <x:v>annual</x:v>
      </x:c>
      <x:c r="F322" t="str">
        <x:v>cash</x:v>
      </x:c>
      <x:c r="G322" t="n">
        <x:v>220298</x:v>
      </x:c>
      <x:c r="H322" t="str">
        <x:v>CNY</x:v>
      </x:c>
      <x:c r="I322" t="n">
        <x:v>250</x:v>
      </x:c>
      <x:c r="J322" t="str">
        <x:v>货币资金</x:v>
      </x:c>
      <x:c r="K322" t="str">
        <x:v>candidate_pending_automated_verification</x:v>
      </x:c>
      <x:c r="L322" t="str">
        <x:v>https://static.cninfo.com.cn/finalpage/2026-03-27/1225038263.PDF</x:v>
      </x:c>
      <x:c r="M322" t="str">
        <x:v>860c455bbad9be59d3d1bf64bf683733feb79157212532df44b91d49a0b03c2a</x:v>
      </x:c>
      <x:c r="N322" t="str">
        <x:v>329 14,597 42,633 (3,000) 3,075 (11,333) 158,301
归属于母公司股东的净利润 108,723 14,531 24,711 (3,785) 3,192 (12,594) 134,778
分部资产
货币资金 220,298 31,759 397,930 139,127 37,816 (81,251) 745,679
拆出资金 – – 273,791 – 724 (1,520) 272,995
买入返售金融资产 91,033 3,919 59,526 19,267 1,212 8,540 183,497
应收账款 3,426 20 – 33,252 7,716 (736) 43</x:v>
      </x:c>
    </x:row>
    <x:row r="323">
      <x:c r="A323" t="str">
        <x:v>f87e796d-7e9d-49fd-a876-11d3e1fb518e</x:v>
      </x:c>
      <x:c r="B323" t="str">
        <x:v>601318</x:v>
      </x:c>
      <x:c r="C323" t="str">
        <x:v>中国平安</x:v>
      </x:c>
      <x:c r="D323" t="str">
        <x:v>2025-12-31</x:v>
      </x:c>
      <x:c r="E323" t="str">
        <x:v>annual</x:v>
      </x:c>
      <x:c r="F323" t="str">
        <x:v>operating_cash_flow</x:v>
      </x:c>
      <x:c r="G323" t="n">
        <x:v>59</x:v>
      </x:c>
      <x:c r="H323" t="str">
        <x:v>CNY</x:v>
      </x:c>
      <x:c r="I323" t="n">
        <x:v>194</x:v>
      </x:c>
      <x:c r="J323" t="str">
        <x:v>经营活动产生的现金流量净额</x:v>
      </x:c>
      <x:c r="K323" t="str">
        <x:v>candidate_pending_automated_verification</x:v>
      </x:c>
      <x:c r="L323" t="str">
        <x:v>https://static.cninfo.com.cn/finalpage/2026-03-27/1225038263.PDF</x:v>
      </x:c>
      <x:c r="M323" t="str">
        <x:v>860c455bbad9be59d3d1bf64bf683733feb79157212532df44b91d49a0b03c2a</x:v>
      </x:c>
      <x:c r="N323" t="str">
        <x:v>,126)
银行业务及证券业务为交易目的持有的金融资产净增加额 – (78,582)
支付的其他与经营活动有关的现金 59(4) (213,500) (160,462)
经营活动现金流出小计 (1,193,473) (1,263,852)
经营活动产生的现金流量净额 59(1) 658,632 382,474</x:v>
      </x:c>
    </x:row>
    <x:row r="324">
      <x:c r="A324" t="str">
        <x:v>82a15004-4e99-4d39-bf48-1bb4014bd831</x:v>
      </x:c>
      <x:c r="B324" t="str">
        <x:v>601318</x:v>
      </x:c>
      <x:c r="C324" t="str">
        <x:v>中国平安</x:v>
      </x:c>
      <x:c r="D324" t="str">
        <x:v>2025-12-31</x:v>
      </x:c>
      <x:c r="E324" t="str">
        <x:v>annual</x:v>
      </x:c>
      <x:c r="F324" t="str">
        <x:v>bonds_payable</x:v>
      </x:c>
      <x:c r="G324" t="n">
        <x:v>853661</x:v>
      </x:c>
      <x:c r="H324" t="str">
        <x:v>CNY</x:v>
      </x:c>
      <x:c r="I324" t="n">
        <x:v>188</x:v>
      </x:c>
      <x:c r="J324" t="str">
        <x:v>应付债券</x:v>
      </x:c>
      <x:c r="K324" t="str">
        <x:v>candidate_pending_automated_verification</x:v>
      </x:c>
      <x:c r="L324" t="str">
        <x:v>https://static.cninfo.com.cn/finalpage/2026-03-27/1225038263.PDF</x:v>
      </x:c>
      <x:c r="M324" t="str">
        <x:v>860c455bbad9be59d3d1bf64bf683733feb79157212532df44b91d49a0b03c2a</x:v>
      </x:c>
      <x:c r="N324" t="str">
        <x:v>税费 29 20,302 23,770
吸收存款 30 3,588,691 3,541,448
保险合同负债 31 5,360,910 4,984,795
分出再保险合同负债 537 569
长期借款 32 150,094 122,040
应付债券 33 853,661 967,042
租赁负债 19 8,407 8,801
递延所得税负债 20 6,647 13,977
其他负债 34 307,700 312,953
负债合计 12,482,483 11,653,115
    </x:v>
      </x:c>
    </x:row>
    <x:row r="325">
      <x:c r="A325" t="str">
        <x:v>8eb5a0d1-4c35-47fb-a742-57cddb8d2339</x:v>
      </x:c>
      <x:c r="B325" t="str">
        <x:v>601318</x:v>
      </x:c>
      <x:c r="C325" t="str">
        <x:v>中国平安</x:v>
      </x:c>
      <x:c r="D325" t="str">
        <x:v>2025-12-31</x:v>
      </x:c>
      <x:c r="E325" t="str">
        <x:v>annual</x:v>
      </x:c>
      <x:c r="F325" t="str">
        <x:v>long_term_borrowings</x:v>
      </x:c>
      <x:c r="G325" t="n">
        <x:v>150094</x:v>
      </x:c>
      <x:c r="H325" t="str">
        <x:v>CNY</x:v>
      </x:c>
      <x:c r="I325" t="n">
        <x:v>188</x:v>
      </x:c>
      <x:c r="J325" t="str">
        <x:v>长期借款</x:v>
      </x:c>
      <x:c r="K325" t="str">
        <x:v>candidate_pending_automated_verification</x:v>
      </x:c>
      <x:c r="L325" t="str">
        <x:v>https://static.cninfo.com.cn/finalpage/2026-03-27/1225038263.PDF</x:v>
      </x:c>
      <x:c r="M325" t="str">
        <x:v>860c455bbad9be59d3d1bf64bf683733feb79157212532df44b91d49a0b03c2a</x:v>
      </x:c>
      <x:c r="N325" t="str">
        <x:v>职工薪酬 28 60,831 56,564
应交税费 29 20,302 23,770
吸收存款 30 3,588,691 3,541,448
保险合同负债 31 5,360,910 4,984,795
分出再保险合同负债 537 569
长期借款 32 150,094 122,040
应付债券 33 853,661 967,042
租赁负债 19 8,407 8,801
递延所得税负债 20 6,647 13,977
其他负债 34 307,700 312,953
负债合计 12,482,483 11,653,115
    </x:v>
      </x:c>
    </x:row>
    <x:row r="326">
      <x:c r="A326" t="str">
        <x:v>2ad56b1c-b90a-4252-9347-7e10f9d94f82</x:v>
      </x:c>
      <x:c r="B326" t="str">
        <x:v>601318</x:v>
      </x:c>
      <x:c r="C326" t="str">
        <x:v>中国平安</x:v>
      </x:c>
      <x:c r="D326" t="str">
        <x:v>2025-12-31</x:v>
      </x:c>
      <x:c r="E326" t="str">
        <x:v>annual</x:v>
      </x:c>
      <x:c r="F326" t="str">
        <x:v>short_term_borrowings</x:v>
      </x:c>
      <x:c r="G326" t="n">
        <x:v>84520</x:v>
      </x:c>
      <x:c r="H326" t="str">
        <x:v>CNY</x:v>
      </x:c>
      <x:c r="I326" t="n">
        <x:v>188</x:v>
      </x:c>
      <x:c r="J326" t="str">
        <x:v>短期借款</x:v>
      </x:c>
      <x:c r="K326" t="str">
        <x:v>candidate_pending_automated_verification</x:v>
      </x:c>
      <x:c r="L326" t="str">
        <x:v>https://static.cninfo.com.cn/finalpage/2026-03-27/1225038263.PDF</x:v>
      </x:c>
      <x:c r="M326" t="str">
        <x:v>860c455bbad9be59d3d1bf64bf683733feb79157212532df44b91d49a0b03c2a</x:v>
      </x:c>
      <x:c r="N326" t="str">
        <x:v>二零二五年年报 中国平安保险 （集团） 股份有限公司
184
合并资产负债表
2025年12月31日
（除特别注明外，金额单位为人民币百万元）
附注八 2025 年12月31日 2024 年12月31日
负债及股东权益
负债
短期借款 23 84,520 95,662
向中央银行借款 223,537 86,110
银行同业及其他金融机构存放款项 24 528,163 418,445
拆入资金 25 118,295 115,926
以公允价值计量且其变动计入当期损益的金融负债 221,829 172,768
衍生金融负债 5 46,862 74,937
卖出回购金融资产款 26 643,547 462,292</x:v>
      </x:c>
    </x:row>
    <x:row r="327">
      <x:c r="A327" t="str">
        <x:v>25daad2e-d929-473c-9f7a-45344e3aa6bc</x:v>
      </x:c>
      <x:c r="B327" t="str">
        <x:v>601318</x:v>
      </x:c>
      <x:c r="C327" t="str">
        <x:v>中国平安</x:v>
      </x:c>
      <x:c r="D327" t="str">
        <x:v>2025-12-31</x:v>
      </x:c>
      <x:c r="E327" t="str">
        <x:v>annual</x:v>
      </x:c>
      <x:c r="F327" t="str">
        <x:v>cash</x:v>
      </x:c>
      <x:c r="G327" t="n">
        <x:v>745679</x:v>
      </x:c>
      <x:c r="H327" t="str">
        <x:v>CNY</x:v>
      </x:c>
      <x:c r="I327" t="n">
        <x:v>187</x:v>
      </x:c>
      <x:c r="J327" t="str">
        <x:v>货币资金</x:v>
      </x:c>
      <x:c r="K327" t="str">
        <x:v>candidate_pending_automated_verification</x:v>
      </x:c>
      <x:c r="L327" t="str">
        <x:v>https://static.cninfo.com.cn/finalpage/2026-03-27/1225038263.PDF</x:v>
      </x:c>
      <x:c r="M327" t="str">
        <x:v>860c455bbad9be59d3d1bf64bf683733feb79157212532df44b91d49a0b03c2a</x:v>
      </x:c>
      <x:c r="N327" t="str">
        <x:v>财务报表
二零二五年年报 中国平安保险 （集团） 股份有限公司
183
合并资产负债表
2025年12月31日
（除特别注明外，金额单位为人民币百万元）
附注八 2025 年12月31日 2024 年12月31日
资产
货币资金 1 745,679 683,433
结算备付金 2 35,330 33,982
拆出资金 3 272,995 266,938
买入返售金融资产 4 183,497 91,840
应收账款 43,678 36,006
衍生金融资产 5 30,002 68,698
分出再保险合同资产 25,515 26,084
长期应收款 6 258,202 210,176
发放贷款及垫款 7 </x:v>
      </x:c>
    </x:row>
    <x:row r="328">
      <x:c r="A328" t="str">
        <x:v>98e63869-e24f-4b9c-bac9-d23847fb351e</x:v>
      </x:c>
      <x:c r="B328" t="str">
        <x:v>601318</x:v>
      </x:c>
      <x:c r="C328" t="str">
        <x:v>中国平安</x:v>
      </x:c>
      <x:c r="D328" t="str">
        <x:v>2025-12-31</x:v>
      </x:c>
      <x:c r="E328" t="str">
        <x:v>annual</x:v>
      </x:c>
      <x:c r="F328" t="str">
        <x:v>bonds_payable</x:v>
      </x:c>
      <x:c r="G328" t="n">
        <x:v>853661</x:v>
      </x:c>
      <x:c r="H328" t="str">
        <x:v>CNY</x:v>
      </x:c>
      <x:c r="I328" t="n">
        <x:v>318</x:v>
      </x:c>
      <x:c r="J328" t="str">
        <x:v>应付债券</x:v>
      </x:c>
      <x:c r="K328" t="str">
        <x:v>candidate_pending_automated_verification</x:v>
      </x:c>
      <x:c r="L328" t="str">
        <x:v>https://static.cninfo.com.cn/finalpage/2026-03-27/1225038263.PDF</x:v>
      </x:c>
      <x:c r="M328" t="str">
        <x:v>860c455bbad9be59d3d1bf64bf683733feb79157212532df44b91d49a0b03c2a</x:v>
      </x:c>
      <x:c r="N328" t="str">
        <x:v> 168,719
应付账款 5,791 6,871 5,791 6,871
吸收存款 3,588,691 3,541,448 3,588,691 3,541,448
长期借款 150,094 122,040 150,094 122,040
应付债券 853,661 967,042 853,042 969,271
其他负债 244,121 247,025 244,121 247,025</x:v>
      </x:c>
    </x:row>
    <x:row r="329">
      <x:c r="A329" t="str">
        <x:v>b68f0dcd-2942-4a6c-b12f-bea3c84c6f22</x:v>
      </x:c>
      <x:c r="B329" t="str">
        <x:v>601318</x:v>
      </x:c>
      <x:c r="C329" t="str">
        <x:v>中国平安</x:v>
      </x:c>
      <x:c r="D329" t="str">
        <x:v>2025-12-31</x:v>
      </x:c>
      <x:c r="E329" t="str">
        <x:v>annual</x:v>
      </x:c>
      <x:c r="F329" t="str">
        <x:v>long_term_borrowings</x:v>
      </x:c>
      <x:c r="G329" t="n">
        <x:v>150094</x:v>
      </x:c>
      <x:c r="H329" t="str">
        <x:v>CNY</x:v>
      </x:c>
      <x:c r="I329" t="n">
        <x:v>318</x:v>
      </x:c>
      <x:c r="J329" t="str">
        <x:v>长期借款</x:v>
      </x:c>
      <x:c r="K329" t="str">
        <x:v>candidate_pending_automated_verification</x:v>
      </x:c>
      <x:c r="L329" t="str">
        <x:v>https://static.cninfo.com.cn/finalpage/2026-03-27/1225038263.PDF</x:v>
      </x:c>
      <x:c r="M329" t="str">
        <x:v>860c455bbad9be59d3d1bf64bf683733feb79157212532df44b91d49a0b03c2a</x:v>
      </x:c>
      <x:c r="N329" t="str">
        <x:v>2,292
代理买卖证券款 220,555 168,719 220,555 168,719
应付账款 5,791 6,871 5,791 6,871
吸收存款 3,588,691 3,541,448 3,588,691 3,541,448
长期借款 150,094 122,040 150,094 122,040
应付债券 853,661 967,042 853,042 969,271
其他负债 244,121 247,025 244,121 247,025</x:v>
      </x:c>
    </x:row>
    <x:row r="330">
      <x:c r="A330" t="str">
        <x:v>1d92b8b3-e0af-4c76-9c68-9b5c2397ecaa</x:v>
      </x:c>
      <x:c r="B330" t="str">
        <x:v>600016</x:v>
      </x:c>
      <x:c r="C330" t="str">
        <x:v>民生银行</x:v>
      </x:c>
      <x:c r="D330" t="str">
        <x:v>2025-12-31</x:v>
      </x:c>
      <x:c r="E330" t="str">
        <x:v>annual</x:v>
      </x:c>
      <x:c r="F330" t="str">
        <x:v>bonds_payable</x:v>
      </x:c>
      <x:c r="G330" t="n">
        <x:v>930732</x:v>
      </x:c>
      <x:c r="H330" t="str">
        <x:v>CNY</x:v>
      </x:c>
      <x:c r="I330" t="n">
        <x:v>270</x:v>
      </x:c>
      <x:c r="J330" t="str">
        <x:v>应付债券</x:v>
      </x:c>
      <x:c r="K330" t="str">
        <x:v>candidate_pending_automated_verification</x:v>
      </x:c>
      <x:c r="L330" t="str">
        <x:v>https://static.cninfo.com.cn/finalpage/2026-03-31/1225062867.PDF</x:v>
      </x:c>
      <x:c r="M330" t="str">
        <x:v>86691c8a6c47b4b2bd918017cdf5227996a2bad71a972dd089630de192ae3e57</x:v>
      </x:c>
      <x:c r="N330" t="str">
        <x:v>资金 15,212 30,917 6,608 19,741 72,478
卖出回购金融资产款 230,311 3,638 – – 233,949
吸收存款 4,045,728 213,185 15,357 21,560 4,295,830
应付债券 930,732 2,162 – – 932,894
租赁负债 8,703 – 54 14 8,771
其他负债 129,418 4,360 814 328 134,920
负债合计 6,576,771 290,993 32,096 41,649 6,941,509
头寸净额 576,395 (6,578) 20,501 39,186 629,504
货币衍生合约 57,7</x:v>
      </x:c>
    </x:row>
    <x:row r="331">
      <x:c r="A331" t="str">
        <x:v>32e07b00-e531-4047-82c5-e78dbfbb417f</x:v>
      </x:c>
      <x:c r="B331" t="str">
        <x:v>600016</x:v>
      </x:c>
      <x:c r="C331" t="str">
        <x:v>民生银行</x:v>
      </x:c>
      <x:c r="D331" t="str">
        <x:v>2025-12-31</x:v>
      </x:c>
      <x:c r="E331" t="str">
        <x:v>annual</x:v>
      </x:c>
      <x:c r="F331" t="str">
        <x:v>bonds_payable</x:v>
      </x:c>
      <x:c r="G331" t="n">
        <x:v>997924</x:v>
      </x:c>
      <x:c r="H331" t="str">
        <x:v>CNY</x:v>
      </x:c>
      <x:c r="I331" t="n">
        <x:v>269</x:v>
      </x:c>
      <x:c r="J331" t="str">
        <x:v>应付债券</x:v>
      </x:c>
      <x:c r="K331" t="str">
        <x:v>candidate_pending_automated_verification</x:v>
      </x:c>
      <x:c r="L331" t="str">
        <x:v>https://static.cninfo.com.cn/finalpage/2026-03-31/1225062867.PDF</x:v>
      </x:c>
      <x:c r="M331" t="str">
        <x:v>86691c8a6c47b4b2bd918017cdf5227996a2bad71a972dd089630de192ae3e57</x:v>
      </x:c>
      <x:c r="N331" t="str">
        <x:v>资金 22,720 31,503 5,237 22,813 82,273
卖出回购金融资产款 245,613 3,605 – – 249,218
吸收存款 4,054,709 221,867 17,907 19,077 4,313,560
应付债券 997,924 5,938 – – 1,003,862
租赁负债 7,686 – 9 8 7,703
其他负债 94,158 8,537 741 44,876 148,312
负债合计 6,472,329 325,113 34,623 86,824 6,918,889
头寸净额 663,654 (5,084) 15,806 709 675,085
</x:v>
      </x:c>
    </x:row>
    <x:row r="332">
      <x:c r="A332" t="str">
        <x:v>7c6c7d66-47d0-475d-bcde-70b66ad4ee2d</x:v>
      </x:c>
      <x:c r="B332" t="str">
        <x:v>600016</x:v>
      </x:c>
      <x:c r="C332" t="str">
        <x:v>民生银行</x:v>
      </x:c>
      <x:c r="D332" t="str">
        <x:v>2025-12-31</x:v>
      </x:c>
      <x:c r="E332" t="str">
        <x:v>annual</x:v>
      </x:c>
      <x:c r="F332" t="str">
        <x:v>bonds_payable</x:v>
      </x:c>
      <x:c r="G332" t="n">
        <x:v>938863</x:v>
      </x:c>
      <x:c r="H332" t="str">
        <x:v>CNY</x:v>
      </x:c>
      <x:c r="I332" t="n">
        <x:v>268</x:v>
      </x:c>
      <x:c r="J332" t="str">
        <x:v>应付债券</x:v>
      </x:c>
      <x:c r="K332" t="str">
        <x:v>candidate_pending_automated_verification</x:v>
      </x:c>
      <x:c r="L332" t="str">
        <x:v>https://static.cninfo.com.cn/finalpage/2026-03-31/1225062867.PDF</x:v>
      </x:c>
      <x:c r="M332" t="str">
        <x:v>86691c8a6c47b4b2bd918017cdf5227996a2bad71a972dd089630de192ae3e57</x:v>
      </x:c>
      <x:c r="N332" t="str">
        <x:v>款 72,270 37,538 2,185 – 111,993
卖出回购金融资产款 236,285 8,038 3,783 18 248,124
吸收存款 4,082,728 213,036 15,357 21,560 4,332,681
应付债券 938,863 2,162 – – 941,025
租赁负债 8,979 – 85 14 9,078
其他负债 171,513 7,631 1,192 350 180,686
负债合计 6,742,057 336,191 38,464 41,689 7,158,401
头寸净额 589,089 12,421 15,844 39,214 656,568
货币衍生合约 57,</x:v>
      </x:c>
    </x:row>
    <x:row r="333">
      <x:c r="A333" t="str">
        <x:v>87676b37-7d24-4401-9576-fa15b9e7f8f2</x:v>
      </x:c>
      <x:c r="B333" t="str">
        <x:v>600016</x:v>
      </x:c>
      <x:c r="C333" t="str">
        <x:v>民生银行</x:v>
      </x:c>
      <x:c r="D333" t="str">
        <x:v>2025-12-31</x:v>
      </x:c>
      <x:c r="E333" t="str">
        <x:v>annual</x:v>
      </x:c>
      <x:c r="F333" t="str">
        <x:v>bonds_payable</x:v>
      </x:c>
      <x:c r="G333" t="n">
        <x:v>15440</x:v>
      </x:c>
      <x:c r="H333" t="str">
        <x:v>CNY</x:v>
      </x:c>
      <x:c r="I333" t="n">
        <x:v>275</x:v>
      </x:c>
      <x:c r="J333" t="str">
        <x:v>应付债券</x:v>
      </x:c>
      <x:c r="K333" t="str">
        <x:v>candidate_pending_automated_verification</x:v>
      </x:c>
      <x:c r="L333" t="str">
        <x:v>https://static.cninfo.com.cn/finalpage/2026-03-31/1225062867.PDF</x:v>
      </x:c>
      <x:c r="M333" t="str">
        <x:v>86691c8a6c47b4b2bd918017cdf5227996a2bad71a972dd089630de192ae3e57</x:v>
      </x:c>
      <x:c r="N333" t="str">
        <x:v>– 360 72,478
卖出回购金融资产款 48,227 97,174 88,157 – – 391 233,949
吸收存款 1,964,586 406,940 837,922 1,003,633 – 82,749 4,295,830
应付债券 15,440 202,312 609,895 22,986 79,994 2,267 932,894
租赁负债 217 495 1,939 5,160 960 – 8,771
其他负债 – 9,564 – – – 125,356 134,920
负债合计 2,591,566 946,611 2,073,095 1,031,779 80,954 217,504 6,941</x:v>
      </x:c>
    </x:row>
    <x:row r="334">
      <x:c r="A334" t="str">
        <x:v>c2a131ed-e44d-4f6b-ad6d-7145e0fecf78</x:v>
      </x:c>
      <x:c r="B334" t="str">
        <x:v>600016</x:v>
      </x:c>
      <x:c r="C334" t="str">
        <x:v>民生银行</x:v>
      </x:c>
      <x:c r="D334" t="str">
        <x:v>2025-12-31</x:v>
      </x:c>
      <x:c r="E334" t="str">
        <x:v>annual</x:v>
      </x:c>
      <x:c r="F334" t="str">
        <x:v>bonds_payable</x:v>
      </x:c>
      <x:c r="G334" t="n">
        <x:v>91300</x:v>
      </x:c>
      <x:c r="H334" t="str">
        <x:v>CNY</x:v>
      </x:c>
      <x:c r="I334" t="n">
        <x:v>272</x:v>
      </x:c>
      <x:c r="J334" t="str">
        <x:v>应付债券</x:v>
      </x:c>
      <x:c r="K334" t="str">
        <x:v>candidate_pending_automated_verification</x:v>
      </x:c>
      <x:c r="L334" t="str">
        <x:v>https://static.cninfo.com.cn/finalpage/2026-03-31/1225062867.PDF</x:v>
      </x:c>
      <x:c r="M334" t="str">
        <x:v>86691c8a6c47b4b2bd918017cdf5227996a2bad71a972dd089630de192ae3e57</x:v>
      </x:c>
      <x:c r="N334" t="str">
        <x:v>719 112,407
卖出回购金融资产款 171,703 58,540 30,020 – – 531 260,794
吸收存款 2,002,733 436,696 845,906 991,235 668 70,561 4,347,799
应付债券 91,300 237,384 576,723 34,451 69,993 2,157 1,012,008
租赁负债 230 455 1,843 4,758 780 – 8,066
其他负债 596 46,262 1,962 – – 139,177 187,997
负债合计 2,876,681 987,359 1,941,570 1,033,412 72,</x:v>
      </x:c>
    </x:row>
    <x:row r="335">
      <x:c r="A335" t="str">
        <x:v>f0181365-03a3-4660-abc0-858b2582a3c3</x:v>
      </x:c>
      <x:c r="B335" t="str">
        <x:v>600016</x:v>
      </x:c>
      <x:c r="C335" t="str">
        <x:v>民生银行</x:v>
      </x:c>
      <x:c r="D335" t="str">
        <x:v>2025-12-31</x:v>
      </x:c>
      <x:c r="E335" t="str">
        <x:v>annual</x:v>
      </x:c>
      <x:c r="F335" t="str">
        <x:v>bonds_payable</x:v>
      </x:c>
      <x:c r="G335" t="n">
        <x:v>1006070</x:v>
      </x:c>
      <x:c r="H335" t="str">
        <x:v>CNY</x:v>
      </x:c>
      <x:c r="I335" t="n">
        <x:v>267</x:v>
      </x:c>
      <x:c r="J335" t="str">
        <x:v>应付债券</x:v>
      </x:c>
      <x:c r="K335" t="str">
        <x:v>candidate_pending_automated_verification</x:v>
      </x:c>
      <x:c r="L335" t="str">
        <x:v>https://static.cninfo.com.cn/finalpage/2026-03-31/1225062867.PDF</x:v>
      </x:c>
      <x:c r="M335" t="str">
        <x:v>86691c8a6c47b4b2bd918017cdf5227996a2bad71a972dd089630de192ae3e57</x:v>
      </x:c>
      <x:c r="N335" t="str">
        <x:v>款 65,314 45,467 1,626 – 112,407
卖出回购金融资产款 248,682 10,201 1,911 – 260,794
吸收存款 4,088,948 221,867 17,907 19,077 4,347,799
应付债券 1,006,070 5,938 – – 1,012,008
租赁负债 8,047 – 11 8 8,066
其他负债 129,523 12,332 1,262 44,880 187,997
负债合计 6,623,087 380,808 38,646 86,829 7,129,370
头寸净额 682,772 4,734 14,889 802 703,1</x:v>
      </x:c>
    </x:row>
    <x:row r="336">
      <x:c r="A336" t="str">
        <x:v>d91aec3b-fc6d-4a55-89c9-d77f2f08d9c3</x:v>
      </x:c>
      <x:c r="B336" t="str">
        <x:v>600016</x:v>
      </x:c>
      <x:c r="C336" t="str">
        <x:v>民生银行</x:v>
      </x:c>
      <x:c r="D336" t="str">
        <x:v>2025-12-31</x:v>
      </x:c>
      <x:c r="E336" t="str">
        <x:v>annual</x:v>
      </x:c>
      <x:c r="F336" t="str">
        <x:v>bonds_payable</x:v>
      </x:c>
      <x:c r="G336" t="n">
        <x:v>1012008</x:v>
      </x:c>
      <x:c r="H336" t="str">
        <x:v>CNY</x:v>
      </x:c>
      <x:c r="I336" t="n">
        <x:v>120</x:v>
      </x:c>
      <x:c r="J336" t="str">
        <x:v>应付债券</x:v>
      </x:c>
      <x:c r="K336" t="str">
        <x:v>candidate_pending_automated_verification</x:v>
      </x:c>
      <x:c r="L336" t="str">
        <x:v>https://static.cninfo.com.cn/finalpage/2026-03-31/1225062867.PDF</x:v>
      </x:c>
      <x:c r="M336" t="str">
        <x:v>86691c8a6c47b4b2bd918017cdf5227996a2bad71a972dd089630de192ae3e57</x:v>
      </x:c>
      <x:c r="N336" t="str">
        <x:v>9,078 7,703 8,771
应付职工薪酬 23 14,597 13,993 13,879 13,298
应交税费 24 8,719 8,181 8,293 7,486
预计负债 25 1,727 1,730 1,727 1,729
应付债券 26 1,012,008 941,025 1,003,862 932,894
递延所得税负债 14 238 243 – –
其他负债 27 67,263 79,238 54,836 68,784
负债合计 7,129,370 7,158,401 6,918,889 6,941,509
后附财务报表附注为本财务报表的组成部分。
ᅏі</x:v>
      </x:c>
    </x:row>
    <x:row r="337">
      <x:c r="A337" t="str">
        <x:v>f46dd216-91c7-4eca-b8f0-46be57838ba2</x:v>
      </x:c>
      <x:c r="B337" t="str">
        <x:v>600016</x:v>
      </x:c>
      <x:c r="C337" t="str">
        <x:v>民生银行</x:v>
      </x:c>
      <x:c r="D337" t="str">
        <x:v>2025-12-31</x:v>
      </x:c>
      <x:c r="E337" t="str">
        <x:v>annual</x:v>
      </x:c>
      <x:c r="F337" t="str">
        <x:v>bonds_payable</x:v>
      </x:c>
      <x:c r="G337" t="n">
        <x:v>10120.08</x:v>
      </x:c>
      <x:c r="H337" t="str">
        <x:v>CNY</x:v>
      </x:c>
      <x:c r="I337" t="n">
        <x:v>38</x:v>
      </x:c>
      <x:c r="J337" t="str">
        <x:v>应付债券</x:v>
      </x:c>
      <x:c r="K337" t="str">
        <x:v>candidate_pending_automated_verification</x:v>
      </x:c>
      <x:c r="L337" t="str">
        <x:v>https://static.cninfo.com.cn/finalpage/2026-03-31/1225062867.PDF</x:v>
      </x:c>
      <x:c r="M337" t="str">
        <x:v>86691c8a6c47b4b2bd918017cdf5227996a2bad71a972dd089630de192ae3e57</x:v>
      </x:c>
      <x:c r="N337" t="str">
        <x:v>资产款
截至报告期末，本集团同业及其他金融机构存拆入款项和卖出回购金融资产款为 12,325.33 亿元，比上年末减少
892.97 亿元，降幅6.76%。主要是存款规模稳定增长，同业存放业务规模下降。
3、 应付债券
截至报告期末，本集团应付债券 10,120.08 亿元，比上年末增加 709.83 亿元，增幅7.54%。
（三） 负债质量分析
本行全面贯彻落实监管要求，持续加强负债质量管理，建立与负债规模和复杂程度相适应的负债质量管理体
系，明确董事会、高级管理层以及相关职能部门、各机构在负债质量管理中的工作职责。本行董事会和高级管理层
对负债质量实施有效管理和监控，董事会承担负债质量管理的最终责任，高级管理层承担负</x:v>
      </x:c>
    </x:row>
    <x:row r="338">
      <x:c r="A338" t="str">
        <x:v>db75b215-28da-4869-8124-70a6b5005fed</x:v>
      </x:c>
      <x:c r="B338" t="str">
        <x:v>600016</x:v>
      </x:c>
      <x:c r="C338" t="str">
        <x:v>民生银行</x:v>
      </x:c>
      <x:c r="D338" t="str">
        <x:v>2025-12-31</x:v>
      </x:c>
      <x:c r="E338" t="str">
        <x:v>annual</x:v>
      </x:c>
      <x:c r="F338" t="str">
        <x:v>bonds_payable</x:v>
      </x:c>
      <x:c r="G338" t="n">
        <x:v>1012008</x:v>
      </x:c>
      <x:c r="H338" t="str">
        <x:v>CNY</x:v>
      </x:c>
      <x:c r="I338" t="n">
        <x:v>37</x:v>
      </x:c>
      <x:c r="J338" t="str">
        <x:v>应付债券</x:v>
      </x:c>
      <x:c r="K338" t="str">
        <x:v>candidate_pending_automated_verification</x:v>
      </x:c>
      <x:c r="L338" t="str">
        <x:v>https://static.cninfo.com.cn/finalpage/2026-03-31/1225062867.PDF</x:v>
      </x:c>
      <x:c r="M338" t="str">
        <x:v>86691c8a6c47b4b2bd918017cdf5227996a2bad71a972dd089630de192ae3e57</x:v>
      </x:c>
      <x:c r="N338" t="str">
        <x:v>1 60.52
其中 ： 吸收存款总额 （不含应计利息） 4,277,238 59.99 4,249,095 59.36
同业及其他金融机构存拆入款项和
 卖出回购金融资产款 1,232,533 17.29 1,321,830 18.47
应付债券 1,012,008 14.19 941,025 13.15
向中央银行及其他金融机构借款 340,967 4.78 373,101 5.21
其他 196,063 2.76 189,764 2.65
合计 7,129,370 100.00 7,158,401 100.00
1、 吸收存款
截至报告期末，本集团吸收存款总额 42,772.38 亿元，比上年末增加 2</x:v>
      </x:c>
    </x:row>
    <x:row r="339">
      <x:c r="A339" t="str">
        <x:v>2bccbc37-e439-4cc8-be61-eb2cb9e2cb91</x:v>
      </x:c>
      <x:c r="B339" t="str">
        <x:v>600016</x:v>
      </x:c>
      <x:c r="C339" t="str">
        <x:v>民生银行</x:v>
      </x:c>
      <x:c r="D339" t="str">
        <x:v>2025-12-31</x:v>
      </x:c>
      <x:c r="E339" t="str">
        <x:v>annual</x:v>
      </x:c>
      <x:c r="F339" t="str">
        <x:v>roe</x:v>
      </x:c>
      <x:c r="G339" t="n">
        <x:v>4.93</x:v>
      </x:c>
      <x:c r="H339" t="str">
        <x:v>percent</x:v>
      </x:c>
      <x:c r="I339" t="n">
        <x:v>15</x:v>
      </x:c>
      <x:c r="J339" t="str">
        <x:v>加权平均净资产收益率</x:v>
      </x:c>
      <x:c r="K339" t="str">
        <x:v>candidate_pending_automated_verification</x:v>
      </x:c>
      <x:c r="L339" t="str">
        <x:v>https://static.cninfo.com.cn/finalpage/2026-03-31/1225062867.PDF</x:v>
      </x:c>
      <x:c r="M339" t="str">
        <x:v>86691c8a6c47b4b2bd918017cdf5227996a2bad71a972dd089630de192ae3e57</x:v>
      </x:c>
      <x:c r="N339" t="str">
        <x:v>除非经常性损益后的稀释每股收益 0.64 0.64 – 0.72
 每股经营活动产生的现金流量净额 -3.60 -5.29 两期为负 1.68
盈利能力指标(%) 变动百分点
 平均总资产收益率 0.39 0.42 -0.03 0.48
 加权平均净资产收益率 4.93 5.18 -0.25 6.10
 扣除非经常性损益后加权平均
  净资产收益率 4.99 5.18 -0.19 6.08
 成本收入比 35.70 37.65 -1.95 36.10
 手续费及佣金净收入占营业收入比率 12.82 13.39 -0.57 13.66
 净利差 1.31 1.28 0.03 1.37
 净息差 1.40 1.39 0.01 </x:v>
      </x:c>
    </x:row>
    <x:row r="340">
      <x:c r="A340" t="str">
        <x:v>e4eadf2a-bf16-42bb-af8e-5a3912d94f2c</x:v>
      </x:c>
      <x:c r="B340" t="str">
        <x:v>600016</x:v>
      </x:c>
      <x:c r="C340" t="str">
        <x:v>民生银行</x:v>
      </x:c>
      <x:c r="D340" t="str">
        <x:v>2025-12-31</x:v>
      </x:c>
      <x:c r="E340" t="str">
        <x:v>annual</x:v>
      </x:c>
      <x:c r="F340" t="str">
        <x:v>eps_annual</x:v>
      </x:c>
      <x:c r="G340" t="n">
        <x:v>0.63</x:v>
      </x:c>
      <x:c r="H340" t="str">
        <x:v>CNY/share</x:v>
      </x:c>
      <x:c r="I340" t="n">
        <x:v>15</x:v>
      </x:c>
      <x:c r="J340" t="str">
        <x:v>基本每股收益</x:v>
      </x:c>
      <x:c r="K340" t="str">
        <x:v>candidate_pending_automated_verification</x:v>
      </x:c>
      <x:c r="L340" t="str">
        <x:v>https://static.cninfo.com.cn/finalpage/2026-03-31/1225062867.PDF</x:v>
      </x:c>
      <x:c r="M340" t="str">
        <x:v>86691c8a6c47b4b2bd918017cdf5227996a2bad71a972dd089630de192ae3e57</x:v>
      </x:c>
      <x:c r="N340" t="str">
        <x:v>.37 35,823
 归属于本行股东的扣除非经常性损益的
  净利润 30,926 32,279 -4.19 35,708
 经营活动产生的现金流量净额 -157,476 -231,638 两期为负 73,676
每股计 （人民币元）
 基本每股收益 0.63 0.64 -1.56 0.72
 稀释每股收益 0.63 0.64 -1.56 0.72
 扣除非经常性损益后的基本每股收益 0.64 0.64 – 0.72
 扣除非经常性损益后的稀释每股收益 0.64 0.64 – 0.72
 每股经营活动产生的现金流量净额 -3.60 -5.29 两期为负 1.68
盈利能力指标(%) 变动百分点
 平均总资产收益率</x:v>
      </x:c>
    </x:row>
    <x:row r="341">
      <x:c r="A341" t="str">
        <x:v>3462f419-b119-422a-b943-ca01921e65d2</x:v>
      </x:c>
      <x:c r="B341" t="str">
        <x:v>600016</x:v>
      </x:c>
      <x:c r="C341" t="str">
        <x:v>民生银行</x:v>
      </x:c>
      <x:c r="D341" t="str">
        <x:v>2025-12-31</x:v>
      </x:c>
      <x:c r="E341" t="str">
        <x:v>annual</x:v>
      </x:c>
      <x:c r="F341" t="str">
        <x:v>operating_cash_flow</x:v>
      </x:c>
      <x:c r="G341" t="n">
        <x:v>-157476</x:v>
      </x:c>
      <x:c r="H341" t="str">
        <x:v>reported_amount</x:v>
      </x:c>
      <x:c r="I341" t="n">
        <x:v>15</x:v>
      </x:c>
      <x:c r="J341" t="str">
        <x:v>经营活动产生的现金流量净额</x:v>
      </x:c>
      <x:c r="K341" t="str">
        <x:v>candidate_pending_automated_verification</x:v>
      </x:c>
      <x:c r="L341" t="str">
        <x:v>https://static.cninfo.com.cn/finalpage/2026-03-31/1225062867.PDF</x:v>
      </x:c>
      <x:c r="M341" t="str">
        <x:v>86691c8a6c47b4b2bd918017cdf5227996a2bad71a972dd089630de192ae3e57</x:v>
      </x:c>
      <x:c r="N341" t="str">
        <x:v>32,259 34,085 -5.36 37,358
 归属于本行股东的净利润 30,563 32,296 -5.37 35,823
 归属于本行股东的扣除非经常性损益的
  净利润 30,926 32,279 -4.19 35,708
 经营活动产生的现金流量净额 -157,476 -231,638 两期为负 73,676
每股计 （人民币元）
 基本每股收益 0.63 0.64 -1.56 0.72
 稀释每股收益 0.63 0.64 -1.56 0.72
 扣除非经常性损益后的基本每股收益 0.64 0.64 – 0.72
 扣除非经常性损益后的稀释每股收益 0.64 0.64 – 0.72
 每股经营活动产生的现金流量净额 -3</x:v>
      </x:c>
    </x:row>
    <x:row r="342">
      <x:c r="A342" t="str">
        <x:v>bedf0b95-3a14-43ef-9e2a-edba0785ecea</x:v>
      </x:c>
      <x:c r="B342" t="str">
        <x:v>600016</x:v>
      </x:c>
      <x:c r="C342" t="str">
        <x:v>民生银行</x:v>
      </x:c>
      <x:c r="D342" t="str">
        <x:v>2025-12-31</x:v>
      </x:c>
      <x:c r="E342" t="str">
        <x:v>annual</x:v>
      </x:c>
      <x:c r="F342" t="str">
        <x:v>bonds_payable</x:v>
      </x:c>
      <x:c r="G342" t="n">
        <x:v>1012008</x:v>
      </x:c>
      <x:c r="H342" t="str">
        <x:v>CNY</x:v>
      </x:c>
      <x:c r="I342" t="n">
        <x:v>301</x:v>
      </x:c>
      <x:c r="J342" t="str">
        <x:v>应付债券</x:v>
      </x:c>
      <x:c r="K342" t="str">
        <x:v>candidate_pending_automated_verification</x:v>
      </x:c>
      <x:c r="L342" t="str">
        <x:v>https://static.cninfo.com.cn/finalpage/2026-03-31/1225062867.PDF</x:v>
      </x:c>
      <x:c r="M342" t="str">
        <x:v>86691c8a6c47b4b2bd918017cdf5227996a2bad71a972dd089630de192ae3e57</x:v>
      </x:c>
      <x:c r="N342" t="str">
        <x:v>值
层级的披露 ：
本集团 2025 年12月31日
账面价值 公允价值 第一层级 第二层级 第三层级
金融资产
以摊余成本计量的金融资产 1,340,151 1,374,878 – 1,343,665 31,213
金融负债
应付债券 1,012,008 998,669 – 998,669 –
2024 年12月31日
账面价值 公允价值 第一层级 第二层级 第三层级
金融资产
以摊余成本计量的金融资产 1,480,798 1,529,949 – 1,488,791 41,158
金融负债
应付债券 941,025 933,371 – 933,371 –
ᇿ</x:v>
      </x:c>
    </x:row>
    <x:row r="343">
      <x:c r="A343" t="str">
        <x:v>05868a96-122b-4129-94dc-c07542b5baaa</x:v>
      </x:c>
      <x:c r="B343" t="str">
        <x:v>600016</x:v>
      </x:c>
      <x:c r="C343" t="str">
        <x:v>民生银行</x:v>
      </x:c>
      <x:c r="D343" t="str">
        <x:v>2025-12-31</x:v>
      </x:c>
      <x:c r="E343" t="str">
        <x:v>annual</x:v>
      </x:c>
      <x:c r="F343" t="str">
        <x:v>revenue</x:v>
      </x:c>
      <x:c r="G343" t="n">
        <x:v>142865</x:v>
      </x:c>
      <x:c r="H343" t="str">
        <x:v>reported_amount</x:v>
      </x:c>
      <x:c r="I343" t="n">
        <x:v>15</x:v>
      </x:c>
      <x:c r="J343" t="str">
        <x:v>营业收入</x:v>
      </x:c>
      <x:c r="K343" t="str">
        <x:v>candidate_pending_automated_verification</x:v>
      </x:c>
      <x:c r="L343" t="str">
        <x:v>https://static.cninfo.com.cn/finalpage/2026-03-31/1225062867.PDF</x:v>
      </x:c>
      <x:c r="M343" t="str">
        <x:v>86691c8a6c47b4b2bd918017cdf5227996a2bad71a972dd089630de192ae3e57</x:v>
      </x:c>
      <x:c r="N343" t="str">
        <x:v>2025ۡ
13
ᅣ ҍༀᆷѓᅋေ
一、 主要会计数据和财务指标
2025 年 2024 年
本报告期比
上年同期 2023 年
经营业绩 （人民币百万元） 增减(%)
 营业收入 142,865 136,290 4.82 140,817
  利息净收入 100,126 98,690 1.46 102,431
  非利息净收入 42,739 37,600 13.67 38,386
 营业支出 110,022 101,946 7.92 103,230
  业务及管理费 51,006 51,318 -0.61 50,834
  信用减值损失 53,950</x:v>
      </x:c>
    </x:row>
    <x:row r="344">
      <x:c r="A344" t="str">
        <x:v>6e131e5d-f0e3-420a-8f08-a989e4a609e0</x:v>
      </x:c>
      <x:c r="B344" t="str">
        <x:v>600016</x:v>
      </x:c>
      <x:c r="C344" t="str">
        <x:v>民生银行</x:v>
      </x:c>
      <x:c r="D344" t="str">
        <x:v>2025-12-31</x:v>
      </x:c>
      <x:c r="E344" t="str">
        <x:v>annual</x:v>
      </x:c>
      <x:c r="F344" t="str">
        <x:v>bonds_payable</x:v>
      </x:c>
      <x:c r="G344" t="n">
        <x:v>1003862</x:v>
      </x:c>
      <x:c r="H344" t="str">
        <x:v>CNY</x:v>
      </x:c>
      <x:c r="I344" t="n">
        <x:v>302</x:v>
      </x:c>
      <x:c r="J344" t="str">
        <x:v>应付债券</x:v>
      </x:c>
      <x:c r="K344" t="str">
        <x:v>candidate_pending_automated_verification</x:v>
      </x:c>
      <x:c r="L344" t="str">
        <x:v>https://static.cninfo.com.cn/finalpage/2026-03-31/1225062867.PDF</x:v>
      </x:c>
      <x:c r="M344" t="str">
        <x:v>86691c8a6c47b4b2bd918017cdf5227996a2bad71a972dd089630de192ae3e57</x:v>
      </x:c>
      <x:c r="N344" t="str">
        <x:v>3) 应付债券（续）
本行 2025 年12月31日
账面价值 公允价值 第一层级 第二层级 第三层级
金融资产
以摊余成本计量的金融资产 1,340,791 1,371,434 – 1,340,255 31,179
金融负债
应付债券 1,003,862 990,617 – 990,617 –
2024 年12月31日
账面价值 公允价值 第一层级 第二层级 第三层级
金融资产
以摊余成本计量的金融资产 1,481,090 1,528,186 – 1,488,319 39,867
金融负债
应付债券 932,894 925,245 – 925,245 –
十六 资产负债表日后事项</x:v>
      </x:c>
    </x:row>
    <x:row r="345">
      <x:c r="A345" t="str">
        <x:v>087367ca-56fa-44dd-9f85-a3a6be2d83fd</x:v>
      </x:c>
      <x:c r="B345" t="str">
        <x:v>600016</x:v>
      </x:c>
      <x:c r="C345" t="str">
        <x:v>民生银行</x:v>
      </x:c>
      <x:c r="D345" t="str">
        <x:v>2025-12-31</x:v>
      </x:c>
      <x:c r="E345" t="str">
        <x:v>annual</x:v>
      </x:c>
      <x:c r="F345" t="str">
        <x:v>bonds_payable</x:v>
      </x:c>
      <x:c r="G345" t="n">
        <x:v>15440</x:v>
      </x:c>
      <x:c r="H345" t="str">
        <x:v>CNY</x:v>
      </x:c>
      <x:c r="I345" t="n">
        <x:v>273</x:v>
      </x:c>
      <x:c r="J345" t="str">
        <x:v>应付债券</x:v>
      </x:c>
      <x:c r="K345" t="str">
        <x:v>candidate_pending_automated_verification</x:v>
      </x:c>
      <x:c r="L345" t="str">
        <x:v>https://static.cninfo.com.cn/finalpage/2026-03-31/1225062867.PDF</x:v>
      </x:c>
      <x:c r="M345" t="str">
        <x:v>86691c8a6c47b4b2bd918017cdf5227996a2bad71a972dd089630de192ae3e57</x:v>
      </x:c>
      <x:c r="N345" t="str">
        <x:v>27 111,993
卖出回购金融资产款 60,942 97,821 88,876 – – 485 248,124
吸收存款 1,979,580 410,504 845,692 1,013,107 212 83,586 4,332,681
应付债券 15,440 202,312 609,895 30,970 79,994 2,414 941,025
租赁负债 225 512 2,007 5,340 994 – 9,078
其他负债 150 9,834 1,884 – – 168,818 180,686
负债合计 2,663,629 976,751 2,121,963 1,051,955 81,200 262,903</x:v>
      </x:c>
    </x:row>
    <x:row r="346">
      <x:c r="A346" t="str">
        <x:v>914aeab0-0f10-45c7-9c11-8d3b112a8b08</x:v>
      </x:c>
      <x:c r="B346" t="str">
        <x:v>600016</x:v>
      </x:c>
      <x:c r="C346" t="str">
        <x:v>民生银行</x:v>
      </x:c>
      <x:c r="D346" t="str">
        <x:v>2025-12-31</x:v>
      </x:c>
      <x:c r="E346" t="str">
        <x:v>annual</x:v>
      </x:c>
      <x:c r="F346" t="str">
        <x:v>bonds_payable</x:v>
      </x:c>
      <x:c r="G346" t="n">
        <x:v>91300</x:v>
      </x:c>
      <x:c r="H346" t="str">
        <x:v>CNY</x:v>
      </x:c>
      <x:c r="I346" t="n">
        <x:v>274</x:v>
      </x:c>
      <x:c r="J346" t="str">
        <x:v>应付债券</x:v>
      </x:c>
      <x:c r="K346" t="str">
        <x:v>candidate_pending_automated_verification</x:v>
      </x:c>
      <x:c r="L346" t="str">
        <x:v>https://static.cninfo.com.cn/finalpage/2026-03-31/1225062867.PDF</x:v>
      </x:c>
      <x:c r="M346" t="str">
        <x:v>86691c8a6c47b4b2bd918017cdf5227996a2bad71a972dd089630de192ae3e57</x:v>
      </x:c>
      <x:c r="N346" t="str">
        <x:v> – 341 82,273
卖出回购金融资产款 161,113 57,554 30,020 – – 531 249,218
吸收存款 1,992,347 431,308 836,930 983,179 – 69,796 4,313,560
应付债券 91,300 235,784 572,727 32,054 69,993 2,004 1,003,862
租赁负债 220 434 1,760 4,544 745 – 7,703
其他负债 – 45,050 – – – 103,262 148,312
负债合计 2,811,429 946,196 1,890,639 1,019,777 70,738 18</x:v>
      </x:c>
    </x:row>
    <x:row r="347">
      <x:c r="A347" t="str">
        <x:v>2379180f-e593-422e-a7b5-bdf212607c34</x:v>
      </x:c>
      <x:c r="B347" t="str">
        <x:v>601818</x:v>
      </x:c>
      <x:c r="C347" t="str">
        <x:v>光大银行</x:v>
      </x:c>
      <x:c r="D347" t="str">
        <x:v>2025-12-31</x:v>
      </x:c>
      <x:c r="E347" t="str">
        <x:v>annual</x:v>
      </x:c>
      <x:c r="F347" t="str">
        <x:v>bonds_payable</x:v>
      </x:c>
      <x:c r="G347" t="n">
        <x:v>2.48</x:v>
      </x:c>
      <x:c r="H347" t="str">
        <x:v>CNY</x:v>
      </x:c>
      <x:c r="I347" t="n">
        <x:v>321</x:v>
      </x:c>
      <x:c r="J347" t="str">
        <x:v>应付债券</x:v>
      </x:c>
      <x:c r="K347" t="str">
        <x:v>candidate_pending_automated_verification</x:v>
      </x:c>
      <x:c r="L347" t="str">
        <x:v>https://static.cninfo.com.cn/finalpage/2026-03-31/1225068417.PDF</x:v>
      </x:c>
      <x:c r="M347" t="str">
        <x:v>004e9b3673ffde2311eb0ea6289a0c78d2a3109f51a00324804fd99c8a8bd6bc</x:v>
      </x:c>
      <x:c r="N347" t="str">
        <x:v>.30%   75,793   169   72,938   1,792   894   - 
吸收存款 2.18%   4,035,687   81,559   1,952,258   873,543   1,128,256   71 
应付债券 2.48%   1,231,112   4,545   284,893   659,137   220,943   61,594 
其他 不适用   132,467   112,436   857   4,467   12,444   2,263 
总负债 不适用   6,368,790   202,378 </x:v>
      </x:c>
    </x:row>
    <x:row r="348">
      <x:c r="A348" t="str">
        <x:v>cbc8de65-4de8-429d-835d-6d732eff27d1</x:v>
      </x:c>
      <x:c r="B348" t="str">
        <x:v>601818</x:v>
      </x:c>
      <x:c r="C348" t="str">
        <x:v>光大银行</x:v>
      </x:c>
      <x:c r="D348" t="str">
        <x:v>2025-12-31</x:v>
      </x:c>
      <x:c r="E348" t="str">
        <x:v>annual</x:v>
      </x:c>
      <x:c r="F348" t="str">
        <x:v>bonds_payable</x:v>
      </x:c>
      <x:c r="G348" t="n">
        <x:v>1328801</x:v>
      </x:c>
      <x:c r="H348" t="str">
        <x:v>CNY</x:v>
      </x:c>
      <x:c r="I348" t="n">
        <x:v>336</x:v>
      </x:c>
      <x:c r="J348" t="str">
        <x:v>应付债券</x:v>
      </x:c>
      <x:c r="K348" t="str">
        <x:v>candidate_pending_automated_verification</x:v>
      </x:c>
      <x:c r="L348" t="str">
        <x:v>https://static.cninfo.com.cn/finalpage/2026-03-31/1225068417.PDF</x:v>
      </x:c>
      <x:c r="M348" t="str">
        <x:v>004e9b3673ffde2311eb0ea6289a0c78d2a3109f51a00324804fd99c8a8bd6bc</x:v>
      </x:c>
      <x:c r="N348" t="str">
        <x:v>              
以摊余成本计量的债券投资及资产支
持证券 1,192,578   1,141,547   1,228,368   1,191,979 
金融负债               
应付债券 1,328,801   1,231,112   1,332,620   1,239,529 
本行 
  账面价值   公允价值 
2025 年 
12 月 31 日   
2024 年 
12 月 31 日   
2025 年 
12 月 31 日   
2024 年 
12 月 31 日 
金融资产 </x:v>
      </x:c>
    </x:row>
    <x:row r="349">
      <x:c r="A349" t="str">
        <x:v>9fc0bbcd-980d-49b7-96e5-b9f77d07bb70</x:v>
      </x:c>
      <x:c r="B349" t="str">
        <x:v>601818</x:v>
      </x:c>
      <x:c r="C349" t="str">
        <x:v>光大银行</x:v>
      </x:c>
      <x:c r="D349" t="str">
        <x:v>2025-12-31</x:v>
      </x:c>
      <x:c r="E349" t="str">
        <x:v>annual</x:v>
      </x:c>
      <x:c r="F349" t="str">
        <x:v>bonds_payable</x:v>
      </x:c>
      <x:c r="G349" t="n">
        <x:v>1231112</x:v>
      </x:c>
      <x:c r="H349" t="str">
        <x:v>CNY</x:v>
      </x:c>
      <x:c r="I349" t="n">
        <x:v>332</x:v>
      </x:c>
      <x:c r="J349" t="str">
        <x:v>应付债券</x:v>
      </x:c>
      <x:c r="K349" t="str">
        <x:v>candidate_pending_automated_verification</x:v>
      </x:c>
      <x:c r="L349" t="str">
        <x:v>https://static.cninfo.com.cn/finalpage/2026-03-31/1225068417.PDF</x:v>
      </x:c>
      <x:c r="M349" t="str">
        <x:v>004e9b3673ffde2311eb0ea6289a0c78d2a3109f51a00324804fd99c8a8bd6bc</x:v>
      </x:c>
      <x:c r="N349" t="str">
        <x:v>,820   25,422   1,829   949   - 
吸收存款 4,035,687   4,112,938   1,165,929   416,893   413,482   903,177   1,213,367   90 
应付债券 1,231,112   1,272,093   -   65,374   226,298   676,892   234,617   68,912 
其他金融负债 70,957   76,138   50,301   40   1,035   5,785   16,429   2,548 
非衍生金融负债合计 </x:v>
      </x:c>
    </x:row>
    <x:row r="350">
      <x:c r="A350" t="str">
        <x:v>7ccebcf3-498d-46aa-9d8f-ba46e4d4b03c</x:v>
      </x:c>
      <x:c r="B350" t="str">
        <x:v>601818</x:v>
      </x:c>
      <x:c r="C350" t="str">
        <x:v>光大银行</x:v>
      </x:c>
      <x:c r="D350" t="str">
        <x:v>2025-12-31</x:v>
      </x:c>
      <x:c r="E350" t="str">
        <x:v>annual</x:v>
      </x:c>
      <x:c r="F350" t="str">
        <x:v>bonds_payable</x:v>
      </x:c>
      <x:c r="G350" t="n">
        <x:v>1328801</x:v>
      </x:c>
      <x:c r="H350" t="str">
        <x:v>CNY</x:v>
      </x:c>
      <x:c r="I350" t="n">
        <x:v>331</x:v>
      </x:c>
      <x:c r="J350" t="str">
        <x:v>应付债券</x:v>
      </x:c>
      <x:c r="K350" t="str">
        <x:v>candidate_pending_automated_verification</x:v>
      </x:c>
      <x:c r="L350" t="str">
        <x:v>https://static.cninfo.com.cn/finalpage/2026-03-31/1225068417.PDF</x:v>
      </x:c>
      <x:c r="M350" t="str">
        <x:v>004e9b3673ffde2311eb0ea6289a0c78d2a3109f51a00324804fd99c8a8bd6bc</x:v>
      </x:c>
      <x:c r="N350" t="str">
        <x:v>,447   33,521   33,603   -   - 
吸收存款 4,102,458   4,166,652   1,095,770   495,760   393,749   930,136   1,251,064   173 
应付债券 1,328,801   1,334,190   -   53,063   202,362   831,887   181,558   65,320 
其他金融负债 66,099   67,955   46,599   88   1,287   4,120   12,769   3,092 
非衍生金融负债合计 </x:v>
      </x:c>
    </x:row>
    <x:row r="351">
      <x:c r="A351" t="str">
        <x:v>b75c09e7-d565-4611-856b-9191d17264f1</x:v>
      </x:c>
      <x:c r="B351" t="str">
        <x:v>601818</x:v>
      </x:c>
      <x:c r="C351" t="str">
        <x:v>光大银行</x:v>
      </x:c>
      <x:c r="D351" t="str">
        <x:v>2025-12-31</x:v>
      </x:c>
      <x:c r="E351" t="str">
        <x:v>annual</x:v>
      </x:c>
      <x:c r="F351" t="str">
        <x:v>bonds_payable</x:v>
      </x:c>
      <x:c r="G351" t="n">
        <x:v>1185372</x:v>
      </x:c>
      <x:c r="H351" t="str">
        <x:v>CNY</x:v>
      </x:c>
      <x:c r="I351" t="n">
        <x:v>324</x:v>
      </x:c>
      <x:c r="J351" t="str">
        <x:v>应付债券</x:v>
      </x:c>
      <x:c r="K351" t="str">
        <x:v>candidate_pending_automated_verification</x:v>
      </x:c>
      <x:c r="L351" t="str">
        <x:v>https://static.cninfo.com.cn/finalpage/2026-03-31/1225068417.PDF</x:v>
      </x:c>
      <x:c r="M351" t="str">
        <x:v>004e9b3673ffde2311eb0ea6289a0c78d2a3109f51a00324804fd99c8a8bd6bc</x:v>
      </x:c>
      <x:c r="N351" t="str">
        <x:v>  82,470   28,621   216,562 
卖出回购金融资产款 52,092   17,620   6,081   75,793 
吸收存款 3,888,204   105,066   42,417   4,035,687 
应付债券 1,185,372   37,896   7,844   1,231,112 
其他 121,805   59   10,603   132,467 
总负债 6,021,469   249,930   97,391   6,368,790 
净头寸 597,939   (47,434)   39,726  </x:v>
      </x:c>
    </x:row>
    <x:row r="352">
      <x:c r="A352" t="str">
        <x:v>359fb9eb-a703-4bb1-8bc2-d53c11a5c987</x:v>
      </x:c>
      <x:c r="B352" t="str">
        <x:v>601818</x:v>
      </x:c>
      <x:c r="C352" t="str">
        <x:v>光大银行</x:v>
      </x:c>
      <x:c r="D352" t="str">
        <x:v>2025-12-31</x:v>
      </x:c>
      <x:c r="E352" t="str">
        <x:v>annual</x:v>
      </x:c>
      <x:c r="F352" t="str">
        <x:v>bonds_payable</x:v>
      </x:c>
      <x:c r="G352" t="n">
        <x:v>1274277</x:v>
      </x:c>
      <x:c r="H352" t="str">
        <x:v>CNY</x:v>
      </x:c>
      <x:c r="I352" t="n">
        <x:v>323</x:v>
      </x:c>
      <x:c r="J352" t="str">
        <x:v>应付债券</x:v>
      </x:c>
      <x:c r="K352" t="str">
        <x:v>candidate_pending_automated_verification</x:v>
      </x:c>
      <x:c r="L352" t="str">
        <x:v>https://static.cninfo.com.cn/finalpage/2026-03-31/1225068417.PDF</x:v>
      </x:c>
      <x:c r="M352" t="str">
        <x:v>004e9b3673ffde2311eb0ea6289a0c78d2a3109f51a00324804fd99c8a8bd6bc</x:v>
      </x:c>
      <x:c r="N352" t="str">
        <x:v> 58,821   13,881   208,607 
卖出回购金融资产款 144,774   5,554   7,790   158,118 
吸收存款 3,956,270   103,187   43,001   4,102,458 
应付债券 1,274,277   40,648   13,876   1,328,801 
其他 87,449   250   11,062   98,761 
总负债 6,245,038   222,795   90,044   6,557,877 
净头寸 586,366   (39,043)   60,119  </x:v>
      </x:c>
    </x:row>
    <x:row r="353">
      <x:c r="A353" t="str">
        <x:v>6a6471fe-b2cb-434c-a4bf-4c1950d33e8e</x:v>
      </x:c>
      <x:c r="B353" t="str">
        <x:v>601818</x:v>
      </x:c>
      <x:c r="C353" t="str">
        <x:v>光大银行</x:v>
      </x:c>
      <x:c r="D353" t="str">
        <x:v>2025-12-31</x:v>
      </x:c>
      <x:c r="E353" t="str">
        <x:v>annual</x:v>
      </x:c>
      <x:c r="F353" t="str">
        <x:v>bonds_payable</x:v>
      </x:c>
      <x:c r="G353" t="n">
        <x:v>2.15</x:v>
      </x:c>
      <x:c r="H353" t="str">
        <x:v>CNY</x:v>
      </x:c>
      <x:c r="I353" t="n">
        <x:v>319</x:v>
      </x:c>
      <x:c r="J353" t="str">
        <x:v>应付债券</x:v>
      </x:c>
      <x:c r="K353" t="str">
        <x:v>candidate_pending_automated_verification</x:v>
      </x:c>
      <x:c r="L353" t="str">
        <x:v>https://static.cninfo.com.cn/finalpage/2026-03-31/1225068417.PDF</x:v>
      </x:c>
      <x:c r="M353" t="str">
        <x:v>004e9b3673ffde2311eb0ea6289a0c78d2a3109f51a00324804fd99c8a8bd6bc</x:v>
      </x:c>
      <x:c r="N353" t="str">
        <x:v>6%   158,118   373   124,478   33,267   -   - 
吸收存款 1.81%   4,102,458   74,909   1,946,287   903,391   1,177,721   150 
应付债券 2.15%   1,328,801   3,790   268,495   829,115   167,404   59,997 
其他 不适用   98,761   80,363   1,100   3,617   10,957   2,724 
总负债 不适用   6,557,877   162,899 </x:v>
      </x:c>
    </x:row>
    <x:row r="354">
      <x:c r="A354" t="str">
        <x:v>fa924fe9-8fee-4647-95f3-9add7484119b</x:v>
      </x:c>
      <x:c r="B354" t="str">
        <x:v>601818</x:v>
      </x:c>
      <x:c r="C354" t="str">
        <x:v>光大银行</x:v>
      </x:c>
      <x:c r="D354" t="str">
        <x:v>2025-12-31</x:v>
      </x:c>
      <x:c r="E354" t="str">
        <x:v>annual</x:v>
      </x:c>
      <x:c r="F354" t="str">
        <x:v>bonds_payable</x:v>
      </x:c>
      <x:c r="G354" t="n">
        <x:v>1328801</x:v>
      </x:c>
      <x:c r="H354" t="str">
        <x:v>CNY</x:v>
      </x:c>
      <x:c r="I354" t="n">
        <x:v>172</x:v>
      </x:c>
      <x:c r="J354" t="str">
        <x:v>应付债券</x:v>
      </x:c>
      <x:c r="K354" t="str">
        <x:v>candidate_pending_automated_verification</x:v>
      </x:c>
      <x:c r="L354" t="str">
        <x:v>https://static.cninfo.com.cn/finalpage/2026-03-31/1225068417.PDF</x:v>
      </x:c>
      <x:c r="M354" t="str">
        <x:v>004e9b3673ffde2311eb0ea6289a0c78d2a3109f51a00324804fd99c8a8bd6bc</x:v>
      </x:c>
      <x:c r="N354" t="str">
        <x:v>
应交税费 25 6,368   4,758   5,539   4,000 
租赁负债 26 9,534   10,412   9,402   10,221 
预计负债 27 1,839   2,409   1,839   2,409 
应付债券 28 1,328,801   1,231,112   1,316,876   1,220,223 
其他负债 29 56,565   60,545   42,383   43,674 
负债合计   6,557,877   6,368,790   6,405,685   6,238,536 
</x:v>
      </x:c>
    </x:row>
    <x:row r="355">
      <x:c r="A355" t="str">
        <x:v>d1bca20a-a4c4-4fdb-924e-38f728069d3f</x:v>
      </x:c>
      <x:c r="B355" t="str">
        <x:v>601818</x:v>
      </x:c>
      <x:c r="C355" t="str">
        <x:v>光大银行</x:v>
      </x:c>
      <x:c r="D355" t="str">
        <x:v>2025-12-31</x:v>
      </x:c>
      <x:c r="E355" t="str">
        <x:v>annual</x:v>
      </x:c>
      <x:c r="F355" t="str">
        <x:v>bonds_payable</x:v>
      </x:c>
      <x:c r="G355" t="n">
        <x:v>1328801</x:v>
      </x:c>
      <x:c r="H355" t="str">
        <x:v>CNY</x:v>
      </x:c>
      <x:c r="I355" t="n">
        <x:v>39</x:v>
      </x:c>
      <x:c r="J355" t="str">
        <x:v>应付债券</x:v>
      </x:c>
      <x:c r="K355" t="str">
        <x:v>candidate_pending_automated_verification</x:v>
      </x:c>
      <x:c r="L355" t="str">
        <x:v>https://static.cninfo.com.cn/finalpage/2026-03-31/1225068417.PDF</x:v>
      </x:c>
      <x:c r="M355" t="str">
        <x:v>004e9b3673ffde2311eb0ea6289a0c78d2a3109f51a00324804fd99c8a8bd6bc</x:v>
      </x:c>
      <x:c r="N355" t="str">
        <x:v>38
应付职工薪酬 18,908 0.29 21,895 0.34
应交税费 6,368 0.10 4,758 0.07
租赁负债 9,534 0.15 10,412 0.16
预计负债 1,839 0.03 2,409 0.04
应付债券 1,328,801 20.26 1,231,112 19.33
其他负债 56,565 0.86 60,545 0.96
负债合计 6,557,877 100.00 6,368,790 100.00
报告期末，本集团客户存款余额41,024.58亿元，比上年末增加
667.71亿元，增长1.65%。
单位：人民币百万元、%
项目
2025 年 12 月 31 日 2024 年</x:v>
      </x:c>
    </x:row>
    <x:row r="356">
      <x:c r="A356" t="str">
        <x:v>6fca09e0-3af9-4f6f-9969-611a57ad6c75</x:v>
      </x:c>
      <x:c r="B356" t="str">
        <x:v>601818</x:v>
      </x:c>
      <x:c r="C356" t="str">
        <x:v>光大银行</x:v>
      </x:c>
      <x:c r="D356" t="str">
        <x:v>2025-12-31</x:v>
      </x:c>
      <x:c r="E356" t="str">
        <x:v>annual</x:v>
      </x:c>
      <x:c r="F356" t="str">
        <x:v>roe</x:v>
      </x:c>
      <x:c r="G356" t="n">
        <x:v>7</x:v>
      </x:c>
      <x:c r="H356" t="str">
        <x:v>percent</x:v>
      </x:c>
      <x:c r="I356" t="n">
        <x:v>17</x:v>
      </x:c>
      <x:c r="J356" t="str">
        <x:v>加权平均净资产收益率</x:v>
      </x:c>
      <x:c r="K356" t="str">
        <x:v>candidate_pending_automated_verification</x:v>
      </x:c>
      <x:c r="L356" t="str">
        <x:v>https://static.cninfo.com.cn/finalpage/2026-03-31/1225068417.PDF</x:v>
      </x:c>
      <x:c r="M356" t="str">
        <x:v>004e9b3673ffde2311eb0ea6289a0c78d2a3109f51a00324804fd99c8a8bd6bc</x:v>
      </x:c>
      <x:c r="N356" t="str">
        <x:v> 554,785
归属于本行股东的净资产 604,800 587,700 2.91 552,391
股本 59,086 59,086 - 59,086
盈利能力指标（%）
平均总资产收益率 0.55 0.61 -0.06个百分点 0.63
加权平均净资产收益率 5 7.00 7.93 -0.93个百分点 8.38
全面摊薄净资产收益率 6.84 7.64 -0.80个百分点 8.04
净利差 1.32 1.45 -0.13个百分点 1.68
净利息收益率 1.40 1.54 -0.14个百分点 1.74
成本收入比 29.13 29.81 -0.68个百分点 28.17
资产质量指标（%）
不良贷款率 1.27 1.25 +0</x:v>
      </x:c>
    </x:row>
    <x:row r="357">
      <x:c r="A357" t="str">
        <x:v>a4768481-79eb-461b-9e96-5869c56afd80</x:v>
      </x:c>
      <x:c r="B357" t="str">
        <x:v>601818</x:v>
      </x:c>
      <x:c r="C357" t="str">
        <x:v>光大银行</x:v>
      </x:c>
      <x:c r="D357" t="str">
        <x:v>2025-12-31</x:v>
      </x:c>
      <x:c r="E357" t="str">
        <x:v>annual</x:v>
      </x:c>
      <x:c r="F357" t="str">
        <x:v>eps_annual</x:v>
      </x:c>
      <x:c r="G357" t="n">
        <x:v>0.58</x:v>
      </x:c>
      <x:c r="H357" t="str">
        <x:v>CNY/share</x:v>
      </x:c>
      <x:c r="I357" t="n">
        <x:v>17</x:v>
      </x:c>
      <x:c r="J357" t="str">
        <x:v>基本每股收益</x:v>
      </x:c>
      <x:c r="K357" t="str">
        <x:v>candidate_pending_automated_verification</x:v>
      </x:c>
      <x:c r="L357" t="str">
        <x:v>https://static.cninfo.com.cn/finalpage/2026-03-31/1225068417.PDF</x:v>
      </x:c>
      <x:c r="M357" t="str">
        <x:v>004e9b3673ffde2311eb0ea6289a0c78d2a3109f51a00324804fd99c8a8bd6bc</x:v>
      </x:c>
      <x:c r="N357" t="str">
        <x:v>9,181 41,886 (6.46) 40,652
经营活动产生的现金流量净额 162,907 (204,802) 不适用 (3,614)
每股计（人民币元）
归属于本行普通股股东的每股净资产 1 8.46 8.17 3.55 7.57
基本每股收益 2 0.58 0.62 (6.45) 0.62
稀释每股收益 3 0.58 0.62 (6.45) 0.61
扣除非经常性损益后的基本每股收益 0.58 0.63 (7.94) 0.62
每股经营活动产生的现金流量净额 2.76 (3.47) 不适用 (0.06)
规模指标（人民币百万元）
资产总额 7,165,319 6,959,021 2.96 6,772,796
</x:v>
      </x:c>
    </x:row>
    <x:row r="358">
      <x:c r="A358" t="str">
        <x:v>924e76da-0407-4f42-b57e-09946c876089</x:v>
      </x:c>
      <x:c r="B358" t="str">
        <x:v>601818</x:v>
      </x:c>
      <x:c r="C358" t="str">
        <x:v>光大银行</x:v>
      </x:c>
      <x:c r="D358" t="str">
        <x:v>2025-12-31</x:v>
      </x:c>
      <x:c r="E358" t="str">
        <x:v>annual</x:v>
      </x:c>
      <x:c r="F358" t="str">
        <x:v>operating_cash_flow</x:v>
      </x:c>
      <x:c r="G358" t="n">
        <x:v>162907</x:v>
      </x:c>
      <x:c r="H358" t="str">
        <x:v>reported_amount</x:v>
      </x:c>
      <x:c r="I358" t="n">
        <x:v>17</x:v>
      </x:c>
      <x:c r="J358" t="str">
        <x:v>经营活动产生的现金流量净额</x:v>
      </x:c>
      <x:c r="K358" t="str">
        <x:v>candidate_pending_automated_verification</x:v>
      </x:c>
      <x:c r="L358" t="str">
        <x:v>https://static.cninfo.com.cn/finalpage/2026-03-31/1225068417.PDF</x:v>
      </x:c>
      <x:c r="M358" t="str">
        <x:v>004e9b3673ffde2311eb0ea6289a0c78d2a3109f51a00324804fd99c8a8bd6bc</x:v>
      </x:c>
      <x:c r="N358" t="str">
        <x:v>利润 39,141 41,911 (6.61) 41,076
归属于本行股东的净利润 38,826 41,696 (6.88) 40,792
归属于本行股东的扣除非经常性损益的净利润 39,181 41,886 (6.46) 40,652
经营活动产生的现金流量净额 162,907 (204,802) 不适用 (3,614)
每股计（人民币元）
归属于本行普通股股东的每股净资产 1 8.46 8.17 3.55 7.57
基本每股收益 2 0.58 0.62 (6.45) 0.62
稀释每股收益 3 0.58 0.62 (6.45) 0.61
扣除非经常性损益后的基本每股收益 0.58 0.63 (7.94) 0.62
每股经营活动产</x:v>
      </x:c>
    </x:row>
    <x:row r="359">
      <x:c r="A359" t="str">
        <x:v>2bce86e4-c0a8-4aef-9ca7-281a51214c8e</x:v>
      </x:c>
      <x:c r="B359" t="str">
        <x:v>601818</x:v>
      </x:c>
      <x:c r="C359" t="str">
        <x:v>光大银行</x:v>
      </x:c>
      <x:c r="D359" t="str">
        <x:v>2025-12-31</x:v>
      </x:c>
      <x:c r="E359" t="str">
        <x:v>annual</x:v>
      </x:c>
      <x:c r="F359" t="str">
        <x:v>revenue</x:v>
      </x:c>
      <x:c r="G359" t="n">
        <x:v>126311</x:v>
      </x:c>
      <x:c r="H359" t="str">
        <x:v>reported_amount</x:v>
      </x:c>
      <x:c r="I359" t="n">
        <x:v>17</x:v>
      </x:c>
      <x:c r="J359" t="str">
        <x:v>营业收入</x:v>
      </x:c>
      <x:c r="K359" t="str">
        <x:v>candidate_pending_automated_verification</x:v>
      </x:c>
      <x:c r="L359" t="str">
        <x:v>https://static.cninfo.com.cn/finalpage/2026-03-31/1225068417.PDF</x:v>
      </x:c>
      <x:c r="M359" t="str">
        <x:v>004e9b3673ffde2311eb0ea6289a0c78d2a3109f51a00324804fd99c8a8bd6bc</x:v>
      </x:c>
      <x:c r="N359" t="str">
        <x:v>16
第五节 主要会计数据和财务指标
一、主要会计数据和财务指标
项目 2025 年 2024 年
2025 年比 2024
年增减（％）
2023 年
经营业绩（人民币百万元）
营业收入 126,311 135,415 (6.72) 145,685
利润总额 49,687 51,474 (3.47) 49,757
净利润 39,141 41,911 (6.61) 41,076
归属于本行股东的净利润 38,826 41,696 (6.88) 40,792
归属于本行股东的扣除非经常性损益的净利润 39,181 41,886 (6.46) 40,652
经营</x:v>
      </x:c>
    </x:row>
    <x:row r="360">
      <x:c r="A360" t="str">
        <x:v>9b428d09-e262-4451-aaa6-8972224515b4</x:v>
      </x:c>
      <x:c r="B360" t="str">
        <x:v>601390</x:v>
      </x:c>
      <x:c r="C360" t="str">
        <x:v>中国中铁</x:v>
      </x:c>
      <x:c r="D360" t="str">
        <x:v>2025-12-31</x:v>
      </x:c>
      <x:c r="E360" t="str">
        <x:v>annual</x:v>
      </x:c>
      <x:c r="F360" t="str">
        <x:v>bonds_payable</x:v>
      </x:c>
      <x:c r="G360" t="n">
        <x:v>206329909</x:v>
      </x:c>
      <x:c r="H360" t="str">
        <x:v>CNY</x:v>
      </x:c>
      <x:c r="I360" t="n">
        <x:v>354</x:v>
      </x:c>
      <x:c r="J360" t="str">
        <x:v>应付债券</x:v>
      </x:c>
      <x:c r="K360" t="str">
        <x:v>candidate_pending_automated_verification</x:v>
      </x:c>
      <x:c r="L360" t="str">
        <x:v>https://static.cninfo.com.cn/finalpage/2026-03-31/1225056528.PDF</x:v>
      </x:c>
      <x:c r="M360" t="str">
        <x:v>fe19f08fa3a075f492f1059cf7d58f5228ed791646ab654c26cd2efc3261e6f2</x:v>
      </x:c>
      <x:c r="N360" t="str">
        <x:v>25 年12 月31 日 2024 年12 月31 日 2025 年12 月31 日 2024 年12 月31 日 
固定利率债权投资 31,218,301 34,490,545 32,591,672 35,782,936 
固定利率借款及应付债券 206,329,909 120,757,917 205,517,509 122,795,713 
注： 固定利率应收款项和固定利率借款及不存在活跃市场的应付债券，以合同规定的未来现金
流量按照市场上具有可比信用等级并在相同条件下提供几乎相同现金流量的利率进行折现
后的现值确定其公允价值，属于第三层次。 
十五、 公司财务报表主要项目注释 
1. 应收账款 
应</x:v>
      </x:c>
    </x:row>
    <x:row r="361">
      <x:c r="A361" t="str">
        <x:v>80453d02-8611-47c1-9a74-b8d9de5b0d78</x:v>
      </x:c>
      <x:c r="B361" t="str">
        <x:v>601390</x:v>
      </x:c>
      <x:c r="C361" t="str">
        <x:v>中国中铁</x:v>
      </x:c>
      <x:c r="D361" t="str">
        <x:v>2025-12-31</x:v>
      </x:c>
      <x:c r="E361" t="str">
        <x:v>annual</x:v>
      </x:c>
      <x:c r="F361" t="str">
        <x:v>bonds_payable</x:v>
      </x:c>
      <x:c r="G361" t="n">
        <x:v>7220675</x:v>
      </x:c>
      <x:c r="H361" t="str">
        <x:v>CNY</x:v>
      </x:c>
      <x:c r="I361" t="n">
        <x:v>348</x:v>
      </x:c>
      <x:c r="J361" t="str">
        <x:v>应付债券</x:v>
      </x:c>
      <x:c r="K361" t="str">
        <x:v>candidate_pending_automated_verification</x:v>
      </x:c>
      <x:c r="L361" t="str">
        <x:v>https://static.cninfo.com.cn/finalpage/2026-03-31/1225056528.PDF</x:v>
      </x:c>
      <x:c r="M361" t="str">
        <x:v>fe19f08fa3a075f492f1059cf7d58f5228ed791646ab654c26cd2efc3261e6f2</x:v>
      </x:c>
      <x:c r="N361" t="str">
        <x:v>5 
其他权益工具投资 - 395,428 395,428 
合计 24,524,524 7,816,795 32,341,319 
外币金融负债—    
应付款项 6,035,832 3,954,102 9,989,934 
应付债券 7,220,675 - 7,220,675 
短期借款 2,063,071 177,292 2,240,363 
长期借款 45,948 1,023 46,971 
合计 15,365,526 4,132,417 19,497,943 
下表为汇率风险的敏感性分析，反映了在其他变量不变的假设下，美元汇率发生合理、可能的变动
时，将对净损益和股东权益的税后净额产生的影响。 </x:v>
      </x:c>
    </x:row>
    <x:row r="362">
      <x:c r="A362" t="str">
        <x:v>5aa95f95-15d1-4393-a11d-a6e2f3da45e8</x:v>
      </x:c>
      <x:c r="B362" t="str">
        <x:v>601390</x:v>
      </x:c>
      <x:c r="C362" t="str">
        <x:v>中国中铁</x:v>
      </x:c>
      <x:c r="D362" t="str">
        <x:v>2025-12-31</x:v>
      </x:c>
      <x:c r="E362" t="str">
        <x:v>annual</x:v>
      </x:c>
      <x:c r="F362" t="str">
        <x:v>long_term_borrowings</x:v>
      </x:c>
      <x:c r="G362" t="n">
        <x:v>45948</x:v>
      </x:c>
      <x:c r="H362" t="str">
        <x:v>CNY</x:v>
      </x:c>
      <x:c r="I362" t="n">
        <x:v>348</x:v>
      </x:c>
      <x:c r="J362" t="str">
        <x:v>长期借款</x:v>
      </x:c>
      <x:c r="K362" t="str">
        <x:v>candidate_pending_automated_verification</x:v>
      </x:c>
      <x:c r="L362" t="str">
        <x:v>https://static.cninfo.com.cn/finalpage/2026-03-31/1225056528.PDF</x:v>
      </x:c>
      <x:c r="M362" t="str">
        <x:v>fe19f08fa3a075f492f1059cf7d58f5228ed791646ab654c26cd2efc3261e6f2</x:v>
      </x:c>
      <x:c r="N362" t="str">
        <x:v>319 
外币金融负债—    
应付款项 6,035,832 3,954,102 9,989,934 
应付债券 7,220,675 - 7,220,675 
短期借款 2,063,071 177,292 2,240,363 
长期借款 45,948 1,023 46,971 
合计 15,365,526 4,132,417 19,497,943 
下表为汇率风险的敏感性分析，反映了在其他变量不变的假设下，美元汇率发生合理、可能的变动
时，将对净损益和股东权益的税后净额产生的影响。 
2025 年度： 
人民币千元 
项目 汇率 
增加/(减少) 
净损益 
增加/(减少) 
股东权益合计 
增</x:v>
      </x:c>
    </x:row>
    <x:row r="363">
      <x:c r="A363" t="str">
        <x:v>fd06652f-ff38-4bf9-b393-73ceeb18f6df</x:v>
      </x:c>
      <x:c r="B363" t="str">
        <x:v>601390</x:v>
      </x:c>
      <x:c r="C363" t="str">
        <x:v>中国中铁</x:v>
      </x:c>
      <x:c r="D363" t="str">
        <x:v>2025-12-31</x:v>
      </x:c>
      <x:c r="E363" t="str">
        <x:v>annual</x:v>
      </x:c>
      <x:c r="F363" t="str">
        <x:v>short_term_borrowings</x:v>
      </x:c>
      <x:c r="G363" t="n">
        <x:v>2063071</x:v>
      </x:c>
      <x:c r="H363" t="str">
        <x:v>CNY</x:v>
      </x:c>
      <x:c r="I363" t="n">
        <x:v>348</x:v>
      </x:c>
      <x:c r="J363" t="str">
        <x:v>短期借款</x:v>
      </x:c>
      <x:c r="K363" t="str">
        <x:v>candidate_pending_automated_verification</x:v>
      </x:c>
      <x:c r="L363" t="str">
        <x:v>https://static.cninfo.com.cn/finalpage/2026-03-31/1225056528.PDF</x:v>
      </x:c>
      <x:c r="M363" t="str">
        <x:v>fe19f08fa3a075f492f1059cf7d58f5228ed791646ab654c26cd2efc3261e6f2</x:v>
      </x:c>
      <x:c r="N363" t="str">
        <x:v>8 
合计 24,524,524 7,816,795 32,341,319 
外币金融负债—    
应付款项 6,035,832 3,954,102 9,989,934 
应付债券 7,220,675 - 7,220,675 
短期借款 2,063,071 177,292 2,240,363 
长期借款 45,948 1,023 46,971 
合计 15,365,526 4,132,417 19,497,943 
下表为汇率风险的敏感性分析，反映了在其他变量不变的假设下，美元汇率发生合理、可能的变动
时，将对净损益和股东权益的税后净额产生的影响。 
2025 年度： 
人民币千元 
项目 汇率 
增</x:v>
      </x:c>
    </x:row>
    <x:row r="364">
      <x:c r="A364" t="str">
        <x:v>0b326b24-d5cb-40c9-ab13-bc9ab3a9b242</x:v>
      </x:c>
      <x:c r="B364" t="str">
        <x:v>601390</x:v>
      </x:c>
      <x:c r="C364" t="str">
        <x:v>中国中铁</x:v>
      </x:c>
      <x:c r="D364" t="str">
        <x:v>2025-12-31</x:v>
      </x:c>
      <x:c r="E364" t="str">
        <x:v>annual</x:v>
      </x:c>
      <x:c r="F364" t="str">
        <x:v>cash</x:v>
      </x:c>
      <x:c r="G364" t="n">
        <x:v>16323865</x:v>
      </x:c>
      <x:c r="H364" t="str">
        <x:v>CNY</x:v>
      </x:c>
      <x:c r="I364" t="n">
        <x:v>348</x:v>
      </x:c>
      <x:c r="J364" t="str">
        <x:v>货币资金</x:v>
      </x:c>
      <x:c r="K364" t="str">
        <x:v>candidate_pending_automated_verification</x:v>
      </x:c>
      <x:c r="L364" t="str">
        <x:v>https://static.cninfo.com.cn/finalpage/2026-03-31/1225056528.PDF</x:v>
      </x:c>
      <x:c r="M364" t="str">
        <x:v>fe19f08fa3a075f492f1059cf7d58f5228ed791646ab654c26cd2efc3261e6f2</x:v>
      </x:c>
      <x:c r="N364" t="str">
        <x:v>25 年 12 月 31 日及 2024 年 12 月 31 日，本集团持有的外币金融资产和外币金融负债折算成人
民币的金额列示如下： - 续 
 2024 年12 月31 日 
美元项目 其他外币项目 合计 
外币金融资产—    
货币资金 16,323,865 4,578,028 20,901,893 
应收款项 7,630,144 2,843,339 10,473,483 
债权投资 570,515 - 570,515 
其他权益工具投资 - 395,428 395,428 
合计 24,524,524 7,816,795 32,341,319 
外币金融负债—    
应付款项 6,035,832 </x:v>
      </x:c>
    </x:row>
    <x:row r="365">
      <x:c r="A365" t="str">
        <x:v>8d4ff49e-cf10-4859-a93f-9f8cf846b888</x:v>
      </x:c>
      <x:c r="B365" t="str">
        <x:v>601390</x:v>
      </x:c>
      <x:c r="C365" t="str">
        <x:v>中国中铁</x:v>
      </x:c>
      <x:c r="D365" t="str">
        <x:v>2025-12-31</x:v>
      </x:c>
      <x:c r="E365" t="str">
        <x:v>annual</x:v>
      </x:c>
      <x:c r="F365" t="str">
        <x:v>bonds_payable</x:v>
      </x:c>
      <x:c r="G365" t="n">
        <x:v>7138990</x:v>
      </x:c>
      <x:c r="H365" t="str">
        <x:v>CNY</x:v>
      </x:c>
      <x:c r="I365" t="n">
        <x:v>347</x:v>
      </x:c>
      <x:c r="J365" t="str">
        <x:v>应付债券</x:v>
      </x:c>
      <x:c r="K365" t="str">
        <x:v>candidate_pending_automated_verification</x:v>
      </x:c>
      <x:c r="L365" t="str">
        <x:v>https://static.cninfo.com.cn/finalpage/2026-03-31/1225056528.PDF</x:v>
      </x:c>
      <x:c r="M365" t="str">
        <x:v>fe19f08fa3a075f492f1059cf7d58f5228ed791646ab654c26cd2efc3261e6f2</x:v>
      </x:c>
      <x:c r="N365" t="str">
        <x:v>工具投资 563,466 370,131 933,597 
合计 25,728,527 9,994,272 35,722,799 
外币金融负债—    
应付款项 6,654,531 4,438,263 11,092,794 
应付债券 7,138,990 - 7,138,990 
短期借款 1,690,426 147,620 1,838,046 
长期借款 26,282 750 27,032 
合计 15,510,229 4,586,633 20,096,862 
  </x:v>
      </x:c>
    </x:row>
    <x:row r="366">
      <x:c r="A366" t="str">
        <x:v>663c0953-cce4-4ab5-b64f-a9dc17f98bb2</x:v>
      </x:c>
      <x:c r="B366" t="str">
        <x:v>601390</x:v>
      </x:c>
      <x:c r="C366" t="str">
        <x:v>中国中铁</x:v>
      </x:c>
      <x:c r="D366" t="str">
        <x:v>2025-12-31</x:v>
      </x:c>
      <x:c r="E366" t="str">
        <x:v>annual</x:v>
      </x:c>
      <x:c r="F366" t="str">
        <x:v>long_term_borrowings</x:v>
      </x:c>
      <x:c r="G366" t="n">
        <x:v>26282</x:v>
      </x:c>
      <x:c r="H366" t="str">
        <x:v>CNY</x:v>
      </x:c>
      <x:c r="I366" t="n">
        <x:v>347</x:v>
      </x:c>
      <x:c r="J366" t="str">
        <x:v>长期借款</x:v>
      </x:c>
      <x:c r="K366" t="str">
        <x:v>candidate_pending_automated_verification</x:v>
      </x:c>
      <x:c r="L366" t="str">
        <x:v>https://static.cninfo.com.cn/finalpage/2026-03-31/1225056528.PDF</x:v>
      </x:c>
      <x:c r="M366" t="str">
        <x:v>fe19f08fa3a075f492f1059cf7d58f5228ed791646ab654c26cd2efc3261e6f2</x:v>
      </x:c>
      <x:c r="N366" t="str">
        <x:v>99 
外币金融负债—    
应付款项 6,654,531 4,438,263 11,092,794 
应付债券 7,138,990 - 7,138,990 
短期借款 1,690,426 147,620 1,838,046 
长期借款 26,282 750 27,032 
合计 15,510,229 4,586,633 20,096,862 
  </x:v>
      </x:c>
    </x:row>
    <x:row r="367">
      <x:c r="A367" t="str">
        <x:v>b391b469-9d0e-4512-9ff4-b9c6a1a4cd3d</x:v>
      </x:c>
      <x:c r="B367" t="str">
        <x:v>601390</x:v>
      </x:c>
      <x:c r="C367" t="str">
        <x:v>中国中铁</x:v>
      </x:c>
      <x:c r="D367" t="str">
        <x:v>2025-12-31</x:v>
      </x:c>
      <x:c r="E367" t="str">
        <x:v>annual</x:v>
      </x:c>
      <x:c r="F367" t="str">
        <x:v>cash</x:v>
      </x:c>
      <x:c r="G367" t="n">
        <x:v>15070140</x:v>
      </x:c>
      <x:c r="H367" t="str">
        <x:v>CNY</x:v>
      </x:c>
      <x:c r="I367" t="n">
        <x:v>347</x:v>
      </x:c>
      <x:c r="J367" t="str">
        <x:v>货币资金</x:v>
      </x:c>
      <x:c r="K367" t="str">
        <x:v>candidate_pending_automated_verification</x:v>
      </x:c>
      <x:c r="L367" t="str">
        <x:v>https://static.cninfo.com.cn/finalpage/2026-03-31/1225056528.PDF</x:v>
      </x:c>
      <x:c r="M367" t="str">
        <x:v>fe19f08fa3a075f492f1059cf7d58f5228ed791646ab654c26cd2efc3261e6f2</x:v>
      </x:c>
      <x:c r="N367" t="str">
        <x:v>于 2025 年 12 月 31 日及 2024 年 12 月 31 日，本集团持有的外币金融资产和外币金融负债折算成人
民币的金额列示如下： 
 2025 年12 月31 日 
美元项目 其他外币项目 合计 
外币金融资产—    
货币资金 15,070,140 5,550,997 20,621,137 
应收款项 9,537,073 4,073,144 13,610,217 
债权投资 557,848 - 557,848 
其他权益工具投资 563,466 370,131 933,597 
合计 25,728,527 9,994,272 35,722,799 
外币金融负债—    
应付款项 6,65</x:v>
      </x:c>
    </x:row>
    <x:row r="368">
      <x:c r="A368" t="str">
        <x:v>6729c316-b68c-4705-892e-f14f1b5b38f0</x:v>
      </x:c>
      <x:c r="B368" t="str">
        <x:v>601390</x:v>
      </x:c>
      <x:c r="C368" t="str">
        <x:v>中国中铁</x:v>
      </x:c>
      <x:c r="D368" t="str">
        <x:v>2025-12-31</x:v>
      </x:c>
      <x:c r="E368" t="str">
        <x:v>annual</x:v>
      </x:c>
      <x:c r="F368" t="str">
        <x:v>short_term_borrowings</x:v>
      </x:c>
      <x:c r="G368" t="n">
        <x:v>101766699</x:v>
      </x:c>
      <x:c r="H368" t="str">
        <x:v>CNY</x:v>
      </x:c>
      <x:c r="I368" t="n">
        <x:v>345</x:v>
      </x:c>
      <x:c r="J368" t="str">
        <x:v>短期借款</x:v>
      </x:c>
      <x:c r="K368" t="str">
        <x:v>candidate_pending_automated_verification</x:v>
      </x:c>
      <x:c r="L368" t="str">
        <x:v>https://static.cninfo.com.cn/finalpage/2026-03-31/1225056528.PDF</x:v>
      </x:c>
      <x:c r="M368" t="str">
        <x:v>fe19f08fa3a075f492f1059cf7d58f5228ed791646ab654c26cd2efc3261e6f2</x:v>
      </x:c>
      <x:c r="N368" t="str">
        <x:v>性风险 - 续 
下表概括了本集团金融负债及租赁负债按未折现的合同现金流量所作的到期期限分析： - 续 
人民币千元 
项目 
2024 年12 月31 日 
1 年以内 
(含1 年) 1-2 年 2-5 年 5 年以上 合计 
短期借款 101,766,699 - - - 101,766,699 
吸收存款 7,626,938 - - - 7,626,938 
交易性金融负债 28,104 - - - 28,104 
衍生金融负债 636,670 - - - 636,670 
应付票据 57,662,540 - - - 57,662,540 
应付账款 715,506,694 - - - 715,506,694 </x:v>
      </x:c>
    </x:row>
    <x:row r="369">
      <x:c r="A369" t="str">
        <x:v>129bd147-3f06-499e-94fa-335004825c80</x:v>
      </x:c>
      <x:c r="B369" t="str">
        <x:v>601390</x:v>
      </x:c>
      <x:c r="C369" t="str">
        <x:v>中国中铁</x:v>
      </x:c>
      <x:c r="D369" t="str">
        <x:v>2025-12-31</x:v>
      </x:c>
      <x:c r="E369" t="str">
        <x:v>annual</x:v>
      </x:c>
      <x:c r="F369" t="str">
        <x:v>short_term_borrowings</x:v>
      </x:c>
      <x:c r="G369" t="n">
        <x:v>99080566</x:v>
      </x:c>
      <x:c r="H369" t="str">
        <x:v>CNY</x:v>
      </x:c>
      <x:c r="I369" t="n">
        <x:v>344</x:v>
      </x:c>
      <x:c r="J369" t="str">
        <x:v>短期借款</x:v>
      </x:c>
      <x:c r="K369" t="str">
        <x:v>candidate_pending_automated_verification</x:v>
      </x:c>
      <x:c r="L369" t="str">
        <x:v>https://static.cninfo.com.cn/finalpage/2026-03-31/1225056528.PDF</x:v>
      </x:c>
      <x:c r="M369" t="str">
        <x:v>fe19f08fa3a075f492f1059cf7d58f5228ed791646ab654c26cd2efc3261e6f2</x:v>
      </x:c>
      <x:c r="N369" t="str">
        <x:v> 
流动性风险 - 续 
下表概括了本集团金融负债及租赁负债按未折现的合同现金流量所作的到期期限分析： 
人民币千元 
项目 
2025 年12 月31 日 
1 年以内 
(含1 年) 1-2 年 2-5 年 5 年以上 合计 
短期借款 99,080,566 - - - 99,080,566 
吸收存款 8,334,999 - - - 8,334,999 
交易性金融负债 30,328    30,328 
衍生金融负债 847,310    847,310 
应付票据 59,928,579 - - - 59,928,579 
应付账款 813,278,882 - - - 813,278,882 
其他应付款 </x:v>
      </x:c>
    </x:row>
    <x:row r="370">
      <x:c r="A370" t="str">
        <x:v>e99ab6df-aa96-444d-8e7b-1f5308884dbd</x:v>
      </x:c>
      <x:c r="B370" t="str">
        <x:v>601390</x:v>
      </x:c>
      <x:c r="C370" t="str">
        <x:v>中国中铁</x:v>
      </x:c>
      <x:c r="D370" t="str">
        <x:v>2025-12-31</x:v>
      </x:c>
      <x:c r="E370" t="str">
        <x:v>annual</x:v>
      </x:c>
      <x:c r="F370" t="str">
        <x:v>operating_cash_flow</x:v>
      </x:c>
      <x:c r="G370" t="n">
        <x:v>28771766</x:v>
      </x:c>
      <x:c r="H370" t="str">
        <x:v>CNY</x:v>
      </x:c>
      <x:c r="I370" t="n">
        <x:v>296</x:v>
      </x:c>
      <x:c r="J370" t="str">
        <x:v>经营活动产生的现金流量净额</x:v>
      </x:c>
      <x:c r="K370" t="str">
        <x:v>candidate_pending_automated_verification</x:v>
      </x:c>
      <x:c r="L370" t="str">
        <x:v>https://static.cninfo.com.cn/finalpage/2026-03-31/1225056528.PDF</x:v>
      </x:c>
      <x:c r="M370" t="str">
        <x:v>fe19f08fa3a075f492f1059cf7d58f5228ed791646ab654c26cd2efc3261e6f2</x:v>
      </x:c>
      <x:c r="N370" t="str">
        <x:v>,781) 
合同负债的(减少)增加 (14,243,821) 22,546,832 
经营性应收项目的增加 (131,153,419) (177,572,243) 
经营性应付项目的增加 137,783,118 249,161,358 
经营活动产生的现金流量净额 28,771,766 28,051,091 
不涉及现金收支的重大经营、投资和筹资活动： 
人民币千元 
项目 2025 年度 2024 年度 
当期新增的使用权资产 6,010,544 4,817,699 
应收票据支付采购款 1,298,758 2,227,981 
非现金资产抵债 105,571 219,379 
合计 7,414,873 7,265,059 
 </x:v>
      </x:c>
    </x:row>
    <x:row r="371">
      <x:c r="A371" t="str">
        <x:v>1319f2fc-e346-4844-8bc1-53ee28c37b7b</x:v>
      </x:c>
      <x:c r="B371" t="str">
        <x:v>601390</x:v>
      </x:c>
      <x:c r="C371" t="str">
        <x:v>中国中铁</x:v>
      </x:c>
      <x:c r="D371" t="str">
        <x:v>2025-12-31</x:v>
      </x:c>
      <x:c r="E371" t="str">
        <x:v>annual</x:v>
      </x:c>
      <x:c r="F371" t="str">
        <x:v>cash</x:v>
      </x:c>
      <x:c r="G371" t="n">
        <x:v>13597154</x:v>
      </x:c>
      <x:c r="H371" t="str">
        <x:v>CNY</x:v>
      </x:c>
      <x:c r="I371" t="n">
        <x:v>226</x:v>
      </x:c>
      <x:c r="J371" t="str">
        <x:v>货币资金</x:v>
      </x:c>
      <x:c r="K371" t="str">
        <x:v>candidate_pending_automated_verification</x:v>
      </x:c>
      <x:c r="L371" t="str">
        <x:v>https://static.cninfo.com.cn/finalpage/2026-03-31/1225056528.PDF</x:v>
      </x:c>
      <x:c r="M371" t="str">
        <x:v>fe19f08fa3a075f492f1059cf7d58f5228ed791646ab654c26cd2efc3261e6f2</x:v>
      </x:c>
      <x:c r="N371" t="str">
        <x:v>、 合并财务报表主要项目注释 
1. 货币资金 
人民币千元 
项目 2025 年12 月31 日 2024 年12 月31 日 
库存现金 29,195 27,784 
银行存款 239,876,284 232,891,152 
其他货币资金 13,597,154 17,143,052 
合计 253,502,633 250,061,988 
其中：存放在境外的货币资金总额 15,937,349 11,428,529 
注： 于2025年12月31日，本集团存放在境外且资金汇回受到限制的款项总额为人民币2,221,790
千元(2024 年12 月31 日：人民币1,760,613 千元)。 
2. 交易性金</x:v>
      </x:c>
    </x:row>
    <x:row r="372">
      <x:c r="A372" t="str">
        <x:v>3c63870c-e397-4c61-a983-4f6092c0bf72</x:v>
      </x:c>
      <x:c r="B372" t="str">
        <x:v>601390</x:v>
      </x:c>
      <x:c r="C372" t="str">
        <x:v>中国中铁</x:v>
      </x:c>
      <x:c r="D372" t="str">
        <x:v>2025-12-31</x:v>
      </x:c>
      <x:c r="E372" t="str">
        <x:v>annual</x:v>
      </x:c>
      <x:c r="F372" t="str">
        <x:v>short_term_borrowings</x:v>
      </x:c>
      <x:c r="G372" t="n">
        <x:v>1690426</x:v>
      </x:c>
      <x:c r="H372" t="str">
        <x:v>CNY</x:v>
      </x:c>
      <x:c r="I372" t="n">
        <x:v>347</x:v>
      </x:c>
      <x:c r="J372" t="str">
        <x:v>短期借款</x:v>
      </x:c>
      <x:c r="K372" t="str">
        <x:v>candidate_pending_automated_verification</x:v>
      </x:c>
      <x:c r="L372" t="str">
        <x:v>https://static.cninfo.com.cn/finalpage/2026-03-31/1225056528.PDF</x:v>
      </x:c>
      <x:c r="M372" t="str">
        <x:v>fe19f08fa3a075f492f1059cf7d58f5228ed791646ab654c26cd2efc3261e6f2</x:v>
      </x:c>
      <x:c r="N372" t="str">
        <x:v> 
合计 25,728,527 9,994,272 35,722,799 
外币金融负债—    
应付款项 6,654,531 4,438,263 11,092,794 
应付债券 7,138,990 - 7,138,990 
短期借款 1,690,426 147,620 1,838,046 
长期借款 26,282 750 27,032 
合计 15,510,229 4,586,633 20,096,862 
  </x:v>
      </x:c>
    </x:row>
    <x:row r="373">
      <x:c r="A373" t="str">
        <x:v>898e8482-ae4f-48c7-89a6-2cc3dbc4fa8e</x:v>
      </x:c>
      <x:c r="B373" t="str">
        <x:v>601390</x:v>
      </x:c>
      <x:c r="C373" t="str">
        <x:v>中国中铁</x:v>
      </x:c>
      <x:c r="D373" t="str">
        <x:v>2025-12-31</x:v>
      </x:c>
      <x:c r="E373" t="str">
        <x:v>annual</x:v>
      </x:c>
      <x:c r="F373" t="str">
        <x:v>operating_cash_flow</x:v>
      </x:c>
      <x:c r="G373" t="n">
        <x:v>28771766</x:v>
      </x:c>
      <x:c r="H373" t="str">
        <x:v>reported_amount</x:v>
      </x:c>
      <x:c r="I373" t="n">
        <x:v>9</x:v>
      </x:c>
      <x:c r="J373" t="str">
        <x:v>经营活动产生的现金流量净额</x:v>
      </x:c>
      <x:c r="K373" t="str">
        <x:v>candidate_pending_automated_verification</x:v>
      </x:c>
      <x:c r="L373" t="str">
        <x:v>https://static.cninfo.com.cn/finalpage/2026-03-31/1225056528.PDF</x:v>
      </x:c>
      <x:c r="M373" t="str">
        <x:v>fe19f08fa3a075f492f1059cf7d58f5228ed791646ab654c26cd2efc3261e6f2</x:v>
      </x:c>
      <x:c r="N373" t="str">
        <x:v>东的净利润 22,891,703  27,886,745  -17.91  33,482,775  
归属于上市公司股东的扣除非
经常性损益的净利润 17,664,407  24,325,141  -27.38  30,872,445  
经营活动产生的现金流量净额 28,771,766   28,051,091  2.57  38,363,495  
 2025年末 2024年末 
本期末比上
年同期末增
减（%） 
2023年末 
归属于上市公司股东的净资产 371,062,821  354,714,424  4.61  332,533,508  
总资产 2,470,580,585  2,256,413,630  9.49  1,82</x:v>
      </x:c>
    </x:row>
    <x:row r="374">
      <x:c r="A374" t="str">
        <x:v>6267a742-9e6c-4128-ab4e-3cc951c7232f</x:v>
      </x:c>
      <x:c r="B374" t="str">
        <x:v>601390</x:v>
      </x:c>
      <x:c r="C374" t="str">
        <x:v>中国中铁</x:v>
      </x:c>
      <x:c r="D374" t="str">
        <x:v>2025-12-31</x:v>
      </x:c>
      <x:c r="E374" t="str">
        <x:v>annual</x:v>
      </x:c>
      <x:c r="F374" t="str">
        <x:v>net_income</x:v>
      </x:c>
      <x:c r="G374" t="n">
        <x:v>22891703</x:v>
      </x:c>
      <x:c r="H374" t="str">
        <x:v>reported_amount</x:v>
      </x:c>
      <x:c r="I374" t="n">
        <x:v>9</x:v>
      </x:c>
      <x:c r="J374" t="str">
        <x:v>归属于上市公司股东的净利润</x:v>
      </x:c>
      <x:c r="K374" t="str">
        <x:v>candidate_pending_automated_verification</x:v>
      </x:c>
      <x:c r="L374" t="str">
        <x:v>https://static.cninfo.com.cn/finalpage/2026-03-31/1225056528.PDF</x:v>
      </x:c>
      <x:c r="M374" t="str">
        <x:v>fe19f08fa3a075f492f1059cf7d58f5228ed791646ab654c26cd2efc3261e6f2</x:v>
      </x:c>
      <x:c r="N374" t="str">
        <x:v>(%) 
2023年 
营业收入 1,090,626,001  1,157,439,041  -5.77  1,260,841,083  
利润总额 33,539,825  38,871,107  -13.72  46,069,901  
归属于上市公司股东的净利润 22,891,703  27,886,745  -17.91  33,482,775  
归属于上市公司股东的扣除非
经常性损益的净利润 17,664,407  24,325,141  -27.38  30,872,445  
经营活动产生的现金流量净额 28,771,766   28,051,091  2.57  38,363,495  
 2025年末 2024年末 
本期</x:v>
      </x:c>
    </x:row>
    <x:row r="375">
      <x:c r="A375" t="str">
        <x:v>3d4663c1-2b6d-4bc0-b0fd-6ce50ad08f72</x:v>
      </x:c>
      <x:c r="B375" t="str">
        <x:v>601390</x:v>
      </x:c>
      <x:c r="C375" t="str">
        <x:v>中国中铁</x:v>
      </x:c>
      <x:c r="D375" t="str">
        <x:v>2025-12-31</x:v>
      </x:c>
      <x:c r="E375" t="str">
        <x:v>annual</x:v>
      </x:c>
      <x:c r="F375" t="str">
        <x:v>revenue</x:v>
      </x:c>
      <x:c r="G375" t="n">
        <x:v>1090626001</x:v>
      </x:c>
      <x:c r="H375" t="str">
        <x:v>reported_amount</x:v>
      </x:c>
      <x:c r="I375" t="n">
        <x:v>9</x:v>
      </x:c>
      <x:c r="J375" t="str">
        <x:v>营业收入</x:v>
      </x:c>
      <x:c r="K375" t="str">
        <x:v>candidate_pending_automated_verification</x:v>
      </x:c>
      <x:c r="L375" t="str">
        <x:v>https://static.cninfo.com.cn/finalpage/2026-03-31/1225056528.PDF</x:v>
      </x:c>
      <x:c r="M375" t="str">
        <x:v>fe19f08fa3a075f492f1059cf7d58f5228ed791646ab654c26cd2efc3261e6f2</x:v>
      </x:c>
      <x:c r="N375" t="str">
        <x:v>地址 香港湾仔皇后大道东183 号合和中心17M 楼 
七、 近三年主要会计数据和财务指标 
(一) 主要会计数据 
单位：千元  币种：人民币  
主要会计数据 2025年 2024年 
本期比上年
同期增减
(%) 
2023年 
营业收入 1,090,626,001  1,157,439,041  -5.77  1,260,841,083  
利润总额 33,539,825  38,871,107  -13.72  46,069,901  
归属于上市公司股东的净利润 22,891,703  27,886,745  -17.91  33,482,775  
归属于上市公司股东的扣除非
经常性损益的净利润 17,664,</x:v>
      </x:c>
    </x:row>
    <x:row r="376">
      <x:c r="A376" t="str">
        <x:v>f38721a5-22b8-43bd-acb3-54c17a67b21a</x:v>
      </x:c>
      <x:c r="B376" t="str">
        <x:v>601390</x:v>
      </x:c>
      <x:c r="C376" t="str">
        <x:v>中国中铁</x:v>
      </x:c>
      <x:c r="D376" t="str">
        <x:v>2025-12-31</x:v>
      </x:c>
      <x:c r="E376" t="str">
        <x:v>annual</x:v>
      </x:c>
      <x:c r="F376" t="str">
        <x:v>cash</x:v>
      </x:c>
      <x:c r="G376" t="n">
        <x:v>224429</x:v>
      </x:c>
      <x:c r="H376" t="str">
        <x:v>CNY</x:v>
      </x:c>
      <x:c r="I376" t="n">
        <x:v>371</x:v>
      </x:c>
      <x:c r="J376" t="str">
        <x:v>货币资金</x:v>
      </x:c>
      <x:c r="K376" t="str">
        <x:v>candidate_pending_automated_verification</x:v>
      </x:c>
      <x:c r="L376" t="str">
        <x:v>https://static.cninfo.com.cn/finalpage/2026-03-31/1225056528.PDF</x:v>
      </x:c>
      <x:c r="M376" t="str">
        <x:v>fe19f08fa3a075f492f1059cf7d58f5228ed791646ab654c26cd2efc3261e6f2</x:v>
      </x:c>
      <x:c r="N376" t="str">
        <x:v> 
8. 现金流量表补充资料 - 续 
(3) 现金及现金等价物 
人民币千元 
项目 2025 年12 月31 日 2024 年12 月31 日 
货币资金年末余额 12,952,376 37,382,763 
减：其他使用受限的货币资金 224,429 235,920 
现金及现金等价物年末余额 12,727,947 37,146,843 
9. 关联方交易 
(1) 本公司与关联方的主要交易 
人民币千元 
项目 2025 年度 2024 年度 
(1)提供建造服务、销售商品、提供劳务的收入：   
子公司 3,453,460 8,598,425 
其他关联方 827,805 941,210 
</x:v>
      </x:c>
    </x:row>
    <x:row r="377">
      <x:c r="A377" t="str">
        <x:v>7b35f798-081b-49ca-b865-758f5c4657d2</x:v>
      </x:c>
      <x:c r="B377" t="str">
        <x:v>601336</x:v>
      </x:c>
      <x:c r="C377" t="str">
        <x:v>新华保险</x:v>
      </x:c>
      <x:c r="D377" t="str">
        <x:v>2025-12-31</x:v>
      </x:c>
      <x:c r="E377" t="str">
        <x:v>annual</x:v>
      </x:c>
      <x:c r="F377" t="str">
        <x:v>cash</x:v>
      </x:c>
      <x:c r="G377" t="n">
        <x:v>38461</x:v>
      </x:c>
      <x:c r="H377" t="str">
        <x:v>CNY</x:v>
      </x:c>
      <x:c r="I377" t="n">
        <x:v>280</x:v>
      </x:c>
      <x:c r="J377" t="str">
        <x:v>货币资金</x:v>
      </x:c>
      <x:c r="K377" t="str">
        <x:v>candidate_pending_automated_verification</x:v>
      </x:c>
      <x:c r="L377" t="str">
        <x:v>https://static.cninfo.com.cn/finalpage/2026-03-28/1225047616.PDF</x:v>
      </x:c>
      <x:c r="M377" t="str">
        <x:v>4a5d6ee54dc0a351acac6d9d3ce1d0eee6d4a388c4c36c1668a35d5ffd35c528</x:v>
      </x:c>
      <x:c r="N377" t="str">
        <x:v>同规定的未经折现的现金流 ；
未经折现现金流量－流入╱ （流出）
2024年12月31日 账面价值
未标明 
到期日
1年以内 
（含1年）
1-3
年 
（含3年）
3-5
年 
（含5年） 5年以上 合计
货币资金 38,461 － 38,461 － － － 38,461
买入返售金融资产 5,436 － 5,438 － － － 5,438
其他应收款 8,528 － 8,528 － － － 8,528
定期存款 282,458 － 91,774 179,419 17,084 7,517 295,794
交易性金融资产 485,928 355,762 13,041 59,203 4</x:v>
      </x:c>
    </x:row>
    <x:row r="378">
      <x:c r="A378" t="str">
        <x:v>e376f6f5-f8da-4c8e-889a-04eab8d20836</x:v>
      </x:c>
      <x:c r="B378" t="str">
        <x:v>601336</x:v>
      </x:c>
      <x:c r="C378" t="str">
        <x:v>新华保险</x:v>
      </x:c>
      <x:c r="D378" t="str">
        <x:v>2025-12-31</x:v>
      </x:c>
      <x:c r="E378" t="str">
        <x:v>annual</x:v>
      </x:c>
      <x:c r="F378" t="str">
        <x:v>bonds_payable</x:v>
      </x:c>
      <x:c r="G378" t="n">
        <x:v>20173</x:v>
      </x:c>
      <x:c r="H378" t="str">
        <x:v>CNY</x:v>
      </x:c>
      <x:c r="I378" t="n">
        <x:v>279</x:v>
      </x:c>
      <x:c r="J378" t="str">
        <x:v>应付债券</x:v>
      </x:c>
      <x:c r="K378" t="str">
        <x:v>candidate_pending_automated_verification</x:v>
      </x:c>
      <x:c r="L378" t="str">
        <x:v>https://static.cninfo.com.cn/finalpage/2026-03-28/1225047616.PDF</x:v>
      </x:c>
      <x:c r="M378" t="str">
        <x:v>4a5d6ee54dc0a351acac6d9d3ce1d0eee6d4a388c4c36c1668a35d5ffd35c528</x:v>
      </x:c>
      <x:c r="N378" t="str">
        <x:v>金融资产款 193,518 － (193,553) － － － (193,553)
应付手续费及佣金 1,765 － (1,765) － － － (1,765)
其他应付款 18,840 － (18,840) － － － (18,840)
应付债券 20,173 － (567) (11,134) (10,227) － (21,928)
租赁负债 627 － (283) (307) (50) (10) (650)
其他负债 676 (50) (283) (212) (159) (10) (714)
合计 245,459 (9,910) (215,291) (11,653) (10,436) (20)</x:v>
      </x:c>
    </x:row>
    <x:row r="379">
      <x:c r="A379" t="str">
        <x:v>cfd05135-2186-4408-acb2-e9c11a7b8edf</x:v>
      </x:c>
      <x:c r="B379" t="str">
        <x:v>601336</x:v>
      </x:c>
      <x:c r="C379" t="str">
        <x:v>新华保险</x:v>
      </x:c>
      <x:c r="D379" t="str">
        <x:v>2025-12-31</x:v>
      </x:c>
      <x:c r="E379" t="str">
        <x:v>annual</x:v>
      </x:c>
      <x:c r="F379" t="str">
        <x:v>cash</x:v>
      </x:c>
      <x:c r="G379" t="n">
        <x:v>42923</x:v>
      </x:c>
      <x:c r="H379" t="str">
        <x:v>CNY</x:v>
      </x:c>
      <x:c r="I379" t="n">
        <x:v>279</x:v>
      </x:c>
      <x:c r="J379" t="str">
        <x:v>货币资金</x:v>
      </x:c>
      <x:c r="K379" t="str">
        <x:v>candidate_pending_automated_verification</x:v>
      </x:c>
      <x:c r="L379" t="str">
        <x:v>https://static.cninfo.com.cn/finalpage/2026-03-28/1225047616.PDF</x:v>
      </x:c>
      <x:c r="M379" t="str">
        <x:v>4a5d6ee54dc0a351acac6d9d3ce1d0eee6d4a388c4c36c1668a35d5ffd35c528</x:v>
      </x:c>
      <x:c r="N379" t="str">
        <x:v>未经折现现金流如下表所示 ：
未经折现现金流量－流入╱ （流出）
2025年12月31日 账面价值
未标明 
到期日
1年以内 
（含1年）
1-3
年 
（含3年）
3-5
年 
（含5年） 5年以上 合计
货币资金 42,923 － 42,923 － － － 42,923
衍生金融资产 1 1 － － － － 1
买入返售金融资产 13,999 － 14,004 － － － 14,004
其他应收款 4,577 － 4,577 － － － 4,577
定期存款 293,964 － 118,299 99,085 86,536 － 303,920
交易性金融资产 579,756 435</x:v>
      </x:c>
    </x:row>
    <x:row r="380">
      <x:c r="A380" t="str">
        <x:v>f95e9164-ea17-4ae5-8185-59542f06f6f9</x:v>
      </x:c>
      <x:c r="B380" t="str">
        <x:v>601336</x:v>
      </x:c>
      <x:c r="C380" t="str">
        <x:v>新华保险</x:v>
      </x:c>
      <x:c r="D380" t="str">
        <x:v>2025-12-31</x:v>
      </x:c>
      <x:c r="E380" t="str">
        <x:v>annual</x:v>
      </x:c>
      <x:c r="F380" t="str">
        <x:v>operating_cash_flow</x:v>
      </x:c>
      <x:c r="G380" t="n">
        <x:v>109927</x:v>
      </x:c>
      <x:c r="H380" t="str">
        <x:v>CNY</x:v>
      </x:c>
      <x:c r="I380" t="n">
        <x:v>261</x:v>
      </x:c>
      <x:c r="J380" t="str">
        <x:v>经营活动产生的现金流量净额</x:v>
      </x:c>
      <x:c r="K380" t="str">
        <x:v>candidate_pending_automated_verification</x:v>
      </x:c>
      <x:c r="L380" t="str">
        <x:v>https://static.cninfo.com.cn/finalpage/2026-03-28/1225047616.PDF</x:v>
      </x:c>
      <x:c r="M380" t="str">
        <x:v>4a5d6ee54dc0a351acac6d9d3ce1d0eee6d4a388c4c36c1668a35d5ffd35c528</x:v>
      </x:c>
      <x:c r="N380" t="str">
        <x:v>再保险合同资产的变动 (103) (270)
购买联营企业成本小于取得的可辨认净资产公允价值份额的差额 (3,404) －
经营性应收款项的 （增加） ／减少 (22) 5,022
经营性应付款项的减少 (217) (2,921)
经营活动产生的现金流量净额 109,927 96,044
   </x:v>
      </x:c>
    </x:row>
    <x:row r="381">
      <x:c r="A381" t="str">
        <x:v>261b23ee-8f56-40ca-a401-c929c959afab</x:v>
      </x:c>
      <x:c r="B381" t="str">
        <x:v>601336</x:v>
      </x:c>
      <x:c r="C381" t="str">
        <x:v>新华保险</x:v>
      </x:c>
      <x:c r="D381" t="str">
        <x:v>2025-12-31</x:v>
      </x:c>
      <x:c r="E381" t="str">
        <x:v>annual</x:v>
      </x:c>
      <x:c r="F381" t="str">
        <x:v>operating_cash_flow</x:v>
      </x:c>
      <x:c r="G381" t="n">
        <x:v>110916</x:v>
      </x:c>
      <x:c r="H381" t="str">
        <x:v>CNY</x:v>
      </x:c>
      <x:c r="I381" t="n">
        <x:v>252</x:v>
      </x:c>
      <x:c r="J381" t="str">
        <x:v>经营活动产生的现金流量净额</x:v>
      </x:c>
      <x:c r="K381" t="str">
        <x:v>candidate_pending_automated_verification</x:v>
      </x:c>
      <x:c r="L381" t="str">
        <x:v>https://static.cninfo.com.cn/finalpage/2026-03-28/1225047616.PDF</x:v>
      </x:c>
      <x:c r="M381" t="str">
        <x:v>4a5d6ee54dc0a351acac6d9d3ce1d0eee6d4a388c4c36c1668a35d5ffd35c528</x:v>
      </x:c>
      <x:c r="N381" t="str">
        <x:v>合同资产的变动 (103) (270)
购买联营企业成本小于取得的可辨认净资产公允价值份额的差额 (3,404) －
经营性应收款项的 （增加） ╱减少 (107) 3,035
经营性应付款项的减少 (1,362) (1,864)
经营活动产生的现金流量净额 110,916 96,290
   </x:v>
      </x:c>
    </x:row>
    <x:row r="382">
      <x:c r="A382" t="str">
        <x:v>35a10145-90ed-48b8-aef2-e9c99d3346f3</x:v>
      </x:c>
      <x:c r="B382" t="str">
        <x:v>601336</x:v>
      </x:c>
      <x:c r="C382" t="str">
        <x:v>新华保险</x:v>
      </x:c>
      <x:c r="D382" t="str">
        <x:v>2025-12-31</x:v>
      </x:c>
      <x:c r="E382" t="str">
        <x:v>annual</x:v>
      </x:c>
      <x:c r="F382" t="str">
        <x:v>bonds_payable</x:v>
      </x:c>
      <x:c r="G382" t="n">
        <x:v>2025</x:v>
      </x:c>
      <x:c r="H382" t="str">
        <x:v>CNY</x:v>
      </x:c>
      <x:c r="I382" t="n">
        <x:v>236</x:v>
      </x:c>
      <x:c r="J382" t="str">
        <x:v>应付债券</x:v>
      </x:c>
      <x:c r="K382" t="str">
        <x:v>candidate_pending_automated_verification</x:v>
      </x:c>
      <x:c r="L382" t="str">
        <x:v>https://static.cninfo.com.cn/finalpage/2026-03-28/1225047616.PDF</x:v>
      </x:c>
      <x:c r="M382" t="str">
        <x:v>4a5d6ee54dc0a351acac6d9d3ce1d0eee6d4a388c4c36c1668a35d5ffd35c528</x:v>
      </x:c>
      <x:c r="N382" t="str">
        <x:v>财务报告 | 二零二五年年报
235
关于公司 经营情况 其他信息致股东函 企业管治 财务报告
30 应付债券
2025年12月31日 2024年12月31日
本金 20,000 30,000
应计利息 173 384
合计 20,173 30,384
本公司经原中国银保监会和中国人民银行批准，于2020 年5月11日在全国银行间债券市场发行资本补充债券，并于
2020年5月13日发行完毕。该资本补充债券发行总规模为人民币10,000 百万元，品种为1</x:v>
      </x:c>
    </x:row>
    <x:row r="383">
      <x:c r="A383" t="str">
        <x:v>dfe02da3-cadc-414e-9728-86269b2c7d29</x:v>
      </x:c>
      <x:c r="B383" t="str">
        <x:v>601336</x:v>
      </x:c>
      <x:c r="C383" t="str">
        <x:v>新华保险</x:v>
      </x:c>
      <x:c r="D383" t="str">
        <x:v>2025-12-31</x:v>
      </x:c>
      <x:c r="E383" t="str">
        <x:v>annual</x:v>
      </x:c>
      <x:c r="F383" t="str">
        <x:v>cash</x:v>
      </x:c>
      <x:c r="G383" t="n">
        <x:v>20198</x:v>
      </x:c>
      <x:c r="H383" t="str">
        <x:v>CNY</x:v>
      </x:c>
      <x:c r="I383" t="n">
        <x:v>204</x:v>
      </x:c>
      <x:c r="J383" t="str">
        <x:v>货币资金</x:v>
      </x:c>
      <x:c r="K383" t="str">
        <x:v>candidate_pending_automated_verification</x:v>
      </x:c>
      <x:c r="L383" t="str">
        <x:v>https://static.cninfo.com.cn/finalpage/2026-03-28/1225047616.PDF</x:v>
      </x:c>
      <x:c r="M383" t="str">
        <x:v>4a5d6ee54dc0a351acac6d9d3ce1d0eee6d4a388c4c36c1668a35d5ffd35c528</x:v>
      </x:c>
      <x:c r="N383" t="str">
        <x:v>报告
16 保险合同负债与分出再保险合同资产 （续）
(1) 保险合同负债 （续）
本集团具有直接参与分红特征的保险合同的基础项目的公允价值列示如下 ：
公允价值
2025年12月31日 2024年12月31日
资产
货币资金 20,198 13,706
买入返售金融资产 7,108 211
定期存款 154,756 162,871
交易性金融资产 317,158 229,374
债权投资 1,804 4,194
其他债权投资 275,365 320,930
其他权益工具投资 102 80
其他资产 10,197 10,209
小计 786,688 741,575
负债
卖出回</x:v>
      </x:c>
    </x:row>
    <x:row r="384">
      <x:c r="A384" t="str">
        <x:v>29a3bf86-88f5-404a-8f07-96b29a24d331</x:v>
      </x:c>
      <x:c r="B384" t="str">
        <x:v>601336</x:v>
      </x:c>
      <x:c r="C384" t="str">
        <x:v>新华保险</x:v>
      </x:c>
      <x:c r="D384" t="str">
        <x:v>2025-12-31</x:v>
      </x:c>
      <x:c r="E384" t="str">
        <x:v>annual</x:v>
      </x:c>
      <x:c r="F384" t="str">
        <x:v>cash</x:v>
      </x:c>
      <x:c r="G384" t="n">
        <x:v>2025</x:v>
      </x:c>
      <x:c r="H384" t="str">
        <x:v>CNY</x:v>
      </x:c>
      <x:c r="I384" t="n">
        <x:v>189</x:v>
      </x:c>
      <x:c r="J384" t="str">
        <x:v>货币资金</x:v>
      </x:c>
      <x:c r="K384" t="str">
        <x:v>candidate_pending_automated_verification</x:v>
      </x:c>
      <x:c r="L384" t="str">
        <x:v>https://static.cninfo.com.cn/finalpage/2026-03-28/1225047616.PDF</x:v>
      </x:c>
      <x:c r="M384" t="str">
        <x:v>4a5d6ee54dc0a351acac6d9d3ce1d0eee6d4a388c4c36c1668a35d5ffd35c528</x:v>
      </x:c>
      <x:c r="N384" t="str">
        <x:v>二零二五年年报 | 财务报告
188
第十二节
8 货币资金
2025年12月31日 2024年12月31日
原币金额 汇率 人民币金额 原币金额 汇率 人民币金额
银行存款
人民币 29,705 1.0000 29,705 26,048 1.0000 26,048
美元 231 7.0288 1,622 175 7.1884 1,260
港币 699 0.9032 631 664 0.9260 615
</x:v>
      </x:c>
    </x:row>
    <x:row r="385">
      <x:c r="A385" t="str">
        <x:v>8ee5384e-7509-4c31-8888-8079d0f9c0d9</x:v>
      </x:c>
      <x:c r="B385" t="str">
        <x:v>601336</x:v>
      </x:c>
      <x:c r="C385" t="str">
        <x:v>新华保险</x:v>
      </x:c>
      <x:c r="D385" t="str">
        <x:v>2025-12-31</x:v>
      </x:c>
      <x:c r="E385" t="str">
        <x:v>annual</x:v>
      </x:c>
      <x:c r="F385" t="str">
        <x:v>cash</x:v>
      </x:c>
      <x:c r="G385" t="n">
        <x:v>1622</x:v>
      </x:c>
      <x:c r="H385" t="str">
        <x:v>CNY</x:v>
      </x:c>
      <x:c r="I385" t="n">
        <x:v>275</x:v>
      </x:c>
      <x:c r="J385" t="str">
        <x:v>货币资金</x:v>
      </x:c>
      <x:c r="K385" t="str">
        <x:v>candidate_pending_automated_verification</x:v>
      </x:c>
      <x:c r="L385" t="str">
        <x:v>https://static.cninfo.com.cn/finalpage/2026-03-28/1225047616.PDF</x:v>
      </x:c>
      <x:c r="M385" t="str">
        <x:v>4a5d6ee54dc0a351acac6d9d3ce1d0eee6d4a388c4c36c1668a35d5ffd35c528</x:v>
      </x:c>
      <x:c r="N385" t="str">
        <x:v>1日和2024年12月31日，本集团拥有的非人民币投资资产如下 ：
2025年12月31日
折合人民币 美元 港币 欧元 其他 合计
交易性金融资产 4,636 5,823 5,239 740 16,438
货币资金 1,622 631 － － 2,253
债权投资 2,193 180 － － 2,373
其他债权投资 2,699 － － － 2,699
其他权益工具投资 － 6,012 － － 6,012
小计 11,150 12,646 5,239 740 29,775
2024年12月31日
折合人民币 美元 港币 欧元 其他 合</x:v>
      </x:c>
    </x:row>
    <x:row r="386">
      <x:c r="A386" t="str">
        <x:v>9fe35a58-0a27-48e1-a5d7-da056de79f21</x:v>
      </x:c>
      <x:c r="B386" t="str">
        <x:v>601336</x:v>
      </x:c>
      <x:c r="C386" t="str">
        <x:v>新华保险</x:v>
      </x:c>
      <x:c r="D386" t="str">
        <x:v>2025-12-31</x:v>
      </x:c>
      <x:c r="E386" t="str">
        <x:v>annual</x:v>
      </x:c>
      <x:c r="F386" t="str">
        <x:v>bonds_payable</x:v>
      </x:c>
      <x:c r="G386" t="n">
        <x:v>30384</x:v>
      </x:c>
      <x:c r="H386" t="str">
        <x:v>CNY</x:v>
      </x:c>
      <x:c r="I386" t="n">
        <x:v>280</x:v>
      </x:c>
      <x:c r="J386" t="str">
        <x:v>应付债券</x:v>
      </x:c>
      <x:c r="K386" t="str">
        <x:v>candidate_pending_automated_verification</x:v>
      </x:c>
      <x:c r="L386" t="str">
        <x:v>https://static.cninfo.com.cn/finalpage/2026-03-28/1225047616.PDF</x:v>
      </x:c>
      <x:c r="M386" t="str">
        <x:v>4a5d6ee54dc0a351acac6d9d3ce1d0eee6d4a388c4c36c1668a35d5ffd35c528</x:v>
      </x:c>
      <x:c r="N386" t="str">
        <x:v>出回购金融资产款 171,588 － (171,639) － － － (171,639)
应付手续费及佣金 1,756 － (1,756) － － － (1,756)
其他应付款 7,561 － (7,561) － － － (7,561)
应付债券 30,384 － (10,897) (1,134) (20,794) － (32,825)
租赁负债 715 － (314) (334) (116) (16) (780)
其他负债 857 － (470) (266) (156) (10) (902)
合计 221,414 (8,553) (192,637) (1,734) (21,066) (26) </x:v>
      </x:c>
    </x:row>
    <x:row r="387">
      <x:c r="A387" t="str">
        <x:v>a5ebbc9e-bae0-4e62-8238-464673e52669</x:v>
      </x:c>
      <x:c r="B387" t="str">
        <x:v>600690</x:v>
      </x:c>
      <x:c r="C387" t="str">
        <x:v>海尔智家</x:v>
      </x:c>
      <x:c r="D387" t="str">
        <x:v>2025-12-31</x:v>
      </x:c>
      <x:c r="E387" t="str">
        <x:v>annual</x:v>
      </x:c>
      <x:c r="F387" t="str">
        <x:v>cash</x:v>
      </x:c>
      <x:c r="G387" t="n">
        <x:v>55597554622.83</x:v>
      </x:c>
      <x:c r="H387" t="str">
        <x:v>CNY</x:v>
      </x:c>
      <x:c r="I387" t="n">
        <x:v>237</x:v>
      </x:c>
      <x:c r="J387" t="str">
        <x:v>货币资金</x:v>
      </x:c>
      <x:c r="K387" t="str">
        <x:v>candidate_pending_automated_verification</x:v>
      </x:c>
      <x:c r="L387" t="str">
        <x:v>https://static.cninfo.com.cn/finalpage/2026-03-27/1225038336.PDF</x:v>
      </x:c>
      <x:c r="M387" t="str">
        <x:v>14186f9f9b47f687c527ba14825664f3b09e51759d581636cddcc248f26e3660</x:v>
      </x:c>
      <x:c r="N387" t="str">
        <x:v>其他权益工具 5,405,101,489.33 5,405,101,489.33
金融资产（续）
项目
期初余额
以公允价值计量且其
变动计入当期损益的
金融资产
以摊余成本计量
以公允价值计量且
其变动计入其他综
合收益的金融资产
合计
货币资金 55,597,554,622.83 55,597,554,622.83
交易性金融资产 1,236,017,839.53 1,236,017,839.53
衍生金融资产 142,709,716.91 142,709,716.91
应收票据 12,179,856,870.01 12,179,856,870.01
应收账款 26,494,845,510.56 26,494,845,510.56
</x:v>
      </x:c>
    </x:row>
    <x:row r="388">
      <x:c r="A388" t="str">
        <x:v>2f9cebb8-d864-43bd-b10a-054190dc5f4b</x:v>
      </x:c>
      <x:c r="B388" t="str">
        <x:v>600690</x:v>
      </x:c>
      <x:c r="C388" t="str">
        <x:v>海尔智家</x:v>
      </x:c>
      <x:c r="D388" t="str">
        <x:v>2025-12-31</x:v>
      </x:c>
      <x:c r="E388" t="str">
        <x:v>annual</x:v>
      </x:c>
      <x:c r="F388" t="str">
        <x:v>bonds_payable</x:v>
      </x:c>
      <x:c r="G388" t="n">
        <x:v>3500000000</x:v>
      </x:c>
      <x:c r="H388" t="str">
        <x:v>CNY</x:v>
      </x:c>
      <x:c r="I388" t="n">
        <x:v>238</x:v>
      </x:c>
      <x:c r="J388" t="str">
        <x:v>应付债券</x:v>
      </x:c>
      <x:c r="K388" t="str">
        <x:v>candidate_pending_automated_verification</x:v>
      </x:c>
      <x:c r="L388" t="str">
        <x:v>https://static.cninfo.com.cn/finalpage/2026-03-27/1225038336.PDF</x:v>
      </x:c>
      <x:c r="M388" t="str">
        <x:v>14186f9f9b47f687c527ba14825664f3b09e51759d581636cddcc248f26e3660</x:v>
      </x:c>
      <x:c r="N388" t="str">
        <x:v>93,605,624.57 19,493,605,624.57
一年内到期的非流动负
债 4,400,146,805.56 4,400,146,805.56
长期借款 11,165,886,169.09 11,165,886,169.09
应付债券 3,500,000,000.00 3,500,000,000.00
长期应付款 167,862,276.79 167,862,276.79
金融负债（续）
项目
期初余额
以公允价值计量的金融负
债
以摊余成本计量的金融负
债 合计
短期借款 13,784,367,443.93 13,784,367,443.93
衍生金融负债 71,011,310.01 71,011,310.01
应付票</x:v>
      </x:c>
    </x:row>
    <x:row r="389">
      <x:c r="A389" t="str">
        <x:v>3ca97941-9ff3-4164-ad09-b7c2956b26ce</x:v>
      </x:c>
      <x:c r="B389" t="str">
        <x:v>600690</x:v>
      </x:c>
      <x:c r="C389" t="str">
        <x:v>海尔智家</x:v>
      </x:c>
      <x:c r="D389" t="str">
        <x:v>2025-12-31</x:v>
      </x:c>
      <x:c r="E389" t="str">
        <x:v>annual</x:v>
      </x:c>
      <x:c r="F389" t="str">
        <x:v>long_term_borrowings</x:v>
      </x:c>
      <x:c r="G389" t="n">
        <x:v>11165886169.09</x:v>
      </x:c>
      <x:c r="H389" t="str">
        <x:v>CNY</x:v>
      </x:c>
      <x:c r="I389" t="n">
        <x:v>238</x:v>
      </x:c>
      <x:c r="J389" t="str">
        <x:v>长期借款</x:v>
      </x:c>
      <x:c r="K389" t="str">
        <x:v>candidate_pending_automated_verification</x:v>
      </x:c>
      <x:c r="L389" t="str">
        <x:v>https://static.cninfo.com.cn/finalpage/2026-03-27/1225038336.PDF</x:v>
      </x:c>
      <x:c r="M389" t="str">
        <x:v>14186f9f9b47f687c527ba14825664f3b09e51759d581636cddcc248f26e3660</x:v>
      </x:c>
      <x:c r="N389" t="str">
        <x:v>4,741,780.87 53,544,741,780.87
其他应付款 19,493,605,624.57 19,493,605,624.57
一年内到期的非流动负
债 4,400,146,805.56 4,400,146,805.56
长期借款 11,165,886,169.09 11,165,886,169.09
应付债券 3,500,000,000.00 3,500,000,000.00
长期应付款 167,862,276.79 167,862,276.79
金融负债（续）
项目
期初余额
以公允价值计量的金融负
债
以摊余成本计量的金融负
债 合计
短期借款 13,784,367,443.93 13,784,367,443.9</x:v>
      </x:c>
    </x:row>
    <x:row r="390">
      <x:c r="A390" t="str">
        <x:v>4d775676-87c2-4987-ab08-f90eee2fa51b</x:v>
      </x:c>
      <x:c r="B390" t="str">
        <x:v>600690</x:v>
      </x:c>
      <x:c r="C390" t="str">
        <x:v>海尔智家</x:v>
      </x:c>
      <x:c r="D390" t="str">
        <x:v>2025-12-31</x:v>
      </x:c>
      <x:c r="E390" t="str">
        <x:v>annual</x:v>
      </x:c>
      <x:c r="F390" t="str">
        <x:v>short_term_borrowings</x:v>
      </x:c>
      <x:c r="G390" t="n">
        <x:v>13784367443.93</x:v>
      </x:c>
      <x:c r="H390" t="str">
        <x:v>CNY</x:v>
      </x:c>
      <x:c r="I390" t="n">
        <x:v>238</x:v>
      </x:c>
      <x:c r="J390" t="str">
        <x:v>短期借款</x:v>
      </x:c>
      <x:c r="K390" t="str">
        <x:v>candidate_pending_automated_verification</x:v>
      </x:c>
      <x:c r="L390" t="str">
        <x:v>https://static.cninfo.com.cn/finalpage/2026-03-27/1225038336.PDF</x:v>
      </x:c>
      <x:c r="M390" t="str">
        <x:v>14186f9f9b47f687c527ba14825664f3b09e51759d581636cddcc248f26e3660</x:v>
      </x:c>
      <x:c r="N390" t="str">
        <x:v>债券 3,500,000,000.00 3,500,000,000.00
长期应付款 167,862,276.79 167,862,276.79
金融负债（续）
项目
期初余额
以公允价值计量的金融负
债
以摊余成本计量的金融负
债 合计
短期借款 13,784,367,443.93 13,784,367,443.93
衍生金融负债 71,011,310.01 71,011,310.01
应付票据 21,220,364,311.81 21,220,364,311.81
应付账款 54,665,277,420.32 54,665,277,420.32
其他应付款 21,746,135,764.08 21,746,135,764.08
一年</x:v>
      </x:c>
    </x:row>
    <x:row r="391">
      <x:c r="A391" t="str">
        <x:v>72e0a0b7-b780-4543-8af4-d0d0af91d6d7</x:v>
      </x:c>
      <x:c r="B391" t="str">
        <x:v>600690</x:v>
      </x:c>
      <x:c r="C391" t="str">
        <x:v>海尔智家</x:v>
      </x:c>
      <x:c r="D391" t="str">
        <x:v>2025-12-31</x:v>
      </x:c>
      <x:c r="E391" t="str">
        <x:v>annual</x:v>
      </x:c>
      <x:c r="F391" t="str">
        <x:v>short_term_borrowings</x:v>
      </x:c>
      <x:c r="G391" t="n">
        <x:v>17420784420.86</x:v>
      </x:c>
      <x:c r="H391" t="str">
        <x:v>CNY</x:v>
      </x:c>
      <x:c r="I391" t="n">
        <x:v>237</x:v>
      </x:c>
      <x:c r="J391" t="str">
        <x:v>短期借款</x:v>
      </x:c>
      <x:c r="K391" t="str">
        <x:v>candidate_pending_automated_verification</x:v>
      </x:c>
      <x:c r="L391" t="str">
        <x:v>https://static.cninfo.com.cn/finalpage/2026-03-27/1225038336.PDF</x:v>
      </x:c>
      <x:c r="M391" t="str">
        <x:v>14186f9f9b47f687c527ba14825664f3b09e51759d581636cddcc248f26e3660</x:v>
      </x:c>
      <x:c r="N391" t="str">
        <x:v>期应收款 224,724,107.31 224,724,107.31
其他权益工具 6,073,680,870.82 6,073,680,870.82
金融负债
项目
期末余额
以公允价值计量的金融负
债
以摊余成本计量的金融负
债 合计
短期借款 17,420,784,420.86 17,420,784,420.86
衍生金融负债 190,868,603.05 190,868,603.05</x:v>
      </x:c>
    </x:row>
    <x:row r="392">
      <x:c r="A392" t="str">
        <x:v>8cda75d7-cf3c-43d6-9736-e21bdd0b211d</x:v>
      </x:c>
      <x:c r="B392" t="str">
        <x:v>600690</x:v>
      </x:c>
      <x:c r="C392" t="str">
        <x:v>海尔智家</x:v>
      </x:c>
      <x:c r="D392" t="str">
        <x:v>2025-12-31</x:v>
      </x:c>
      <x:c r="E392" t="str">
        <x:v>annual</x:v>
      </x:c>
      <x:c r="F392" t="str">
        <x:v>cash</x:v>
      </x:c>
      <x:c r="G392" t="n">
        <x:v>47621657441.3</x:v>
      </x:c>
      <x:c r="H392" t="str">
        <x:v>CNY</x:v>
      </x:c>
      <x:c r="I392" t="n">
        <x:v>236</x:v>
      </x:c>
      <x:c r="J392" t="str">
        <x:v>货币资金</x:v>
      </x:c>
      <x:c r="K392" t="str">
        <x:v>candidate_pending_automated_verification</x:v>
      </x:c>
      <x:c r="L392" t="str">
        <x:v>https://static.cninfo.com.cn/finalpage/2026-03-27/1225038336.PDF</x:v>
      </x:c>
      <x:c r="M392" t="str">
        <x:v>14186f9f9b47f687c527ba14825664f3b09e51759d581636cddcc248f26e3660</x:v>
      </x:c>
      <x:c r="N392" t="str">
        <x:v>、 与金融工具相关的风险
√适用 □不适用
资产负债表日的各类金融工具的账面价值如下：
金融资产
项目
期末余额
以公允价值计量且其
变动计入当期损益的
金融资产
以摊余成本计量
以公允价值计量且
其变动计入其他综
合收益的金融资产
合计
货币资金 47,621,657,441.30 47,621,657,441.30
交易性金融资产 2,034,270,761.53 2,034,270,761.53</x:v>
      </x:c>
    </x:row>
    <x:row r="393">
      <x:c r="A393" t="str">
        <x:v>7ca5be25-6100-4ede-b2f8-598df1b23b46</x:v>
      </x:c>
      <x:c r="B393" t="str">
        <x:v>600690</x:v>
      </x:c>
      <x:c r="C393" t="str">
        <x:v>海尔智家</x:v>
      </x:c>
      <x:c r="D393" t="str">
        <x:v>2025-12-31</x:v>
      </x:c>
      <x:c r="E393" t="str">
        <x:v>annual</x:v>
      </x:c>
      <x:c r="F393" t="str">
        <x:v>cash</x:v>
      </x:c>
      <x:c r="G393" t="n">
        <x:v>11330984136.12</x:v>
      </x:c>
      <x:c r="H393" t="str">
        <x:v>CNY</x:v>
      </x:c>
      <x:c r="I393" t="n">
        <x:v>233</x:v>
      </x:c>
      <x:c r="J393" t="str">
        <x:v>货币资金</x:v>
      </x:c>
      <x:c r="K393" t="str">
        <x:v>candidate_pending_automated_verification</x:v>
      </x:c>
      <x:c r="L393" t="str">
        <x:v>https://static.cninfo.com.cn/finalpage/2026-03-27/1225038336.PDF</x:v>
      </x:c>
      <x:c r="M393" t="str">
        <x:v>14186f9f9b47f687c527ba14825664f3b09e51759d581636cddcc248f26e3660</x:v>
      </x:c>
      <x:c r="N393" t="str">
        <x:v>股东大会审议通过了《海尔智家股份有限公司关于
与海尔集团公司续签&lt;金融服务框架协议&gt;暨预计关联交易额度的议案》，《金融服务框架协议》
自审议通过之时起生效。
本公司与财务公司发生的各项往来余额如下：
项目 期末余额 期初余额
存放财务公司的货币资金 11,330,984,136.12 20,565,469,130.81
存放财务公司的债权投资 13,899,000,000.00 12,605,000,000.00
存放财务公司的其他流动资产 1,312,950,000.00 453,550,000.00
存放财务公司的一年内到期的
债权投资 7,431,500,000.00 327,500,000.00
财务公司的借款 3,766,57</x:v>
      </x:c>
    </x:row>
    <x:row r="394">
      <x:c r="A394" t="str">
        <x:v>c59c0f18-b604-42cd-80d5-72a6ba3725a9</x:v>
      </x:c>
      <x:c r="B394" t="str">
        <x:v>600690</x:v>
      </x:c>
      <x:c r="C394" t="str">
        <x:v>海尔智家</x:v>
      </x:c>
      <x:c r="D394" t="str">
        <x:v>2025-12-31</x:v>
      </x:c>
      <x:c r="E394" t="str">
        <x:v>annual</x:v>
      </x:c>
      <x:c r="F394" t="str">
        <x:v>cash</x:v>
      </x:c>
      <x:c r="G394" t="n">
        <x:v>8151371.17</x:v>
      </x:c>
      <x:c r="H394" t="str">
        <x:v>CNY</x:v>
      </x:c>
      <x:c r="I394" t="n">
        <x:v>212</x:v>
      </x:c>
      <x:c r="J394" t="str">
        <x:v>货币资金</x:v>
      </x:c>
      <x:c r="K394" t="str">
        <x:v>candidate_pending_automated_verification</x:v>
      </x:c>
      <x:c r="L394" t="str">
        <x:v>https://static.cninfo.com.cn/finalpage/2026-03-27/1225038336.PDF</x:v>
      </x:c>
      <x:c r="M394" t="str">
        <x:v>14186f9f9b47f687c527ba14825664f3b09e51759d581636cddcc248f26e3660</x:v>
      </x:c>
      <x:c r="N394" t="str">
        <x:v>公司2025年年度报告
212 /245
(2). 合并成本
合并成本 ------现金 ------股权
卡奥斯模具（青岛）有限公司 77,749,769.26
a.被合并方的资产负债
项目
卡奥斯模具（青岛）有限公司
合并日 上期期末
货币资金 8,151,371.17 13,712,033.13
应收款项 36,498,914.84 298,755,305.13
存货 138,787,502.80 145,441,470.58
合同资产 10,457,165.36 10,294,407.38
其他流动资产 12,292,032.78 13,922,096.30
其他权益工具投资 86,992,207.36
固定资产 73</x:v>
      </x:c>
    </x:row>
    <x:row r="395">
      <x:c r="A395" t="str">
        <x:v>6a582916-2622-4952-a892-77a92de56dfb</x:v>
      </x:c>
      <x:c r="B395" t="str">
        <x:v>600690</x:v>
      </x:c>
      <x:c r="C395" t="str">
        <x:v>海尔智家</x:v>
      </x:c>
      <x:c r="D395" t="str">
        <x:v>2025-12-31</x:v>
      </x:c>
      <x:c r="E395" t="str">
        <x:v>annual</x:v>
      </x:c>
      <x:c r="F395" t="str">
        <x:v>short_term_borrowings</x:v>
      </x:c>
      <x:c r="G395" t="n">
        <x:v>151089188.11</x:v>
      </x:c>
      <x:c r="H395" t="str">
        <x:v>CNY</x:v>
      </x:c>
      <x:c r="I395" t="n">
        <x:v>208</x:v>
      </x:c>
      <x:c r="J395" t="str">
        <x:v>短期借款</x:v>
      </x:c>
      <x:c r="K395" t="str">
        <x:v>candidate_pending_automated_verification</x:v>
      </x:c>
      <x:c r="L395" t="str">
        <x:v>https://static.cninfo.com.cn/finalpage/2026-03-27/1225038336.PDF</x:v>
      </x:c>
      <x:c r="M395" t="str">
        <x:v>14186f9f9b47f687c527ba14825664f3b09e51759d581636cddcc248f26e3660</x:v>
      </x:c>
      <x:c r="N395" t="str">
        <x:v>公司的子公司将在约定的付款到期日偿还全额发票款项，并且不承担
向金融机构支付利息或其他费用。由于该安排并未延长原付款期，本公司的子公司对金融机构的
欠款归类为应付账款。
2）属于供应商融资安排的金融负债的有关信息
项目 期末余额 期初余额
短期借款 151,089,188.11 98,355,349.41
其中:供应商已从融资提供方
收到的款项 151,089,188.11 98,355,349.41
应付账款 8,675,434,827.79 8,502,906,169.43
其中：供应商已从融资提供
方收到的款项 4,517,989,746.97 4,674,536,705.90
不属于供应商融资安排的可比应付账款的付款期为 </x:v>
      </x:c>
    </x:row>
    <x:row r="396">
      <x:c r="A396" t="str">
        <x:v>c5fbbcba-2a8c-436e-bcb6-911dd3a6c6e3</x:v>
      </x:c>
      <x:c r="B396" t="str">
        <x:v>600690</x:v>
      </x:c>
      <x:c r="C396" t="str">
        <x:v>海尔智家</x:v>
      </x:c>
      <x:c r="D396" t="str">
        <x:v>2025-12-31</x:v>
      </x:c>
      <x:c r="E396" t="str">
        <x:v>annual</x:v>
      </x:c>
      <x:c r="F396" t="str">
        <x:v>cash</x:v>
      </x:c>
      <x:c r="G396" t="n">
        <x:v>790174363.11</x:v>
      </x:c>
      <x:c r="H396" t="str">
        <x:v>CNY</x:v>
      </x:c>
      <x:c r="I396" t="n">
        <x:v>207</x:v>
      </x:c>
      <x:c r="J396" t="str">
        <x:v>货币资金</x:v>
      </x:c>
      <x:c r="K396" t="str">
        <x:v>candidate_pending_automated_verification</x:v>
      </x:c>
      <x:c r="L396" t="str">
        <x:v>https://static.cninfo.com.cn/finalpage/2026-03-27/1225038336.PDF</x:v>
      </x:c>
      <x:c r="M396" t="str">
        <x:v>14186f9f9b47f687c527ba14825664f3b09e51759d581636cddcc248f26e3660</x:v>
      </x:c>
      <x:c r="N396" t="str">
        <x:v>687,864.46 54,994,595,280.18
其中：库存现金 2,361,449.23 560,953.91
可随时用于支付的银行存款 45,475,152,052.12 54,256,005,280.85
可随时用于支付的其他货币资金 790,174,363.11 738,029,045.42
二、现金等价物
其中：三个月内到期的债券投资
三、期末现金及现金等价物余额 46,267,687,864.46 54,994,595,280.18
其中：母公司或集团内子公司使用受限制的现金和
现金等价物</x:v>
      </x:c>
    </x:row>
    <x:row r="397">
      <x:c r="A397" t="str">
        <x:v>db871c19-e51f-43ba-a8b8-37f12ce04a7b</x:v>
      </x:c>
      <x:c r="B397" t="str">
        <x:v>600690</x:v>
      </x:c>
      <x:c r="C397" t="str">
        <x:v>海尔智家</x:v>
      </x:c>
      <x:c r="D397" t="str">
        <x:v>2025-12-31</x:v>
      </x:c>
      <x:c r="E397" t="str">
        <x:v>annual</x:v>
      </x:c>
      <x:c r="F397" t="str">
        <x:v>short_term_borrowings</x:v>
      </x:c>
      <x:c r="G397" t="n">
        <x:v>1378436</x:v>
      </x:c>
      <x:c r="H397" t="str">
        <x:v>CNY</x:v>
      </x:c>
      <x:c r="I397" t="n">
        <x:v>206</x:v>
      </x:c>
      <x:c r="J397" t="str">
        <x:v>短期借款</x:v>
      </x:c>
      <x:c r="K397" t="str">
        <x:v>candidate_pending_automated_verification</x:v>
      </x:c>
      <x:c r="L397" t="str">
        <x:v>https://static.cninfo.com.cn/finalpage/2026-03-27/1225038336.PDF</x:v>
      </x:c>
      <x:c r="M397" t="str">
        <x:v>14186f9f9b47f687c527ba14825664f3b09e51759d581636cddcc248f26e3660</x:v>
      </x:c>
      <x:c r="N397" t="str">
        <x:v>益变动 188,719,859.91
合计 5,492,905,410.59
筹资活动产生的各项负债变动情况
√适用 □不适用
单位：元 币种：人民币
项目 期初余额 本期增加 本期减少 期末余额现金变动 非现金变动 现金变动 非现金变动
短期借款 13,784,36
7,443.93
22,306,70
0,670.34
352,600,191
.23
18,976,074
,655.33
46,809,229.
31
17,420,78
4,420.86
长期借款（含一年
内到期）
20,030,30
2,099.39
7,341,261,
011.02
263,201,606
.58
12,111,679
,308</x:v>
      </x:c>
    </x:row>
    <x:row r="398">
      <x:c r="A398" t="str">
        <x:v>30a685bd-6fce-49a7-ac9d-855cf6630a08</x:v>
      </x:c>
      <x:c r="B398" t="str">
        <x:v>600690</x:v>
      </x:c>
      <x:c r="C398" t="str">
        <x:v>海尔智家</x:v>
      </x:c>
      <x:c r="D398" t="str">
        <x:v>2025-12-31</x:v>
      </x:c>
      <x:c r="E398" t="str">
        <x:v>annual</x:v>
      </x:c>
      <x:c r="F398" t="str">
        <x:v>long_term_borrowings</x:v>
      </x:c>
      <x:c r="G398" t="n">
        <x:v>4356450000</x:v>
      </x:c>
      <x:c r="H398" t="str">
        <x:v>CNY</x:v>
      </x:c>
      <x:c r="I398" t="n">
        <x:v>194</x:v>
      </x:c>
      <x:c r="J398" t="str">
        <x:v>长期借款</x:v>
      </x:c>
      <x:c r="K398" t="str">
        <x:v>candidate_pending_automated_verification</x:v>
      </x:c>
      <x:c r="L398" t="str">
        <x:v>https://static.cninfo.com.cn/finalpage/2026-03-27/1225038336.PDF</x:v>
      </x:c>
      <x:c r="M398" t="str">
        <x:v>14186f9f9b47f687c527ba14825664f3b09e51759d581636cddcc248f26e3660</x:v>
      </x:c>
      <x:c r="N398" t="str">
        <x:v>.16 21,732,053,154.67
期末账面余额主要包含已发生尚未支付的费用。期末无账龄超过 1年的重要其他应付款。
33、 1 年内到期的非流动负债
√适用 □不适用
单位：元 币种：人民币
项目 期末余额 期初余额
1年内到期的长期借款 4,356,450,000.00 10,365,227,785.72
1年内到期的长期应付款 749,239.28 50,806,318.73
1年内到期的租赁负债 1,631,251,739.94 1,352,476,354.94
1年内到期的预计负债 2,638,189,200.59 2,710,430,236.34
1年内到期的其他非流动负债 8,560,477.61 2,051,0</x:v>
      </x:c>
    </x:row>
    <x:row r="399">
      <x:c r="A399" t="str">
        <x:v>b9a1d69b-f251-4774-b9e9-fd3186b31fb7</x:v>
      </x:c>
      <x:c r="B399" t="str">
        <x:v>600690</x:v>
      </x:c>
      <x:c r="C399" t="str">
        <x:v>海尔智家</x:v>
      </x:c>
      <x:c r="D399" t="str">
        <x:v>2025-12-31</x:v>
      </x:c>
      <x:c r="E399" t="str">
        <x:v>annual</x:v>
      </x:c>
      <x:c r="F399" t="str">
        <x:v>cash</x:v>
      </x:c>
      <x:c r="G399" t="n">
        <x:v>2144143939.95</x:v>
      </x:c>
      <x:c r="H399" t="str">
        <x:v>CNY</x:v>
      </x:c>
      <x:c r="I399" t="n">
        <x:v>168</x:v>
      </x:c>
      <x:c r="J399" t="str">
        <x:v>货币资金</x:v>
      </x:c>
      <x:c r="K399" t="str">
        <x:v>candidate_pending_automated_verification</x:v>
      </x:c>
      <x:c r="L399" t="str">
        <x:v>https://static.cninfo.com.cn/finalpage/2026-03-27/1225038336.PDF</x:v>
      </x:c>
      <x:c r="M399" t="str">
        <x:v>14186f9f9b47f687c527ba14825664f3b09e51759d581636cddcc248f26e3660</x:v>
      </x:c>
      <x:c r="N399" t="str">
        <x:v>海尔智家股份有限公司2025年年度报告
168 /245
项目 期末余额 期初余额
库存现金 2,361,449.23 560,953.91
银行存款 45,475,152,052.12 54,256,005,280.85
其他货币资金 2,144,143,939.95 1,340,988,388.07
合计 47,621,657,441.30 55,597,554,622.83
其中：存放在境外的款项总额 23,587,103,117.58 21,113,746,333.40
存放财务公司存款 11,330,984,136.12 20,565,469,130.81
其他货币资金主要为存出投资款、第三方支付平台存款、保证金</x:v>
      </x:c>
    </x:row>
    <x:row r="400">
      <x:c r="A400" t="str">
        <x:v>431e6fd6-0bc0-460d-85de-28125e29b975</x:v>
      </x:c>
      <x:c r="B400" t="str">
        <x:v>600690</x:v>
      </x:c>
      <x:c r="C400" t="str">
        <x:v>海尔智家</x:v>
      </x:c>
      <x:c r="D400" t="str">
        <x:v>2025-12-31</x:v>
      </x:c>
      <x:c r="E400" t="str">
        <x:v>annual</x:v>
      </x:c>
      <x:c r="F400" t="str">
        <x:v>revenue</x:v>
      </x:c>
      <x:c r="G400" t="n">
        <x:v>79118173583.72</x:v>
      </x:c>
      <x:c r="H400" t="str">
        <x:v>reported_amount</x:v>
      </x:c>
      <x:c r="I400" t="n">
        <x:v>13</x:v>
      </x:c>
      <x:c r="J400" t="str">
        <x:v>营业收入</x:v>
      </x:c>
      <x:c r="K400" t="str">
        <x:v>candidate_pending_automated_verification</x:v>
      </x:c>
      <x:c r="L400" t="str">
        <x:v>https://static.cninfo.com.cn/finalpage/2026-03-27/1225038336.PDF</x:v>
      </x:c>
      <x:c r="M400" t="str">
        <x:v>14186f9f9b47f687c527ba14825664f3b09e51759d581636cddcc248f26e3660</x:v>
      </x:c>
      <x:c r="N400" t="str">
        <x:v>则编制财务报告。
(三)境内外会计准则差异的说明：
□适用 √不适用
九、 2025 年分季度主要财务数据
单位：元 币种：人民币
第一季度
（1-3月份）
第二季度
（4-6月份）
第三季度
（7-9月份）
第四季度
（10-12月份）
营业收入 79,118,173,583.72 77,375,860,865.13 77,559,583,508.49 68,293,165,960.96</x:v>
      </x:c>
    </x:row>
    <x:row r="401">
      <x:c r="A401" t="str">
        <x:v>c8246617-d272-4fae-9c61-9eec7d2ed56f</x:v>
      </x:c>
      <x:c r="B401" t="str">
        <x:v>600690</x:v>
      </x:c>
      <x:c r="C401" t="str">
        <x:v>海尔智家</x:v>
      </x:c>
      <x:c r="D401" t="str">
        <x:v>2025-12-31</x:v>
      </x:c>
      <x:c r="E401" t="str">
        <x:v>annual</x:v>
      </x:c>
      <x:c r="F401" t="str">
        <x:v>operating_cash_flow</x:v>
      </x:c>
      <x:c r="G401" t="n">
        <x:v>26002941969.92</x:v>
      </x:c>
      <x:c r="H401" t="str">
        <x:v>reported_amount</x:v>
      </x:c>
      <x:c r="I401" t="n">
        <x:v>12</x:v>
      </x:c>
      <x:c r="J401" t="str">
        <x:v>经营活动产生的现金流量净额</x:v>
      </x:c>
      <x:c r="K401" t="str">
        <x:v>candidate_pending_automated_verification</x:v>
      </x:c>
      <x:c r="L401" t="str">
        <x:v>https://static.cninfo.com.cn/finalpage/2026-03-27/1225038336.PDF</x:v>
      </x:c>
      <x:c r="M401" t="str">
        <x:v>14186f9f9b47f687c527ba14825664f3b09e51759d581636cddcc248f26e3660</x:v>
      </x:c>
      <x:c r="N401" t="str">
        <x:v> 16,596,615,045.87
归属于上市公司股东的扣除非经常性损益的净利
润 18,603,631,637.54 17,804,732,809.63 17,804,732,809.63 4.49 15,824,164,161.43
经营活动产生的现金流量净额 26,002,941,969.92 26,318,091,311.95 26,543,081,911.96 -1.20 26,535,780,568.36
2025年末
2024年末 本期末比
上年同期
末增减（%
）
2023年末
调整后 调整前
归属于上市公司股东的净资产 118,698,401,416.58 111,778,874,767.22 111,366,118,999.17 6</x:v>
      </x:c>
    </x:row>
    <x:row r="402">
      <x:c r="A402" t="str">
        <x:v>5b195221-cb3a-4076-a47a-0110a0984841</x:v>
      </x:c>
      <x:c r="B402" t="str">
        <x:v>600690</x:v>
      </x:c>
      <x:c r="C402" t="str">
        <x:v>海尔智家</x:v>
      </x:c>
      <x:c r="D402" t="str">
        <x:v>2025-12-31</x:v>
      </x:c>
      <x:c r="E402" t="str">
        <x:v>annual</x:v>
      </x:c>
      <x:c r="F402" t="str">
        <x:v>net_income</x:v>
      </x:c>
      <x:c r="G402" t="n">
        <x:v>19552798222.85</x:v>
      </x:c>
      <x:c r="H402" t="str">
        <x:v>reported_amount</x:v>
      </x:c>
      <x:c r="I402" t="n">
        <x:v>12</x:v>
      </x:c>
      <x:c r="J402" t="str">
        <x:v>归属于上市公司股东的净利润</x:v>
      </x:c>
      <x:c r="K402" t="str">
        <x:v>candidate_pending_automated_verification</x:v>
      </x:c>
      <x:c r="L402" t="str">
        <x:v>https://static.cninfo.com.cn/finalpage/2026-03-27/1225038336.PDF</x:v>
      </x:c>
      <x:c r="M402" t="str">
        <x:v>14186f9f9b47f687c527ba14825664f3b09e51759d581636cddcc248f26e3660</x:v>
      </x:c>
      <x:c r="N402" t="str">
        <x:v>81,225,203.93 5.71 274,204,520,847.97
利润总额 23,478,743,800.22 22,722,718,578.69 22,732,792,428.45 3.33 20,211,643,792.71
归属于上市公司股东的净利润 19,552,798,222.85 18,731,046,273.17 18,741,120,122.93 4.39 16,596,615,045.87
归属于上市公司股东的扣除非经常性损益的净利
润 18,603,631,637.54 17,804,732,809.63 17,804,732,809.63 4.49 15,824,164,161.43
经营活动产生的现金流量净额 26,00</x:v>
      </x:c>
    </x:row>
    <x:row r="403">
      <x:c r="A403" t="str">
        <x:v>a9048378-59c3-4edf-9977-59917d6fe73a</x:v>
      </x:c>
      <x:c r="B403" t="str">
        <x:v>600690</x:v>
      </x:c>
      <x:c r="C403" t="str">
        <x:v>海尔智家</x:v>
      </x:c>
      <x:c r="D403" t="str">
        <x:v>2025-12-31</x:v>
      </x:c>
      <x:c r="E403" t="str">
        <x:v>annual</x:v>
      </x:c>
      <x:c r="F403" t="str">
        <x:v>revenue</x:v>
      </x:c>
      <x:c r="G403" t="n">
        <x:v>302346783918.3</x:v>
      </x:c>
      <x:c r="H403" t="str">
        <x:v>reported_amount</x:v>
      </x:c>
      <x:c r="I403" t="n">
        <x:v>12</x:v>
      </x:c>
      <x:c r="J403" t="str">
        <x:v>营业收入</x:v>
      </x:c>
      <x:c r="K403" t="str">
        <x:v>candidate_pending_automated_verification</x:v>
      </x:c>
      <x:c r="L403" t="str">
        <x:v>https://static.cninfo.com.cn/finalpage/2026-03-27/1225038336.PDF</x:v>
      </x:c>
      <x:c r="M403" t="str">
        <x:v>14186f9f9b47f687c527ba14825664f3b09e51759d581636cddcc248f26e3660</x:v>
      </x:c>
      <x:c r="N403" t="str">
        <x:v>海尔智家股份有限公司2025年年度报告
12 /245
七、 近三年主要会计数据和财务指标
(一) 主要会计数据
单位：元 币种：人民币
主要会计数据 2025年
2024年 本期比上
年同期增
减(%)
2023年
调整后 调整前
营业收入 302,346,783,918.30 286,015,294,936.52 285,981,225,203.93 5.71 274,204,520,847.97
利润总额 23,478,743,800.22 22,722,718,578.69 22,732,792,428.45 3.33 20,211,643,792.71
归属于上市公司股东的净利润 19,552,798,222.85 18,</x:v>
      </x:c>
    </x:row>
    <x:row r="404">
      <x:c r="A404" t="str">
        <x:v>a7f6a9c9-7a6e-49be-a682-81e47d56e92d</x:v>
      </x:c>
      <x:c r="B404" t="str">
        <x:v>600941</x:v>
      </x:c>
      <x:c r="C404" t="str">
        <x:v>中国移动</x:v>
      </x:c>
      <x:c r="D404" t="str">
        <x:v>2025-12-31</x:v>
      </x:c>
      <x:c r="E404" t="str">
        <x:v>annual</x:v>
      </x:c>
      <x:c r="F404" t="str">
        <x:v>roe</x:v>
      </x:c>
      <x:c r="G404" t="n">
        <x:v>9.9</x:v>
      </x:c>
      <x:c r="H404" t="str">
        <x:v>percent</x:v>
      </x:c>
      <x:c r="I404" t="n">
        <x:v>8</x:v>
      </x:c>
      <x:c r="J404" t="str">
        <x:v>加权平均净资产收益率</x:v>
      </x:c>
      <x:c r="K404" t="str">
        <x:v>candidate_pending_automated_verification</x:v>
      </x:c>
      <x:c r="L404" t="str">
        <x:v>https://static.cninfo.com.cn/finalpage/2026-03-27/1225036280.PDF</x:v>
      </x:c>
      <x:c r="M404" t="str">
        <x:v>8bde14d742b4869c344cc525ed892ec928d2eadf57757945c7e5a0e5bc3c7684</x:v>
      </x:c>
      <x:c r="N404" t="str">
        <x:v>.5% 
基本每股收益（人民币元） 6.35 6.45 -1.6% 6.16 
稀释每股收益（人民币元） 6.30 6.42 -1.9% 6.15 
扣除非经常性损益后的基本每股收益
（人民币元） 5.92 5.72 3.5% 5.52 
加权平均净资产收益率 9.9% 10.4% -0.5pp 10.2% 
扣除非经常性损益后的加权平均净资产
收益率 9.3% 9.2% 0.1pp 9.2% 
注 1：剔除套餐收入分拆纳税影响，同口径增长2.0% 
注 2：EBITDA=营运利润+折旧摊销（其中，营运利润为利润总额加回财务费用并剔除投资收益、公允价值变动净收
益、其他收益、营业外收入及营业外支出等非日常营运项目） </x:v>
      </x:c>
    </x:row>
    <x:row r="405">
      <x:c r="A405" t="str">
        <x:v>a7a9024d-fbfc-411a-9655-f5d960ab9d69</x:v>
      </x:c>
      <x:c r="B405" t="str">
        <x:v>600941</x:v>
      </x:c>
      <x:c r="C405" t="str">
        <x:v>中国移动</x:v>
      </x:c>
      <x:c r="D405" t="str">
        <x:v>2025-12-31</x:v>
      </x:c>
      <x:c r="E405" t="str">
        <x:v>annual</x:v>
      </x:c>
      <x:c r="F405" t="str">
        <x:v>long_term_borrowings</x:v>
      </x:c>
      <x:c r="G405" t="n">
        <x:v>20</x:v>
      </x:c>
      <x:c r="H405" t="str">
        <x:v>CNY</x:v>
      </x:c>
      <x:c r="I405" t="n">
        <x:v>202</x:v>
      </x:c>
      <x:c r="J405" t="str">
        <x:v>长期借款</x:v>
      </x:c>
      <x:c r="K405" t="str">
        <x:v>candidate_pending_automated_verification</x:v>
      </x:c>
      <x:c r="L405" t="str">
        <x:v>https://static.cninfo.com.cn/finalpage/2026-03-27/1225036280.PDF</x:v>
      </x:c>
      <x:c r="M405" t="str">
        <x:v>8bde14d742b4869c344cc525ed892ec928d2eadf57757945c7e5a0e5bc3c7684</x:v>
      </x:c>
      <x:c r="N405" t="str">
        <x:v>99 
预收款项 83,206  -  -  -  83,206 
其他应付款 61,613  -  -  -  61,613 
租赁负债（含一年内到期部分） 43,854   37,640  8,057  7,278  96,829  
长期借款 19  20  9,709   -  9,748 
其他非流动负债 -  247  203  482  932 
合计 539,993  37,907  17,969   7,760  603,629 
 2024 年12 月31 日 
 一年以内  一到三年  三到五年  五年以上  合计 
应付票据 40,843 </x:v>
      </x:c>
    </x:row>
    <x:row r="406">
      <x:c r="A406" t="str">
        <x:v>e9754eeb-5cf5-40b3-84ce-c0f4d792acd0</x:v>
      </x:c>
      <x:c r="B406" t="str">
        <x:v>600941</x:v>
      </x:c>
      <x:c r="C406" t="str">
        <x:v>中国移动</x:v>
      </x:c>
      <x:c r="D406" t="str">
        <x:v>2025-12-31</x:v>
      </x:c>
      <x:c r="E406" t="str">
        <x:v>annual</x:v>
      </x:c>
      <x:c r="F406" t="str">
        <x:v>cash</x:v>
      </x:c>
      <x:c r="G406" t="n">
        <x:v>4590</x:v>
      </x:c>
      <x:c r="H406" t="str">
        <x:v>CNY</x:v>
      </x:c>
      <x:c r="I406" t="n">
        <x:v>209</x:v>
      </x:c>
      <x:c r="J406" t="str">
        <x:v>货币资金</x:v>
      </x:c>
      <x:c r="K406" t="str">
        <x:v>candidate_pending_automated_verification</x:v>
      </x:c>
      <x:c r="L406" t="str">
        <x:v>https://static.cninfo.com.cn/finalpage/2026-03-27/1225036280.PDF</x:v>
      </x:c>
      <x:c r="M406" t="str">
        <x:v>8bde14d742b4869c344cc525ed892ec928d2eadf57757945c7e5a0e5bc3c7684</x:v>
      </x:c>
      <x:c r="N406" t="str">
        <x:v>5 年 12 月 31 日止年度财务报表 
(除特别注明外，金额单位为人民币百万元) 
208 
十二 本公司资产负债表 
资产 
 2025 年 
12 月 31 日 
 2024 年 
12 月 31 日 
流动资产     
货币资金  4,590  4,360 
预付款项  2  3 
其他应收款  1,405  2,695 
应收资金集中管理款  19,362  7,471 
流动资产合计  25,359  14,529 
非流动资产     
长期股权投资  548,067  547,867 
使用权资产  35  - 
固定资产  1  1 
非流动资产合计  548,103  5</x:v>
      </x:c>
    </x:row>
    <x:row r="407">
      <x:c r="A407" t="str">
        <x:v>bacf3d9f-482c-41c8-8155-0aa69add200c</x:v>
      </x:c>
      <x:c r="B407" t="str">
        <x:v>600941</x:v>
      </x:c>
      <x:c r="C407" t="str">
        <x:v>中国移动</x:v>
      </x:c>
      <x:c r="D407" t="str">
        <x:v>2025-12-31</x:v>
      </x:c>
      <x:c r="E407" t="str">
        <x:v>annual</x:v>
      </x:c>
      <x:c r="F407" t="str">
        <x:v>operating_cash_flow</x:v>
      </x:c>
      <x:c r="G407" t="n">
        <x:v>232919</x:v>
      </x:c>
      <x:c r="H407" t="str">
        <x:v>reported_amount</x:v>
      </x:c>
      <x:c r="I407" t="n">
        <x:v>8</x:v>
      </x:c>
      <x:c r="J407" t="str">
        <x:v>经营活动产生的现金流量净额</x:v>
      </x:c>
      <x:c r="K407" t="str">
        <x:v>candidate_pending_automated_verification</x:v>
      </x:c>
      <x:c r="L407" t="str">
        <x:v>https://static.cninfo.com.cn/finalpage/2026-03-27/1225036280.PDF</x:v>
      </x:c>
      <x:c r="M407" t="str">
        <x:v>8bde14d742b4869c344cc525ed892ec928d2eadf57757945c7e5a0e5bc3c7684</x:v>
      </x:c>
      <x:c r="N407" t="str">
        <x:v>389 -1.6% 170,531 
归属于母公司股东的净利润 137,095 138,373 -0.9%
注1 131,766 
归属于母公司股东的扣除非经常性损益的
净利润 
127,961 122,715 4.3% 117,980 
经营活动产生的现金流量净额 232,919 315,741 -26.2% 303,780 
归属于母公司股东权益 1,393,175 1,356,732 2.7% 1,306,432 
总资产 2,092,882 2,072,827 1.0% 1,957,357 
主要财务指标 
 2025年 2024年 变化 2023年 
EBITDA
注2 338,931 333,691 1.6% 341,</x:v>
      </x:c>
    </x:row>
    <x:row r="408">
      <x:c r="A408" t="str">
        <x:v>73ce1eb8-6ed0-4144-999c-c79cd214829e</x:v>
      </x:c>
      <x:c r="B408" t="str">
        <x:v>600941</x:v>
      </x:c>
      <x:c r="C408" t="str">
        <x:v>中国移动</x:v>
      </x:c>
      <x:c r="D408" t="str">
        <x:v>2025-12-31</x:v>
      </x:c>
      <x:c r="E408" t="str">
        <x:v>annual</x:v>
      </x:c>
      <x:c r="F408" t="str">
        <x:v>current_portion_long_term_debt</x:v>
      </x:c>
      <x:c r="G408" t="n">
        <x:v>11</x:v>
      </x:c>
      <x:c r="H408" t="str">
        <x:v>CNY</x:v>
      </x:c>
      <x:c r="I408" t="n">
        <x:v>209</x:v>
      </x:c>
      <x:c r="J408" t="str">
        <x:v>一年内到期的非流动负债</x:v>
      </x:c>
      <x:c r="K408" t="str">
        <x:v>candidate_pending_automated_verification</x:v>
      </x:c>
      <x:c r="L408" t="str">
        <x:v>https://static.cninfo.com.cn/finalpage/2026-03-27/1225036280.PDF</x:v>
      </x:c>
      <x:c r="M408" t="str">
        <x:v>8bde14d742b4869c344cc525ed892ec928d2eadf57757945c7e5a0e5bc3c7684</x:v>
      </x:c>
      <x:c r="N408" t="str">
        <x:v>103  547,868 
资产总计  573,462  562,397 
负债和股东权益     
流动负债     
应交税费  67  66 
其他应付款  7,973  8,379 
一年内到期的非流动负债  11  - 
流动负债合计  8,051  8,445 
租赁负债  23  - 
非流动负债合计  23  - 
负债合计  8,074  8,445 
股东权益     
股本  468,445  461,838 
资本公积  1,577  1,787 
未分配利润  95,366  90,327 
股东权益合</x:v>
      </x:c>
    </x:row>
    <x:row r="409">
      <x:c r="A409" t="str">
        <x:v>20e94f45-d907-400f-bb70-a8d4ed8bd930</x:v>
      </x:c>
      <x:c r="B409" t="str">
        <x:v>600941</x:v>
      </x:c>
      <x:c r="C409" t="str">
        <x:v>中国移动</x:v>
      </x:c>
      <x:c r="D409" t="str">
        <x:v>2025-12-31</x:v>
      </x:c>
      <x:c r="E409" t="str">
        <x:v>annual</x:v>
      </x:c>
      <x:c r="F409" t="str">
        <x:v>revenue</x:v>
      </x:c>
      <x:c r="G409" t="n">
        <x:v>1050187</x:v>
      </x:c>
      <x:c r="H409" t="str">
        <x:v>reported_amount</x:v>
      </x:c>
      <x:c r="I409" t="n">
        <x:v>8</x:v>
      </x:c>
      <x:c r="J409" t="str">
        <x:v>营业收入</x:v>
      </x:c>
      <x:c r="K409" t="str">
        <x:v>candidate_pending_automated_verification</x:v>
      </x:c>
      <x:c r="L409" t="str">
        <x:v>https://static.cninfo.com.cn/finalpage/2026-03-27/1225036280.PDF</x:v>
      </x:c>
      <x:c r="M409" t="str">
        <x:v>8bde14d742b4869c344cc525ed892ec928d2eadf57757945c7e5a0e5bc3c7684</x:v>
      </x:c>
      <x:c r="N409" t="str">
        <x:v> 2025 年年度报告 
7 
近三年主要会计数据和财务指标 
除特别注明外，金额单位为人民币百万元。 
主要会计数据 
2025年 2024年 变化 2023年 
营业收入 1,050,187 1,040,759 0.9% 1,009,309 
其中：主营业务收入 895,530 889,468 0.7% 863,514 
利润总额 175,608 178,389 -1.6% 170,531 
归属于母公司股东的净利润 137,095 138,373 -0.9%
注1 131,766 
归属于母公司股东的扣除非经常性损益的
净利润 
127,96</x:v>
      </x:c>
    </x:row>
    <x:row r="410">
      <x:c r="A410" t="str">
        <x:v>6fec3342-6724-4fac-9fd7-49e34853e062</x:v>
      </x:c>
      <x:c r="B410" t="str">
        <x:v>600941</x:v>
      </x:c>
      <x:c r="C410" t="str">
        <x:v>中国移动</x:v>
      </x:c>
      <x:c r="D410" t="str">
        <x:v>2025-12-31</x:v>
      </x:c>
      <x:c r="E410" t="str">
        <x:v>annual</x:v>
      </x:c>
      <x:c r="F410" t="str">
        <x:v>cash</x:v>
      </x:c>
      <x:c r="G410" t="n">
        <x:v>512</x:v>
      </x:c>
      <x:c r="H410" t="str">
        <x:v>CNY</x:v>
      </x:c>
      <x:c r="I410" t="n">
        <x:v>128</x:v>
      </x:c>
      <x:c r="J410" t="str">
        <x:v>货币资金</x:v>
      </x:c>
      <x:c r="K410" t="str">
        <x:v>candidate_pending_automated_verification</x:v>
      </x:c>
      <x:c r="L410" t="str">
        <x:v>https://static.cninfo.com.cn/finalpage/2026-03-27/1225036280.PDF</x:v>
      </x:c>
      <x:c r="M410" t="str">
        <x:v>8bde14d742b4869c344cc525ed892ec928d2eadf57757945c7e5a0e5bc3c7684</x:v>
      </x:c>
      <x:c r="N410" t="str">
        <x:v>资金 
 注  
2025 年 
12 月 31 日  
2024 年 
12 月 31 日 
3 个月及以下的银行定期存款   35,033  78,896 
现金及银行活期存款   61,722  87,740 
其他货币资金   512  673 
现金及现金等价物小计   97,267  167,309 
3 个月以上的银行定期存款   69,122  69,556 
应收利息   1,700  2,709 
受限制的银行存款 (a)  3,005  2,701 
合计   171,094  242,275 
其中：      
存放在境外的款项</x:v>
      </x:c>
    </x:row>
    <x:row r="411">
      <x:c r="A411" t="str">
        <x:v>a1d10f0e-6f28-4ddf-b162-dcd90301939f</x:v>
      </x:c>
      <x:c r="B411" t="str">
        <x:v>600941</x:v>
      </x:c>
      <x:c r="C411" t="str">
        <x:v>中国移动</x:v>
      </x:c>
      <x:c r="D411" t="str">
        <x:v>2025-12-31</x:v>
      </x:c>
      <x:c r="E411" t="str">
        <x:v>annual</x:v>
      </x:c>
      <x:c r="F411" t="str">
        <x:v>long_term_borrowings</x:v>
      </x:c>
      <x:c r="G411" t="n">
        <x:v>2025</x:v>
      </x:c>
      <x:c r="H411" t="str">
        <x:v>CNY</x:v>
      </x:c>
      <x:c r="I411" t="n">
        <x:v>158</x:v>
      </x:c>
      <x:c r="J411" t="str">
        <x:v>长期借款</x:v>
      </x:c>
      <x:c r="K411" t="str">
        <x:v>candidate_pending_automated_verification</x:v>
      </x:c>
      <x:c r="L411" t="str">
        <x:v>https://static.cninfo.com.cn/finalpage/2026-03-27/1225036280.PDF</x:v>
      </x:c>
      <x:c r="M411" t="str">
        <x:v>8bde14d742b4869c344cc525ed892ec928d2eadf57757945c7e5a0e5bc3c7684</x:v>
      </x:c>
      <x:c r="N411" t="str">
        <x:v>中国移动有限公司 
合并财务报表附注 
截至2025 年 12 月 31 日止年度财务报表 
(除特别注明外，金额单位为人民币百万元) 
四 合并财务报表项目附注（续） 
157 
(31) 长期借款 
 2025 年 
12 月 31 日  
2024 年 
12 月 31 日 
信用借款  9,748  -    
于2025 年12 月31 日，信用借款主要包括年利率为香港银行同业拆息加年息0.4%（2024
年 12 月 31 日：无）的借款，于 2030 年或以前到期。 
于 2025 年 12 月 31 日，本集团不存在逾期长期借款。 </x:v>
      </x:c>
    </x:row>
    <x:row r="412">
      <x:c r="A412" t="str">
        <x:v>da4934f8-6c38-4f94-a3f3-1cb1a626f156</x:v>
      </x:c>
      <x:c r="B412" t="str">
        <x:v>601009</x:v>
      </x:c>
      <x:c r="C412" t="str">
        <x:v>南京银行</x:v>
      </x:c>
      <x:c r="D412" t="str">
        <x:v>2026-03-31</x:v>
      </x:c>
      <x:c r="E412" t="str">
        <x:v>first_quarter</x:v>
      </x:c>
      <x:c r="F412" t="str">
        <x:v>bonds_payable</x:v>
      </x:c>
      <x:c r="G412" t="n">
        <x:v>446931098</x:v>
      </x:c>
      <x:c r="H412" t="str">
        <x:v>CNY</x:v>
      </x:c>
      <x:c r="I412" t="n">
        <x:v>11</x:v>
      </x:c>
      <x:c r="J412" t="str">
        <x:v>应付债券</x:v>
      </x:c>
      <x:c r="K412" t="str">
        <x:v>candidate_pending_automated_verification</x:v>
      </x:c>
      <x:c r="L412" t="str">
        <x:v>https://static.cninfo.com.cn/finalpage/2026-04-23/1225157408.PDF</x:v>
      </x:c>
      <x:c r="M412" t="str">
        <x:v>fa287be3804d4d26fe3f1406d793b416a73bff4d1893aa7669a042fe12824b78</x:v>
      </x:c>
      <x:c r="N412" t="str">
        <x:v>8
卖出回购金融资产款 64,418,486 118,665,290
吸收存款 1,868,309,920 1,709,147,659
应付职工薪酬 7,803,047 8,460,215
应交税费 3,540,671 3,157,782
应付债券 446,931,098 442,218,841
租赁负债 939,837 976,215
预计负债 819,844 963,076
其他负债 25,124,410 22,895,754
负债合计 2,989,718,753 2,811,515,075
股东权益:
股本 12,363,567 12,363,567
其他权益工具 24,973,814 24,973,814
其中：优先</x:v>
      </x:c>
    </x:row>
    <x:row r="413">
      <x:c r="A413" t="str">
        <x:v>6bb0f366-f9ea-4450-9da2-7ec48a5c0eb6</x:v>
      </x:c>
      <x:c r="B413" t="str">
        <x:v>601009</x:v>
      </x:c>
      <x:c r="C413" t="str">
        <x:v>南京银行</x:v>
      </x:c>
      <x:c r="D413" t="str">
        <x:v>2026-03-31</x:v>
      </x:c>
      <x:c r="E413" t="str">
        <x:v>first_quarter</x:v>
      </x:c>
      <x:c r="F413" t="str">
        <x:v>operating_cash_flow</x:v>
      </x:c>
      <x:c r="G413" t="n">
        <x:v>33195726</x:v>
      </x:c>
      <x:c r="H413" t="str">
        <x:v>CNY</x:v>
      </x:c>
      <x:c r="I413" t="n">
        <x:v>13</x:v>
      </x:c>
      <x:c r="J413" t="str">
        <x:v>经营活动产生的现金流量净额</x:v>
      </x:c>
      <x:c r="K413" t="str">
        <x:v>candidate_pending_automated_verification</x:v>
      </x:c>
      <x:c r="L413" t="str">
        <x:v>https://static.cninfo.com.cn/finalpage/2026-04-23/1225157408.PDF</x:v>
      </x:c>
      <x:c r="M413" t="str">
        <x:v>fa287be3804d4d26fe3f1406d793b416a73bff4d1893aa7669a042fe12824b78</x:v>
      </x:c>
      <x:c r="N413" t="str">
        <x:v>,273,079)
支付的各项税费 (2,047,682) (2,140,504)
支付其他与经营活动有关的现金 (3,375,092) (4,441,727)
经营活动现金流出小计 (219,452,837) (118,941,518)
经营活动产生的现金流量净额 33,195,726 100,697,415
二、投资活动产生的现金流量：
收回投资收到的现金 535,540,353 324,907,686
取得投资收益收到的现金 734,559 1,157,063
收到其他与投资活动有关的现金 - 30,161
投资活动现金流入小计 536,274,912 326,094,910
投资支付的现金 (561,230,139) (389,23</x:v>
      </x:c>
    </x:row>
    <x:row r="414">
      <x:c r="A414" t="str">
        <x:v>96b00b15-ae6f-42c3-8f12-886c3dce8824</x:v>
      </x:c>
      <x:c r="B414" t="str">
        <x:v>601009</x:v>
      </x:c>
      <x:c r="C414" t="str">
        <x:v>南京银行</x:v>
      </x:c>
      <x:c r="D414" t="str">
        <x:v>2026-03-31</x:v>
      </x:c>
      <x:c r="E414" t="str">
        <x:v>first_quarter</x:v>
      </x:c>
      <x:c r="F414" t="str">
        <x:v>revenue</x:v>
      </x:c>
      <x:c r="G414" t="n">
        <x:v>16111348</x:v>
      </x:c>
      <x:c r="H414" t="str">
        <x:v>reported_amount</x:v>
      </x:c>
      <x:c r="I414" t="n">
        <x:v>1</x:v>
      </x:c>
      <x:c r="J414" t="str">
        <x:v>营业收入</x:v>
      </x:c>
      <x:c r="K414" t="str">
        <x:v>candidate_pending_automated_verification</x:v>
      </x:c>
      <x:c r="L414" t="str">
        <x:v>https://static.cninfo.com.cn/finalpage/2026-04-23/1225157408.PDF</x:v>
      </x:c>
      <x:c r="M414" t="str">
        <x:v>fa287be3804d4d26fe3f1406d793b416a73bff4d1893aa7669a042fe12824b78</x:v>
      </x:c>
      <x:c r="N414" t="str">
        <x:v>定代表人谢宁、行长及财务负责人朱钢、财务机构负责人朱晓洁保证季度报
告中财务信息的真实、准确、完整。
一、主要财务数据
（一）主要会计数据和财务指标
单位：千元人民币
项目 2026年 1-3 月 2025 年 1-3 月 同比增减(%)
营业收入 16,111,348 14,190,018 13.54
归属于上市公司股东的净
利润
6,600,003 6,108,485 8.05
归属于上市公司股东的扣
除非经常性损益的净利润
6,604,326 6,063,771 8.91
经营活动产生/（使用）的
现金流量净额
33,195,726 100,697,415 -67.03
每股经营活动产生/（使
用）的现金流量净额(元</x:v>
      </x:c>
    </x:row>
    <x:row r="415">
      <x:c r="A415" t="str">
        <x:v>1e39c2c2-c800-4d0b-9501-094fb66ee376</x:v>
      </x:c>
      <x:c r="B415" t="str">
        <x:v>600000</x:v>
      </x:c>
      <x:c r="C415" t="str">
        <x:v>浦发银行</x:v>
      </x:c>
      <x:c r="D415" t="str">
        <x:v>2025-12-31</x:v>
      </x:c>
      <x:c r="E415" t="str">
        <x:v>annual</x:v>
      </x:c>
      <x:c r="F415" t="str">
        <x:v>eps_annual</x:v>
      </x:c>
      <x:c r="G415" t="n">
        <x:v>1.52</x:v>
      </x:c>
      <x:c r="H415" t="str">
        <x:v>CNY/share</x:v>
      </x:c>
      <x:c r="I415" t="n">
        <x:v>28</x:v>
      </x:c>
      <x:c r="J415" t="str">
        <x:v>基本每股收益</x:v>
      </x:c>
      <x:c r="K415" t="str">
        <x:v>candidate_pending_automated_verification</x:v>
      </x:c>
      <x:c r="L415" t="str">
        <x:v>https://static.cninfo.com.cn/finalpage/2026-03-31/1225062336.PDF</x:v>
      </x:c>
      <x:c r="M415" t="str">
        <x:v>e4d1cff0461c0ef24d26551ca68e31ad323a1b3eadd8a3c03f00feada364de22</x:v>
      </x:c>
      <x:c r="N415" t="str">
        <x:v>,702 
归属于母公司股东的扣除非经常性损
益的净利润 
50,144 44,207 13.43 33,882 
经营活动产生的现金流量净额 375,836 -333,654 212.64 388,397 
主要财务指标（元）     
基本每股收益 1.52 1.36 11.76 1.07 
稀释每股收益 1.42 1.25 13.60 0.99 
扣除非经常性损益后的基本每股收益 1.53 1.32 15.91 0.97 
每股经营活动产生的现金流量净额 11.28 -11.37 199.21 13.23 
盈利能力指标（%）     
加权平均净资产收益率 6.76 6.28 上升 0.48 个百分点 5.</x:v>
      </x:c>
    </x:row>
    <x:row r="416">
      <x:c r="A416" t="str">
        <x:v>a4c1beea-907a-4e1e-a5ea-02d0957f2c7f</x:v>
      </x:c>
      <x:c r="B416" t="str">
        <x:v>600000</x:v>
      </x:c>
      <x:c r="C416" t="str">
        <x:v>浦发银行</x:v>
      </x:c>
      <x:c r="D416" t="str">
        <x:v>2025-12-31</x:v>
      </x:c>
      <x:c r="E416" t="str">
        <x:v>annual</x:v>
      </x:c>
      <x:c r="F416" t="str">
        <x:v>operating_cash_flow</x:v>
      </x:c>
      <x:c r="G416" t="n">
        <x:v>375836</x:v>
      </x:c>
      <x:c r="H416" t="str">
        <x:v>reported_amount</x:v>
      </x:c>
      <x:c r="I416" t="n">
        <x:v>28</x:v>
      </x:c>
      <x:c r="J416" t="str">
        <x:v>经营活动产生的现金流量净额</x:v>
      </x:c>
      <x:c r="K416" t="str">
        <x:v>candidate_pending_automated_verification</x:v>
      </x:c>
      <x:c r="L416" t="str">
        <x:v>https://static.cninfo.com.cn/finalpage/2026-03-31/1225062336.PDF</x:v>
      </x:c>
      <x:c r="M416" t="str">
        <x:v>e4d1cff0461c0ef24d26551ca68e31ad323a1b3eadd8a3c03f00feada364de22</x:v>
      </x:c>
      <x:c r="N416" t="str">
        <x:v>3,374 48,366 10.35 40,692 
归属于母公司股东的净利润 50,017 45,257 10.52 36,702 
归属于母公司股东的扣除非经常性损
益的净利润 
50,144 44,207 13.43 33,882 
经营活动产生的现金流量净额 375,836 -333,654 212.64 388,397 
主要财务指标（元）     
基本每股收益 1.52 1.36 11.76 1.07 
稀释每股收益 1.42 1.25 13.60 0.99 
扣除非经常性损益后的基本每股收益 1.53 1.32 15.91 0.97 
每股经营活动产生的现金流量净额 11.28 -11.37 199.21 13.23 </x:v>
      </x:c>
    </x:row>
    <x:row r="417">
      <x:c r="A417" t="str">
        <x:v>f7ccbbdd-2e67-4b12-8236-e6b8ad8c0a71</x:v>
      </x:c>
      <x:c r="B417" t="str">
        <x:v>600000</x:v>
      </x:c>
      <x:c r="C417" t="str">
        <x:v>浦发银行</x:v>
      </x:c>
      <x:c r="D417" t="str">
        <x:v>2025-12-31</x:v>
      </x:c>
      <x:c r="E417" t="str">
        <x:v>annual</x:v>
      </x:c>
      <x:c r="F417" t="str">
        <x:v>roe</x:v>
      </x:c>
      <x:c r="G417" t="n">
        <x:v>6.76</x:v>
      </x:c>
      <x:c r="H417" t="str">
        <x:v>percent</x:v>
      </x:c>
      <x:c r="I417" t="n">
        <x:v>28</x:v>
      </x:c>
      <x:c r="J417" t="str">
        <x:v>加权平均净资产收益率</x:v>
      </x:c>
      <x:c r="K417" t="str">
        <x:v>candidate_pending_automated_verification</x:v>
      </x:c>
      <x:c r="L417" t="str">
        <x:v>https://static.cninfo.com.cn/finalpage/2026-03-31/1225062336.PDF</x:v>
      </x:c>
      <x:c r="M417" t="str">
        <x:v>e4d1cff0461c0ef24d26551ca68e31ad323a1b3eadd8a3c03f00feada364de22</x:v>
      </x:c>
      <x:c r="N417" t="str">
        <x:v> 1.42 1.25 13.60 0.99 
扣除非经常性损益后的基本每股收益 1.53 1.32 15.91 0.97 
每股经营活动产生的现金流量净额 11.28 -11.37 199.21 13.23 
盈利能力指标（%）     
加权平均净资产收益率 6.76 6.28 上升 0.48 个百分点 5.21 
扣除非经常性损益后的加权平均净资
产收益率 
6.78 6.12 上升 0.66 个百分点 4.75 
平均总资产收益率 0.52 0.50 上升 0.02 个百分点 0.42 
全面摊薄净资产收益率 6.28 6.08 上升 0.20 个百分点 5.10 
扣除非经常性损益后全面摊薄净资产
收益率 
6.3</x:v>
      </x:c>
    </x:row>
    <x:row r="418">
      <x:c r="A418" t="str">
        <x:v>1d264500-2d77-4219-b61a-43c9d3afe3de</x:v>
      </x:c>
      <x:c r="B418" t="str">
        <x:v>600000</x:v>
      </x:c>
      <x:c r="C418" t="str">
        <x:v>浦发银行</x:v>
      </x:c>
      <x:c r="D418" t="str">
        <x:v>2025-12-31</x:v>
      </x:c>
      <x:c r="E418" t="str">
        <x:v>annual</x:v>
      </x:c>
      <x:c r="F418" t="str">
        <x:v>revenue</x:v>
      </x:c>
      <x:c r="G418" t="n">
        <x:v>173964</x:v>
      </x:c>
      <x:c r="H418" t="str">
        <x:v>reported_amount</x:v>
      </x:c>
      <x:c r="I418" t="n">
        <x:v>28</x:v>
      </x:c>
      <x:c r="J418" t="str">
        <x:v>营业收入</x:v>
      </x:c>
      <x:c r="K418" t="str">
        <x:v>candidate_pending_automated_verification</x:v>
      </x:c>
      <x:c r="L418" t="str">
        <x:v>https://static.cninfo.com.cn/finalpage/2026-03-31/1225062336.PDF</x:v>
      </x:c>
      <x:c r="M418" t="str">
        <x:v>e4d1cff0461c0ef24d26551ca68e31ad323a1b3eadd8a3c03f00feada364de22</x:v>
      </x:c>
      <x:c r="N418" t="str">
        <x:v>  
11 
2.7 主要会计数据和财务指标 
单位：人民币百万元 
 2025 年 2024 年 
本期比上年同期 
增减（%） 
2023 年 
主要会计数据     
营业收入 173,964 170,748 1.88 173,434 
利润总额 53,374 48,366 10.35 40,692 
归属于母公司股东的净利润 50,017 45,257 10.52 36,702 
归属于母公司股东的扣除非经常性损
益的净利润 
50,144 44,207 13.43 33,882 
经营活动产生的现金流量净额 375,836 -333,654 </x:v>
      </x:c>
    </x:row>
    <x:row r="419">
      <x:c r="A419" t="str">
        <x:v>c83e82b1-0b80-4c55-baa1-b616337c46a1</x:v>
      </x:c>
      <x:c r="B419" t="str">
        <x:v>601668</x:v>
      </x:c>
      <x:c r="C419" t="str">
        <x:v>中国建筑</x:v>
      </x:c>
      <x:c r="D419" t="str">
        <x:v>2025-12-31</x:v>
      </x:c>
      <x:c r="E419" t="str">
        <x:v>annual</x:v>
      </x:c>
      <x:c r="F419" t="str">
        <x:v>short_term_borrowings</x:v>
      </x:c>
      <x:c r="G419" t="n">
        <x:v>2025</x:v>
      </x:c>
      <x:c r="H419" t="str">
        <x:v>CNY</x:v>
      </x:c>
      <x:c r="I419" t="n">
        <x:v>250</x:v>
      </x:c>
      <x:c r="J419" t="str">
        <x:v>短期借款</x:v>
      </x:c>
      <x:c r="K419" t="str">
        <x:v>candidate_pending_automated_verification</x:v>
      </x:c>
      <x:c r="L419" t="str">
        <x:v>https://static.cninfo.com.cn/finalpage/2026-04-18/1225123321.PDF</x:v>
      </x:c>
      <x:c r="M419" t="str">
        <x:v>be7c5a9a87af23f0f08405942c4159aac7be9dbb72c6979da56b81e69f588815</x:v>
      </x:c>
      <x:c r="N419" t="str">
        <x:v>中国建筑股份有限公司 
财务报表附注（续） 
2025 年度   人民币千元 
112 
五、 合并财务报表主要项目注释（续） 
28. 短期借款 
  2025年12月31日   2024年12月31日  
     (经重述)  
信用借款  166,725,349   114,294,733  
抵押借款  2,066,950   556,809  
质押借款  1,454,135   894,254  
合计  170,246,434   115,745,796  
于2025年12月31</x:v>
      </x:c>
    </x:row>
    <x:row r="420">
      <x:c r="A420" t="str">
        <x:v>dce137da-737b-40b1-9906-e418e591bb9d</x:v>
      </x:c>
      <x:c r="B420" t="str">
        <x:v>601668</x:v>
      </x:c>
      <x:c r="C420" t="str">
        <x:v>中国建筑</x:v>
      </x:c>
      <x:c r="D420" t="str">
        <x:v>2025-12-31</x:v>
      </x:c>
      <x:c r="E420" t="str">
        <x:v>annual</x:v>
      </x:c>
      <x:c r="F420" t="str">
        <x:v>bonds_payable</x:v>
      </x:c>
      <x:c r="G420" t="n">
        <x:v>113381047</x:v>
      </x:c>
      <x:c r="H420" t="str">
        <x:v>CNY</x:v>
      </x:c>
      <x:c r="I420" t="n">
        <x:v>315</x:v>
      </x:c>
      <x:c r="J420" t="str">
        <x:v>应付债券</x:v>
      </x:c>
      <x:c r="K420" t="str">
        <x:v>candidate_pending_automated_verification</x:v>
      </x:c>
      <x:c r="L420" t="str">
        <x:v>https://static.cninfo.com.cn/finalpage/2026-04-18/1225123321.PDF</x:v>
      </x:c>
      <x:c r="M420" t="str">
        <x:v>be7c5a9a87af23f0f08405942c4159aac7be9dbb72c6979da56b81e69f588815</x:v>
      </x:c>
      <x:c r="N420" t="str">
        <x:v>      
活跃市场 
报价   
重要可观察 
输入值   
重要不可观察 
输入值  
        (第一层次)   (第二层次)   (第三层次)  
金融负债                
应付债券  113,381,047   116,934,541   32,715,691   -   84,218,850  
2024年 
  账面价值   公允价值   公允价值披露使用的输入值  
活跃市场 
报价   
重要可观察 
输入值   
重要不可观察 
输入值  
        (第一层次)   (第二层次)   (第三层次)  
       </x:v>
      </x:c>
    </x:row>
    <x:row r="421">
      <x:c r="A421" t="str">
        <x:v>cf250686-7250-492b-8a88-b9d784dd054e</x:v>
      </x:c>
      <x:c r="B421" t="str">
        <x:v>601668</x:v>
      </x:c>
      <x:c r="C421" t="str">
        <x:v>中国建筑</x:v>
      </x:c>
      <x:c r="D421" t="str">
        <x:v>2025-12-31</x:v>
      </x:c>
      <x:c r="E421" t="str">
        <x:v>annual</x:v>
      </x:c>
      <x:c r="F421" t="str">
        <x:v>bonds_payable</x:v>
      </x:c>
      <x:c r="G421" t="n">
        <x:v>30579645</x:v>
      </x:c>
      <x:c r="H421" t="str">
        <x:v>CNY</x:v>
      </x:c>
      <x:c r="I421" t="n">
        <x:v>307</x:v>
      </x:c>
      <x:c r="J421" t="str">
        <x:v>应付债券</x:v>
      </x:c>
      <x:c r="K421" t="str">
        <x:v>candidate_pending_automated_verification</x:v>
      </x:c>
      <x:c r="L421" t="str">
        <x:v>https://static.cninfo.com.cn/finalpage/2026-04-18/1225123321.PDF</x:v>
      </x:c>
      <x:c r="M421" t="str">
        <x:v>be7c5a9a87af23f0f08405942c4159aac7be9dbb72c6979da56b81e69f588815</x:v>
      </x:c>
      <x:c r="N421" t="str">
        <x:v>他流动负债  12,924,642   -   -   -   12,924,642  
长期借款  95,003,430   161,769,451   227,574,783   134,603,170   618,950,834  
应付债券  30,579,645   34,002,606   64,551,848   41,855,404   170,989,503  
租赁负债  2,398,649   1,768,282   1,677,163   1,417,111   7,261,205  
长期应付款  14,592,996   9,103,296   6,645,276   155,683   30,4</x:v>
      </x:c>
    </x:row>
    <x:row r="422">
      <x:c r="A422" t="str">
        <x:v>90e467bc-bc95-49d2-8e9a-61b0e1200660</x:v>
      </x:c>
      <x:c r="B422" t="str">
        <x:v>601668</x:v>
      </x:c>
      <x:c r="C422" t="str">
        <x:v>中国建筑</x:v>
      </x:c>
      <x:c r="D422" t="str">
        <x:v>2025-12-31</x:v>
      </x:c>
      <x:c r="E422" t="str">
        <x:v>annual</x:v>
      </x:c>
      <x:c r="F422" t="str">
        <x:v>long_term_borrowings</x:v>
      </x:c>
      <x:c r="G422" t="n">
        <x:v>95003430</x:v>
      </x:c>
      <x:c r="H422" t="str">
        <x:v>CNY</x:v>
      </x:c>
      <x:c r="I422" t="n">
        <x:v>307</x:v>
      </x:c>
      <x:c r="J422" t="str">
        <x:v>长期借款</x:v>
      </x:c>
      <x:c r="K422" t="str">
        <x:v>candidate_pending_automated_verification</x:v>
      </x:c>
      <x:c r="L422" t="str">
        <x:v>https://static.cninfo.com.cn/finalpage/2026-04-18/1225123321.PDF</x:v>
      </x:c>
      <x:c r="M422" t="str">
        <x:v>be7c5a9a87af23f0f08405942c4159aac7be9dbb72c6979da56b81e69f588815</x:v>
      </x:c>
      <x:c r="N422" t="str">
        <x:v> -   -   -   997,477,873  
其他应付款  153,999,969   -   -   -   153,999,969  
其他流动负债  12,924,642   -   -   -   12,924,642  
长期借款  95,003,430   161,769,451   227,574,783   134,603,170   618,950,834  
应付债券  30,579,645   34,002,606   64,551,848   41,855,404   170,989,503  
租赁负债  2,398,649   1,768,282   1,677,163   1,417,1</x:v>
      </x:c>
    </x:row>
    <x:row r="423">
      <x:c r="A423" t="str">
        <x:v>ed5652fd-dca6-4030-91e2-bd67c8c9cd6d</x:v>
      </x:c>
      <x:c r="B423" t="str">
        <x:v>601668</x:v>
      </x:c>
      <x:c r="C423" t="str">
        <x:v>中国建筑</x:v>
      </x:c>
      <x:c r="D423" t="str">
        <x:v>2025-12-31</x:v>
      </x:c>
      <x:c r="E423" t="str">
        <x:v>annual</x:v>
      </x:c>
      <x:c r="F423" t="str">
        <x:v>short_term_borrowings</x:v>
      </x:c>
      <x:c r="G423" t="n">
        <x:v>172109541</x:v>
      </x:c>
      <x:c r="H423" t="str">
        <x:v>CNY</x:v>
      </x:c>
      <x:c r="I423" t="n">
        <x:v>307</x:v>
      </x:c>
      <x:c r="J423" t="str">
        <x:v>短期借款</x:v>
      </x:c>
      <x:c r="K423" t="str">
        <x:v>candidate_pending_automated_verification</x:v>
      </x:c>
      <x:c r="L423" t="str">
        <x:v>https://static.cninfo.com.cn/finalpage/2026-04-18/1225123321.PDF</x:v>
      </x:c>
      <x:c r="M423" t="str">
        <x:v>be7c5a9a87af23f0f08405942c4159aac7be9dbb72c6979da56b81e69f588815</x:v>
      </x:c>
      <x:c r="N423" t="str">
        <x:v>期期限分
析，以及将对外提供的财务担保的最大担保金额按照相关方能够要求支付的最
早时间段列示： 
2025年12月31日 
  1年以内   1年至2年   2年至5年   5年以上   合计  
短期借款  172,109,541   -   -   -   172,109,541  
应付票据  11,657,357   -   -   -   11,657,357  
应付账款  997,477,873   -   -   -   997,477,873  
其他应付款  153,999,969   -   -   -   153,999,969  
其他流动负债  12,924</x:v>
      </x:c>
    </x:row>
    <x:row r="424">
      <x:c r="A424" t="str">
        <x:v>90ce275b-7c50-4706-ab26-c2b91116cb31</x:v>
      </x:c>
      <x:c r="B424" t="str">
        <x:v>601668</x:v>
      </x:c>
      <x:c r="C424" t="str">
        <x:v>中国建筑</x:v>
      </x:c>
      <x:c r="D424" t="str">
        <x:v>2025-12-31</x:v>
      </x:c>
      <x:c r="E424" t="str">
        <x:v>annual</x:v>
      </x:c>
      <x:c r="F424" t="str">
        <x:v>operating_cash_flow</x:v>
      </x:c>
      <x:c r="G424" t="n">
        <x:v>20537132</x:v>
      </x:c>
      <x:c r="H424" t="str">
        <x:v>CNY</x:v>
      </x:c>
      <x:c r="I424" t="n">
        <x:v>289</x:v>
      </x:c>
      <x:c r="J424" t="str">
        <x:v>经营活动产生的现金流量净额</x:v>
      </x:c>
      <x:c r="K424" t="str">
        <x:v>candidate_pending_automated_verification</x:v>
      </x:c>
      <x:c r="L424" t="str">
        <x:v>https://static.cninfo.com.cn/finalpage/2026-04-18/1225123321.PDF</x:v>
      </x:c>
      <x:c r="M424" t="str">
        <x:v>be7c5a9a87af23f0f08405942c4159aac7be9dbb72c6979da56b81e69f588815</x:v>
      </x:c>
      <x:c r="N424" t="str">
        <x:v>经营性应收项目的增加  (347,720,820 )  (276,419,219 ) 
经营性应付项目的增加  253,447,875   181,192,193  
其他  1,695,815   1,360,937  
经营活动产生的现金流量净额  20,537,132   15,825,793  
</x:v>
      </x:c>
    </x:row>
    <x:row r="425">
      <x:c r="A425" t="str">
        <x:v>61ed3233-f174-4da3-91f5-2b3e1d545f65</x:v>
      </x:c>
      <x:c r="B425" t="str">
        <x:v>601668</x:v>
      </x:c>
      <x:c r="C425" t="str">
        <x:v>中国建筑</x:v>
      </x:c>
      <x:c r="D425" t="str">
        <x:v>2025-12-31</x:v>
      </x:c>
      <x:c r="E425" t="str">
        <x:v>annual</x:v>
      </x:c>
      <x:c r="F425" t="str">
        <x:v>short_term_borrowings</x:v>
      </x:c>
      <x:c r="G425" t="n">
        <x:v>115745796</x:v>
      </x:c>
      <x:c r="H425" t="str">
        <x:v>CNY</x:v>
      </x:c>
      <x:c r="I425" t="n">
        <x:v>288</x:v>
      </x:c>
      <x:c r="J425" t="str">
        <x:v>短期借款</x:v>
      </x:c>
      <x:c r="K425" t="str">
        <x:v>candidate_pending_automated_verification</x:v>
      </x:c>
      <x:c r="L425" t="str">
        <x:v>https://static.cninfo.com.cn/finalpage/2026-04-18/1225123321.PDF</x:v>
      </x:c>
      <x:c r="M425" t="str">
        <x:v>be7c5a9a87af23f0f08405942c4159aac7be9dbb72c6979da56b81e69f588815</x:v>
      </x:c>
      <x:c r="N425" t="str">
        <x:v>)   现金变动   非现金变动   现金变动   非现金变动     
应付股利  842,309   -   20,853,411   (20,898,371 )  -    797,349  
短期借款  115,745,796   296,843,257   4,277,740   (246,620,359 )  -   170,246,434  
长期借款(含一年内到期)  607,835,184   173,041,820   43,774,020   (208,473,557 )  (2,049,219 )  614,128,248  
应付债券(含一年内到期)  116,</x:v>
      </x:c>
    </x:row>
    <x:row r="426">
      <x:c r="A426" t="str">
        <x:v>7e04f4f1-8325-42ae-ab94-13989ac5f210</x:v>
      </x:c>
      <x:c r="B426" t="str">
        <x:v>601668</x:v>
      </x:c>
      <x:c r="C426" t="str">
        <x:v>中国建筑</x:v>
      </x:c>
      <x:c r="D426" t="str">
        <x:v>2025-12-31</x:v>
      </x:c>
      <x:c r="E426" t="str">
        <x:v>annual</x:v>
      </x:c>
      <x:c r="F426" t="str">
        <x:v>bonds_payable</x:v>
      </x:c>
      <x:c r="G426" t="n">
        <x:v>2025</x:v>
      </x:c>
      <x:c r="H426" t="str">
        <x:v>CNY</x:v>
      </x:c>
      <x:c r="I426" t="n">
        <x:v>260</x:v>
      </x:c>
      <x:c r="J426" t="str">
        <x:v>应付债券</x:v>
      </x:c>
      <x:c r="K426" t="str">
        <x:v>candidate_pending_automated_verification</x:v>
      </x:c>
      <x:c r="L426" t="str">
        <x:v>https://static.cninfo.com.cn/finalpage/2026-04-18/1225123321.PDF</x:v>
      </x:c>
      <x:c r="M426" t="str">
        <x:v>be7c5a9a87af23f0f08405942c4159aac7be9dbb72c6979da56b81e69f588815</x:v>
      </x:c>
      <x:c r="N426" t="str">
        <x:v>0%至6.70%（2024年12月31日：
1.20%至7.00%）。 
于2025年12月31日及2024年12月31日，本集团将各类资产向银行抵押或质押作
为借款之担保的情况参见附注五、26。 
39. 应付债券 
（1） 应付债券 
  2025年12月31日   2024年12月31日  
公司债券  44,250,936   42,170,153  
非公开定向债券融资工具  87,783,877   72,725,878  
其他  1,661,823   1,721,238  
小计  133,696,636   116,617,269  
减：一年内到期的应</x:v>
      </x:c>
    </x:row>
    <x:row r="427">
      <x:c r="A427" t="str">
        <x:v>6e3ac66f-35b0-4f86-87d2-b69286758b4f</x:v>
      </x:c>
      <x:c r="B427" t="str">
        <x:v>601668</x:v>
      </x:c>
      <x:c r="C427" t="str">
        <x:v>中国建筑</x:v>
      </x:c>
      <x:c r="D427" t="str">
        <x:v>2025-12-31</x:v>
      </x:c>
      <x:c r="E427" t="str">
        <x:v>annual</x:v>
      </x:c>
      <x:c r="F427" t="str">
        <x:v>long_term_borrowings</x:v>
      </x:c>
      <x:c r="G427" t="n">
        <x:v>2025</x:v>
      </x:c>
      <x:c r="H427" t="str">
        <x:v>CNY</x:v>
      </x:c>
      <x:c r="I427" t="n">
        <x:v>260</x:v>
      </x:c>
      <x:c r="J427" t="str">
        <x:v>长期借款</x:v>
      </x:c>
      <x:c r="K427" t="str">
        <x:v>candidate_pending_automated_verification</x:v>
      </x:c>
      <x:c r="L427" t="str">
        <x:v>https://static.cninfo.com.cn/finalpage/2026-04-18/1225123321.PDF</x:v>
      </x:c>
      <x:c r="M427" t="str">
        <x:v>be7c5a9a87af23f0f08405942c4159aac7be9dbb72c6979da56b81e69f588815</x:v>
      </x:c>
      <x:c r="N427" t="str">
        <x:v>中国建筑股份有限公司 
财务报表附注（续） 
2025 年度  人民币千元 
122 
五、 合并财务报表主要项目注释（续） 
38. 长期借款 
  2025年12月31日   2024年12月31日  
信用借款  373,146,849   382,176,212  
抵押借款  97,503,607   79,297,461  
保证借款  8,694,756   12,856,386  
质押借款  134,783,036   133,505,125  
小计  614,128,248  </x:v>
      </x:c>
    </x:row>
    <x:row r="428">
      <x:c r="A428" t="str">
        <x:v>b0e8ded8-b0c1-4c15-9ea3-d9912526f3dd</x:v>
      </x:c>
      <x:c r="B428" t="str">
        <x:v>601668</x:v>
      </x:c>
      <x:c r="C428" t="str">
        <x:v>中国建筑</x:v>
      </x:c>
      <x:c r="D428" t="str">
        <x:v>2025-12-31</x:v>
      </x:c>
      <x:c r="E428" t="str">
        <x:v>annual</x:v>
      </x:c>
      <x:c r="F428" t="str">
        <x:v>current_portion_long_term_debt</x:v>
      </x:c>
      <x:c r="G428" t="n">
        <x:v>2025</x:v>
      </x:c>
      <x:c r="H428" t="str">
        <x:v>CNY</x:v>
      </x:c>
      <x:c r="I428" t="n">
        <x:v>257</x:v>
      </x:c>
      <x:c r="J428" t="str">
        <x:v>一年内到期的非流动负债</x:v>
      </x:c>
      <x:c r="K428" t="str">
        <x:v>candidate_pending_automated_verification</x:v>
      </x:c>
      <x:c r="L428" t="str">
        <x:v>https://static.cninfo.com.cn/finalpage/2026-04-18/1225123321.PDF</x:v>
      </x:c>
      <x:c r="M428" t="str">
        <x:v>be7c5a9a87af23f0f08405942c4159aac7be9dbb72c6979da56b81e69f588815</x:v>
      </x:c>
      <x:c r="N428" t="str">
        <x:v>，账龄超过1年的其他应付款余额为42,582,707千元（2024年
12月31日：43,376,937千元），主要为应付保证金和应付项目融资款。鉴于工程
尚未完工，双方仍继续发生往来，无账龄超过1年或逾期的重要其他应付款。 
36. 一年内到期的非流动负债 
  2025年12月31日   2024年12月31日  
     (经重述)  
一年内到期的长期借款(附注五、38)  87,656,255   83,563,515  
一年内到期的应付债券(附注五、39)  20,315,589   18,371,727  
一年内到期的长期应付款(附注五、41)  14,524,678   14,253,777  
一年内到</x:v>
      </x:c>
    </x:row>
    <x:row r="429">
      <x:c r="A429" t="str">
        <x:v>b9953dc1-73b9-4d82-8695-247339ca007c</x:v>
      </x:c>
      <x:c r="B429" t="str">
        <x:v>601668</x:v>
      </x:c>
      <x:c r="C429" t="str">
        <x:v>中国建筑</x:v>
      </x:c>
      <x:c r="D429" t="str">
        <x:v>2025-12-31</x:v>
      </x:c>
      <x:c r="E429" t="str">
        <x:v>annual</x:v>
      </x:c>
      <x:c r="F429" t="str">
        <x:v>cash</x:v>
      </x:c>
      <x:c r="G429" t="n">
        <x:v>46448401</x:v>
      </x:c>
      <x:c r="H429" t="str">
        <x:v>CNY</x:v>
      </x:c>
      <x:c r="I429" t="n">
        <x:v>247</x:v>
      </x:c>
      <x:c r="J429" t="str">
        <x:v>货币资金</x:v>
      </x:c>
      <x:c r="K429" t="str">
        <x:v>candidate_pending_automated_verification</x:v>
      </x:c>
      <x:c r="L429" t="str">
        <x:v>https://static.cninfo.com.cn/finalpage/2026-04-18/1225123321.PDF</x:v>
      </x:c>
      <x:c r="M429" t="str">
        <x:v>be7c5a9a87af23f0f08405942c4159aac7be9dbb72c6979da56b81e69f588815</x:v>
      </x:c>
      <x:c r="N429" t="str">
        <x:v> 人民币千元 
109 
五、 合并财务报表主要项目注释（续） 
26. 所有权或使用权受到限制的资产 
2025年12月31日 
  账面余额   账面价值   受限类型   受限情况  
货币资金  46,448,401   46,448,401   担保/冻结/监管   注1  
应收票据  216,300   216,283   质押   注2  
应收账款  3,134,123   2,615,125   质押   注2  
存货  90,974,099   90,713,312   抵押   注2  
合同资产  183,199,157   181,106,530 </x:v>
      </x:c>
    </x:row>
    <x:row r="430">
      <x:c r="A430" t="str">
        <x:v>0c3e822d-7e48-4b2d-97cb-e095690689a2</x:v>
      </x:c>
      <x:c r="B430" t="str">
        <x:v>601668</x:v>
      </x:c>
      <x:c r="C430" t="str">
        <x:v>中国建筑</x:v>
      </x:c>
      <x:c r="D430" t="str">
        <x:v>2025-12-31</x:v>
      </x:c>
      <x:c r="E430" t="str">
        <x:v>annual</x:v>
      </x:c>
      <x:c r="F430" t="str">
        <x:v>cash</x:v>
      </x:c>
      <x:c r="G430" t="n">
        <x:v>2025</x:v>
      </x:c>
      <x:c r="H430" t="str">
        <x:v>CNY</x:v>
      </x:c>
      <x:c r="I430" t="n">
        <x:v>209</x:v>
      </x:c>
      <x:c r="J430" t="str">
        <x:v>货币资金</x:v>
      </x:c>
      <x:c r="K430" t="str">
        <x:v>candidate_pending_automated_verification</x:v>
      </x:c>
      <x:c r="L430" t="str">
        <x:v>https://static.cninfo.com.cn/finalpage/2026-04-18/1225123321.PDF</x:v>
      </x:c>
      <x:c r="M430" t="str">
        <x:v>be7c5a9a87af23f0f08405942c4159aac7be9dbb72c6979da56b81e69f588815</x:v>
      </x:c>
      <x:c r="N430" t="str">
        <x:v>中国建筑股份有限公司 
财务报表附注（续） 
2025 年度  人民币千元 
71 
五、 合并财务报表主要项目注释 
1. 货币资金 
  2025年12月31日   2024年12月31日  
     (经重述)  
库存现金  39,204   51,351  
银行存款  382,430,597   386,274,002  
其他货币资金  29,200,406   38,100,305  
合计  411,670,207   424,425,658  
其中：存放在境外的款项</x:v>
      </x:c>
    </x:row>
    <x:row r="431">
      <x:c r="A431" t="str">
        <x:v>788a0cc7-abac-432a-ba6c-f1d6b8e9e255</x:v>
      </x:c>
      <x:c r="B431" t="str">
        <x:v>601668</x:v>
      </x:c>
      <x:c r="C431" t="str">
        <x:v>中国建筑</x:v>
      </x:c>
      <x:c r="D431" t="str">
        <x:v>2025-12-31</x:v>
      </x:c>
      <x:c r="E431" t="str">
        <x:v>annual</x:v>
      </x:c>
      <x:c r="F431" t="str">
        <x:v>operating_cash_flow</x:v>
      </x:c>
      <x:c r="G431" t="n">
        <x:v>20537132</x:v>
      </x:c>
      <x:c r="H431" t="str">
        <x:v>reported_amount</x:v>
      </x:c>
      <x:c r="I431" t="n">
        <x:v>13</x:v>
      </x:c>
      <x:c r="J431" t="str">
        <x:v>经营活动产生的现金流量净额</x:v>
      </x:c>
      <x:c r="K431" t="str">
        <x:v>candidate_pending_automated_verification</x:v>
      </x:c>
      <x:c r="L431" t="str">
        <x:v>https://static.cninfo.com.cn/finalpage/2026-04-18/1225123321.PDF</x:v>
      </x:c>
      <x:c r="M431" t="str">
        <x:v>be7c5a9a87af23f0f08405942c4159aac7be9dbb72c6979da56b81e69f588815</x:v>
      </x:c>
      <x:c r="N431" t="str">
        <x:v>9,002 46,193,694 46,187,099 -15.4 54,264,173
归属于上市公司股东的扣除非经常性 
损益的净利润 31,934,462 41,579,271 41,581,095 -23.2 48,538,669
经营活动产生的现金流量净额 20,537,132 15,825,793 15,773,535 29.8 11,030,123
2025 年末
2024 年末 本期末比上年
同期增减(%) 2023 年末
调整后 调整前
归属于上市公司股东的净资产 491,555,607 462,498,099 462,184,659 6.3 427,609,892
总资产 3,560,679,818 3,189,774,</x:v>
      </x:c>
    </x:row>
    <x:row r="432">
      <x:c r="A432" t="str">
        <x:v>c88cabfa-a070-4833-b610-5628d7897bd1</x:v>
      </x:c>
      <x:c r="B432" t="str">
        <x:v>601668</x:v>
      </x:c>
      <x:c r="C432" t="str">
        <x:v>中国建筑</x:v>
      </x:c>
      <x:c r="D432" t="str">
        <x:v>2025-12-31</x:v>
      </x:c>
      <x:c r="E432" t="str">
        <x:v>annual</x:v>
      </x:c>
      <x:c r="F432" t="str">
        <x:v>net_income</x:v>
      </x:c>
      <x:c r="G432" t="n">
        <x:v>39069002</x:v>
      </x:c>
      <x:c r="H432" t="str">
        <x:v>reported_amount</x:v>
      </x:c>
      <x:c r="I432" t="n">
        <x:v>13</x:v>
      </x:c>
      <x:c r="J432" t="str">
        <x:v>归属于上市公司股东的净利润</x:v>
      </x:c>
      <x:c r="K432" t="str">
        <x:v>candidate_pending_automated_verification</x:v>
      </x:c>
      <x:c r="L432" t="str">
        <x:v>https://static.cninfo.com.cn/finalpage/2026-04-18/1225123321.PDF</x:v>
      </x:c>
      <x:c r="M432" t="str">
        <x:v>be7c5a9a87af23f0f08405942c4159aac7be9dbb72c6979da56b81e69f588815</x:v>
      </x:c>
      <x:c r="N432" t="str">
        <x:v>业收入 2,082,141,811 2,187,334,286 2,187,147,839 -4.8 2,265,529,244
利润总额 70,221,649 80,046,319 80,036,950 -12.3 92,995,473
归属于上市公司股东的净利润 39,069,002 46,193,694 46,187,099 -15.4 54,264,173
归属于上市公司股东的扣除非经常性 
损益的净利润 31,934,462 41,579,271 41,581,095 -23.2 48,538,669
经营活动产生的现金流量净额 20,537,132 15,825,793 15,773,535 29.8 11,030,123
20</x:v>
      </x:c>
    </x:row>
    <x:row r="433">
      <x:c r="A433" t="str">
        <x:v>1b0e7a9c-81f7-4921-821e-fefa0ec45391</x:v>
      </x:c>
      <x:c r="B433" t="str">
        <x:v>601668</x:v>
      </x:c>
      <x:c r="C433" t="str">
        <x:v>中国建筑</x:v>
      </x:c>
      <x:c r="D433" t="str">
        <x:v>2025-12-31</x:v>
      </x:c>
      <x:c r="E433" t="str">
        <x:v>annual</x:v>
      </x:c>
      <x:c r="F433" t="str">
        <x:v>revenue</x:v>
      </x:c>
      <x:c r="G433" t="n">
        <x:v>2082141811</x:v>
      </x:c>
      <x:c r="H433" t="str">
        <x:v>reported_amount</x:v>
      </x:c>
      <x:c r="I433" t="n">
        <x:v>13</x:v>
      </x:c>
      <x:c r="J433" t="str">
        <x:v>营业收入</x:v>
      </x:c>
      <x:c r="K433" t="str">
        <x:v>candidate_pending_automated_verification</x:v>
      </x:c>
      <x:c r="L433" t="str">
        <x:v>https://static.cninfo.com.cn/finalpage/2026-04-18/1225123321.PDF</x:v>
      </x:c>
      <x:c r="M433" t="str">
        <x:v>be7c5a9a87af23f0f08405942c4159aac7be9dbb72c6979da56b81e69f588815</x:v>
      </x:c>
      <x:c r="N433" t="str">
        <x:v>01-12 室
签字会计师姓名 高君、李冬冬
七、 ﾠ近三年主要会计数据和财务指标
（一） 主要会计数据
单位 ： 千元　币种 ： 人民币
主要会计数据 2025 年
2024 年 本期比上年
同期增减(%) 2023 年
调整后 调整前
营业收入 2,082,141,811 2,187,334,286 2,187,147,839 -4.8 2,265,529,244
利润总额 70,221,649 80,046,319 80,036,950 -12.3 92,995,473
归属于上市公司股东的净利润 39,069,002 46,193,694 46,187,099 -15.4 54,264,173
归属于上市公司股东的扣除非</x:v>
      </x:c>
    </x:row>
    <x:row r="434">
      <x:c r="A434" t="str">
        <x:v>660242ee-e030-42d6-ac51-cfbe7451117d</x:v>
      </x:c>
      <x:c r="B434" t="str">
        <x:v>600015</x:v>
      </x:c>
      <x:c r="C434" t="str">
        <x:v>华夏银行</x:v>
      </x:c>
      <x:c r="D434" t="str">
        <x:v>2025-12-31</x:v>
      </x:c>
      <x:c r="E434" t="str">
        <x:v>annual</x:v>
      </x:c>
      <x:c r="F434" t="str">
        <x:v>operating_cash_flow</x:v>
      </x:c>
      <x:c r="G434" t="n">
        <x:v>69063</x:v>
      </x:c>
      <x:c r="H434" t="str">
        <x:v>reported_amount</x:v>
      </x:c>
      <x:c r="I434" t="n">
        <x:v>9</x:v>
      </x:c>
      <x:c r="J434" t="str">
        <x:v>经营活动产生的现金流量净额</x:v>
      </x:c>
      <x:c r="K434" t="str">
        <x:v>candidate_pending_automated_verification</x:v>
      </x:c>
      <x:c r="L434" t="str">
        <x:v>https://static.cninfo.com.cn/finalpage/2026-03-31/1225058278.PDF</x:v>
      </x:c>
      <x:c r="M434" t="str">
        <x:v>d600c3cb931b19fb1d17bd46c419d4da54e7e9169ff3a6ab391a48cbc08d24e3</x:v>
      </x:c>
      <x:c r="N434" t="str">
        <x:v> 34,174 35,879 -4.75 35,439
归属于上市公司股东的净利润 27,200 27,676 -1.72 26,363
归属于上市公司股东的扣除非经常性
损益的净利润 27,153 27,678 -1.90 26,273
经营活动产生的现金流量净额 69,063 42,495 62.52 253,177
主要财务指标（元/股）
基本每股收益 1.62 1.62 持平 1.48
稀释每股收益 1.62 1.62 持平 1.48
扣除非经常性损益后的基本每股收益 1.62 1.62 持平 1.47
每股经营活动产生的现金流量净额 4.34 2.67 62.55 15.91
盈利能力指标（%）
加权平均净资产收益率 8.</x:v>
      </x:c>
    </x:row>
    <x:row r="435">
      <x:c r="A435" t="str">
        <x:v>014c07a8-ac95-482b-9dca-c71487487551</x:v>
      </x:c>
      <x:c r="B435" t="str">
        <x:v>600015</x:v>
      </x:c>
      <x:c r="C435" t="str">
        <x:v>华夏银行</x:v>
      </x:c>
      <x:c r="D435" t="str">
        <x:v>2025-12-31</x:v>
      </x:c>
      <x:c r="E435" t="str">
        <x:v>annual</x:v>
      </x:c>
      <x:c r="F435" t="str">
        <x:v>revenue</x:v>
      </x:c>
      <x:c r="G435" t="n">
        <x:v>91914</x:v>
      </x:c>
      <x:c r="H435" t="str">
        <x:v>reported_amount</x:v>
      </x:c>
      <x:c r="I435" t="n">
        <x:v>9</x:v>
      </x:c>
      <x:c r="J435" t="str">
        <x:v>营业收入</x:v>
      </x:c>
      <x:c r="K435" t="str">
        <x:v>candidate_pending_automated_verification</x:v>
      </x:c>
      <x:c r="L435" t="str">
        <x:v>https://static.cninfo.com.cn/finalpage/2026-03-31/1225058278.PDF</x:v>
      </x:c>
      <x:c r="M435" t="str">
        <x:v>d600c3cb931b19fb1d17bd46c419d4da54e7e9169ff3a6ab391a48cbc08d24e3</x:v>
      </x:c>
      <x:c r="N435" t="str">
        <x:v>殊普通合伙）
办公地址：北京市东城区东长安街 1号东方广场安永大楼 17层
签字会计师姓名：张凡、尹晓林
2.2 主要会计数据和财务指标
（单位：百万元）
项目 2025 年 2024 年 本年比上年增减（％） 2023 年
主要会计数据
营业收入 91,914 97,146 -5.39 93,207
营业利润 34,289 35,942 -4.60 35,443
利润总额 34,174 35,879 -4.75 35,439
归属于上市公司股东的净利润 27,200 27,676 -1.72 26,363
归属于上市公司股东的扣除非经常性
损益的净利润 27,153 27,678 -1.90 26,273
经营活</x:v>
      </x:c>
    </x:row>
    <x:row r="436">
      <x:c r="A436" t="str">
        <x:v>b07a2163-7744-4cee-8858-c615462c9b1a</x:v>
      </x:c>
      <x:c r="B436" t="str">
        <x:v>600015</x:v>
      </x:c>
      <x:c r="C436" t="str">
        <x:v>华夏银行</x:v>
      </x:c>
      <x:c r="D436" t="str">
        <x:v>2025-12-31</x:v>
      </x:c>
      <x:c r="E436" t="str">
        <x:v>annual</x:v>
      </x:c>
      <x:c r="F436" t="str">
        <x:v>operating_cash_flow</x:v>
      </x:c>
      <x:c r="G436" t="n">
        <x:v>69063</x:v>
      </x:c>
      <x:c r="H436" t="str">
        <x:v>CNY</x:v>
      </x:c>
      <x:c r="I436" t="n">
        <x:v>219</x:v>
      </x:c>
      <x:c r="J436" t="str">
        <x:v>经营活动产生的现金流量净额</x:v>
      </x:c>
      <x:c r="K436" t="str">
        <x:v>candidate_pending_automated_verification</x:v>
      </x:c>
      <x:c r="L436" t="str">
        <x:v>https://static.cninfo.com.cn/finalpage/2026-03-31/1225058278.PDF</x:v>
      </x:c>
      <x:c r="M436" t="str">
        <x:v>d600c3cb931b19fb1d17bd46c419d4da54e7e9169ff3a6ab391a48cbc08d24e3</x:v>
      </x:c>
      <x:c r="N436" t="str">
        <x:v>89  
经营性应收项目的增加 (280,428 ) (67,896 ) (271,927 ) (61,572 ) 
经营性应付项目的增加 334,487   97,727   339,263   102,000   
经营活动产生的现金流量净额 69,063  42,495    75,360  47,533   
现金及现金等价物净变动情况：         
现金及现金等价物的年末余额 172,383  98,623  168,711  86,207  
减：现金及现金等价物的年初余额 (98,623  ) (102,122  ) (86,207  ) (100,373  ) 
    </x:v>
      </x:c>
    </x:row>
    <x:row r="437">
      <x:c r="A437" t="str">
        <x:v>1c8e7f32-4e84-4720-8f2a-14b3a58194fc</x:v>
      </x:c>
      <x:c r="B437" t="str">
        <x:v>600015</x:v>
      </x:c>
      <x:c r="C437" t="str">
        <x:v>华夏银行</x:v>
      </x:c>
      <x:c r="D437" t="str">
        <x:v>2025-12-31</x:v>
      </x:c>
      <x:c r="E437" t="str">
        <x:v>annual</x:v>
      </x:c>
      <x:c r="F437" t="str">
        <x:v>operating_cash_flow</x:v>
      </x:c>
      <x:c r="G437" t="n">
        <x:v>69063</x:v>
      </x:c>
      <x:c r="H437" t="str">
        <x:v>CNY</x:v>
      </x:c>
      <x:c r="I437" t="n">
        <x:v>125</x:v>
      </x:c>
      <x:c r="J437" t="str">
        <x:v>经营活动产生的现金流量净额</x:v>
      </x:c>
      <x:c r="K437" t="str">
        <x:v>candidate_pending_automated_verification</x:v>
      </x:c>
      <x:c r="L437" t="str">
        <x:v>https://static.cninfo.com.cn/finalpage/2026-03-31/1225058278.PDF</x:v>
      </x:c>
      <x:c r="M437" t="str">
        <x:v>d600c3cb931b19fb1d17bd46c419d4da54e7e9169ff3a6ab391a48cbc08d24e3</x:v>
      </x:c>
      <x:c r="N437" t="str">
        <x:v>  (8,702 ) (11,217 ) (9,181 ) (7,696 ) 
经营活动现金流出小计  (429,250 ) (245,254 ) (413,036 ) (227,138  ) 
经营活动产生的现金流量净额 48 69,063  42,495   75,360   47,533             
投资活动产生的现金流量          
收回投资收到的现金  3,638,093   1,844,749  3,569,702   1,714,688  
取得投资收益收到的现金   52,697   52,628   52,975   49,310  
处置固定资产、无形资</x:v>
      </x:c>
    </x:row>
    <x:row r="438">
      <x:c r="A438" t="str">
        <x:v>98f7898e-0e63-40ff-bfbd-e718e5bfd03c</x:v>
      </x:c>
      <x:c r="B438" t="str">
        <x:v>600015</x:v>
      </x:c>
      <x:c r="C438" t="str">
        <x:v>华夏银行</x:v>
      </x:c>
      <x:c r="D438" t="str">
        <x:v>2025-12-31</x:v>
      </x:c>
      <x:c r="E438" t="str">
        <x:v>annual</x:v>
      </x:c>
      <x:c r="F438" t="str">
        <x:v>roe</x:v>
      </x:c>
      <x:c r="G438" t="n">
        <x:v>8.32</x:v>
      </x:c>
      <x:c r="H438" t="str">
        <x:v>percent</x:v>
      </x:c>
      <x:c r="I438" t="n">
        <x:v>9</x:v>
      </x:c>
      <x:c r="J438" t="str">
        <x:v>加权平均净资产收益率</x:v>
      </x:c>
      <x:c r="K438" t="str">
        <x:v>candidate_pending_automated_verification</x:v>
      </x:c>
      <x:c r="L438" t="str">
        <x:v>https://static.cninfo.com.cn/finalpage/2026-03-31/1225058278.PDF</x:v>
      </x:c>
      <x:c r="M438" t="str">
        <x:v>d600c3cb931b19fb1d17bd46c419d4da54e7e9169ff3a6ab391a48cbc08d24e3</x:v>
      </x:c>
      <x:c r="N438" t="str">
        <x:v>.62 持平 1.48
稀释每股收益 1.62 1.62 持平 1.48
扣除非经常性损益后的基本每股收益 1.62 1.62 持平 1.47
每股经营活动产生的现金流量净额 4.34 2.67 62.55 15.91
盈利能力指标（%）
加权平均净资产收益率 8.32 8.84 下降 0.52个百分点 8.71
扣除非经常性损益后的加权平均净资
产收益率 8.31 8.84 下降 0.53个百分点 8.68
资产利润率 0.61 0.65 下降 0.04个百分点 0.66
资本利润率 7.25 8.20 下降 0.95个百分点 8.32
净利差 1.63 1.61 上升 0.02个百分点 1.77
净息差 1.56 1.</x:v>
      </x:c>
    </x:row>
    <x:row r="439">
      <x:c r="A439" t="str">
        <x:v>333fe397-1e09-410b-aa79-27341a89f4a5</x:v>
      </x:c>
      <x:c r="B439" t="str">
        <x:v>600015</x:v>
      </x:c>
      <x:c r="C439" t="str">
        <x:v>华夏银行</x:v>
      </x:c>
      <x:c r="D439" t="str">
        <x:v>2025-12-31</x:v>
      </x:c>
      <x:c r="E439" t="str">
        <x:v>annual</x:v>
      </x:c>
      <x:c r="F439" t="str">
        <x:v>net_income</x:v>
      </x:c>
      <x:c r="G439" t="n">
        <x:v>27200</x:v>
      </x:c>
      <x:c r="H439" t="str">
        <x:v>reported_amount</x:v>
      </x:c>
      <x:c r="I439" t="n">
        <x:v>9</x:v>
      </x:c>
      <x:c r="J439" t="str">
        <x:v>归属于上市公司股东的净利润</x:v>
      </x:c>
      <x:c r="K439" t="str">
        <x:v>candidate_pending_automated_verification</x:v>
      </x:c>
      <x:c r="L439" t="str">
        <x:v>https://static.cninfo.com.cn/finalpage/2026-03-31/1225058278.PDF</x:v>
      </x:c>
      <x:c r="M439" t="str">
        <x:v>d600c3cb931b19fb1d17bd46c419d4da54e7e9169ff3a6ab391a48cbc08d24e3</x:v>
      </x:c>
      <x:c r="N439" t="str">
        <x:v>年比上年增减（％） 2023 年
主要会计数据
营业收入 91,914 97,146 -5.39 93,207
营业利润 34,289 35,942 -4.60 35,443
利润总额 34,174 35,879 -4.75 35,439
归属于上市公司股东的净利润 27,200 27,676 -1.72 26,363
归属于上市公司股东的扣除非经常性
损益的净利润 27,153 27,678 -1.90 26,273
经营活动产生的现金流量净额 69,063 42,495 62.52 253,177
主要财务指标（元/股）
基本每股收益 1.62 1.62 持平 1.48
稀释每股收益 1.62 1.62 持平 1.48
扣除非经</x:v>
      </x:c>
    </x:row>
    <x:row r="440">
      <x:c r="A440" t="str">
        <x:v>e062301c-ab77-4eae-a3ce-a24497cfb8c9</x:v>
      </x:c>
      <x:c r="B440" t="str">
        <x:v>600015</x:v>
      </x:c>
      <x:c r="C440" t="str">
        <x:v>华夏银行</x:v>
      </x:c>
      <x:c r="D440" t="str">
        <x:v>2025-12-31</x:v>
      </x:c>
      <x:c r="E440" t="str">
        <x:v>annual</x:v>
      </x:c>
      <x:c r="F440" t="str">
        <x:v>eps_annual</x:v>
      </x:c>
      <x:c r="G440" t="n">
        <x:v>1.62</x:v>
      </x:c>
      <x:c r="H440" t="str">
        <x:v>CNY/share</x:v>
      </x:c>
      <x:c r="I440" t="n">
        <x:v>9</x:v>
      </x:c>
      <x:c r="J440" t="str">
        <x:v>基本每股收益</x:v>
      </x:c>
      <x:c r="K440" t="str">
        <x:v>candidate_pending_automated_verification</x:v>
      </x:c>
      <x:c r="L440" t="str">
        <x:v>https://static.cninfo.com.cn/finalpage/2026-03-31/1225058278.PDF</x:v>
      </x:c>
      <x:c r="M440" t="str">
        <x:v>d600c3cb931b19fb1d17bd46c419d4da54e7e9169ff3a6ab391a48cbc08d24e3</x:v>
      </x:c>
      <x:c r="N440" t="str">
        <x:v>6 -1.72 26,363
归属于上市公司股东的扣除非经常性
损益的净利润 27,153 27,678 -1.90 26,273
经营活动产生的现金流量净额 69,063 42,495 62.52 253,177
主要财务指标（元/股）
基本每股收益 1.62 1.62 持平 1.48
稀释每股收益 1.62 1.62 持平 1.48
扣除非经常性损益后的基本每股收益 1.62 1.62 持平 1.47
每股经营活动产生的现金流量净额 4.34 2.67 62.55 15.91
盈利能力指标（%）
加权平均净资产收益率 8.32 8.84 下降 0.52个百分点 8.71
扣除非经常性损益后的加权平均净资
产收益</x:v>
      </x:c>
    </x:row>
    <x:row r="441">
      <x:c r="A441" t="str">
        <x:v>c453a707-a446-48f7-8df5-b00cb0cb0936</x:v>
      </x:c>
      <x:c r="B441" t="str">
        <x:v>601288</x:v>
      </x:c>
      <x:c r="C441" t="str">
        <x:v>农业银行</x:v>
      </x:c>
      <x:c r="D441" t="str">
        <x:v>2025-12-31</x:v>
      </x:c>
      <x:c r="E441" t="str">
        <x:v>annual</x:v>
      </x:c>
      <x:c r="F441" t="str">
        <x:v>operating_cash_flow</x:v>
      </x:c>
      <x:c r="G441" t="n">
        <x:v>2112907</x:v>
      </x:c>
      <x:c r="H441" t="str">
        <x:v>CNY</x:v>
      </x:c>
      <x:c r="I441" t="n">
        <x:v>168</x:v>
      </x:c>
      <x:c r="J441" t="str">
        <x:v>经营活动产生的现金流量净额</x:v>
      </x:c>
      <x:c r="K441" t="str">
        <x:v>candidate_pending_automated_verification</x:v>
      </x:c>
      <x:c r="L441" t="str">
        <x:v>https://static.cninfo.com.cn/finalpage/2026-03-31/1225056196.PDF</x:v>
      </x:c>
      <x:c r="M441" t="str">
        <x:v>9353f9a05d9cdf19cabef785e4c633fbd29ab63e7933dcd3c472ca02bc691d83</x:v>
      </x:c>
      <x:c r="N441" t="str">
        <x:v>   (294,844) 
经营活动现金流出小计   (3,717,342)   (3,756,450)   (3,711,714)   (3,747,754) 
经营活动产生的现金流量净额 46 2,112,907   1,353,042   2,063,571   1,306,723 
 </x:v>
      </x:c>
    </x:row>
    <x:row r="442">
      <x:c r="A442" t="str">
        <x:v>a38eb2b9-6534-403b-b2ca-81f5a579810b</x:v>
      </x:c>
      <x:c r="B442" t="str">
        <x:v>601288</x:v>
      </x:c>
      <x:c r="C442" t="str">
        <x:v>农业银行</x:v>
      </x:c>
      <x:c r="D442" t="str">
        <x:v>2025-12-31</x:v>
      </x:c>
      <x:c r="E442" t="str">
        <x:v>annual</x:v>
      </x:c>
      <x:c r="F442" t="str">
        <x:v>operating_cash_flow</x:v>
      </x:c>
      <x:c r="G442" t="n">
        <x:v>2112907</x:v>
      </x:c>
      <x:c r="H442" t="str">
        <x:v>CNY</x:v>
      </x:c>
      <x:c r="I442" t="n">
        <x:v>295</x:v>
      </x:c>
      <x:c r="J442" t="str">
        <x:v>经营活动产生的现金流量净额</x:v>
      </x:c>
      <x:c r="K442" t="str">
        <x:v>candidate_pending_automated_verification</x:v>
      </x:c>
      <x:c r="L442" t="str">
        <x:v>https://static.cninfo.com.cn/finalpage/2026-03-31/1225056196.PDF</x:v>
      </x:c>
      <x:c r="M442" t="str">
        <x:v>9353f9a05d9cdf19cabef785e4c633fbd29ab63e7933dcd3c472ca02bc691d83</x:v>
      </x:c>
      <x:c r="N442" t="str">
        <x:v>1,506,726)   (2,788,482)   (1,497,492) 
  经营性应付项目变动 4,773,792   2,728,081   4,741,744   2,678,714 
  经营活动产生的现金流量净额 2,112,907   1,353,042   2,063,571   1,306,723 
(ii) 现金及现金等价物净变动情况               
  现金及现金等价物的年末余额 2,239,342   1,846,612   2,222,778   1,833,607 
  减：现金及</x:v>
      </x:c>
    </x:row>
    <x:row r="443">
      <x:c r="A443" t="str">
        <x:v>54e83ee2-4d7e-4f3d-be02-a1b5a868e73e</x:v>
      </x:c>
      <x:c r="B443" t="str">
        <x:v>600941</x:v>
      </x:c>
      <x:c r="C443" t="str">
        <x:v>中国移动</x:v>
      </x:c>
      <x:c r="D443" t="str">
        <x:v>2026-03-31</x:v>
      </x:c>
      <x:c r="E443" t="str">
        <x:v>first_quarter</x:v>
      </x:c>
      <x:c r="F443" t="str">
        <x:v>cash</x:v>
      </x:c>
      <x:c r="G443" t="n">
        <x:v>205262</x:v>
      </x:c>
      <x:c r="H443" t="str">
        <x:v>CNY</x:v>
      </x:c>
      <x:c r="I443" t="n">
        <x:v>7</x:v>
      </x:c>
      <x:c r="J443" t="str">
        <x:v>货币资金</x:v>
      </x:c>
      <x:c r="K443" t="str">
        <x:v>candidate_pending_automated_verification</x:v>
      </x:c>
      <x:c r="L443" t="str">
        <x:v>https://static.cninfo.com.cn/finalpage/2026-04-21/1225131150.PDF</x:v>
      </x:c>
      <x:c r="M443" t="str">
        <x:v>2509da6ac58653c6416f8306e956fbdae8708370735e3c38023bdf964eadaba9</x:v>
      </x:c>
      <x:c r="N443" t="str">
        <x:v>026年第一季度报告
6
季度财务报表
合并资产负债表
2026年 3月 31日
编制单位:中国移动有限公司
单位：百万元 币种：人民币 审计类型：未经审计
项目 2026 年 3 月 31 日 2025 年 12 月 31 日
流动资产
货币资金 205,262 171,094
交易性金融资产 139,863 134,550
应收票据 1,184 1,177
应收账款 123,136 99,762
预付款项 10,390 7,755
其他应收款 15,849 15,887
存货 13,240 16,613
合同资产 19,051 20,178
其他流动资产 23,638 30,630
流动资产合计 551,613 </x:v>
      </x:c>
    </x:row>
    <x:row r="444">
      <x:c r="A444" t="str">
        <x:v>1fe7d3d8-687c-469e-a8fd-5d0fd3027cdc</x:v>
      </x:c>
      <x:c r="B444" t="str">
        <x:v>600941</x:v>
      </x:c>
      <x:c r="C444" t="str">
        <x:v>中国移动</x:v>
      </x:c>
      <x:c r="D444" t="str">
        <x:v>2026-03-31</x:v>
      </x:c>
      <x:c r="E444" t="str">
        <x:v>first_quarter</x:v>
      </x:c>
      <x:c r="F444" t="str">
        <x:v>long_term_borrowings</x:v>
      </x:c>
      <x:c r="G444" t="n">
        <x:v>9474</x:v>
      </x:c>
      <x:c r="H444" t="str">
        <x:v>CNY</x:v>
      </x:c>
      <x:c r="I444" t="n">
        <x:v>8</x:v>
      </x:c>
      <x:c r="J444" t="str">
        <x:v>长期借款</x:v>
      </x:c>
      <x:c r="K444" t="str">
        <x:v>candidate_pending_automated_verification</x:v>
      </x:c>
      <x:c r="L444" t="str">
        <x:v>https://static.cninfo.com.cn/finalpage/2026-04-21/1225131150.PDF</x:v>
      </x:c>
      <x:c r="M444" t="str">
        <x:v>2509da6ac58653c6416f8306e956fbdae8708370735e3c38023bdf964eadaba9</x:v>
      </x:c>
      <x:c r="N444" t="str">
        <x:v> 5,768
应交税费 16,459 17,742
其他应付款 58,444 61,613
一年内到期的非流动负债 45,366 42,507
其他流动负债 1,932 1,808
流动负债合计 645,249 613,560
非流动负债
长期借款 9,474 9,748
租赁负债 47,487 48,942
递延收益 9,075 9,144
长期应付职工薪酬 6,668 6,643
递延所得税负债 5,705 4,881
其他非流动负债 2,770 2,413
非流动负债合计 81,179 81,771
负债合计 726,428 695,331
股东权益
股本 469,079 468,445
资本公积 -304</x:v>
      </x:c>
    </x:row>
    <x:row r="445">
      <x:c r="A445" t="str">
        <x:v>5d37fd61-d276-4c2a-ba17-813255e10a29</x:v>
      </x:c>
      <x:c r="B445" t="str">
        <x:v>600941</x:v>
      </x:c>
      <x:c r="C445" t="str">
        <x:v>中国移动</x:v>
      </x:c>
      <x:c r="D445" t="str">
        <x:v>2026-03-31</x:v>
      </x:c>
      <x:c r="E445" t="str">
        <x:v>first_quarter</x:v>
      </x:c>
      <x:c r="F445" t="str">
        <x:v>operating_cash_flow</x:v>
      </x:c>
      <x:c r="G445" t="n">
        <x:v>71447</x:v>
      </x:c>
      <x:c r="H445" t="str">
        <x:v>CNY</x:v>
      </x:c>
      <x:c r="I445" t="n">
        <x:v>11</x:v>
      </x:c>
      <x:c r="J445" t="str">
        <x:v>经营活动产生的现金流量净额</x:v>
      </x:c>
      <x:c r="K445" t="str">
        <x:v>candidate_pending_automated_verification</x:v>
      </x:c>
      <x:c r="L445" t="str">
        <x:v>https://static.cninfo.com.cn/finalpage/2026-04-21/1225131150.PDF</x:v>
      </x:c>
      <x:c r="M445" t="str">
        <x:v>2509da6ac58653c6416f8306e956fbdae8708370735e3c38023bdf964eadaba9</x:v>
      </x:c>
      <x:c r="N445" t="str">
        <x:v>7 -201,358
支付给职工及为职工支付的现金 -32,101 -28,163
支付的各项税费 -13,154 -13,391
支付其他与经营活动有关的现金 -207 -234
经营活动现金流出小计 -203,369 -243,146
经营活动产生的现金流量净额 71,447 31,317
二、投资活动产生的现金流量：
收回投资收到的现金 10,649 14,686
取得投资收益收到的现金 4,056 2,368
处置固定资产、无形资产和其他长期
资产收回的现金净额 229 115
收到其他与投资活动有关的现金 35,623 49,823
投资活动现金流入小计 50,557 66,992
购建固定资产、无形资产和其他长期
资产支</x:v>
      </x:c>
    </x:row>
    <x:row r="446">
      <x:c r="A446" t="str">
        <x:v>8faa98f0-56d4-4ce5-9cb3-5c12dcbe2252</x:v>
      </x:c>
      <x:c r="B446" t="str">
        <x:v>600941</x:v>
      </x:c>
      <x:c r="C446" t="str">
        <x:v>中国移动</x:v>
      </x:c>
      <x:c r="D446" t="str">
        <x:v>2026-03-31</x:v>
      </x:c>
      <x:c r="E446" t="str">
        <x:v>first_quarter</x:v>
      </x:c>
      <x:c r="F446" t="str">
        <x:v>current_portion_long_term_debt</x:v>
      </x:c>
      <x:c r="G446" t="n">
        <x:v>45366</x:v>
      </x:c>
      <x:c r="H446" t="str">
        <x:v>CNY</x:v>
      </x:c>
      <x:c r="I446" t="n">
        <x:v>8</x:v>
      </x:c>
      <x:c r="J446" t="str">
        <x:v>一年内到期的非流动负债</x:v>
      </x:c>
      <x:c r="K446" t="str">
        <x:v>candidate_pending_automated_verification</x:v>
      </x:c>
      <x:c r="L446" t="str">
        <x:v>https://static.cninfo.com.cn/finalpage/2026-04-21/1225131150.PDF</x:v>
      </x:c>
      <x:c r="M446" t="str">
        <x:v>2509da6ac58653c6416f8306e956fbdae8708370735e3c38023bdf964eadaba9</x:v>
      </x:c>
      <x:c r="N446" t="str">
        <x:v>2
应付账款 350,033 334,099
预收款项 82,655 83,206
合同负债 58,958 49,615
应付职工薪酬 14,306 5,768
应交税费 16,459 17,742
其他应付款 58,444 61,613
一年内到期的非流动负债 45,366 42,507
其他流动负债 1,932 1,808
流动负债合计 645,249 613,560
非流动负债
长期借款 9,474 9,748
租赁负债 47,487 48,942
递延收益 9,075 9,144
长期应付职工薪酬 6,668 6,643
递延所得税负债 5,705 4,881
其他非流动负债 2,770 2,413
非流动负债合计 81</x:v>
      </x:c>
    </x:row>
    <x:row r="447">
      <x:c r="A447" t="str">
        <x:v>b0477356-bc17-44ab-8e01-5cf6a643c464</x:v>
      </x:c>
      <x:c r="B447" t="str">
        <x:v>601088</x:v>
      </x:c>
      <x:c r="C447" t="str">
        <x:v>中国神华</x:v>
      </x:c>
      <x:c r="D447" t="str">
        <x:v>2025-12-31</x:v>
      </x:c>
      <x:c r="E447" t="str">
        <x:v>annual</x:v>
      </x:c>
      <x:c r="F447" t="str">
        <x:v>short_term_borrowings</x:v>
      </x:c>
      <x:c r="G447" t="n">
        <x:v>4812</x:v>
      </x:c>
      <x:c r="H447" t="str">
        <x:v>CNY</x:v>
      </x:c>
      <x:c r="I447" t="n">
        <x:v>249</x:v>
      </x:c>
      <x:c r="J447" t="str">
        <x:v>短期借款</x:v>
      </x:c>
      <x:c r="K447" t="str">
        <x:v>candidate_pending_automated_verification</x:v>
      </x:c>
      <x:c r="L447" t="str">
        <x:v>https://static.cninfo.com.cn/finalpage/2026-03-31/1225064293.PDF</x:v>
      </x:c>
      <x:c r="M447" t="str">
        <x:v>7068df1231922b8a2fcfd0336d9ae6550dabf7c7edc152d680089df8cc126bd2</x:v>
      </x:c>
      <x:c r="N447" t="str">
        <x:v> 
  本年增加   本年减少   
2025 年 
12 月 31 日   现金变动   非现金变动   现金变动   非现金变动   
短期借款 4,812   3,111   -     (7,514)  -     409  
应付利息 39   -     2,226   (2,242)  -     23  
应付股利 4,449   -     81,987   (84,962)  -     1,474  
长期借款 (含一年内到期部分) 40,891   6,586   -     (12,378</x:v>
      </x:c>
    </x:row>
    <x:row r="448">
      <x:c r="A448" t="str">
        <x:v>f58dfe3d-7a8a-4f22-8706-1a1316bcdc27</x:v>
      </x:c>
      <x:c r="B448" t="str">
        <x:v>601088</x:v>
      </x:c>
      <x:c r="C448" t="str">
        <x:v>中国神华</x:v>
      </x:c>
      <x:c r="D448" t="str">
        <x:v>2025-12-31</x:v>
      </x:c>
      <x:c r="E448" t="str">
        <x:v>annual</x:v>
      </x:c>
      <x:c r="F448" t="str">
        <x:v>revenue</x:v>
      </x:c>
      <x:c r="G448" t="n">
        <x:v>294916</x:v>
      </x:c>
      <x:c r="H448" t="str">
        <x:v>reported_amount</x:v>
      </x:c>
      <x:c r="I448" t="n">
        <x:v>8</x:v>
      </x:c>
      <x:c r="J448" t="str">
        <x:v>营业收入</x:v>
      </x:c>
      <x:c r="K448" t="str">
        <x:v>candidate_pending_automated_verification</x:v>
      </x:c>
      <x:c r="L448" t="str">
        <x:v>https://static.cninfo.com.cn/finalpage/2026-03-31/1225064293.PDF</x:v>
      </x:c>
      <x:c r="M448" t="str">
        <x:v>7068df1231922b8a2fcfd0336d9ae6550dabf7c7edc152d680089df8cc126bd2</x:v>
      </x:c>
      <x:c r="N448" t="str">
        <x:v>公司
办公地址 香港湾仔皇后大道东 183号合和中心 17M楼
七、近三年主要会计数据和财务指标
(一) 主要会计数据
单位：百万元
2025年 2024年 2025年比
2024年增
减(%)
2023年
重述后 重述前 重述后 重述前
营业收入 294,916 339,788 338,375 (13.2) 345,951 343,074
利润总额 79,339 82,928 85,793 (4.3) 85,035 87,176
归属于本公司股东
的净利润
52,849 55,805 58,671 (5.3) 57,756 59,694
归属于本公司股东
的扣除非经常性损
益的净利润
48,589 60,125 6</x:v>
      </x:c>
    </x:row>
    <x:row r="449">
      <x:c r="A449" t="str">
        <x:v>a8905cf0-38ee-41f4-a5cb-38bc9a3c48cf</x:v>
      </x:c>
      <x:c r="B449" t="str">
        <x:v>601088</x:v>
      </x:c>
      <x:c r="C449" t="str">
        <x:v>中国神华</x:v>
      </x:c>
      <x:c r="D449" t="str">
        <x:v>2025-12-31</x:v>
      </x:c>
      <x:c r="E449" t="str">
        <x:v>annual</x:v>
      </x:c>
      <x:c r="F449" t="str">
        <x:v>operating_cash_flow</x:v>
      </x:c>
      <x:c r="G449" t="n">
        <x:v>75059</x:v>
      </x:c>
      <x:c r="H449" t="str">
        <x:v>CNY</x:v>
      </x:c>
      <x:c r="I449" t="n">
        <x:v>20</x:v>
      </x:c>
      <x:c r="J449" t="str">
        <x:v>经营活动产生的现金流量净额</x:v>
      </x:c>
      <x:c r="K449" t="str">
        <x:v>candidate_pending_automated_verification</x:v>
      </x:c>
      <x:c r="L449" t="str">
        <x:v>https://static.cninfo.com.cn/finalpage/2026-03-31/1225064293.PDF</x:v>
      </x:c>
      <x:c r="M449" t="str">
        <x:v>7068df1231922b8a2fcfd0336d9ae6550dabf7c7edc152d680089df8cc126bd2</x:v>
      </x:c>
      <x:c r="N449" t="str">
        <x:v>
研发费用 2,854 2,740 4.2
财务费用 445 382 16.5
投资收益 4,155 4,872 (14.7)
资产减值损失 (191) (1,132) (83.1)
营业外支出 (3,122) 4,987 (162.6)
经营活动产生的现金流量净额 75,059 91,086 (17.6)
投资活动产生的现金流量净额 (21,794) (86,095) (74.7)
筹资活动产生的现金流量净额 (96,242) (48,590) 98.1
报告期本公司业务类型、利润构成或利润来源发生重大变动的详细说明：不适用
2. 收入和成本分析
(1) 驱动收入变化的因素
2025年本集团营业收入同比下降 13.2%，主要原因是</x:v>
      </x:c>
    </x:row>
    <x:row r="450">
      <x:c r="A450" t="str">
        <x:v>c8e1845c-76fa-400f-add9-305c6e498be1</x:v>
      </x:c>
      <x:c r="B450" t="str">
        <x:v>601088</x:v>
      </x:c>
      <x:c r="C450" t="str">
        <x:v>中国神华</x:v>
      </x:c>
      <x:c r="D450" t="str">
        <x:v>2025-12-31</x:v>
      </x:c>
      <x:c r="E450" t="str">
        <x:v>annual</x:v>
      </x:c>
      <x:c r="F450" t="str">
        <x:v>cash</x:v>
      </x:c>
      <x:c r="G450" t="n">
        <x:v>2025</x:v>
      </x:c>
      <x:c r="H450" t="str">
        <x:v>CNY</x:v>
      </x:c>
      <x:c r="I450" t="n">
        <x:v>210</x:v>
      </x:c>
      <x:c r="J450" t="str">
        <x:v>货币资金</x:v>
      </x:c>
      <x:c r="K450" t="str">
        <x:v>candidate_pending_automated_verification</x:v>
      </x:c>
      <x:c r="L450" t="str">
        <x:v>https://static.cninfo.com.cn/finalpage/2026-03-31/1225064293.PDF</x:v>
      </x:c>
      <x:c r="M450" t="str">
        <x:v>7068df1231922b8a2fcfd0336d9ae6550dabf7c7edc152d680089df8cc126bd2</x:v>
      </x:c>
      <x:c r="N450" t="str">
        <x:v>中国神华能源股份有限公司2025年度报告 
 210  
五、 合并财务报表项目注释 
1、 货币资金 
2025 年 
12 月31 日   
2024 年 
12 月31 日 
（已重述） 
银行存款：       
人民币 48,398   59,302 
美元 5,953   6,465 
港币 3   877 
澳元 245   227 
印尼卢比 926   716 
小计 55,525   67,587 
       </x:v>
      </x:c>
    </x:row>
    <x:row r="451">
      <x:c r="A451" t="str">
        <x:v>c45f2f33-4f63-45a3-b610-d9ce43c1ae29</x:v>
      </x:c>
      <x:c r="B451" t="str">
        <x:v>601088</x:v>
      </x:c>
      <x:c r="C451" t="str">
        <x:v>中国神华</x:v>
      </x:c>
      <x:c r="D451" t="str">
        <x:v>2025-12-31</x:v>
      </x:c>
      <x:c r="E451" t="str">
        <x:v>annual</x:v>
      </x:c>
      <x:c r="F451" t="str">
        <x:v>short_term_borrowings</x:v>
      </x:c>
      <x:c r="G451" t="n">
        <x:v>2025</x:v>
      </x:c>
      <x:c r="H451" t="str">
        <x:v>CNY</x:v>
      </x:c>
      <x:c r="I451" t="n">
        <x:v>229</x:v>
      </x:c>
      <x:c r="J451" t="str">
        <x:v>短期借款</x:v>
      </x:c>
      <x:c r="K451" t="str">
        <x:v>candidate_pending_automated_verification</x:v>
      </x:c>
      <x:c r="L451" t="str">
        <x:v>https://static.cninfo.com.cn/finalpage/2026-03-31/1225064293.PDF</x:v>
      </x:c>
      <x:c r="M451" t="str">
        <x:v>7068df1231922b8a2fcfd0336d9ae6550dabf7c7edc152d680089df8cc126bd2</x:v>
      </x:c>
      <x:c r="N451" t="str">
        <x:v>金的现值以实际利率进
行折现计算。 
注2： 于 2025 年 12 月 31 日，本集团其他非流动资产减值准备中所包含的商誉的减值准备金
额为人民币140 百万元(2024 年12 月31 日：人民币238 百万元)。 
17、 短期借款 
2025 年 
12 月31 日   
2024 年 
12 月31 日 
（已重述） 
信用借款 409   4,812 
短期借款年利率为从2.11%至2.85%(2024 年12 月31 日：1.85%至2.90%)。 
  </x:v>
      </x:c>
    </x:row>
    <x:row r="452">
      <x:c r="A452" t="str">
        <x:v>3ff86c7c-db85-4c25-b527-5a667f62f19e</x:v>
      </x:c>
      <x:c r="B452" t="str">
        <x:v>601088</x:v>
      </x:c>
      <x:c r="C452" t="str">
        <x:v>中国神华</x:v>
      </x:c>
      <x:c r="D452" t="str">
        <x:v>2025-12-31</x:v>
      </x:c>
      <x:c r="E452" t="str">
        <x:v>annual</x:v>
      </x:c>
      <x:c r="F452" t="str">
        <x:v>current_portion_long_term_debt</x:v>
      </x:c>
      <x:c r="G452" t="n">
        <x:v>2025</x:v>
      </x:c>
      <x:c r="H452" t="str">
        <x:v>CNY</x:v>
      </x:c>
      <x:c r="I452" t="n">
        <x:v>233</x:v>
      </x:c>
      <x:c r="J452" t="str">
        <x:v>一年内到期的非流动负债</x:v>
      </x:c>
      <x:c r="K452" t="str">
        <x:v>candidate_pending_automated_verification</x:v>
      </x:c>
      <x:c r="L452" t="str">
        <x:v>https://static.cninfo.com.cn/finalpage/2026-03-31/1225064293.PDF</x:v>
      </x:c>
      <x:c r="M452" t="str">
        <x:v>7068df1231922b8a2fcfd0336d9ae6550dabf7c7edc152d680089df8cc126bd2</x:v>
      </x:c>
      <x:c r="N452" t="str">
        <x:v>,222   3,629 
其他 5,587   6,247 
合计 12,948   17,219 
于2025 年12 月31 日，本集团除保证金外，无个别重大的账龄超过一年的其他应付款。 
24、 一年内到期的非流动负债 
2025 年 
12 月31 日   
2024 年 
12 月31 日 
（已重述） 
一年内到期的长期借款 (附注五、26) 6,223   9,209 
一年内到期的应付债券 (注) -   3,020 
一年内到期的预计负债 (附注五、28) 490   4,443 
一年内到期的长期应付款 (附注五、27) 2,345   1,457 
</x:v>
      </x:c>
    </x:row>
    <x:row r="453">
      <x:c r="A453" t="str">
        <x:v>a21ac654-29ca-4b35-95aa-0003cff28d17</x:v>
      </x:c>
      <x:c r="B453" t="str">
        <x:v>601088</x:v>
      </x:c>
      <x:c r="C453" t="str">
        <x:v>中国神华</x:v>
      </x:c>
      <x:c r="D453" t="str">
        <x:v>2025-12-31</x:v>
      </x:c>
      <x:c r="E453" t="str">
        <x:v>annual</x:v>
      </x:c>
      <x:c r="F453" t="str">
        <x:v>long_term_borrowings</x:v>
      </x:c>
      <x:c r="G453" t="n">
        <x:v>2025</x:v>
      </x:c>
      <x:c r="H453" t="str">
        <x:v>CNY</x:v>
      </x:c>
      <x:c r="I453" t="n">
        <x:v>234</x:v>
      </x:c>
      <x:c r="J453" t="str">
        <x:v>长期借款</x:v>
      </x:c>
      <x:c r="K453" t="str">
        <x:v>candidate_pending_automated_verification</x:v>
      </x:c>
      <x:c r="L453" t="str">
        <x:v>https://static.cninfo.com.cn/finalpage/2026-03-31/1225064293.PDF</x:v>
      </x:c>
      <x:c r="M453" t="str">
        <x:v>7068df1231922b8a2fcfd0336d9ae6550dabf7c7edc152d680089df8cc126bd2</x:v>
      </x:c>
      <x:c r="N453" t="str">
        <x:v>   
2024 年 
12 月31 日 
（已重述） 
未终止确认的应收保理款 3,055   2,810 
待转销项税 791   1,341 
合计 3,846   4,151 
26、 长期借款 
2025 年 
12 月31 日   
2024 年 
12 月31 日 
（已重述） 
信用借款 26,084   31,185 
保证借款 (注1) 3,523   3,738 
质押借款 (注2) 651   793 
抵押借款 4,233   5,175 
小计 34,491   40,891 
减：一年</x:v>
      </x:c>
    </x:row>
    <x:row r="454">
      <x:c r="A454" t="str">
        <x:v>3375aa8d-8a5b-473c-9d8a-293c4a8a29f4</x:v>
      </x:c>
      <x:c r="B454" t="str">
        <x:v>601088</x:v>
      </x:c>
      <x:c r="C454" t="str">
        <x:v>中国神华</x:v>
      </x:c>
      <x:c r="D454" t="str">
        <x:v>2025-12-31</x:v>
      </x:c>
      <x:c r="E454" t="str">
        <x:v>annual</x:v>
      </x:c>
      <x:c r="F454" t="str">
        <x:v>cash</x:v>
      </x:c>
      <x:c r="G454" t="n">
        <x:v>2025</x:v>
      </x:c>
      <x:c r="H454" t="str">
        <x:v>CNY</x:v>
      </x:c>
      <x:c r="I454" t="n">
        <x:v>250</x:v>
      </x:c>
      <x:c r="J454" t="str">
        <x:v>货币资金</x:v>
      </x:c>
      <x:c r="K454" t="str">
        <x:v>candidate_pending_automated_verification</x:v>
      </x:c>
      <x:c r="L454" t="str">
        <x:v>https://static.cninfo.com.cn/finalpage/2026-03-31/1225064293.PDF</x:v>
      </x:c>
      <x:c r="M454" t="str">
        <x:v>7068df1231922b8a2fcfd0336d9ae6550dabf7c7edc152d680089df8cc126bd2</x:v>
      </x:c>
      <x:c r="N454" t="str">
        <x:v>于本年收到的现金或现金等价物 181   50 
减：丧失控制权日子公司持有的现金及现金等价物 367   64 
本年处置子公司支付的现金净额 (186)   (14) 
(4) 不属于现金及现金等价物的货币资金 
2025 年 
12 月31 日   
2024 年 
12 月31 日 
（已重述） 
限制用途资金 17,637   14,280 
三个月以上定期存款 55,847   63,152 
合计 73,484   77,432 
48、 所有权或使用权受到限制的资产 
2025 年 
1</x:v>
      </x:c>
    </x:row>
    <x:row r="455">
      <x:c r="A455" t="str">
        <x:v>1c20732c-34d4-41eb-8081-2ca1e3cefed2</x:v>
      </x:c>
      <x:c r="B455" t="str">
        <x:v>601088</x:v>
      </x:c>
      <x:c r="C455" t="str">
        <x:v>中国神华</x:v>
      </x:c>
      <x:c r="D455" t="str">
        <x:v>2025-12-31</x:v>
      </x:c>
      <x:c r="E455" t="str">
        <x:v>annual</x:v>
      </x:c>
      <x:c r="F455" t="str">
        <x:v>cash</x:v>
      </x:c>
      <x:c r="G455" t="n">
        <x:v>1191</x:v>
      </x:c>
      <x:c r="H455" t="str">
        <x:v>CNY</x:v>
      </x:c>
      <x:c r="I455" t="n">
        <x:v>253</x:v>
      </x:c>
      <x:c r="J455" t="str">
        <x:v>货币资金</x:v>
      </x:c>
      <x:c r="K455" t="str">
        <x:v>candidate_pending_automated_verification</x:v>
      </x:c>
      <x:c r="L455" t="str">
        <x:v>https://static.cninfo.com.cn/finalpage/2026-03-31/1225064293.PDF</x:v>
      </x:c>
      <x:c r="M455" t="str">
        <x:v>7068df1231922b8a2fcfd0336d9ae6550dabf7c7edc152d680089df8cc126bd2</x:v>
      </x:c>
      <x:c r="N455" t="str">
        <x:v>诺净利润，国家能源集团将以现金方式将差额向本公司进行补偿。基于目前情况，公
司判断或有对价为零。 
(3) 合并日被合并方资产、负债的账面价值 
  杭锦能源 
  合并日   2024 年12 月31 日 
资产：       
货币资金 1,191   1,430 
应收账款 371   336 
预付款项 375   375 
其他应收款 68   65 
存货 180   184 
其他流动资产 56   61 
长期股权投资 2   2 
固定资产 4,637   4,671 
在建工程 1,190   1,146 
无形资产 1,881   1,887 
递延所得税资产 202   202 
</x:v>
      </x:c>
    </x:row>
    <x:row r="456">
      <x:c r="A456" t="str">
        <x:v>fea70b1b-e2ad-4a5c-8d32-4b8af3c31842</x:v>
      </x:c>
      <x:c r="B456" t="str">
        <x:v>601088</x:v>
      </x:c>
      <x:c r="C456" t="str">
        <x:v>中国神华</x:v>
      </x:c>
      <x:c r="D456" t="str">
        <x:v>2025-12-31</x:v>
      </x:c>
      <x:c r="E456" t="str">
        <x:v>annual</x:v>
      </x:c>
      <x:c r="F456" t="str">
        <x:v>short_term_borrowings</x:v>
      </x:c>
      <x:c r="G456" t="n">
        <x:v>3771</x:v>
      </x:c>
      <x:c r="H456" t="str">
        <x:v>CNY</x:v>
      </x:c>
      <x:c r="I456" t="n">
        <x:v>253</x:v>
      </x:c>
      <x:c r="J456" t="str">
        <x:v>短期借款</x:v>
      </x:c>
      <x:c r="K456" t="str">
        <x:v>candidate_pending_automated_verification</x:v>
      </x:c>
      <x:c r="L456" t="str">
        <x:v>https://static.cninfo.com.cn/finalpage/2026-03-31/1225064293.PDF</x:v>
      </x:c>
      <x:c r="M456" t="str">
        <x:v>7068df1231922b8a2fcfd0336d9ae6550dabf7c7edc152d680089df8cc126bd2</x:v>
      </x:c>
      <x:c r="N456" t="str">
        <x:v>期股权投资 2   2 
固定资产 4,637   4,671 
在建工程 1,190   1,146 
无形资产 1,881   1,887 
递延所得税资产 202   202 
其他非流动资产 32   32 
负债：       
短期借款 3,771   3,775 
应付账款 811   1,078 
预收款项 2   2 
合同负债 16   13 
应付职工薪酬 432   422 
应交税费 120   159 
其他应付款 852   787 
一年内到期的非流动负债 6,146   6,146 
其他流动负债 547   551 
长期借款 2,750   2,750 
租赁负债 107  </x:v>
      </x:c>
    </x:row>
    <x:row r="457">
      <x:c r="A457" t="str">
        <x:v>1d1e8cc7-542a-408a-9319-e115663ba756</x:v>
      </x:c>
      <x:c r="B457" t="str">
        <x:v>601088</x:v>
      </x:c>
      <x:c r="C457" t="str">
        <x:v>中国神华</x:v>
      </x:c>
      <x:c r="D457" t="str">
        <x:v>2025-12-31</x:v>
      </x:c>
      <x:c r="E457" t="str">
        <x:v>annual</x:v>
      </x:c>
      <x:c r="F457" t="str">
        <x:v>current_portion_long_term_debt</x:v>
      </x:c>
      <x:c r="G457" t="n">
        <x:v>6146</x:v>
      </x:c>
      <x:c r="H457" t="str">
        <x:v>CNY</x:v>
      </x:c>
      <x:c r="I457" t="n">
        <x:v>253</x:v>
      </x:c>
      <x:c r="J457" t="str">
        <x:v>一年内到期的非流动负债</x:v>
      </x:c>
      <x:c r="K457" t="str">
        <x:v>candidate_pending_automated_verification</x:v>
      </x:c>
      <x:c r="L457" t="str">
        <x:v>https://static.cninfo.com.cn/finalpage/2026-03-31/1225064293.PDF</x:v>
      </x:c>
      <x:c r="M457" t="str">
        <x:v>7068df1231922b8a2fcfd0336d9ae6550dabf7c7edc152d680089df8cc126bd2</x:v>
      </x:c>
      <x:c r="N457" t="str">
        <x:v>    
短期借款 3,771   3,775 
应付账款 811   1,078 
预收款项 2   2 
合同负债 16   13 
应付职工薪酬 432   422 
应交税费 120   159 
其他应付款 852   787 
一年内到期的非流动负债 6,146   6,146 
其他流动负债 547   551 
长期借款 2,750   2,750 
租赁负债 107   107 
长期应付款 1,653   1,651 
预计负债 257   257 
净资产 (7,279)   (7,307) 
减：少数股东权益 -   - 
取得的净资产 (7,279)   (7,307) 
    </x:v>
      </x:c>
    </x:row>
    <x:row r="458">
      <x:c r="A458" t="str">
        <x:v>c4ec349b-a6e0-4bed-9d8b-7189dab02141</x:v>
      </x:c>
      <x:c r="B458" t="str">
        <x:v>601088</x:v>
      </x:c>
      <x:c r="C458" t="str">
        <x:v>中国神华</x:v>
      </x:c>
      <x:c r="D458" t="str">
        <x:v>2025-12-31</x:v>
      </x:c>
      <x:c r="E458" t="str">
        <x:v>annual</x:v>
      </x:c>
      <x:c r="F458" t="str">
        <x:v>long_term_borrowings</x:v>
      </x:c>
      <x:c r="G458" t="n">
        <x:v>2750</x:v>
      </x:c>
      <x:c r="H458" t="str">
        <x:v>CNY</x:v>
      </x:c>
      <x:c r="I458" t="n">
        <x:v>253</x:v>
      </x:c>
      <x:c r="J458" t="str">
        <x:v>长期借款</x:v>
      </x:c>
      <x:c r="K458" t="str">
        <x:v>candidate_pending_automated_verification</x:v>
      </x:c>
      <x:c r="L458" t="str">
        <x:v>https://static.cninfo.com.cn/finalpage/2026-03-31/1225064293.PDF</x:v>
      </x:c>
      <x:c r="M458" t="str">
        <x:v>7068df1231922b8a2fcfd0336d9ae6550dabf7c7edc152d680089df8cc126bd2</x:v>
      </x:c>
      <x:c r="N458" t="str">
        <x:v>款项 2   2 
合同负债 16   13 
应付职工薪酬 432   422 
应交税费 120   159 
其他应付款 852   787 
一年内到期的非流动负债 6,146   6,146 
其他流动负债 547   551 
长期借款 2,750   2,750 
租赁负债 107   107 
长期应付款 1,653   1,651 
预计负债 257   257 
净资产 (7,279)   (7,307) 
减：少数股东权益 -   - 
取得的净资产 (7,279)   (7,307) 
    </x:v>
      </x:c>
    </x:row>
    <x:row r="459">
      <x:c r="A459" t="str">
        <x:v>0cea8901-eb6f-4e46-b443-e8b5618dba94</x:v>
      </x:c>
      <x:c r="B459" t="str">
        <x:v>601088</x:v>
      </x:c>
      <x:c r="C459" t="str">
        <x:v>中国神华</x:v>
      </x:c>
      <x:c r="D459" t="str">
        <x:v>2025-12-31</x:v>
      </x:c>
      <x:c r="E459" t="str">
        <x:v>annual</x:v>
      </x:c>
      <x:c r="F459" t="str">
        <x:v>bonds_payable</x:v>
      </x:c>
      <x:c r="G459" t="n">
        <x:v>3020</x:v>
      </x:c>
      <x:c r="H459" t="str">
        <x:v>CNY</x:v>
      </x:c>
      <x:c r="I459" t="n">
        <x:v>263</x:v>
      </x:c>
      <x:c r="J459" t="str">
        <x:v>应付债券</x:v>
      </x:c>
      <x:c r="K459" t="str">
        <x:v>candidate_pending_automated_verification</x:v>
      </x:c>
      <x:c r="L459" t="str">
        <x:v>https://static.cninfo.com.cn/finalpage/2026-03-31/1225064293.PDF</x:v>
      </x:c>
      <x:c r="M459" t="str">
        <x:v>7068df1231922b8a2fcfd0336d9ae6550dabf7c7edc152d680089df8cc126bd2</x:v>
      </x:c>
      <x:c r="N459" t="str">
        <x:v>-   17,219   17,219 
长期应付款 1,457   6,386   6,688   7,737   22,268   19,718 
租赁负债 462   232   523   757   1,974   1,523 
应付债券 3,020   -   -   -   3,020   3,020 
合计 75,590   13,056   13,048   33,560   135,254   126,144 
发出的财务担保：                       
最大的担保金额 18</x:v>
      </x:c>
    </x:row>
    <x:row r="460">
      <x:c r="A460" t="str">
        <x:v>426f1f12-82fb-4971-b5b3-e3b796cc1750</x:v>
      </x:c>
      <x:c r="B460" t="str">
        <x:v>601088</x:v>
      </x:c>
      <x:c r="C460" t="str">
        <x:v>中国神华</x:v>
      </x:c>
      <x:c r="D460" t="str">
        <x:v>2025-12-31</x:v>
      </x:c>
      <x:c r="E460" t="str">
        <x:v>annual</x:v>
      </x:c>
      <x:c r="F460" t="str">
        <x:v>cash</x:v>
      </x:c>
      <x:c r="G460" t="n">
        <x:v>41247</x:v>
      </x:c>
      <x:c r="H460" t="str">
        <x:v>CNY</x:v>
      </x:c>
      <x:c r="I460" t="n">
        <x:v>273</x:v>
      </x:c>
      <x:c r="J460" t="str">
        <x:v>货币资金</x:v>
      </x:c>
      <x:c r="K460" t="str">
        <x:v>candidate_pending_automated_verification</x:v>
      </x:c>
      <x:c r="L460" t="str">
        <x:v>https://static.cninfo.com.cn/finalpage/2026-03-31/1225064293.PDF</x:v>
      </x:c>
      <x:c r="M460" t="str">
        <x:v>7068df1231922b8a2fcfd0336d9ae6550dabf7c7edc152d680089df8cc126bd2</x:v>
      </x:c>
      <x:c r="N460" t="str">
        <x:v>5 年12 月31 日   2024 年12 月31 日 
  账面余额   坏账准备   账面余额   坏账准备   账面余额   坏账准备   账面余额   坏账准备 
货币资金 41,247   -   76,258   -   39,540   -   72,230   - 
应收票据 5,243    -   3,033   -   -   -   11   - 
应收账款 2,484    (267)   3,071   (267)   6,592   (262)   7,278   (262) 
预付款项 2,101   -   574</x:v>
      </x:c>
    </x:row>
    <x:row r="461">
      <x:c r="A461" t="str">
        <x:v>f1ca4155-48ba-4e48-80ee-d9e292b11227</x:v>
      </x:c>
      <x:c r="B461" t="str">
        <x:v>601088</x:v>
      </x:c>
      <x:c r="C461" t="str">
        <x:v>中国神华</x:v>
      </x:c>
      <x:c r="D461" t="str">
        <x:v>2025-12-31</x:v>
      </x:c>
      <x:c r="E461" t="str">
        <x:v>annual</x:v>
      </x:c>
      <x:c r="F461" t="str">
        <x:v>short_term_borrowings</x:v>
      </x:c>
      <x:c r="G461" t="n">
        <x:v>130</x:v>
      </x:c>
      <x:c r="H461" t="str">
        <x:v>CNY</x:v>
      </x:c>
      <x:c r="I461" t="n">
        <x:v>273</x:v>
      </x:c>
      <x:c r="J461" t="str">
        <x:v>短期借款</x:v>
      </x:c>
      <x:c r="K461" t="str">
        <x:v>candidate_pending_automated_verification</x:v>
      </x:c>
      <x:c r="L461" t="str">
        <x:v>https://static.cninfo.com.cn/finalpage/2026-03-31/1225064293.PDF</x:v>
      </x:c>
      <x:c r="M461" t="str">
        <x:v>7068df1231922b8a2fcfd0336d9ae6550dabf7c7edc152d680089df8cc126bd2</x:v>
      </x:c>
      <x:c r="N461" t="str">
        <x:v> 
  本集团   本公司 
2025 年 
12 月31 日   
2024 年 
12 月31 日 
（已重述）   
2025 年 
12 月31 日   
2024 年 
12 月31 日 
短期借款 130   5,318   -   - 
应付账款 6,329   3,010   7,155   2,075 
合同负债 575   1,065   11   6 
应付利息 12   16   -   1 
应付股利 1,386   -   -   - 
其他应付款 1,841   1,374   115,398   146,879 
其他流动负债 3,046</x:v>
      </x:c>
    </x:row>
    <x:row r="462">
      <x:c r="A462" t="str">
        <x:v>b1988652-a202-4d57-9c93-30022de64271</x:v>
      </x:c>
      <x:c r="B462" t="str">
        <x:v>601088</x:v>
      </x:c>
      <x:c r="C462" t="str">
        <x:v>中国神华</x:v>
      </x:c>
      <x:c r="D462" t="str">
        <x:v>2025-12-31</x:v>
      </x:c>
      <x:c r="E462" t="str">
        <x:v>annual</x:v>
      </x:c>
      <x:c r="F462" t="str">
        <x:v>long_term_borrowings</x:v>
      </x:c>
      <x:c r="G462" t="n">
        <x:v>9836</x:v>
      </x:c>
      <x:c r="H462" t="str">
        <x:v>CNY</x:v>
      </x:c>
      <x:c r="I462" t="n">
        <x:v>273</x:v>
      </x:c>
      <x:c r="J462" t="str">
        <x:v>长期借款</x:v>
      </x:c>
      <x:c r="K462" t="str">
        <x:v>candidate_pending_automated_verification</x:v>
      </x:c>
      <x:c r="L462" t="str">
        <x:v>https://static.cninfo.com.cn/finalpage/2026-03-31/1225064293.PDF</x:v>
      </x:c>
      <x:c r="M462" t="str">
        <x:v>7068df1231922b8a2fcfd0336d9ae6550dabf7c7edc152d680089df8cc126bd2</x:v>
      </x:c>
      <x:c r="N462" t="str">
        <x:v>  -   -   - 
其他应付款 1,841   1,374   115,398   146,879 
其他流动负债 3,046   2,810   -   - 
一年以内到期的非流动负债 3,127   6,816   -   - 
长期借款 9,836   13,119   -   702 
7、 本集团及本公司与关联方有关的关联交易协议 
(1) 本公司与国家能源集团为生产供应及辅助服务签订了一份产品和服务互供协议。根据该协议，
国家能源集团向本公司提供生产类、供应类产品及服务、辅助生产服务及行政管理服务。另一
方面，本公司向国家能源集团提供生产类、供应类产品及服务、铁路运输、信息技术</x:v>
      </x:c>
    </x:row>
    <x:row r="463">
      <x:c r="A463" t="str">
        <x:v>5e4bfc11-e072-4aa2-8807-ef82d77592d6</x:v>
      </x:c>
      <x:c r="B463" t="str">
        <x:v>601088</x:v>
      </x:c>
      <x:c r="C463" t="str">
        <x:v>中国神华</x:v>
      </x:c>
      <x:c r="D463" t="str">
        <x:v>2025-12-31</x:v>
      </x:c>
      <x:c r="E463" t="str">
        <x:v>annual</x:v>
      </x:c>
      <x:c r="F463" t="str">
        <x:v>cash</x:v>
      </x:c>
      <x:c r="G463" t="n">
        <x:v>2025</x:v>
      </x:c>
      <x:c r="H463" t="str">
        <x:v>CNY</x:v>
      </x:c>
      <x:c r="I463" t="n">
        <x:v>280</x:v>
      </x:c>
      <x:c r="J463" t="str">
        <x:v>货币资金</x:v>
      </x:c>
      <x:c r="K463" t="str">
        <x:v>candidate_pending_automated_verification</x:v>
      </x:c>
      <x:c r="L463" t="str">
        <x:v>https://static.cninfo.com.cn/finalpage/2026-03-31/1225064293.PDF</x:v>
      </x:c>
      <x:c r="M463" t="str">
        <x:v>7068df1231922b8a2fcfd0336d9ae6550dabf7c7edc152d680089df8cc126bd2</x:v>
      </x:c>
      <x:c r="N463" t="str">
        <x:v>保
持在合理的水平。于2025 年12 月31 日，本集团的资产负债率为23.3%(2024 年12 月31 日（已
重述）：25.7%)。 
本集团对于资本管理的方法与往年一致。 
十六、 母公司财务报表主要项目注释 
1、 货币资金 
2025 年 
12 月31 日   
2024 年 
12 月31 日 
银行存款：       
人民币 41,640   54,616 
美元 2,146   873 
港元 -*   1,412 
印尼卢比 21   2 
小计 43,807   56,903 
存放在财务公司的存款：       
人民币</x:v>
      </x:c>
    </x:row>
    <x:row r="464">
      <x:c r="A464" t="str">
        <x:v>aa5037ab-dfca-438f-ad8a-a69d6dd93db4</x:v>
      </x:c>
      <x:c r="B464" t="str">
        <x:v>601088</x:v>
      </x:c>
      <x:c r="C464" t="str">
        <x:v>中国神华</x:v>
      </x:c>
      <x:c r="D464" t="str">
        <x:v>2025-12-31</x:v>
      </x:c>
      <x:c r="E464" t="str">
        <x:v>annual</x:v>
      </x:c>
      <x:c r="F464" t="str">
        <x:v>current_portion_long_term_debt</x:v>
      </x:c>
      <x:c r="G464" t="n">
        <x:v>2025</x:v>
      </x:c>
      <x:c r="H464" t="str">
        <x:v>CNY</x:v>
      </x:c>
      <x:c r="I464" t="n">
        <x:v>293</x:v>
      </x:c>
      <x:c r="J464" t="str">
        <x:v>一年内到期的非流动负债</x:v>
      </x:c>
      <x:c r="K464" t="str">
        <x:v>candidate_pending_automated_verification</x:v>
      </x:c>
      <x:c r="L464" t="str">
        <x:v>https://static.cninfo.com.cn/finalpage/2026-03-31/1225064293.PDF</x:v>
      </x:c>
      <x:c r="M464" t="str">
        <x:v>7068df1231922b8a2fcfd0336d9ae6550dabf7c7edc152d680089df8cc126bd2</x:v>
      </x:c>
      <x:c r="N464" t="str">
        <x:v>存费用。本公司参加国家能源集团企业年金方案，
根据该等方案，本公司按上年度职工工资总额的一定比例每月向该等计划缴存费用。除上述每
月缴存费用外，本公司不再承担进一步支付义务。相应的支出于发生时计入当期损益或相关资
产的成本。 
16、 一年内到期的非流动负债 
2025 年 
12 月31 日   
2024 年 
12 月31 日 
一年内到期的长期借款 (附注十六、17) 86   848 
一年内到期的预计负债 44   3,173 
一年内到期的长期应付款 (附注十六、18) 1,196   628 
一年内到期的租赁负债 (附注十六、10) 132   160 
合计 1,45</x:v>
      </x:c>
    </x:row>
    <x:row r="465">
      <x:c r="A465" t="str">
        <x:v>e2046d30-03e7-49f1-acb7-0bc6497c7349</x:v>
      </x:c>
      <x:c r="B465" t="str">
        <x:v>601088</x:v>
      </x:c>
      <x:c r="C465" t="str">
        <x:v>中国神华</x:v>
      </x:c>
      <x:c r="D465" t="str">
        <x:v>2025-12-31</x:v>
      </x:c>
      <x:c r="E465" t="str">
        <x:v>annual</x:v>
      </x:c>
      <x:c r="F465" t="str">
        <x:v>long_term_borrowings</x:v>
      </x:c>
      <x:c r="G465" t="n">
        <x:v>2025</x:v>
      </x:c>
      <x:c r="H465" t="str">
        <x:v>CNY</x:v>
      </x:c>
      <x:c r="I465" t="n">
        <x:v>294</x:v>
      </x:c>
      <x:c r="J465" t="str">
        <x:v>长期借款</x:v>
      </x:c>
      <x:c r="K465" t="str">
        <x:v>candidate_pending_automated_verification</x:v>
      </x:c>
      <x:c r="L465" t="str">
        <x:v>https://static.cninfo.com.cn/finalpage/2026-03-31/1225064293.PDF</x:v>
      </x:c>
      <x:c r="M465" t="str">
        <x:v>7068df1231922b8a2fcfd0336d9ae6550dabf7c7edc152d680089df8cc126bd2</x:v>
      </x:c>
      <x:c r="N465" t="str">
        <x:v>中国神华能源股份有限公司2025年度报告 
 294  
17、 长期借款 
2025 年 
12 月31 日   
2024 年 
12 月31 日 
信用借款 236   1,092 
减：一年内到期部分 86   848 
合计 150   244 
上述借款年利率为从1.80%至2.30%(2024 年12 月31 日：1.80%至4.41%)。 
18、 长期应付款 
</x:v>
      </x:c>
    </x:row>
    <x:row r="466">
      <x:c r="A466" t="str">
        <x:v>ae0aa35b-a835-4701-90c2-f3b3aeadeaa3</x:v>
      </x:c>
      <x:c r="B466" t="str">
        <x:v>000333</x:v>
      </x:c>
      <x:c r="C466" t="str">
        <x:v>美的集团</x:v>
      </x:c>
      <x:c r="D466" t="str">
        <x:v>2025-12-31</x:v>
      </x:c>
      <x:c r="E466" t="str">
        <x:v>annual</x:v>
      </x:c>
      <x:c r="F466" t="str">
        <x:v>current_portion_long_term_debt</x:v>
      </x:c>
      <x:c r="G466" t="n">
        <x:v>2025</x:v>
      </x:c>
      <x:c r="H466" t="str">
        <x:v>CNY</x:v>
      </x:c>
      <x:c r="I466" t="n">
        <x:v>214</x:v>
      </x:c>
      <x:c r="J466" t="str">
        <x:v>一年内到期的非流动负债</x:v>
      </x:c>
      <x:c r="K466" t="str">
        <x:v>candidate_pending_automated_verification</x:v>
      </x:c>
      <x:c r="L466" t="str">
        <x:v>https://static.cninfo.com.cn/finalpage/2026-03-31/1225065145.PDF</x:v>
      </x:c>
      <x:c r="M466" t="str">
        <x:v>16f95f70527db59dcf2736f276a9479cf7ee917e5f71e4f6cbbe83acbad9f4b6</x:v>
      </x:c>
      <x:c r="N466" t="str">
        <x:v>账龄超过一年的其他应付款为940,693,000 元(2024
年 12 月 31 日：1,294,577,000 元)，主要为本公司执行股份激励方案相关的
应付款及应付押金保证金，因为相关项目尚未结束，该等款项尚未结清。 
(35) 一年内到期的非流动负债 
  2025 年 12 月31 日  2024 年 12 月31 日 
一年内到期的长期借款 
(附注四(37)) 4,426,471  38,540,625 
一年内到期的租赁负债 
(附注四(39)) 1,395,306  1,122,108 
  5,821,777  39,662,733 
(36) 其他流动负债 
  2025 年 </x:v>
      </x:c>
    </x:row>
    <x:row r="467">
      <x:c r="A467" t="str">
        <x:v>7af2bcf2-cef9-453e-b0ea-7aa1a1abd59d</x:v>
      </x:c>
      <x:c r="B467" t="str">
        <x:v>000333</x:v>
      </x:c>
      <x:c r="C467" t="str">
        <x:v>美的集团</x:v>
      </x:c>
      <x:c r="D467" t="str">
        <x:v>2025-12-31</x:v>
      </x:c>
      <x:c r="E467" t="str">
        <x:v>annual</x:v>
      </x:c>
      <x:c r="F467" t="str">
        <x:v>bonds_payable</x:v>
      </x:c>
      <x:c r="G467" t="n">
        <x:v>2024</x:v>
      </x:c>
      <x:c r="H467" t="str">
        <x:v>CNY</x:v>
      </x:c>
      <x:c r="I467" t="n">
        <x:v>216</x:v>
      </x:c>
      <x:c r="J467" t="str">
        <x:v>应付债券</x:v>
      </x:c>
      <x:c r="K467" t="str">
        <x:v>candidate_pending_automated_verification</x:v>
      </x:c>
      <x:c r="L467" t="str">
        <x:v>https://static.cninfo.com.cn/finalpage/2026-03-31/1225065145.PDF</x:v>
      </x:c>
      <x:c r="M467" t="str">
        <x:v>16f95f70527db59dcf2736f276a9479cf7ee917e5f71e4f6cbbe83acbad9f4b6</x:v>
      </x:c>
      <x:c r="N467" t="str">
        <x:v>美的集团股份有限公司 
2025 年度财务报表附注 
(除特别注明外，金额单位为人民币千元) 
215 
四 合并财务报表项目附注(续) 
(38) 应付债券 
2024 年 
12 月 31 日 
 按面值 
计提利息  溢折价摊销 
本年偿还  
外币报表 
折算差额 
 2025 年 
12 月 31 日 
 美元债券(a) 3,266,775  92,861  758  (92,897)  (72,723)  3,194,774 
(a) 债券有关信息如下： 
           </x:v>
      </x:c>
    </x:row>
    <x:row r="468">
      <x:c r="A468" t="str">
        <x:v>537ca5fb-3752-450f-a477-2145b5314946</x:v>
      </x:c>
      <x:c r="B468" t="str">
        <x:v>000333</x:v>
      </x:c>
      <x:c r="C468" t="str">
        <x:v>美的集团</x:v>
      </x:c>
      <x:c r="D468" t="str">
        <x:v>2025-12-31</x:v>
      </x:c>
      <x:c r="E468" t="str">
        <x:v>annual</x:v>
      </x:c>
      <x:c r="F468" t="str">
        <x:v>long_term_borrowings</x:v>
      </x:c>
      <x:c r="G468" t="n">
        <x:v>2025</x:v>
      </x:c>
      <x:c r="H468" t="str">
        <x:v>CNY</x:v>
      </x:c>
      <x:c r="I468" t="n">
        <x:v>214</x:v>
      </x:c>
      <x:c r="J468" t="str">
        <x:v>长期借款</x:v>
      </x:c>
      <x:c r="K468" t="str">
        <x:v>candidate_pending_automated_verification</x:v>
      </x:c>
      <x:c r="L468" t="str">
        <x:v>https://static.cninfo.com.cn/finalpage/2026-03-31/1225065145.PDF</x:v>
      </x:c>
      <x:c r="M468" t="str">
        <x:v>16f95f70527db59dcf2736f276a9479cf7ee917e5f71e4f6cbbe83acbad9f4b6</x:v>
      </x:c>
      <x:c r="N468" t="str">
        <x:v> 日  2024 年 12 月31 日 
 预提销售返利 52,952,866  55,539,161 
 其他 39,584,553  34,895,706 
  92,537,419  90,434,867 
(37) 长期借款 
  2025 年 12 月31 日  2024 年 12 月31 日 
 保证借款(a) 3,010,539  32,271,425 
 信用借款 13,922,101  16,599,600 
 质押、抵押借款 152,674  161,357 
  17,085,314  49,032,382 
 减：一年内到期的保证借款 (191,139)  (29,</x:v>
      </x:c>
    </x:row>
    <x:row r="469">
      <x:c r="A469" t="str">
        <x:v>a76b32c9-af38-46ce-837c-476c4ca38603</x:v>
      </x:c>
      <x:c r="B469" t="str">
        <x:v>000333</x:v>
      </x:c>
      <x:c r="C469" t="str">
        <x:v>美的集团</x:v>
      </x:c>
      <x:c r="D469" t="str">
        <x:v>2025-12-31</x:v>
      </x:c>
      <x:c r="E469" t="str">
        <x:v>annual</x:v>
      </x:c>
      <x:c r="F469" t="str">
        <x:v>short_term_borrowings</x:v>
      </x:c>
      <x:c r="G469" t="n">
        <x:v>2025</x:v>
      </x:c>
      <x:c r="H469" t="str">
        <x:v>CNY</x:v>
      </x:c>
      <x:c r="I469" t="n">
        <x:v>211</x:v>
      </x:c>
      <x:c r="J469" t="str">
        <x:v>短期借款</x:v>
      </x:c>
      <x:c r="K469" t="str">
        <x:v>candidate_pending_automated_verification</x:v>
      </x:c>
      <x:c r="L469" t="str">
        <x:v>https://static.cninfo.com.cn/finalpage/2026-03-31/1225065145.PDF</x:v>
      </x:c>
      <x:c r="M469" t="str">
        <x:v>16f95f70527db59dcf2736f276a9479cf7ee917e5f71e4f6cbbe83acbad9f4b6</x:v>
      </x:c>
      <x:c r="N469" t="str">
        <x:v>内到期的定期存款及存放同业款项、其他
货币资金及存放中央银行法定准备金。 
(c) 其他资产主要包括应收账款、应收票据、固定资产、投资性房地产、无形资
产及其他流动资产等，用于抵押或质押取得银行借款及开立银行承兑汇票。 
(27) 短期借款 
  2025 年 12 月31 日  2024 年 12 月31 日 
 信用借款 19,672,362  6,396,560 
 保证借款 4,735,689  7,708,400 
 质押、抵押借款(b) 19,496,499  16,903,589 
  43,904,550  31,008,549 
(a) 于 2025 年 12 月 31 日，</x:v>
      </x:c>
    </x:row>
    <x:row r="470">
      <x:c r="A470" t="str">
        <x:v>48f1a343-01a8-4ce2-a679-94855f0a8bfd</x:v>
      </x:c>
      <x:c r="B470" t="str">
        <x:v>000333</x:v>
      </x:c>
      <x:c r="C470" t="str">
        <x:v>美的集团</x:v>
      </x:c>
      <x:c r="D470" t="str">
        <x:v>2025-12-31</x:v>
      </x:c>
      <x:c r="E470" t="str">
        <x:v>annual</x:v>
      </x:c>
      <x:c r="F470" t="str">
        <x:v>cash</x:v>
      </x:c>
      <x:c r="G470" t="n">
        <x:v>2025</x:v>
      </x:c>
      <x:c r="H470" t="str">
        <x:v>CNY</x:v>
      </x:c>
      <x:c r="I470" t="n">
        <x:v>185</x:v>
      </x:c>
      <x:c r="J470" t="str">
        <x:v>货币资金</x:v>
      </x:c>
      <x:c r="K470" t="str">
        <x:v>candidate_pending_automated_verification</x:v>
      </x:c>
      <x:c r="L470" t="str">
        <x:v>https://static.cninfo.com.cn/finalpage/2026-03-31/1225065145.PDF</x:v>
      </x:c>
      <x:c r="M470" t="str">
        <x:v>16f95f70527db59dcf2736f276a9479cf7ee917e5f71e4f6cbbe83acbad9f4b6</x:v>
      </x:c>
      <x:c r="N470" t="str">
        <x:v>美的集团股份有限公司 
2025 年度财务报表附注 
(除特别注明外，金额单位为人民币千元) 
184 
四 合并财务报表项目附注 
(1) 货币资金 
  2025 年 12 月31 日  2024 年 12 月31 日 
 库存现金 1,264  1,886 
 银行存款(a) 37,562,392  74,000,253 
 其他货币资金(b) 4,213,878  3,889,921 
 存放中央银行法定准备金(c) 751,376  2,460,330 
 存放中央银行超额准备金(d) 72,751</x:v>
      </x:c>
    </x:row>
    <x:row r="471">
      <x:c r="A471" t="str">
        <x:v>8dadde84-a8de-473d-b4bf-1b482a0047a2</x:v>
      </x:c>
      <x:c r="B471" t="str">
        <x:v>600519</x:v>
      </x:c>
      <x:c r="C471" t="str">
        <x:v>贵州茅台</x:v>
      </x:c>
      <x:c r="D471" t="str">
        <x:v>2025-12-31</x:v>
      </x:c>
      <x:c r="E471" t="str">
        <x:v>annual</x:v>
      </x:c>
      <x:c r="F471" t="str">
        <x:v>net_income</x:v>
      </x:c>
      <x:c r="G471" t="n">
        <x:v>82320067101.68</x:v>
      </x:c>
      <x:c r="H471" t="str">
        <x:v>reported_amount</x:v>
      </x:c>
      <x:c r="I471" t="n">
        <x:v>6</x:v>
      </x:c>
      <x:c r="J471" t="str">
        <x:v>归属于上市公司股东的净利润</x:v>
      </x:c>
      <x:c r="K471" t="str">
        <x:v>candidate_pending_automated_verification</x:v>
      </x:c>
      <x:c r="L471" t="str">
        <x:v>https://static.cninfo.com.cn/finalpage/2026-04-17/1225114741.PDF</x:v>
      </x:c>
      <x:c r="M471" t="str">
        <x:v>474905deeaf0f875fc0a1b097a626c0c7852c427faadc5d7fc7816cbf45ea288</x:v>
      </x:c>
      <x:c r="N471" t="str">
        <x:v>,514.79 170,899,152,276.34 -1.21 147,693,604,994.14
利润总额 114,755,261,605.08 119,638,578,194.46 -4.08 103,662,553,689.81
归属于上市公司股东的净利润 82,320,067,101.68 86,228,146,421.62 -4.53 74,734,071,550.75
归属于上市公司股东的扣除非
经常性损益的净利润 82,293,107,655.25 86,240,905,977.42 -4.58 74,752,564,425.52
经营活动产生的现金流量净额 61,522,204,989.35 92,463,692,168.43 -33</x:v>
      </x:c>
    </x:row>
    <x:row r="472">
      <x:c r="A472" t="str">
        <x:v>fe6fed68-9564-4398-8e03-c564e5d49394</x:v>
      </x:c>
      <x:c r="B472" t="str">
        <x:v>600519</x:v>
      </x:c>
      <x:c r="C472" t="str">
        <x:v>贵州茅台</x:v>
      </x:c>
      <x:c r="D472" t="str">
        <x:v>2025-12-31</x:v>
      </x:c>
      <x:c r="E472" t="str">
        <x:v>annual</x:v>
      </x:c>
      <x:c r="F472" t="str">
        <x:v>cash</x:v>
      </x:c>
      <x:c r="G472" t="n">
        <x:v>51690610946.5</x:v>
      </x:c>
      <x:c r="H472" t="str">
        <x:v>CNY</x:v>
      </x:c>
      <x:c r="I472" t="n">
        <x:v>56</x:v>
      </x:c>
      <x:c r="J472" t="str">
        <x:v>货币资金</x:v>
      </x:c>
      <x:c r="K472" t="str">
        <x:v>candidate_pending_automated_verification</x:v>
      </x:c>
      <x:c r="L472" t="str">
        <x:v>https://static.cninfo.com.cn/finalpage/2026-04-17/1225114741.PDF</x:v>
      </x:c>
      <x:c r="M472" t="str">
        <x:v>474905deeaf0f875fc0a1b097a626c0c7852c427faadc5d7fc7816cbf45ea288</x:v>
      </x:c>
      <x:c r="N472" t="str">
        <x:v>志
二〇二六年四月十五日
二、财务报表
合并资产负债表
2025 年 12 月 31 日
编制单位：贵州茅台酒股份有限公司
单位：元 币种：人民币
项目 附注 2025 年 12 月 31 日 2024 年 12 月 31 日
流动资产：
货币资金 1 51,690,610,946.50 59,295,822,956.89
结算备付金
拆出资金 2 99,096,188,059.75 127,187,293,298.17
交易性金融资产 3 248,513,280.00</x:v>
      </x:c>
    </x:row>
    <x:row r="473">
      <x:c r="A473" t="str">
        <x:v>d52acb9f-bdce-4835-8665-03d99a3e7da1</x:v>
      </x:c>
      <x:c r="B473" t="str">
        <x:v>600519</x:v>
      </x:c>
      <x:c r="C473" t="str">
        <x:v>贵州茅台</x:v>
      </x:c>
      <x:c r="D473" t="str">
        <x:v>2025-12-31</x:v>
      </x:c>
      <x:c r="E473" t="str">
        <x:v>annual</x:v>
      </x:c>
      <x:c r="F473" t="str">
        <x:v>operating_cash_flow</x:v>
      </x:c>
      <x:c r="G473" t="n">
        <x:v>61522204989.35</x:v>
      </x:c>
      <x:c r="H473" t="str">
        <x:v>reported_amount</x:v>
      </x:c>
      <x:c r="I473" t="n">
        <x:v>6</x:v>
      </x:c>
      <x:c r="J473" t="str">
        <x:v>经营活动产生的现金流量净额</x:v>
      </x:c>
      <x:c r="K473" t="str">
        <x:v>candidate_pending_automated_verification</x:v>
      </x:c>
      <x:c r="L473" t="str">
        <x:v>https://static.cninfo.com.cn/finalpage/2026-04-17/1225114741.PDF</x:v>
      </x:c>
      <x:c r="M473" t="str">
        <x:v>474905deeaf0f875fc0a1b097a626c0c7852c427faadc5d7fc7816cbf45ea288</x:v>
      </x:c>
      <x:c r="N473" t="str">
        <x:v>,146,421.62 -4.53 74,734,071,550.75
归属于上市公司股东的扣除非
经常性损益的净利润 82,293,107,655.25 86,240,905,977.42 -4.58 74,752,564,425.52
经营活动产生的现金流量净额 61,522,204,989.35 92,463,692,168.43 -33.46 66,593,247,721.09
2025年末 2024年末
本期末
比上年
同期末
增减（%
）
2023年末
归属于上市公司股东的净资产 244,637,811,032.18 233,105,984,399.47 4.95 215,668,571,607.43
总资产 303,834,844,021.</x:v>
      </x:c>
    </x:row>
    <x:row r="474">
      <x:c r="A474" t="str">
        <x:v>68049ddc-cadb-4e05-a9b6-587d0e887852</x:v>
      </x:c>
      <x:c r="B474" t="str">
        <x:v>600519</x:v>
      </x:c>
      <x:c r="C474" t="str">
        <x:v>贵州茅台</x:v>
      </x:c>
      <x:c r="D474" t="str">
        <x:v>2025-12-31</x:v>
      </x:c>
      <x:c r="E474" t="str">
        <x:v>annual</x:v>
      </x:c>
      <x:c r="F474" t="str">
        <x:v>current_portion_long_term_debt</x:v>
      </x:c>
      <x:c r="G474" t="n">
        <x:v>44206237.05</x:v>
      </x:c>
      <x:c r="H474" t="str">
        <x:v>CNY</x:v>
      </x:c>
      <x:c r="I474" t="n">
        <x:v>58</x:v>
      </x:c>
      <x:c r="J474" t="str">
        <x:v>一年内到期的非流动负债</x:v>
      </x:c>
      <x:c r="K474" t="str">
        <x:v>candidate_pending_automated_verification</x:v>
      </x:c>
      <x:c r="L474" t="str">
        <x:v>https://static.cninfo.com.cn/finalpage/2026-04-17/1225114741.PDF</x:v>
      </x:c>
      <x:c r="M474" t="str">
        <x:v>474905deeaf0f875fc0a1b097a626c0c7852c427faadc5d7fc7816cbf45ea288</x:v>
      </x:c>
      <x:c r="N474" t="str">
        <x:v>交税费 32 7,697,169,830.69 7,717,686,541.38
其他应付款 33 5,298,261,266.22 5,429,006,700.86
其中：应付利息
应付股利
应付手续费及佣金
应付分保账款
持有待售负债
一年内到期的非流动负债 34 44,206,237.05 111,951,112.20
其他流动负债 35 994,959,710.24 1,222,693,799.51
流动负债合计 49,610,476,817.81 56,515,990,618.96
非流动负债：
保险合同准备金
长期借款
应付债券
其中：优先股
永续债
租赁负债 36 189,504,942.77 313,906,415.76
长期应付款</x:v>
      </x:c>
    </x:row>
    <x:row r="475">
      <x:c r="A475" t="str">
        <x:v>685e2ffd-d6dc-40f7-a6bb-8e7452e34f20</x:v>
      </x:c>
      <x:c r="B475" t="str">
        <x:v>600519</x:v>
      </x:c>
      <x:c r="C475" t="str">
        <x:v>贵州茅台</x:v>
      </x:c>
      <x:c r="D475" t="str">
        <x:v>2025-12-31</x:v>
      </x:c>
      <x:c r="E475" t="str">
        <x:v>annual</x:v>
      </x:c>
      <x:c r="F475" t="str">
        <x:v>revenue</x:v>
      </x:c>
      <x:c r="G475" t="n">
        <x:v>168838102514.79</x:v>
      </x:c>
      <x:c r="H475" t="str">
        <x:v>reported_amount</x:v>
      </x:c>
      <x:c r="I475" t="n">
        <x:v>6</x:v>
      </x:c>
      <x:c r="J475" t="str">
        <x:v>营业收入</x:v>
      </x:c>
      <x:c r="K475" t="str">
        <x:v>candidate_pending_automated_verification</x:v>
      </x:c>
      <x:c r="L475" t="str">
        <x:v>https://static.cninfo.com.cn/finalpage/2026-04-17/1225114741.PDF</x:v>
      </x:c>
      <x:c r="M475" t="str">
        <x:v>474905deeaf0f875fc0a1b097a626c0c7852c427faadc5d7fc7816cbf45ea288</x:v>
      </x:c>
      <x:c r="N475" t="str">
        <x:v>州市西湖区灵隐街道西溪路 128 号
签字会计师姓名 李青龙 梁正勇 曾志
七、 近三年主要会计数据和财务指标
(一) 主要会计数据
单位：元 币种：人民币
主要会计数据 2025年 2024年
本期比
上年同
期增减
(%)
2023年
营业收入 168,838,102,514.79 170,899,152,276.34 -1.21 147,693,604,994.14
利润总额 114,755,261,605.08 119,638,578,194.46 -4.08 103,662,553,689.81
归属于上市公司股东的净利润 82,320,067,101.68 86,228,146,421.62 -4.53 74,734,071,</x:v>
      </x:c>
    </x:row>
    <x:row r="476">
      <x:c r="A476" t="str">
        <x:v>190f4061-24d8-4921-b649-742bca1caf48</x:v>
      </x:c>
      <x:c r="B476" t="str">
        <x:v>600926</x:v>
      </x:c>
      <x:c r="C476" t="str">
        <x:v>杭州银行</x:v>
      </x:c>
      <x:c r="D476" t="str">
        <x:v>2025-12-31</x:v>
      </x:c>
      <x:c r="E476" t="str">
        <x:v>annual</x:v>
      </x:c>
      <x:c r="F476" t="str">
        <x:v>operating_cash_flow</x:v>
      </x:c>
      <x:c r="G476" t="n">
        <x:v>159340863</x:v>
      </x:c>
      <x:c r="H476" t="str">
        <x:v>CNY</x:v>
      </x:c>
      <x:c r="I476" t="n">
        <x:v>123</x:v>
      </x:c>
      <x:c r="J476" t="str">
        <x:v>经营活动产生的现金流量净额</x:v>
      </x:c>
      <x:c r="K476" t="str">
        <x:v>candidate_pending_automated_verification</x:v>
      </x:c>
      <x:c r="L476" t="str">
        <x:v>https://static.cninfo.com.cn/finalpage/2026-04-23/1225157162.PDF</x:v>
      </x:c>
      <x:c r="M476" t="str">
        <x:v>8969c2e4b35d820cb1ee90b2cd6b5a5625a4c1226bf3e092d69eceba8d72849b</x:v>
      </x:c>
      <x:c r="N476" t="str">
        <x:v>,562  6,395,995  4,652,813  
 经营活动现金流出小计  236,458,177  241,764,149  234,040,864  239,232,297  
 经营活动产生的现金流量净额 40 159,340,863  65,826,716  146,964,657  63,400,881  
二、 投资活动使用的现金流量：          
 收回投资收到的现金  1,132,349,113  668,320,825  1,139,339,443  665,633,855  
 取得投资收益收到的现金  34,693,</x:v>
      </x:c>
    </x:row>
    <x:row r="477">
      <x:c r="A477" t="str">
        <x:v>d1a974b3-083b-4159-8c6c-67f480064350</x:v>
      </x:c>
      <x:c r="B477" t="str">
        <x:v>600926</x:v>
      </x:c>
      <x:c r="C477" t="str">
        <x:v>杭州银行</x:v>
      </x:c>
      <x:c r="D477" t="str">
        <x:v>2025-12-31</x:v>
      </x:c>
      <x:c r="E477" t="str">
        <x:v>annual</x:v>
      </x:c>
      <x:c r="F477" t="str">
        <x:v>bonds_payable</x:v>
      </x:c>
      <x:c r="G477" t="n">
        <x:v>2025</x:v>
      </x:c>
      <x:c r="H477" t="str">
        <x:v>CNY</x:v>
      </x:c>
      <x:c r="I477" t="n">
        <x:v>272</x:v>
      </x:c>
      <x:c r="J477" t="str">
        <x:v>应付债券</x:v>
      </x:c>
      <x:c r="K477" t="str">
        <x:v>candidate_pending_automated_verification</x:v>
      </x:c>
      <x:c r="L477" t="str">
        <x:v>https://static.cninfo.com.cn/finalpage/2026-04-23/1225157162.PDF</x:v>
      </x:c>
      <x:c r="M477" t="str">
        <x:v>8969c2e4b35d820cb1ee90b2cd6b5a5625a4c1226bf3e092d69eceba8d72849b</x:v>
      </x:c>
      <x:c r="N477" t="str">
        <x:v> 
杭州银行股份有限公司 
财务报表附注（续） 
2025 年度 人民币千元 
168 
十、 关联方关系及其交易（续） 
(二) 关联方交易（续） 
11. 应付债券 
 2025 年 
12月31日 
 2024 年 
12月31日 
其他主要关联方-关键管理人员有重大
影响的企业(不含主要股东) -  6,862,425 
联营企业 -  9,983 
合计 -  6,872,408 
 2025年度  2024年度 
应付债券利息支出 5,594  87,593 
12. 手续费及佣金收入 </x:v>
      </x:c>
    </x:row>
    <x:row r="478">
      <x:c r="A478" t="str">
        <x:v>bafa6bae-0833-4219-8e06-ec28867feefe</x:v>
      </x:c>
      <x:c r="B478" t="str">
        <x:v>600926</x:v>
      </x:c>
      <x:c r="C478" t="str">
        <x:v>杭州银行</x:v>
      </x:c>
      <x:c r="D478" t="str">
        <x:v>2025-12-31</x:v>
      </x:c>
      <x:c r="E478" t="str">
        <x:v>annual</x:v>
      </x:c>
      <x:c r="F478" t="str">
        <x:v>bonds_payable</x:v>
      </x:c>
      <x:c r="G478" t="n">
        <x:v>355484517</x:v>
      </x:c>
      <x:c r="H478" t="str">
        <x:v>CNY</x:v>
      </x:c>
      <x:c r="I478" t="n">
        <x:v>261</x:v>
      </x:c>
      <x:c r="J478" t="str">
        <x:v>应付债券</x:v>
      </x:c>
      <x:c r="K478" t="str">
        <x:v>candidate_pending_automated_verification</x:v>
      </x:c>
      <x:c r="L478" t="str">
        <x:v>https://static.cninfo.com.cn/finalpage/2026-04-23/1225157162.PDF</x:v>
      </x:c>
      <x:c r="M478" t="str">
        <x:v>8969c2e4b35d820cb1ee90b2cd6b5a5625a4c1226bf3e092d69eceba8d72849b</x:v>
      </x:c>
      <x:c r="N478" t="str">
        <x:v>        
金融资产：           
金融投资—债权投资  444,071,811  -  422,301,162  51,015,566  473,316,728 
金融负债：           
应付债券  355,484,517  -  355,923,723  -  355,923,723 
  2024年12月31日 
  账面价值  公允价值 
    第一层次  第二层次  第三层次  合计 
金融资产：           
金融投资—债权投资  485,578,624  -  471,381,905  62,425,9</x:v>
      </x:c>
    </x:row>
    <x:row r="479">
      <x:c r="A479" t="str">
        <x:v>7205646e-65a6-4ce4-a4e6-364bd4ae7d40</x:v>
      </x:c>
      <x:c r="B479" t="str">
        <x:v>600926</x:v>
      </x:c>
      <x:c r="C479" t="str">
        <x:v>杭州银行</x:v>
      </x:c>
      <x:c r="D479" t="str">
        <x:v>2025-12-31</x:v>
      </x:c>
      <x:c r="E479" t="str">
        <x:v>annual</x:v>
      </x:c>
      <x:c r="F479" t="str">
        <x:v>bonds_payable</x:v>
      </x:c>
      <x:c r="G479" t="n">
        <x:v>330809865</x:v>
      </x:c>
      <x:c r="H479" t="str">
        <x:v>CNY</x:v>
      </x:c>
      <x:c r="I479" t="n">
        <x:v>258</x:v>
      </x:c>
      <x:c r="J479" t="str">
        <x:v>应付债券</x:v>
      </x:c>
      <x:c r="K479" t="str">
        <x:v>candidate_pending_automated_verification</x:v>
      </x:c>
      <x:c r="L479" t="str">
        <x:v>https://static.cninfo.com.cn/finalpage/2026-04-23/1225157162.PDF</x:v>
      </x:c>
      <x:c r="M479" t="str">
        <x:v>8969c2e4b35d820cb1ee90b2cd6b5a5625a4c1226bf3e092d69eceba8d72849b</x:v>
      </x:c>
      <x:c r="N479" t="str">
        <x:v>,682  264,456,536 
吸收存款  1,234,760,385  50,522,354  4,232,443  1,289,515,182 
衍生金融负债  6,203,752  305,267  -  6,509,019 
应付债券  330,809,865  -  -  330,809,865 
其他负债  5,244,448  110,789  127  5,355,364 
负债合计  1,897,326,728  56,676,367  4,240,252  1,958,243,347 
资产负债表头寸净额  138,967,720  (11,397,959)  </x:v>
      </x:c>
    </x:row>
    <x:row r="480">
      <x:c r="A480" t="str">
        <x:v>d1f3ed84-c86f-4da1-b11b-4e1fa404cd44</x:v>
      </x:c>
      <x:c r="B480" t="str">
        <x:v>600926</x:v>
      </x:c>
      <x:c r="C480" t="str">
        <x:v>杭州银行</x:v>
      </x:c>
      <x:c r="D480" t="str">
        <x:v>2025-12-31</x:v>
      </x:c>
      <x:c r="E480" t="str">
        <x:v>annual</x:v>
      </x:c>
      <x:c r="F480" t="str">
        <x:v>bonds_payable</x:v>
      </x:c>
      <x:c r="G480" t="n">
        <x:v>355484517</x:v>
      </x:c>
      <x:c r="H480" t="str">
        <x:v>CNY</x:v>
      </x:c>
      <x:c r="I480" t="n">
        <x:v>257</x:v>
      </x:c>
      <x:c r="J480" t="str">
        <x:v>应付债券</x:v>
      </x:c>
      <x:c r="K480" t="str">
        <x:v>candidate_pending_automated_verification</x:v>
      </x:c>
      <x:c r="L480" t="str">
        <x:v>https://static.cninfo.com.cn/finalpage/2026-04-23/1225157162.PDF</x:v>
      </x:c>
      <x:c r="M480" t="str">
        <x:v>8969c2e4b35d820cb1ee90b2cd6b5a5625a4c1226bf3e092d69eceba8d72849b</x:v>
      </x:c>
      <x:c r="N480" t="str">
        <x:v> 259,854,079 
吸收存款  1,402,536,484  46,616,619  9,846,269  1,458,999,372 
衍生金融负债  2,274,150  252,992  24,397  2,551,539 
应付债券  355,484,517  -  -  355,484,517 
其他负债  5,885,005  659  142  5,885,806 
负债合计  2,124,134,148  47,245,657  9,870,808  2,181,250,613 
资产负债表头寸净额  157,981,459  (2,670,253)  (6,26</x:v>
      </x:c>
    </x:row>
    <x:row r="481">
      <x:c r="A481" t="str">
        <x:v>7362db3e-bed9-4cfb-b10f-a2d178fd7831</x:v>
      </x:c>
      <x:c r="B481" t="str">
        <x:v>600926</x:v>
      </x:c>
      <x:c r="C481" t="str">
        <x:v>杭州银行</x:v>
      </x:c>
      <x:c r="D481" t="str">
        <x:v>2025-12-31</x:v>
      </x:c>
      <x:c r="E481" t="str">
        <x:v>annual</x:v>
      </x:c>
      <x:c r="F481" t="str">
        <x:v>bonds_payable</x:v>
      </x:c>
      <x:c r="G481" t="n">
        <x:v>5894450</x:v>
      </x:c>
      <x:c r="H481" t="str">
        <x:v>CNY</x:v>
      </x:c>
      <x:c r="I481" t="n">
        <x:v>254</x:v>
      </x:c>
      <x:c r="J481" t="str">
        <x:v>应付债券</x:v>
      </x:c>
      <x:c r="K481" t="str">
        <x:v>candidate_pending_automated_verification</x:v>
      </x:c>
      <x:c r="L481" t="str">
        <x:v>https://static.cninfo.com.cn/finalpage/2026-04-23/1225157162.PDF</x:v>
      </x:c>
      <x:c r="M481" t="str">
        <x:v>8969c2e4b35d820cb1ee90b2cd6b5a5625a4c1226bf3e092d69eceba8d72849b</x:v>
      </x:c>
      <x:c r="N481" t="str">
        <x:v>  112,040,092  291,924,709  254,411,779  76,550  16,963,894  1,289,515,182 
衍生金融负债 -  -  -  -  -  6,509,019  6,509,019 
应付债券 5,894,450  52,940,817  207,109,216  43,823,501  19,995,319  1,046,562  330,809,865 
其他负债 -  973  5,421  776,471  1,148,911  3,423,588  5,355,364 
负债合计 771,467,432  178,307,10</x:v>
      </x:c>
    </x:row>
    <x:row r="482">
      <x:c r="A482" t="str">
        <x:v>03c9808f-2a05-45fd-a7c1-d3478b7a75ec</x:v>
      </x:c>
      <x:c r="B482" t="str">
        <x:v>600926</x:v>
      </x:c>
      <x:c r="C482" t="str">
        <x:v>杭州银行</x:v>
      </x:c>
      <x:c r="D482" t="str">
        <x:v>2025-12-31</x:v>
      </x:c>
      <x:c r="E482" t="str">
        <x:v>annual</x:v>
      </x:c>
      <x:c r="F482" t="str">
        <x:v>bonds_payable</x:v>
      </x:c>
      <x:c r="G482" t="n">
        <x:v>41700062</x:v>
      </x:c>
      <x:c r="H482" t="str">
        <x:v>CNY</x:v>
      </x:c>
      <x:c r="I482" t="n">
        <x:v>253</x:v>
      </x:c>
      <x:c r="J482" t="str">
        <x:v>应付债券</x:v>
      </x:c>
      <x:c r="K482" t="str">
        <x:v>candidate_pending_automated_verification</x:v>
      </x:c>
      <x:c r="L482" t="str">
        <x:v>https://static.cninfo.com.cn/finalpage/2026-04-23/1225157162.PDF</x:v>
      </x:c>
      <x:c r="M482" t="str">
        <x:v>8969c2e4b35d820cb1ee90b2cd6b5a5625a4c1226bf3e092d69eceba8d72849b</x:v>
      </x:c>
      <x:c r="N482" t="str">
        <x:v> 131,646,925  341,158,233  277,606,337  104,171  18,420,795  1,458,999,372 
衍生金融负债 -  -  -  -  -  2,551,539  2,551,539 
应付债券 41,700,062  66,742,292  171,174,923  54,992,314  19,995,189  879,737  355,484,517 
其他负债 -  -  15,243  683,192  1,539,040  3,648,331  5,885,806 
负债合计 875,945,862  236,997,808  </x:v>
      </x:c>
    </x:row>
    <x:row r="483">
      <x:c r="A483" t="str">
        <x:v>3e3aa586-953b-461b-9336-e734a9060c90</x:v>
      </x:c>
      <x:c r="B483" t="str">
        <x:v>600926</x:v>
      </x:c>
      <x:c r="C483" t="str">
        <x:v>杭州银行</x:v>
      </x:c>
      <x:c r="D483" t="str">
        <x:v>2025-12-31</x:v>
      </x:c>
      <x:c r="E483" t="str">
        <x:v>annual</x:v>
      </x:c>
      <x:c r="F483" t="str">
        <x:v>operating_cash_flow</x:v>
      </x:c>
      <x:c r="G483" t="n">
        <x:v>159340863</x:v>
      </x:c>
      <x:c r="H483" t="str">
        <x:v>CNY</x:v>
      </x:c>
      <x:c r="I483" t="n">
        <x:v>220</x:v>
      </x:c>
      <x:c r="J483" t="str">
        <x:v>经营活动产生的现金流量净额</x:v>
      </x:c>
      <x:c r="K483" t="str">
        <x:v>candidate_pending_automated_verification</x:v>
      </x:c>
      <x:c r="L483" t="str">
        <x:v>https://static.cninfo.com.cn/finalpage/2026-04-23/1225157162.PDF</x:v>
      </x:c>
      <x:c r="M483" t="str">
        <x:v>8969c2e4b35d820cb1ee90b2cd6b5a5625a4c1226bf3e092d69eceba8d72849b</x:v>
      </x:c>
      <x:c r="N483" t="str">
        <x:v> (122,378,778)  (59,814,344)  (121,760,772)  
经营性应付项目的增加 201,918,584  184,043,575  204,310,795  181,866,159  
经营活动产生的现金流量净额 159,340,863  65,826,716  146,964,657  63,400,881  
2025年度，本集团无不涉及现金收支的重大投资和筹资活动（2024年度：无）。 
41. 受托业务 
 本集团及本银行  
 2025年12月31日  2024年12月31日  
委托贷款 49,944,395  53,859,699  
委托存款 (49</x:v>
      </x:c>
    </x:row>
    <x:row r="484">
      <x:c r="A484" t="str">
        <x:v>edc09e8f-6b4f-4c62-a109-1082459bedb5</x:v>
      </x:c>
      <x:c r="B484" t="str">
        <x:v>600926</x:v>
      </x:c>
      <x:c r="C484" t="str">
        <x:v>杭州银行</x:v>
      </x:c>
      <x:c r="D484" t="str">
        <x:v>2025-12-31</x:v>
      </x:c>
      <x:c r="E484" t="str">
        <x:v>annual</x:v>
      </x:c>
      <x:c r="F484" t="str">
        <x:v>bonds_payable</x:v>
      </x:c>
      <x:c r="G484" t="n">
        <x:v>355484517</x:v>
      </x:c>
      <x:c r="H484" t="str">
        <x:v>CNY</x:v>
      </x:c>
      <x:c r="I484" t="n">
        <x:v>116</x:v>
      </x:c>
      <x:c r="J484" t="str">
        <x:v>应付债券</x:v>
      </x:c>
      <x:c r="K484" t="str">
        <x:v>candidate_pending_automated_verification</x:v>
      </x:c>
      <x:c r="L484" t="str">
        <x:v>https://static.cninfo.com.cn/finalpage/2026-04-23/1225157162.PDF</x:v>
      </x:c>
      <x:c r="M484" t="str">
        <x:v>8969c2e4b35d820cb1ee90b2cd6b5a5625a4c1226bf3e092d69eceba8d72849b</x:v>
      </x:c>
      <x:c r="N484" t="str">
        <x:v>515,182  
应付职工薪酬 19  6,530,785  6,440,094  6,428,881  6,302,543  
应交税费 20  2,293,796  1,738,121  2,244,147  1,693,097  
应付债券 21  355,484,517  330,809,865  355,484,517  330,809,865  
预计负债 22  4,297,184  3,575,178  4,297,184  3,575,178  
其他负债 23  11,130,284  11,666,485  10,855,054  11,450,896  
负债合计   2,199,6</x:v>
      </x:c>
    </x:row>
    <x:row r="485">
      <x:c r="A485" t="str">
        <x:v>f475d288-eb04-4976-84b2-529f371141f8</x:v>
      </x:c>
      <x:c r="B485" t="str">
        <x:v>600926</x:v>
      </x:c>
      <x:c r="C485" t="str">
        <x:v>杭州银行</x:v>
      </x:c>
      <x:c r="D485" t="str">
        <x:v>2025-12-31</x:v>
      </x:c>
      <x:c r="E485" t="str">
        <x:v>annual</x:v>
      </x:c>
      <x:c r="F485" t="str">
        <x:v>operating_cash_flow</x:v>
      </x:c>
      <x:c r="G485" t="n">
        <x:v>159340863</x:v>
      </x:c>
      <x:c r="H485" t="str">
        <x:v>reported_amount</x:v>
      </x:c>
      <x:c r="I485" t="n">
        <x:v>13</x:v>
      </x:c>
      <x:c r="J485" t="str">
        <x:v>经营活动产生的现金流量净额</x:v>
      </x:c>
      <x:c r="K485" t="str">
        <x:v>candidate_pending_automated_verification</x:v>
      </x:c>
      <x:c r="L485" t="str">
        <x:v>https://static.cninfo.com.cn/finalpage/2026-04-23/1225157162.PDF</x:v>
      </x:c>
      <x:c r="M485" t="str">
        <x:v>8969c2e4b35d820cb1ee90b2cd6b5a5625a4c1226bf3e092d69eceba8d72849b</x:v>
      </x:c>
      <x:c r="N485" t="str">
        <x:v>
归属于上市公司股东的净利润 19,029,250 16,982,563 12.05 14,383,367 
归属于上市公司股东的扣除非
经常性损益的净利润 18,833,344 16,761,640 12.36  14,038,880 
经营活动产生的现金流量净额 159,340,863 65,826,716 142.06  72,250,783 
主要会计数据 2025年 
12月31日 
2024年 
12月31日 
本期末比上年
末增减(%) 
2023年 
12月31日 
资产总额 2,362,805,622  2,112,355,860  11.86 1,841,330,802 
贷款总额 1,071,876,407   937,</x:v>
      </x:c>
    </x:row>
    <x:row r="486">
      <x:c r="A486" t="str">
        <x:v>7f9575dd-1464-44db-9c8a-f2dbc2fa0295</x:v>
      </x:c>
      <x:c r="B486" t="str">
        <x:v>600926</x:v>
      </x:c>
      <x:c r="C486" t="str">
        <x:v>杭州银行</x:v>
      </x:c>
      <x:c r="D486" t="str">
        <x:v>2025-12-31</x:v>
      </x:c>
      <x:c r="E486" t="str">
        <x:v>annual</x:v>
      </x:c>
      <x:c r="F486" t="str">
        <x:v>net_income</x:v>
      </x:c>
      <x:c r="G486" t="n">
        <x:v>19029250</x:v>
      </x:c>
      <x:c r="H486" t="str">
        <x:v>reported_amount</x:v>
      </x:c>
      <x:c r="I486" t="n">
        <x:v>13</x:v>
      </x:c>
      <x:c r="J486" t="str">
        <x:v>归属于上市公司股东的净利润</x:v>
      </x:c>
      <x:c r="K486" t="str">
        <x:v>candidate_pending_automated_verification</x:v>
      </x:c>
      <x:c r="L486" t="str">
        <x:v>https://static.cninfo.com.cn/finalpage/2026-04-23/1225157162.PDF</x:v>
      </x:c>
      <x:c r="M486" t="str">
        <x:v>8969c2e4b35d820cb1ee90b2cd6b5a5625a4c1226bf3e092d69eceba8d72849b</x:v>
      </x:c>
      <x:c r="N486" t="str">
        <x:v>381,172 1.09  35,015,541 
营业利润 21,209,349 19,259,238  10.13  16,286,983 
利润总额 21,188,742 19,226,096  10.21  16,281,738 
归属于上市公司股东的净利润 19,029,250 16,982,563 12.05 14,383,367 
归属于上市公司股东的扣除非
经常性损益的净利润 18,833,344 16,761,640 12.36  14,038,880 
经营活动产生的现金流量净额 159,340,863 65,826,716 142.06  72,250,783 
主要会计数据 2025年 
12月31日 
2024年 </x:v>
      </x:c>
    </x:row>
    <x:row r="487">
      <x:c r="A487" t="str">
        <x:v>75e656dd-62d5-4ca3-b2a8-0068785b95e4</x:v>
      </x:c>
      <x:c r="B487" t="str">
        <x:v>600926</x:v>
      </x:c>
      <x:c r="C487" t="str">
        <x:v>杭州银行</x:v>
      </x:c>
      <x:c r="D487" t="str">
        <x:v>2025-12-31</x:v>
      </x:c>
      <x:c r="E487" t="str">
        <x:v>annual</x:v>
      </x:c>
      <x:c r="F487" t="str">
        <x:v>revenue</x:v>
      </x:c>
      <x:c r="G487" t="n">
        <x:v>38798611</x:v>
      </x:c>
      <x:c r="H487" t="str">
        <x:v>reported_amount</x:v>
      </x:c>
      <x:c r="I487" t="n">
        <x:v>13</x:v>
      </x:c>
      <x:c r="J487" t="str">
        <x:v>营业收入</x:v>
      </x:c>
      <x:c r="K487" t="str">
        <x:v>candidate_pending_automated_verification</x:v>
      </x:c>
      <x:c r="L487" t="str">
        <x:v>https://static.cninfo.com.cn/finalpage/2026-04-23/1225157162.PDF</x:v>
      </x:c>
      <x:c r="M487" t="str">
        <x:v>8969c2e4b35d820cb1ee90b2cd6b5a5625a4c1226bf3e092d69eceba8d72849b</x:v>
      </x:c>
      <x:c r="N487" t="str">
        <x:v>度报告 
13 / 102 
第三节    会计数据和财务指标 
一、 近三年主要会计数据和财务指标 
(一) 主要会计数据 
单位：人民币千元 
主要会计数据 2025年度 2024年度 本期比上年 
同期增减(%) 2023年度 
营业收入 38,798,611 38,381,172 1.09  35,015,541 
营业利润 21,209,349 19,259,238  10.13  16,286,983 
利润总额 21,188,742 19,226,096  10.21  16,281,738 
归属于上市公司股东的净利润 19,029,250 16,982,563 12.05 14,383,367 
归属</x:v>
      </x:c>
    </x:row>
    <x:row r="488">
      <x:c r="A488" t="str">
        <x:v>84633155-77a4-4621-84f9-a6c6234cc928</x:v>
      </x:c>
      <x:c r="B488" t="str">
        <x:v>600926</x:v>
      </x:c>
      <x:c r="C488" t="str">
        <x:v>杭州银行</x:v>
      </x:c>
      <x:c r="D488" t="str">
        <x:v>2025-12-31</x:v>
      </x:c>
      <x:c r="E488" t="str">
        <x:v>annual</x:v>
      </x:c>
      <x:c r="F488" t="str">
        <x:v>bonds_payable</x:v>
      </x:c>
      <x:c r="G488" t="n">
        <x:v>7139670</x:v>
      </x:c>
      <x:c r="H488" t="str">
        <x:v>CNY</x:v>
      </x:c>
      <x:c r="I488" t="n">
        <x:v>213</x:v>
      </x:c>
      <x:c r="J488" t="str">
        <x:v>应付债券</x:v>
      </x:c>
      <x:c r="K488" t="str">
        <x:v>candidate_pending_automated_verification</x:v>
      </x:c>
      <x:c r="L488" t="str">
        <x:v>https://static.cninfo.com.cn/finalpage/2026-04-23/1225157162.PDF</x:v>
      </x:c>
      <x:c r="M488" t="str">
        <x:v>8969c2e4b35d820cb1ee90b2cd6b5a5625a4c1226bf3e092d69eceba8d72849b</x:v>
      </x:c>
      <x:c r="N488" t="str">
        <x:v>98,001 
拆入资金及卖出回购金融
资产款 768,181  1,229,730  768,181  1,229,730 
吸收存款及其他 22,580,632  23,814,749  22,580,632  23,814,749 
应付债券 7,139,670  6,988,976  7,139,670  6,988,976 
租赁负债 74,084  71,838  73,333  71,438 
利息支出小计 35,577,724  38,411,307  35,583,185  38,446,260 
利息净收入 27,591,627  24,457,062  27,52</x:v>
      </x:c>
    </x:row>
    <x:row r="489">
      <x:c r="A489" t="str">
        <x:v>290d4361-9a82-434d-8888-7b3bb1c3dd2d</x:v>
      </x:c>
      <x:c r="B489" t="str">
        <x:v>002142</x:v>
      </x:c>
      <x:c r="C489" t="str">
        <x:v>宁波银行</x:v>
      </x:c>
      <x:c r="D489" t="str">
        <x:v>2025-12-31</x:v>
      </x:c>
      <x:c r="E489" t="str">
        <x:v>annual</x:v>
      </x:c>
      <x:c r="F489" t="str">
        <x:v>bonds_payable</x:v>
      </x:c>
      <x:c r="G489" t="n">
        <x:v>72191</x:v>
      </x:c>
      <x:c r="H489" t="str">
        <x:v>CNY</x:v>
      </x:c>
      <x:c r="I489" t="n">
        <x:v>217</x:v>
      </x:c>
      <x:c r="J489" t="str">
        <x:v>应付债券</x:v>
      </x:c>
      <x:c r="K489" t="str">
        <x:v>candidate_pending_automated_verification</x:v>
      </x:c>
      <x:c r="L489" t="str">
        <x:v>https://static.cninfo.com.cn/finalpage/2026-04-25/1225189419.PDF</x:v>
      </x:c>
      <x:c r="M489" t="str">
        <x:v>6610078eb1d109465781dbd47d3256d4abbbe2f4ff1f8017e1724b3fadb35558</x:v>
      </x:c>
      <x:c r="N489" t="str">
        <x:v>17,220 17,220
卖出回购金融资产款 227,040 67,483 42,770 - - 403 337,696
吸收存款 913,701 215,395 547,298 348,324 165 33,872 2,058,755
应付债券 72,191 136,719 172,290 53,989 22,900 1,658 459,747
其他金融负债 - - - - - 8,259 8,259
负债总额 1,396,258 500,800 961,016 408,983 23,065 67,478 3,357,600
利率敏感度缺口 (935,972) (193,972) 21,257 586,801 </x:v>
      </x:c>
    </x:row>
    <x:row r="490">
      <x:c r="A490" t="str">
        <x:v>b0e3146d-2098-4c9a-a36f-368b92c2aaf7</x:v>
      </x:c>
      <x:c r="B490" t="str">
        <x:v>002142</x:v>
      </x:c>
      <x:c r="C490" t="str">
        <x:v>宁波银行</x:v>
      </x:c>
      <x:c r="D490" t="str">
        <x:v>2025-12-31</x:v>
      </x:c>
      <x:c r="E490" t="str">
        <x:v>annual</x:v>
      </x:c>
      <x:c r="F490" t="str">
        <x:v>bonds_payable</x:v>
      </x:c>
      <x:c r="G490" t="n">
        <x:v>433397</x:v>
      </x:c>
      <x:c r="H490" t="str">
        <x:v>CNY</x:v>
      </x:c>
      <x:c r="I490" t="n">
        <x:v>222</x:v>
      </x:c>
      <x:c r="J490" t="str">
        <x:v>应付债券</x:v>
      </x:c>
      <x:c r="K490" t="str">
        <x:v>candidate_pending_automated_verification</x:v>
      </x:c>
      <x:c r="L490" t="str">
        <x:v>https://static.cninfo.com.cn/finalpage/2026-04-25/1225189419.PDF</x:v>
      </x:c>
      <x:c r="M490" t="str">
        <x:v>6610078eb1d109465781dbd47d3256d4abbbe2f4ff1f8017e1724b3fadb35558</x:v>
      </x:c>
      <x:c r="N490" t="str">
        <x:v>5
交易性金融负债 3,247 - - 3,247
衍生金融负债 30,336 21 3 30,360
卖出回购金融资产款 163,268 - - 163,268
吸收存款 1,799,108 64,068 6,448 1,869,624
应付债券 433,397 - - 433,397
其他金融负债 15,682 48 2 15,732
负债总额 2,807,447 66,113 6,460 2,880,020
表内净头寸 210,760 9,738 (3,368) 217,130
表外头寸 557,974 18,654 6,639 583,267</x:v>
      </x:c>
    </x:row>
    <x:row r="491">
      <x:c r="A491" t="str">
        <x:v>837d222a-694f-41c0-a695-e29f91f3261f</x:v>
      </x:c>
      <x:c r="B491" t="str">
        <x:v>002142</x:v>
      </x:c>
      <x:c r="C491" t="str">
        <x:v>宁波银行</x:v>
      </x:c>
      <x:c r="D491" t="str">
        <x:v>2025-12-31</x:v>
      </x:c>
      <x:c r="E491" t="str">
        <x:v>annual</x:v>
      </x:c>
      <x:c r="F491" t="str">
        <x:v>bonds_payable</x:v>
      </x:c>
      <x:c r="G491" t="n">
        <x:v>459747</x:v>
      </x:c>
      <x:c r="H491" t="str">
        <x:v>CNY</x:v>
      </x:c>
      <x:c r="I491" t="n">
        <x:v>221</x:v>
      </x:c>
      <x:c r="J491" t="str">
        <x:v>应付债券</x:v>
      </x:c>
      <x:c r="K491" t="str">
        <x:v>candidate_pending_automated_verification</x:v>
      </x:c>
      <x:c r="L491" t="str">
        <x:v>https://static.cninfo.com.cn/finalpage/2026-04-25/1225189419.PDF</x:v>
      </x:c>
      <x:c r="M491" t="str">
        <x:v>6610078eb1d109465781dbd47d3256d4abbbe2f4ff1f8017e1724b3fadb35558</x:v>
      </x:c>
      <x:c r="N491" t="str">
        <x:v>金融负债 4,882 - - 4,882
衍生金融负债 17,141 44 35 17,220
卖出回购金融资产款 336,081 - 1,615 337,696
吸收存款 1,987,345 62,082 9,328 2,058,755
应付债券 459,747 - - 459,747
其他金融负债 8,253 4 2 8,259
负债总额 3,278,044 68,573 10,983 3,357,600
表内净头寸 207,667 29,298 (4,604) 232,361
表外头寸 581,847 10,435 4,949 597,231</x:v>
      </x:c>
    </x:row>
    <x:row r="492">
      <x:c r="A492" t="str">
        <x:v>5fb2d47c-a425-4e35-8492-c859ebf9d79d</x:v>
      </x:c>
      <x:c r="B492" t="str">
        <x:v>002142</x:v>
      </x:c>
      <x:c r="C492" t="str">
        <x:v>宁波银行</x:v>
      </x:c>
      <x:c r="D492" t="str">
        <x:v>2025-12-31</x:v>
      </x:c>
      <x:c r="E492" t="str">
        <x:v>annual</x:v>
      </x:c>
      <x:c r="F492" t="str">
        <x:v>bonds_payable</x:v>
      </x:c>
      <x:c r="G492" t="n">
        <x:v>18319</x:v>
      </x:c>
      <x:c r="H492" t="str">
        <x:v>CNY</x:v>
      </x:c>
      <x:c r="I492" t="n">
        <x:v>219</x:v>
      </x:c>
      <x:c r="J492" t="str">
        <x:v>应付债券</x:v>
      </x:c>
      <x:c r="K492" t="str">
        <x:v>candidate_pending_automated_verification</x:v>
      </x:c>
      <x:c r="L492" t="str">
        <x:v>https://static.cninfo.com.cn/finalpage/2026-04-25/1225189419.PDF</x:v>
      </x:c>
      <x:c r="M492" t="str">
        <x:v>6610078eb1d109465781dbd47d3256d4abbbe2f4ff1f8017e1724b3fadb35558</x:v>
      </x:c>
      <x:c r="N492" t="str">
        <x:v> - - - - 30,360 30,360
卖出回购金融资产款 162,676 471 89 - - 32 163,268
吸收存款 763,238 156,082 446,953 470,007 65 33,279 1,869,624
应付债券 18,319 103,553 205,354 79,985 23,997 2,189 433,397
其他金融负债 - - - - - 15,732 15,732
负债总额 1,109,326 310,975 785,681 563,450 24,062 86,526 2,880,020
利率敏感度缺口 (693,383) (62,152) 155,229 207,50</x:v>
      </x:c>
    </x:row>
    <x:row r="493">
      <x:c r="A493" t="str">
        <x:v>60459e3b-6a1b-4f79-86c9-172bcebd5b34</x:v>
      </x:c>
      <x:c r="B493" t="str">
        <x:v>002142</x:v>
      </x:c>
      <x:c r="C493" t="str">
        <x:v>宁波银行</x:v>
      </x:c>
      <x:c r="D493" t="str">
        <x:v>2025-12-31</x:v>
      </x:c>
      <x:c r="E493" t="str">
        <x:v>annual</x:v>
      </x:c>
      <x:c r="F493" t="str">
        <x:v>operating_cash_flow</x:v>
      </x:c>
      <x:c r="G493" t="n">
        <x:v>235516</x:v>
      </x:c>
      <x:c r="H493" t="str">
        <x:v>CNY</x:v>
      </x:c>
      <x:c r="I493" t="n">
        <x:v>178</x:v>
      </x:c>
      <x:c r="J493" t="str">
        <x:v>经营活动产生的现金流量净额</x:v>
      </x:c>
      <x:c r="K493" t="str">
        <x:v>candidate_pending_automated_verification</x:v>
      </x:c>
      <x:c r="L493" t="str">
        <x:v>https://static.cninfo.com.cn/finalpage/2026-04-25/1225189419.PDF</x:v>
      </x:c>
      <x:c r="M493" t="str">
        <x:v>6610078eb1d109465781dbd47d3256d4abbbe2f4ff1f8017e1724b3fadb35558</x:v>
      </x:c>
      <x:c r="N493" t="str">
        <x:v>
租赁负债利息支出 66 92
应付债券利息支出 9,432 9,316
递延所得税资产（增加）/减少 (627) 476
经营性应收项目的增加 (249,715) (241,755)
经营性应付项目的增加 461,751 307,087
经营活动产生的现金流量净额 235,516 85,005
44.5、 投资活动产生的现金流量
本集团投资活动收到或支付的现金主要为买卖债券、同业存单及资产支持证券所
产生。
44.6、 筹资活动产生的现金流量
本集团筹资活动产生的现金流量主要来源于本集团发行的债券及同业存单，相关
负债从期初余额到期末余额所发生的变动情况，请参见附注五、22。</x:v>
      </x:c>
    </x:row>
    <x:row r="494">
      <x:c r="A494" t="str">
        <x:v>42b87788-a37e-4f88-ac77-4f1fd07cc6b1</x:v>
      </x:c>
      <x:c r="B494" t="str">
        <x:v>002142</x:v>
      </x:c>
      <x:c r="C494" t="str">
        <x:v>宁波银行</x:v>
      </x:c>
      <x:c r="D494" t="str">
        <x:v>2025-12-31</x:v>
      </x:c>
      <x:c r="E494" t="str">
        <x:v>annual</x:v>
      </x:c>
      <x:c r="F494" t="str">
        <x:v>bonds_payable</x:v>
      </x:c>
      <x:c r="G494" t="n">
        <x:v>2025</x:v>
      </x:c>
      <x:c r="H494" t="str">
        <x:v>CNY</x:v>
      </x:c>
      <x:c r="I494" t="n">
        <x:v>156</x:v>
      </x:c>
      <x:c r="J494" t="str">
        <x:v>应付债券</x:v>
      </x:c>
      <x:c r="K494" t="str">
        <x:v>candidate_pending_automated_verification</x:v>
      </x:c>
      <x:c r="L494" t="str">
        <x:v>https://static.cninfo.com.cn/finalpage/2026-04-25/1225189419.PDF</x:v>
      </x:c>
      <x:c r="M494" t="str">
        <x:v>6610078eb1d109465781dbd47d3256d4abbbe2f4ff1f8017e1724b3fadb35558</x:v>
      </x:c>
      <x:c r="N494" t="str">
        <x:v>日 2024 年 12 月 31 日
增值税 686 681
企业所得税 2,298 1,462
个人所得税 59 64
城建税 55 60
教育费附加 37 41
代扣代缴税金 7 11
其他 63 60
3,205 2,379
22、 应付债券
2025 年 12 月 31 日 2024 年 12 月 31 日
应付金融债券(a) 50,985 79,985
应付二级资本债券(b) 64,394 65,492
应付资产支持证券优先级本金（c） - 1,485
应付同业存单(d) 342,710 284,246
小计 458,089 431,208
应计利息 1,658 2,189
459,747 433,3</x:v>
      </x:c>
    </x:row>
    <x:row r="495">
      <x:c r="A495" t="str">
        <x:v>4a7e130d-08c4-4ff9-a05b-c6ef7c6e9a31</x:v>
      </x:c>
      <x:c r="B495" t="str">
        <x:v>002142</x:v>
      </x:c>
      <x:c r="C495" t="str">
        <x:v>宁波银行</x:v>
      </x:c>
      <x:c r="D495" t="str">
        <x:v>2025-12-31</x:v>
      </x:c>
      <x:c r="E495" t="str">
        <x:v>annual</x:v>
      </x:c>
      <x:c r="F495" t="str">
        <x:v>operating_cash_flow</x:v>
      </x:c>
      <x:c r="G495" t="n">
        <x:v>241845</x:v>
      </x:c>
      <x:c r="H495" t="str">
        <x:v>CNY</x:v>
      </x:c>
      <x:c r="I495" t="n">
        <x:v>97</x:v>
      </x:c>
      <x:c r="J495" t="str">
        <x:v>经营活动产生的现金流量净额</x:v>
      </x:c>
      <x:c r="K495" t="str">
        <x:v>candidate_pending_automated_verification</x:v>
      </x:c>
      <x:c r="L495" t="str">
        <x:v>https://static.cninfo.com.cn/finalpage/2026-04-25/1225189419.PDF</x:v>
      </x:c>
      <x:c r="M495" t="str">
        <x:v>6610078eb1d109465781dbd47d3256d4abbbe2f4ff1f8017e1724b3fadb35558</x:v>
      </x:c>
      <x:c r="N495" t="str">
        <x:v> 40,352 32,487
支付给职工以及为职工支付的现金 12,382 12,952
支付的各项税费 4,861 4,763
支付其他与经营活动有关的现金 11,758 6,542
经营活动现金流出小计 307,508 318,679
经营活动产生的现金流量净额 4 241,845 97,207
二、 投资活动产生的现金流量
收回投资收到的现金 2,628,141 2,015,961
取得投资收益收到的现金 24,939 28,227
处置固定资产、无形资产和其他长期资产
收回的现金 157 83
投资活动现金流入小计 2,653,237 2,044,271
投资支付的现金 2,886,295 2,131,412
购建固定资产、无形资</x:v>
      </x:c>
    </x:row>
    <x:row r="496">
      <x:c r="A496" t="str">
        <x:v>0237ca25-caaa-450e-9bdb-e2e2e5db072e</x:v>
      </x:c>
      <x:c r="B496" t="str">
        <x:v>002142</x:v>
      </x:c>
      <x:c r="C496" t="str">
        <x:v>宁波银行</x:v>
      </x:c>
      <x:c r="D496" t="str">
        <x:v>2025-12-31</x:v>
      </x:c>
      <x:c r="E496" t="str">
        <x:v>annual</x:v>
      </x:c>
      <x:c r="F496" t="str">
        <x:v>operating_cash_flow</x:v>
      </x:c>
      <x:c r="G496" t="n">
        <x:v>235516</x:v>
      </x:c>
      <x:c r="H496" t="str">
        <x:v>CNY</x:v>
      </x:c>
      <x:c r="I496" t="n">
        <x:v>90</x:v>
      </x:c>
      <x:c r="J496" t="str">
        <x:v>经营活动产生的现金流量净额</x:v>
      </x:c>
      <x:c r="K496" t="str">
        <x:v>candidate_pending_automated_verification</x:v>
      </x:c>
      <x:c r="L496" t="str">
        <x:v>https://static.cninfo.com.cn/finalpage/2026-04-25/1225189419.PDF</x:v>
      </x:c>
      <x:c r="M496" t="str">
        <x:v>6610078eb1d109465781dbd47d3256d4abbbe2f4ff1f8017e1724b3fadb35558</x:v>
      </x:c>
      <x:c r="N496" t="str">
        <x:v>208 36,733
支付给职工以及为职工支付的现金 14,215 14,696
支付的各项税费 7,685 7,306
支付其他与经营活动有关的现金 44 13,297 10,859
经营活动现金流出小计 355,453 376,742
经营活动产生的现金流量净额 44 235,516 85,005
二、 投资活动产生的现金流量
收回投资收到的现金 2,629,414 2,016,467
取得投资收益收到的现金 25,063 28,322
处置固定资产、无形资产
和其他长期资产收回的现金 239 84
投资活动现金流入小计 2,654,716 2,044,873
投资支付的现金 2,887,879 2,131,574
购建固定资产、无形资</x:v>
      </x:c>
    </x:row>
    <x:row r="497">
      <x:c r="A497" t="str">
        <x:v>cf529b67-8ac1-4415-870d-ad89b5d93d6e</x:v>
      </x:c>
      <x:c r="B497" t="str">
        <x:v>002142</x:v>
      </x:c>
      <x:c r="C497" t="str">
        <x:v>宁波银行</x:v>
      </x:c>
      <x:c r="D497" t="str">
        <x:v>2025-12-31</x:v>
      </x:c>
      <x:c r="E497" t="str">
        <x:v>annual</x:v>
      </x:c>
      <x:c r="F497" t="str">
        <x:v>bonds_payable</x:v>
      </x:c>
      <x:c r="G497" t="n">
        <x:v>459747</x:v>
      </x:c>
      <x:c r="H497" t="str">
        <x:v>CNY</x:v>
      </x:c>
      <x:c r="I497" t="n">
        <x:v>85</x:v>
      </x:c>
      <x:c r="J497" t="str">
        <x:v>应付债券</x:v>
      </x:c>
      <x:c r="K497" t="str">
        <x:v>candidate_pending_automated_verification</x:v>
      </x:c>
      <x:c r="L497" t="str">
        <x:v>https://static.cninfo.com.cn/finalpage/2026-04-25/1225189419.PDF</x:v>
      </x:c>
      <x:c r="M497" t="str">
        <x:v>6610078eb1d109465781dbd47d3256d4abbbe2f4ff1f8017e1724b3fadb35558</x:v>
      </x:c>
      <x:c r="N497" t="str">
        <x:v>金融负债 4 17,220 30,360
卖出回购金融资产款 18 337,696 163,268
吸收存款 19 2,058,755 1,869,624
应付职工薪酬 20 4,533 4,016
应交税费 21 3,205 2,379
应付债券 22 459,747 433,397
租赁负债 23 2,276 2,550
预计负债 24 1,832 1,403
其他负债 25 18,855 16,336
负债合计 3,380,042 2,890,972
股东权益
股本 26 6,604 6,604
其他权益工具 27 24,825 24,810
其中：优先股 4,825 14,810
永续债 20,000 10,000</x:v>
      </x:c>
    </x:row>
    <x:row r="498">
      <x:c r="A498" t="str">
        <x:v>118eb3fb-891a-4804-8f47-bdf2f35ecfca</x:v>
      </x:c>
      <x:c r="B498" t="str">
        <x:v>002142</x:v>
      </x:c>
      <x:c r="C498" t="str">
        <x:v>宁波银行</x:v>
      </x:c>
      <x:c r="D498" t="str">
        <x:v>2025-12-31</x:v>
      </x:c>
      <x:c r="E498" t="str">
        <x:v>annual</x:v>
      </x:c>
      <x:c r="F498" t="str">
        <x:v>roe</x:v>
      </x:c>
      <x:c r="G498" t="n">
        <x:v>13.11</x:v>
      </x:c>
      <x:c r="H498" t="str">
        <x:v>percent</x:v>
      </x:c>
      <x:c r="I498" t="n">
        <x:v>9</x:v>
      </x:c>
      <x:c r="J498" t="str">
        <x:v>加权平均净资产收益率</x:v>
      </x:c>
      <x:c r="K498" t="str">
        <x:v>candidate_pending_automated_verification</x:v>
      </x:c>
      <x:c r="L498" t="str">
        <x:v>https://static.cninfo.com.cn/finalpage/2026-04-25/1225189419.PDF</x:v>
      </x:c>
      <x:c r="M498" t="str">
        <x:v>6610078eb1d109465781dbd47d3256d4abbbe2f4ff1f8017e1724b3fadb35558</x:v>
      </x:c>
      <x:c r="N498" t="str">
        <x:v>净额 35.66 12.87 177.08% 26.25
归属于母公司普通股股东的每股净资产 33.69 31.55 6.78% 26.71
财务比率
全面摊薄净资产收益率 12.72% 12.53% 增加 0.19个百分点 14.05%
加权平均净资产收益率 13.11% 13.59% 减少 0.48个百分点 15.08%
扣除非经常性损益后的全面摊薄净资产收益率 12.77% 12.61% 增加 0.16个百分点 13.99%
扣除非经常性损益后的加权平均净资产收益率 13.16% 13.69% 减少 0.53个百分点 15.01%
注：净资产收益率和每股收益相关指标根据《公开发行证券的公司信息披露编报规则第 9号——净</x:v>
      </x:c>
    </x:row>
    <x:row r="499">
      <x:c r="A499" t="str">
        <x:v>d67a07b8-dc4b-46e6-8274-664ce4631545</x:v>
      </x:c>
      <x:c r="B499" t="str">
        <x:v>002142</x:v>
      </x:c>
      <x:c r="C499" t="str">
        <x:v>宁波银行</x:v>
      </x:c>
      <x:c r="D499" t="str">
        <x:v>2025-12-31</x:v>
      </x:c>
      <x:c r="E499" t="str">
        <x:v>annual</x:v>
      </x:c>
      <x:c r="F499" t="str">
        <x:v>eps_annual</x:v>
      </x:c>
      <x:c r="G499" t="n">
        <x:v>4.29</x:v>
      </x:c>
      <x:c r="H499" t="str">
        <x:v>CNY/share</x:v>
      </x:c>
      <x:c r="I499" t="n">
        <x:v>9</x:v>
      </x:c>
      <x:c r="J499" t="str">
        <x:v>基本每股收益</x:v>
      </x:c>
      <x:c r="K499" t="str">
        <x:v>candidate_pending_automated_verification</x:v>
      </x:c>
      <x:c r="L499" t="str">
        <x:v>https://static.cninfo.com.cn/finalpage/2026-04-25/1225189419.PDF</x:v>
      </x:c>
      <x:c r="M499" t="str">
        <x:v>6610078eb1d109465781dbd47d3256d4abbbe2f4ff1f8017e1724b3fadb35558</x:v>
      </x:c>
      <x:c r="N499" t="str">
        <x:v>8.13% 25,535
归属于母公司股东的扣除非经常性损益的净利润 29,434 27,302 7.81% 25,426
经营活动产生的现金流量净额 235,516 85,005 177.06% 173,372
每股计（人民币 元/股）
基本每股收益 4.29 3.95 8.61% 3.75
稀释每股收益 4.29 3.95 8.61% 3.75
扣除非经常性损益后的基本每股收益 4.30 3.98 8.04% 3.74
每股经营活动产生的现金流量净额 35.66 12.87 177.08% 26.25
归属于母公司普通股股东的每股净资产 33.69 31.55 6.78% 26.71
财务比率
全面摊薄净资产收</x:v>
      </x:c>
    </x:row>
    <x:row r="500">
      <x:c r="A500" t="str">
        <x:v>d8532dfc-73ce-441c-89d8-0cbf106d6e28</x:v>
      </x:c>
      <x:c r="B500" t="str">
        <x:v>002142</x:v>
      </x:c>
      <x:c r="C500" t="str">
        <x:v>宁波银行</x:v>
      </x:c>
      <x:c r="D500" t="str">
        <x:v>2025-12-31</x:v>
      </x:c>
      <x:c r="E500" t="str">
        <x:v>annual</x:v>
      </x:c>
      <x:c r="F500" t="str">
        <x:v>operating_cash_flow</x:v>
      </x:c>
      <x:c r="G500" t="n">
        <x:v>235516</x:v>
      </x:c>
      <x:c r="H500" t="str">
        <x:v>reported_amount</x:v>
      </x:c>
      <x:c r="I500" t="n">
        <x:v>9</x:v>
      </x:c>
      <x:c r="J500" t="str">
        <x:v>经营活动产生的现金流量净额</x:v>
      </x:c>
      <x:c r="K500" t="str">
        <x:v>candidate_pending_automated_verification</x:v>
      </x:c>
      <x:c r="L500" t="str">
        <x:v>https://static.cninfo.com.cn/finalpage/2026-04-25/1225189419.PDF</x:v>
      </x:c>
      <x:c r="M500" t="str">
        <x:v>6610078eb1d109465781dbd47d3256d4abbbe2f4ff1f8017e1724b3fadb35558</x:v>
      </x:c>
      <x:c r="N500" t="str">
        <x:v>净利润 29,529 27,221 8.48% 25,609
归属于母公司股东的净利润 29,333 27,127 8.13% 25,535
归属于母公司股东的扣除非经常性损益的净利润 29,434 27,302 7.81% 25,426
经营活动产生的现金流量净额 235,516 85,005 177.06% 173,372
每股计（人民币 元/股）
基本每股收益 4.29 3.95 8.61% 3.75
稀释每股收益 4.29 3.95 8.61% 3.75
扣除非经常性损益后的基本每股收益 4.30 3.98 8.04% 3.74
每股经营活动产生的现金流量净额 35.66 12.87 177.08% 26.25
归属于母公司普</x:v>
      </x:c>
    </x:row>
    <x:row r="501">
      <x:c r="A501" t="str">
        <x:v>81c8b750-0144-4a73-92fa-c7ad495f01fe</x:v>
      </x:c>
      <x:c r="B501" t="str">
        <x:v>002142</x:v>
      </x:c>
      <x:c r="C501" t="str">
        <x:v>宁波银行</x:v>
      </x:c>
      <x:c r="D501" t="str">
        <x:v>2025-12-31</x:v>
      </x:c>
      <x:c r="E501" t="str">
        <x:v>annual</x:v>
      </x:c>
      <x:c r="F501" t="str">
        <x:v>revenue</x:v>
      </x:c>
      <x:c r="G501" t="n">
        <x:v>71969</x:v>
      </x:c>
      <x:c r="H501" t="str">
        <x:v>reported_amount</x:v>
      </x:c>
      <x:c r="I501" t="n">
        <x:v>9</x:v>
      </x:c>
      <x:c r="J501" t="str">
        <x:v>营业收入</x:v>
      </x:c>
      <x:c r="K501" t="str">
        <x:v>candidate_pending_automated_verification</x:v>
      </x:c>
      <x:c r="L501" t="str">
        <x:v>https://static.cninfo.com.cn/finalpage/2026-04-25/1225189419.PDF</x:v>
      </x:c>
      <x:c r="M501" t="str">
        <x:v>6610078eb1d109465781dbd47d3256d4abbbe2f4ff1f8017e1724b3fadb35558</x:v>
      </x:c>
      <x:c r="N501" t="str">
        <x:v>宁波银行股份有限公司2025年年度报告
8
第三节 会计数据和财务指标摘要
一、主要会计数据和财务指标
经营业绩（人民币 百万元） 2025年 2024年 本报告期比
上年同期增减 2023年
营业收入 71,969 66,631 8.01% 61,585
营业利润 32,341 31,548 2.51% 28,028
利润总额 32,161 31,286 2.80% 27,898
净利润 29,529 27,221 8.48% 25,609
归属于母公司股东的净利润 29,333 27,127 8.13% 25,535
归属于母公司股东的扣除非经常性损益的净利润 29</x:v>
      </x:c>
    </x:row>
    <x:row r="502">
      <x:c r="A502" t="str">
        <x:v>cba1bf61-93b3-4eb4-9e64-313256a70b75</x:v>
      </x:c>
      <x:c r="B502" t="str">
        <x:v>002142</x:v>
      </x:c>
      <x:c r="C502" t="str">
        <x:v>宁波银行</x:v>
      </x:c>
      <x:c r="D502" t="str">
        <x:v>2025-12-31</x:v>
      </x:c>
      <x:c r="E502" t="str">
        <x:v>annual</x:v>
      </x:c>
      <x:c r="F502" t="str">
        <x:v>bonds_payable</x:v>
      </x:c>
      <x:c r="G502" t="n">
        <x:v>459747</x:v>
      </x:c>
      <x:c r="H502" t="str">
        <x:v>CNY</x:v>
      </x:c>
      <x:c r="I502" t="n">
        <x:v>227</x:v>
      </x:c>
      <x:c r="J502" t="str">
        <x:v>应付债券</x:v>
      </x:c>
      <x:c r="K502" t="str">
        <x:v>candidate_pending_automated_verification</x:v>
      </x:c>
      <x:c r="L502" t="str">
        <x:v>https://static.cninfo.com.cn/finalpage/2026-04-25/1225189419.PDF</x:v>
      </x:c>
      <x:c r="M502" t="str">
        <x:v>6610078eb1d109465781dbd47d3256d4abbbe2f4ff1f8017e1724b3fadb35558</x:v>
      </x:c>
      <x:c r="N502" t="str">
        <x:v>估值；第三层次公允价值为采用预期现金流回收的估值方法。
2025 年 12 月 31 日
账面价值 公允价值 第一层次 第二层次 第三层次
金融资产：
债权投资 523,415 535,712 - 500,371 35,341
金融负债：
应付债券 459,747 460,702 - 460,702 -
2024 年 12 月 31 日
账面价值 公允价值 第一层次 第二层次 第三层次
金融资产：
债权投资 388,484 407,318 - 342,421 64,897
金融负债：
应付债券 433,397 435,628 - 435,628 -</x:v>
      </x:c>
    </x:row>
    <x:row r="503">
      <x:c r="A503" t="str">
        <x:v>2a82d58b-cdf4-485e-a1b4-18f18c413c68</x:v>
      </x:c>
      <x:c r="B503" t="str">
        <x:v>601318</x:v>
      </x:c>
      <x:c r="C503" t="str">
        <x:v>中国平安</x:v>
      </x:c>
      <x:c r="D503" t="str">
        <x:v>2026-03-31</x:v>
      </x:c>
      <x:c r="E503" t="str">
        <x:v>first_quarter</x:v>
      </x:c>
      <x:c r="F503" t="str">
        <x:v>operating_cash_flow</x:v>
      </x:c>
      <x:c r="G503" t="n">
        <x:v>131064</x:v>
      </x:c>
      <x:c r="H503" t="str">
        <x:v>CNY</x:v>
      </x:c>
      <x:c r="I503" t="n">
        <x:v>23</x:v>
      </x:c>
      <x:c r="J503" t="str">
        <x:v>经营活动产生的现金流量净额</x:v>
      </x:c>
      <x:c r="K503" t="str">
        <x:v>candidate_pending_automated_verification</x:v>
      </x:c>
      <x:c r="L503" t="str">
        <x:v>https://static.cninfo.com.cn/finalpage/2026-04-29/1225235613.PDF</x:v>
      </x:c>
      <x:c r="M503" t="str">
        <x:v>d5567e038cc150220ee431869b83d88b194fef0d6e5ca12ac976b1b7116d986f</x:v>
      </x:c>
      <x:c r="N503" t="str">
        <x:v>26,548) (16,724)
银行业务及证券业务为交易目的持有的金融资产净增加额 (49,296) -
支付的其他与经营活动有关的现金 (76,881) (104,534)
经营活动现金流出小计 (580,295) (472,704)
经营活动产生的现金流量净额 131,064 243,221</x:v>
      </x:c>
    </x:row>
    <x:row r="504">
      <x:c r="A504" t="str">
        <x:v>b03814ac-72b0-47da-a05a-b30f7402452e</x:v>
      </x:c>
      <x:c r="B504" t="str">
        <x:v>601318</x:v>
      </x:c>
      <x:c r="C504" t="str">
        <x:v>中国平安</x:v>
      </x:c>
      <x:c r="D504" t="str">
        <x:v>2026-03-31</x:v>
      </x:c>
      <x:c r="E504" t="str">
        <x:v>first_quarter</x:v>
      </x:c>
      <x:c r="F504" t="str">
        <x:v>cash</x:v>
      </x:c>
      <x:c r="G504" t="n">
        <x:v>725711</x:v>
      </x:c>
      <x:c r="H504" t="str">
        <x:v>CNY</x:v>
      </x:c>
      <x:c r="I504" t="n">
        <x:v>19</x:v>
      </x:c>
      <x:c r="J504" t="str">
        <x:v>货币资金</x:v>
      </x:c>
      <x:c r="K504" t="str">
        <x:v>candidate_pending_automated_verification</x:v>
      </x:c>
      <x:c r="L504" t="str">
        <x:v>https://static.cninfo.com.cn/finalpage/2026-04-29/1225235613.PDF</x:v>
      </x:c>
      <x:c r="M504" t="str">
        <x:v>d5567e038cc150220ee431869b83d88b194fef0d6e5ca12ac976b1b7116d986f</x:v>
      </x:c>
      <x:c r="N504" t="str">
        <x:v>第一季度报告
17
§5 附录
中国平安保险（集团）股份有限公司
合并资产负债表
2026年 3月 31日
单位：百万元 币种：人民币 审计类型：未经审计
2026年 3月 31日
（未经审计）
2025年12月 31日
（经审计）
资产
货币资金 725,711 745,679
结算备付金 36,735 35,330
拆出资金 257,790 272,995
买入返售金融资产 171,822 183,497
应收账款 45,750 43,678
衍生金融资产 26,158 30,002
分出再保险合同资产 26,316 25,515
长期应收款 285,900 258,202
发放贷款及垫款 3,481,201 3</x:v>
      </x:c>
    </x:row>
    <x:row r="505">
      <x:c r="A505" t="str">
        <x:v>7f8af03f-b94d-4056-8a1d-2123da81dce3</x:v>
      </x:c>
      <x:c r="B505" t="str">
        <x:v>601318</x:v>
      </x:c>
      <x:c r="C505" t="str">
        <x:v>中国平安</x:v>
      </x:c>
      <x:c r="D505" t="str">
        <x:v>2026-03-31</x:v>
      </x:c>
      <x:c r="E505" t="str">
        <x:v>first_quarter</x:v>
      </x:c>
      <x:c r="F505" t="str">
        <x:v>short_term_borrowings</x:v>
      </x:c>
      <x:c r="G505" t="n">
        <x:v>87082</x:v>
      </x:c>
      <x:c r="H505" t="str">
        <x:v>CNY</x:v>
      </x:c>
      <x:c r="I505" t="n">
        <x:v>20</x:v>
      </x:c>
      <x:c r="J505" t="str">
        <x:v>短期借款</x:v>
      </x:c>
      <x:c r="K505" t="str">
        <x:v>candidate_pending_automated_verification</x:v>
      </x:c>
      <x:c r="L505" t="str">
        <x:v>https://static.cninfo.com.cn/finalpage/2026-04-29/1225235613.PDF</x:v>
      </x:c>
      <x:c r="M505" t="str">
        <x:v>d5567e038cc150220ee431869b83d88b194fef0d6e5ca12ac976b1b7116d986f</x:v>
      </x:c>
      <x:c r="N505" t="str">
        <x:v>2026年第一季度报告
18
负债及股东权益
负债
短期借款 87,082 84,520
向中央银行借款 91,774 223,537
银行同业及其他金融机构存放款项 613,077 528,163
拆入资金 129,049 118,295
以公允价值计量且其变动计入当期损益的金融负债 253,493 221,829
衍生金融负债 42,390 46,862
卖出回购金融资产款 678,275 643,547
代理买卖证券款 23</x:v>
      </x:c>
    </x:row>
    <x:row r="506">
      <x:c r="A506" t="str">
        <x:v>b42eeb38-0c95-462a-ad33-1715bef25a87</x:v>
      </x:c>
      <x:c r="B506" t="str">
        <x:v>601318</x:v>
      </x:c>
      <x:c r="C506" t="str">
        <x:v>中国平安</x:v>
      </x:c>
      <x:c r="D506" t="str">
        <x:v>2026-03-31</x:v>
      </x:c>
      <x:c r="E506" t="str">
        <x:v>first_quarter</x:v>
      </x:c>
      <x:c r="F506" t="str">
        <x:v>bonds_payable</x:v>
      </x:c>
      <x:c r="G506" t="n">
        <x:v>854014</x:v>
      </x:c>
      <x:c r="H506" t="str">
        <x:v>CNY</x:v>
      </x:c>
      <x:c r="I506" t="n">
        <x:v>20</x:v>
      </x:c>
      <x:c r="J506" t="str">
        <x:v>应付债券</x:v>
      </x:c>
      <x:c r="K506" t="str">
        <x:v>candidate_pending_automated_verification</x:v>
      </x:c>
      <x:c r="L506" t="str">
        <x:v>https://static.cninfo.com.cn/finalpage/2026-04-29/1225235613.PDF</x:v>
      </x:c>
      <x:c r="M506" t="str">
        <x:v>d5567e038cc150220ee431869b83d88b194fef0d6e5ca12ac976b1b7116d986f</x:v>
      </x:c>
      <x:c r="N506" t="str">
        <x:v>00 60,831
应交税费 26,501 20,302
吸收存款 3,702,184 3,588,691
保险合同负债 5,488,163 5,360,910
分出再保险合同负债 258 537
长期借款 167,438 150,094
应付债券 854,014 853,661
租赁负债 8,150 8,407
递延所得税负债 6,386 6,647
其他负债 287,628 307,700
负债合计 12,735,657 12,482,483
股东权益
股本 18,108 18,108
资本公积 101,015 102,528
其他综合收益 (65,608) (59,972)
盈余公积 12,164 12,164</x:v>
      </x:c>
    </x:row>
    <x:row r="507">
      <x:c r="A507" t="str">
        <x:v>a4334450-8e7f-4623-82ed-2ff8e7297cdc</x:v>
      </x:c>
      <x:c r="B507" t="str">
        <x:v>601318</x:v>
      </x:c>
      <x:c r="C507" t="str">
        <x:v>中国平安</x:v>
      </x:c>
      <x:c r="D507" t="str">
        <x:v>2026-03-31</x:v>
      </x:c>
      <x:c r="E507" t="str">
        <x:v>first_quarter</x:v>
      </x:c>
      <x:c r="F507" t="str">
        <x:v>long_term_borrowings</x:v>
      </x:c>
      <x:c r="G507" t="n">
        <x:v>167438</x:v>
      </x:c>
      <x:c r="H507" t="str">
        <x:v>CNY</x:v>
      </x:c>
      <x:c r="I507" t="n">
        <x:v>20</x:v>
      </x:c>
      <x:c r="J507" t="str">
        <x:v>长期借款</x:v>
      </x:c>
      <x:c r="K507" t="str">
        <x:v>candidate_pending_automated_verification</x:v>
      </x:c>
      <x:c r="L507" t="str">
        <x:v>https://static.cninfo.com.cn/finalpage/2026-04-29/1225235613.PDF</x:v>
      </x:c>
      <x:c r="M507" t="str">
        <x:v>d5567e038cc150220ee431869b83d88b194fef0d6e5ca12ac976b1b7116d986f</x:v>
      </x:c>
      <x:c r="N507" t="str">
        <x:v>23 31,604
应付职工薪酬 49,400 60,831
应交税费 26,501 20,302
吸收存款 3,702,184 3,588,691
保险合同负债 5,488,163 5,360,910
分出再保险合同负债 258 537
长期借款 167,438 150,094
应付债券 854,014 853,661
租赁负债 8,150 8,407
递延所得税负债 6,386 6,647
其他负债 287,628 307,700
负债合计 12,735,657 12,482,483
股东权益
股本 18,108 18,108
资本公积 101,015 102,528
其他综合收益 (65,608) (59,97</x:v>
      </x:c>
    </x:row>
    <x:row r="508">
      <x:c r="A508" t="str">
        <x:v>ec2b4318-3ed7-4b32-be00-86645629877a</x:v>
      </x:c>
      <x:c r="B508" t="str">
        <x:v>600926</x:v>
      </x:c>
      <x:c r="C508" t="str">
        <x:v>杭州银行</x:v>
      </x:c>
      <x:c r="D508" t="str">
        <x:v>2026-03-31</x:v>
      </x:c>
      <x:c r="E508" t="str">
        <x:v>first_quarter</x:v>
      </x:c>
      <x:c r="F508" t="str">
        <x:v>operating_cash_flow</x:v>
      </x:c>
      <x:c r="G508" t="n">
        <x:v>-36859130</x:v>
      </x:c>
      <x:c r="H508" t="str">
        <x:v>reported_amount</x:v>
      </x:c>
      <x:c r="I508" t="n">
        <x:v>1</x:v>
      </x:c>
      <x:c r="J508" t="str">
        <x:v>经营活动产生的现金流量净额</x:v>
      </x:c>
      <x:c r="K508" t="str">
        <x:v>candidate_pending_automated_verification</x:v>
      </x:c>
      <x:c r="L508" t="str">
        <x:v>https://static.cninfo.com.cn/finalpage/2026-04-23/1225157147.PDF</x:v>
      </x:c>
      <x:c r="M508" t="str">
        <x:v>eb3685bd48ffcfb109ba1db1ff6fdf65b5556e3776057d14c48cbe2b18569349</x:v>
      </x:c>
      <x:c r="N508" t="str">
        <x:v>业收入 10,405,564 9,977,642 4.29
归属于上市公司股东的净利润 6,628,893 6,021,119 10.09
归属于上市公司股东的扣除非
经常性损益的净利润 6,615,750 5,968,331 10.85
经营活动产生的现金流量净额 -36,859,130 47,295,319 -177.93
本公司董事会及全体董事保证本公告内容不存在任何虚假记
载、误导性陈述或者重大遗漏，并对其内容的真实性、准确性和完整
性承担法律责任。</x:v>
      </x:c>
    </x:row>
    <x:row r="509">
      <x:c r="A509" t="str">
        <x:v>d2c3ed0a-144b-44a9-83f6-883646f2a211</x:v>
      </x:c>
      <x:c r="B509" t="str">
        <x:v>600926</x:v>
      </x:c>
      <x:c r="C509" t="str">
        <x:v>杭州银行</x:v>
      </x:c>
      <x:c r="D509" t="str">
        <x:v>2026-03-31</x:v>
      </x:c>
      <x:c r="E509" t="str">
        <x:v>first_quarter</x:v>
      </x:c>
      <x:c r="F509" t="str">
        <x:v>bonds_payable</x:v>
      </x:c>
      <x:c r="G509" t="n">
        <x:v>366617615</x:v>
      </x:c>
      <x:c r="H509" t="str">
        <x:v>CNY</x:v>
      </x:c>
      <x:c r="I509" t="n">
        <x:v>9</x:v>
      </x:c>
      <x:c r="J509" t="str">
        <x:v>应付债券</x:v>
      </x:c>
      <x:c r="K509" t="str">
        <x:v>candidate_pending_automated_verification</x:v>
      </x:c>
      <x:c r="L509" t="str">
        <x:v>https://static.cninfo.com.cn/finalpage/2026-04-23/1225157147.PDF</x:v>
      </x:c>
      <x:c r="M509" t="str">
        <x:v>eb3685bd48ffcfb109ba1db1ff6fdf65b5556e3776057d14c48cbe2b18569349</x:v>
      </x:c>
      <x:c r="N509" t="str">
        <x:v>078,629
衍生金融负债 4,171,486 2,551,539
吸收存款 1,536,836,019 1,458,999,372
应付职工薪酬 4,342,167 6,530,785
应交税费 2,519,615 2,293,796
应付债券 366,617,615 355,484,517
预计负债 4,236,985 4,297,184
其他负债 15,369,160 11,130,284
负债合计 2,265,645,478 2,199,616,856</x:v>
      </x:c>
    </x:row>
    <x:row r="510">
      <x:c r="A510" t="str">
        <x:v>a47dc4f5-f516-4458-ad5b-072a4bcf4581</x:v>
      </x:c>
      <x:c r="B510" t="str">
        <x:v>600926</x:v>
      </x:c>
      <x:c r="C510" t="str">
        <x:v>杭州银行</x:v>
      </x:c>
      <x:c r="D510" t="str">
        <x:v>2026-03-31</x:v>
      </x:c>
      <x:c r="E510" t="str">
        <x:v>first_quarter</x:v>
      </x:c>
      <x:c r="F510" t="str">
        <x:v>net_income</x:v>
      </x:c>
      <x:c r="G510" t="n">
        <x:v>6628893</x:v>
      </x:c>
      <x:c r="H510" t="str">
        <x:v>reported_amount</x:v>
      </x:c>
      <x:c r="I510" t="n">
        <x:v>1</x:v>
      </x:c>
      <x:c r="J510" t="str">
        <x:v>归属于上市公司股东的净利润</x:v>
      </x:c>
      <x:c r="K510" t="str">
        <x:v>candidate_pending_automated_verification</x:v>
      </x:c>
      <x:c r="L510" t="str">
        <x:v>https://static.cninfo.com.cn/finalpage/2026-04-23/1225157147.PDF</x:v>
      </x:c>
      <x:c r="M510" t="str">
        <x:v>eb3685bd48ffcfb109ba1db1ff6fdf65b5556e3776057d14c48cbe2b18569349</x:v>
      </x:c>
      <x:c r="N510" t="str">
        <x:v>务报表是否经审计：○是 √否
一、主要财务数据
(一)主要会计数据和财务指标
单位：人民币千元
项目 2026 年 1-3 月 2025 年 1-3 月 比上年同期增减
（%）
营业收入 10,405,564 9,977,642 4.29
归属于上市公司股东的净利润 6,628,893 6,021,119 10.09
归属于上市公司股东的扣除非
经常性损益的净利润 6,615,750 5,968,331 10.85
经营活动产生的现金流量净额 -36,859,130 47,295,319 -177.93
本公司董事会及全体董事保证本公告内容不存在任何虚假记
载、误导性陈述或者重大遗漏，并对其内容的真实性、准确性和完整
性承担法律责任。</x:v>
      </x:c>
    </x:row>
    <x:row r="511">
      <x:c r="A511" t="str">
        <x:v>7f53de01-9d02-471e-82ca-a1766ce62288</x:v>
      </x:c>
      <x:c r="B511" t="str">
        <x:v>600926</x:v>
      </x:c>
      <x:c r="C511" t="str">
        <x:v>杭州银行</x:v>
      </x:c>
      <x:c r="D511" t="str">
        <x:v>2026-03-31</x:v>
      </x:c>
      <x:c r="E511" t="str">
        <x:v>first_quarter</x:v>
      </x:c>
      <x:c r="F511" t="str">
        <x:v>revenue</x:v>
      </x:c>
      <x:c r="G511" t="n">
        <x:v>10405564</x:v>
      </x:c>
      <x:c r="H511" t="str">
        <x:v>reported_amount</x:v>
      </x:c>
      <x:c r="I511" t="n">
        <x:v>1</x:v>
      </x:c>
      <x:c r="J511" t="str">
        <x:v>营业收入</x:v>
      </x:c>
      <x:c r="K511" t="str">
        <x:v>candidate_pending_automated_verification</x:v>
      </x:c>
      <x:c r="L511" t="str">
        <x:v>https://static.cninfo.com.cn/finalpage/2026-04-23/1225157147.PDF</x:v>
      </x:c>
      <x:c r="M511" t="str">
        <x:v>eb3685bd48ffcfb109ba1db1ff6fdf65b5556e3776057d14c48cbe2b18569349</x:v>
      </x:c>
      <x:c r="N511" t="str">
        <x:v>与指标均为合并报表数据，货币单位以人
民币列示。
第一季度财务报表是否经审计：○是 √否
一、主要财务数据
(一)主要会计数据和财务指标
单位：人民币千元
项目 2026 年 1-3 月 2025 年 1-3 月 比上年同期增减
（%）
营业收入 10,405,564 9,977,642 4.29
归属于上市公司股东的净利润 6,628,893 6,021,119 10.09
归属于上市公司股东的扣除非
经常性损益的净利润 6,615,750 5,968,331 10.85
经营活动产生的现金流量净额 -36,859,130 47,295,319 -177.93
本公司董事会及全体董事保证本公告内容不存在任何虚假记
载、</x:v>
      </x:c>
    </x:row>
    <x:row r="512">
      <x:c r="A512" t="str">
        <x:v>5198288c-6e24-44e6-b71d-68eab43e1316</x:v>
      </x:c>
      <x:c r="B512" t="str">
        <x:v>601169</x:v>
      </x:c>
      <x:c r="C512" t="str">
        <x:v>北京银行</x:v>
      </x:c>
      <x:c r="D512" t="str">
        <x:v>2026-03-31</x:v>
      </x:c>
      <x:c r="E512" t="str">
        <x:v>first_quarter</x:v>
      </x:c>
      <x:c r="F512" t="str">
        <x:v>bonds_payable</x:v>
      </x:c>
      <x:c r="G512" t="n">
        <x:v>631277</x:v>
      </x:c>
      <x:c r="H512" t="str">
        <x:v>CNY</x:v>
      </x:c>
      <x:c r="I512" t="n">
        <x:v>17</x:v>
      </x:c>
      <x:c r="J512" t="str">
        <x:v>应付债券</x:v>
      </x:c>
      <x:c r="K512" t="str">
        <x:v>candidate_pending_automated_verification</x:v>
      </x:c>
      <x:c r="L512" t="str">
        <x:v>https://static.cninfo.com.cn/finalpage/2026-04-28/1225217679.PDF</x:v>
      </x:c>
      <x:c r="M512" t="str">
        <x:v>4ddf81751c446310d729978abd41e65df443430a2a5ea077bf6f148662af4138</x:v>
      </x:c>
      <x:c r="N512" t="str">
        <x:v>应付职工薪酬 2,121 2,658 1,951 2,410
应交税费 4,353 2,865 4,125 2,680
预计负债 3,170 3,596 3,170 3,596
应付债券 631,277 694,394 631,277 694,394
租赁负债 4,324 4,473 4,205 4,409
其他负债 63,420 64,750 18,179 16,529
负债合计 4,559,331 4,559,628 4,491,516 4,484,579
股东权益：
股本 21,143 21,143 21,143 21,143
其他权益工具 102,</x:v>
      </x:c>
    </x:row>
    <x:row r="513">
      <x:c r="A513" t="str">
        <x:v>acd3e36b-b445-4d56-83b0-46d56b9324a0</x:v>
      </x:c>
      <x:c r="B513" t="str">
        <x:v>601169</x:v>
      </x:c>
      <x:c r="C513" t="str">
        <x:v>北京银行</x:v>
      </x:c>
      <x:c r="D513" t="str">
        <x:v>2026-03-31</x:v>
      </x:c>
      <x:c r="E513" t="str">
        <x:v>first_quarter</x:v>
      </x:c>
      <x:c r="F513" t="str">
        <x:v>revenue</x:v>
      </x:c>
      <x:c r="G513" t="n">
        <x:v>19599</x:v>
      </x:c>
      <x:c r="H513" t="str">
        <x:v>reported_amount</x:v>
      </x:c>
      <x:c r="I513" t="n">
        <x:v>2</x:v>
      </x:c>
      <x:c r="J513" t="str">
        <x:v>营业收入</x:v>
      </x:c>
      <x:c r="K513" t="str">
        <x:v>candidate_pending_automated_verification</x:v>
      </x:c>
      <x:c r="L513" t="str">
        <x:v>https://static.cninfo.com.cn/finalpage/2026-04-28/1225217679.PDF</x:v>
      </x:c>
      <x:c r="M513" t="str">
        <x:v>4ddf81751c446310d729978abd41e65df443430a2a5ea077bf6f148662af4138</x:v>
      </x:c>
      <x:c r="N513" t="str">
        <x:v>一、 主要财务数据
(一)主要会计数据和财务指标
单位：百万元 币种：人民币
项目 本报告期 上年同期
本报告期比上年同
期增减变动幅度(%)
营业收入 19,599 17,127 14.43
归属于母公司股东的净利润 8,098 7,672 5.55
归属于母公司股东的扣除非经常
性损益的净利润 8,112 7,675 5.69
经营活动产生/（使用）的现金流
量净额 63,921 (11,611) 不适用
基本每股收益（元/股） 0.38 0.36 5.56
稀释每股收益（元/股） 0.38 0.36 5.56
加权</x:v>
      </x:c>
    </x:row>
    <x:row r="514">
      <x:c r="A514" t="str">
        <x:v>4f4d8948-9272-48b9-957e-aa48426cf51f</x:v>
      </x:c>
      <x:c r="B514" t="str">
        <x:v>601169</x:v>
      </x:c>
      <x:c r="C514" t="str">
        <x:v>北京银行</x:v>
      </x:c>
      <x:c r="D514" t="str">
        <x:v>2025-12-31</x:v>
      </x:c>
      <x:c r="E514" t="str">
        <x:v>annual</x:v>
      </x:c>
      <x:c r="F514" t="str">
        <x:v>eps_annual</x:v>
      </x:c>
      <x:c r="G514" t="n">
        <x:v>0.78</x:v>
      </x:c>
      <x:c r="H514" t="str">
        <x:v>CNY/share</x:v>
      </x:c>
      <x:c r="I514" t="n">
        <x:v>25</x:v>
      </x:c>
      <x:c r="J514" t="str">
        <x:v>基本每股收益</x:v>
      </x:c>
      <x:c r="K514" t="str">
        <x:v>candidate_pending_automated_verification</x:v>
      </x:c>
      <x:c r="L514" t="str">
        <x:v>https://static.cninfo.com.cn/finalpage/2026-04-28/1225217669.PDF</x:v>
      </x:c>
      <x:c r="M514" t="str">
        <x:v>e668db3e5d979f45653a271bc9d7a15cd39565f512f6f8e8a0d3aa33b6210eae</x:v>
      </x:c>
      <x:c r="N514" t="str">
        <x:v>公司股东的扣除非经常性损
益后的净利润 20,140 26,412 25,909 (23.75) 25,411
经营活动产生的现金流量净额 378,955 129,547 129,547 192.52 41,978
每股比率（元 / 股）
基本每股收益 0.78 1.09 1.07 (28.44) 1.06
稀释每股收益 0.78 1.09 1.07 (28.44) 1.06
扣除非经常性损益后的基本每股收益 0.79 1.09 1.07 (27.52) 1.05
每股经营活动产生的现金流量净额 17.92 6.13 6.13 192.33 1.99
报告期内，本公司实现营业收入 680.36 亿元，实现归属于母公</x:v>
      </x:c>
    </x:row>
    <x:row r="515">
      <x:c r="A515" t="str">
        <x:v>7842ea3f-ba52-41db-be16-a14c6c9e2cc4</x:v>
      </x:c>
      <x:c r="B515" t="str">
        <x:v>601169</x:v>
      </x:c>
      <x:c r="C515" t="str">
        <x:v>北京银行</x:v>
      </x:c>
      <x:c r="D515" t="str">
        <x:v>2025-12-31</x:v>
      </x:c>
      <x:c r="E515" t="str">
        <x:v>annual</x:v>
      </x:c>
      <x:c r="F515" t="str">
        <x:v>operating_cash_flow</x:v>
      </x:c>
      <x:c r="G515" t="n">
        <x:v>378955</x:v>
      </x:c>
      <x:c r="H515" t="str">
        <x:v>CNY</x:v>
      </x:c>
      <x:c r="I515" t="n">
        <x:v>164</x:v>
      </x:c>
      <x:c r="J515" t="str">
        <x:v>经营活动产生的现金流量净额</x:v>
      </x:c>
      <x:c r="K515" t="str">
        <x:v>candidate_pending_automated_verification</x:v>
      </x:c>
      <x:c r="L515" t="str">
        <x:v>https://static.cninfo.com.cn/finalpage/2026-04-28/1225217669.PDF</x:v>
      </x:c>
      <x:c r="M515" t="str">
        <x:v>e668db3e5d979f45653a271bc9d7a15cd39565f512f6f8e8a0d3aa33b6210eae</x:v>
      </x:c>
      <x:c r="N515" t="str">
        <x:v>(11,787) (10,732)
支付其他与经营活动有关的现金 (16,541) (33,412) (12,919) (32,153)
经营活动现金流出小计 (345,709) (387,735) (338,238) (372,663)
经营活动产生的现金流量净额 45 378,955 129,547 381,256 108,927
后附财务报表附注为本财务报表的组成部分。
北京银行股份有限公司合并现金流量表和现金流量表
2025 年度</x:v>
      </x:c>
    </x:row>
    <x:row r="516">
      <x:c r="A516" t="str">
        <x:v>20afceed-928e-4d50-87ef-0f5270bbd939</x:v>
      </x:c>
      <x:c r="B516" t="str">
        <x:v>601169</x:v>
      </x:c>
      <x:c r="C516" t="str">
        <x:v>北京银行</x:v>
      </x:c>
      <x:c r="D516" t="str">
        <x:v>2025-12-31</x:v>
      </x:c>
      <x:c r="E516" t="str">
        <x:v>annual</x:v>
      </x:c>
      <x:c r="F516" t="str">
        <x:v>bonds_payable</x:v>
      </x:c>
      <x:c r="G516" t="n">
        <x:v>694394</x:v>
      </x:c>
      <x:c r="H516" t="str">
        <x:v>CNY</x:v>
      </x:c>
      <x:c r="I516" t="n">
        <x:v>155</x:v>
      </x:c>
      <x:c r="J516" t="str">
        <x:v>应付债券</x:v>
      </x:c>
      <x:c r="K516" t="str">
        <x:v>candidate_pending_automated_verification</x:v>
      </x:c>
      <x:c r="L516" t="str">
        <x:v>https://static.cninfo.com.cn/finalpage/2026-04-28/1225217669.PDF</x:v>
      </x:c>
      <x:c r="M516" t="str">
        <x:v>e668db3e5d979f45653a271bc9d7a15cd39565f512f6f8e8a0d3aa33b6210eae</x:v>
      </x:c>
      <x:c r="N516" t="str">
        <x:v>5 2,720,675 2,478,755
应付职工薪酬 20 2,658 2,896 2,410 2,693
应交税费 21 2,865 3,031 2,680 2,998
预计负债 22 3,596 3,902 3,596 3,902
应付债券 23 694,394 548,144 694,394 548,144
租赁负债 4,473 5,304 4,409 5,171
其他负债 24 64,750 68,210 16,529 14,605
负债合计 4,559,628 3,863,202 4,484,579 3,788,078
后附财务报表附注为本财务报表的组成部分。</x:v>
      </x:c>
    </x:row>
    <x:row r="517">
      <x:c r="A517" t="str">
        <x:v>d35c459d-88eb-4bf0-b790-82dd46b81d27</x:v>
      </x:c>
      <x:c r="B517" t="str">
        <x:v>601169</x:v>
      </x:c>
      <x:c r="C517" t="str">
        <x:v>北京银行</x:v>
      </x:c>
      <x:c r="D517" t="str">
        <x:v>2025-12-31</x:v>
      </x:c>
      <x:c r="E517" t="str">
        <x:v>annual</x:v>
      </x:c>
      <x:c r="F517" t="str">
        <x:v>operating_cash_flow</x:v>
      </x:c>
      <x:c r="G517" t="n">
        <x:v>378955</x:v>
      </x:c>
      <x:c r="H517" t="str">
        <x:v>reported_amount</x:v>
      </x:c>
      <x:c r="I517" t="n">
        <x:v>25</x:v>
      </x:c>
      <x:c r="J517" t="str">
        <x:v>经营活动产生的现金流量净额</x:v>
      </x:c>
      <x:c r="K517" t="str">
        <x:v>candidate_pending_automated_verification</x:v>
      </x:c>
      <x:c r="L517" t="str">
        <x:v>https://static.cninfo.com.cn/finalpage/2026-04-28/1225217669.PDF</x:v>
      </x:c>
      <x:c r="M517" t="str">
        <x:v>e668db3e5d979f45653a271bc9d7a15cd39565f512f6f8e8a0d3aa33b6210eae</x:v>
      </x:c>
      <x:c r="N517" t="str">
        <x:v>44) 28,017
归属于母公司股东的净利润 20,086 26,334 25,831 (23.73) 25,624
归属于母公司股东的扣除非经常性损
益后的净利润 20,140 26,412 25,909 (23.75) 25,411
经营活动产生的现金流量净额 378,955 129,547 129,547 192.52 41,978
每股比率（元 / 股）
基本每股收益 0.78 1.09 1.07 (28.44) 1.06
稀释每股收益 0.78 1.09 1.07 (28.44) 1.06
扣除非经常性损益后的基本每股收益 0.79 1.09 1.07 (27.52) 1.05
每股经营活动产生的现金流量净额 17.92 </x:v>
      </x:c>
    </x:row>
    <x:row r="518">
      <x:c r="A518" t="str">
        <x:v>ba779782-8ad1-472a-87e1-9f59bea3c9b8</x:v>
      </x:c>
      <x:c r="B518" t="str">
        <x:v>601169</x:v>
      </x:c>
      <x:c r="C518" t="str">
        <x:v>北京银行</x:v>
      </x:c>
      <x:c r="D518" t="str">
        <x:v>2025-12-31</x:v>
      </x:c>
      <x:c r="E518" t="str">
        <x:v>annual</x:v>
      </x:c>
      <x:c r="F518" t="str">
        <x:v>revenue</x:v>
      </x:c>
      <x:c r="G518" t="n">
        <x:v>68036</x:v>
      </x:c>
      <x:c r="H518" t="str">
        <x:v>reported_amount</x:v>
      </x:c>
      <x:c r="I518" t="n">
        <x:v>25</x:v>
      </x:c>
      <x:c r="J518" t="str">
        <x:v>营业收入</x:v>
      </x:c>
      <x:c r="K518" t="str">
        <x:v>candidate_pending_automated_verification</x:v>
      </x:c>
      <x:c r="L518" t="str">
        <x:v>https://static.cninfo.com.cn/finalpage/2026-04-28/1225217669.PDF</x:v>
      </x:c>
      <x:c r="M518" t="str">
        <x:v>e668db3e5d979f45653a271bc9d7a15cd39565f512f6f8e8a0d3aa33b6210eae</x:v>
      </x:c>
      <x:c r="N518" t="str">
        <x:v>券的公司信息披露编报规则第 9 号—净资产收益率和每股收益的计算及披露》 （证监会公告〔2010〕2 号）
规定计算。
项目 2025 年
2024 年
本期比上年
同期增减 (%) 2023 年
调整后 调整前
经营业绩（人民币百万元）
营业收入 68,036 70,420 69,917 (3.39) 66,711
营业利润 20,752 29,003 28,500 (28.45) 28,112
利润总额 20,714 28,946 28,443 (28.44) 28,017
归属于母公司股东的净利润 20,086 26,334 25,831 (23.73) 25,624
归属于母公司股东的扣除非经常性损
益后的</x:v>
      </x:c>
    </x:row>
    <x:row r="519">
      <x:c r="A519" t="str">
        <x:v>0081c9bf-1272-434e-bf8c-f8e28d80fcc3</x:v>
      </x:c>
      <x:c r="B519" t="str">
        <x:v>601229</x:v>
      </x:c>
      <x:c r="C519" t="str">
        <x:v>上海银行</x:v>
      </x:c>
      <x:c r="D519" t="str">
        <x:v>2026-03-31</x:v>
      </x:c>
      <x:c r="E519" t="str">
        <x:v>first_quarter</x:v>
      </x:c>
      <x:c r="F519" t="str">
        <x:v>operating_cash_flow</x:v>
      </x:c>
      <x:c r="G519" t="n">
        <x:v>-135959</x:v>
      </x:c>
      <x:c r="H519" t="str">
        <x:v>reported_amount</x:v>
      </x:c>
      <x:c r="I519" t="n">
        <x:v>2</x:v>
      </x:c>
      <x:c r="J519" t="str">
        <x:v>经营活动产生的现金流量净额</x:v>
      </x:c>
      <x:c r="K519" t="str">
        <x:v>candidate_pending_automated_verification</x:v>
      </x:c>
      <x:c r="L519" t="str">
        <x:v>https://static.cninfo.com.cn/finalpage/2026-04-24/1225173732.PDF</x:v>
      </x:c>
      <x:c r="M519" t="str">
        <x:v>4fd3217ab0a1486792f3d6eba50eb832ea63a25061f8c6eff80eb5a594e947cb</x:v>
      </x:c>
      <x:c r="N519" t="str">
        <x:v>业收入 14,175,085 13,597,149 4.25%
归属于母公司股东的净利润 6,333,618 6,292,061 0.66%
归属于母公司股东的
扣除非经常性损益的净利润 6,333,184 6,263,600 1.11%
经营活动产生的现金流量净额 -135,959 -143,859,106 99.91%
基本每股收益（人民币元/股） 0.45 0.44 2.27%
稀释每股收益（人民币元/股） 0.39 0.39 -
年化平均资产收益率 0.76% 0.77% 下降0.01个百分点
年化归属于母公司普通股股东
的加权平均净资产收益率 10.16% 10.64% 下降0.48个百分点
项目 2026 年 3 月 31 </x:v>
      </x:c>
    </x:row>
    <x:row r="520">
      <x:c r="A520" t="str">
        <x:v>8967726d-79c7-440c-9559-62dd19bff0f5</x:v>
      </x:c>
      <x:c r="B520" t="str">
        <x:v>601229</x:v>
      </x:c>
      <x:c r="C520" t="str">
        <x:v>上海银行</x:v>
      </x:c>
      <x:c r="D520" t="str">
        <x:v>2026-03-31</x:v>
      </x:c>
      <x:c r="E520" t="str">
        <x:v>first_quarter</x:v>
      </x:c>
      <x:c r="F520" t="str">
        <x:v>bonds_payable</x:v>
      </x:c>
      <x:c r="G520" t="n">
        <x:v>559486586</x:v>
      </x:c>
      <x:c r="H520" t="str">
        <x:v>CNY</x:v>
      </x:c>
      <x:c r="I520" t="n">
        <x:v>11</x:v>
      </x:c>
      <x:c r="J520" t="str">
        <x:v>应付债券</x:v>
      </x:c>
      <x:c r="K520" t="str">
        <x:v>candidate_pending_automated_verification</x:v>
      </x:c>
      <x:c r="L520" t="str">
        <x:v>https://static.cninfo.com.cn/finalpage/2026-04-24/1225173732.PDF</x:v>
      </x:c>
      <x:c r="M520" t="str">
        <x:v>4fd3217ab0a1486792f3d6eba50eb832ea63a25061f8c6eff80eb5a594e947cb</x:v>
      </x:c>
      <x:c r="N520" t="str">
        <x:v>6,601,755 5,226,513 6,461,808
应交税费 5,786,499 4,521,860 5,661,276 4,420,400
预计负债 1,982,821 2,975,909 1,972,203 2,958,561
应付债券 559,486,586 554,554,188 557,379,821 552,133,113
租赁负债 1,301,435 1,277,683 1,235,713 1,243,529
递延所得税负债 2,388 3,196 - -
其他负债 11,418,519 8,510,807 10,890,473 7,151,499
负债合计 3,115,263,113 3,052,22</x:v>
      </x:c>
    </x:row>
    <x:row r="521">
      <x:c r="A521" t="str">
        <x:v>948af98c-7e93-4344-a7bc-60c291c79980</x:v>
      </x:c>
      <x:c r="B521" t="str">
        <x:v>601229</x:v>
      </x:c>
      <x:c r="C521" t="str">
        <x:v>上海银行</x:v>
      </x:c>
      <x:c r="D521" t="str">
        <x:v>2026-03-31</x:v>
      </x:c>
      <x:c r="E521" t="str">
        <x:v>first_quarter</x:v>
      </x:c>
      <x:c r="F521" t="str">
        <x:v>roe</x:v>
      </x:c>
      <x:c r="G521" t="n">
        <x:v>10.16</x:v>
      </x:c>
      <x:c r="H521" t="str">
        <x:v>percent</x:v>
      </x:c>
      <x:c r="I521" t="n">
        <x:v>2</x:v>
      </x:c>
      <x:c r="J521" t="str">
        <x:v>加权平均净资产收益率</x:v>
      </x:c>
      <x:c r="K521" t="str">
        <x:v>candidate_pending_automated_verification</x:v>
      </x:c>
      <x:c r="L521" t="str">
        <x:v>https://static.cninfo.com.cn/finalpage/2026-04-24/1225173732.PDF</x:v>
      </x:c>
      <x:c r="M521" t="str">
        <x:v>4fd3217ab0a1486792f3d6eba50eb832ea63a25061f8c6eff80eb5a594e947cb</x:v>
      </x:c>
      <x:c r="N521" t="str">
        <x:v>59,106 99.91%
基本每股收益（人民币元/股） 0.45 0.44 2.27%
稀释每股收益（人民币元/股） 0.39 0.39 -
年化平均资产收益率 0.76% 0.77% 下降0.01个百分点
年化归属于母公司普通股股东
的加权平均净资产收益率 10.16% 10.64% 下降0.48个百分点
项目 2026 年 3 月 31 日 2025 年 12 月 31 日 较上年度末变动
资产总额 3,378,606,821 3,308,751,732 2.11%
归属于母公司股东的净资产 263,024,405 256,200,451 2.66%
归属于母公司普通股股东的
净资产 253,024,405 246,2</x:v>
      </x:c>
    </x:row>
    <x:row r="522">
      <x:c r="A522" t="str">
        <x:v>f2162863-a121-4f9c-bf26-53865df074f1</x:v>
      </x:c>
      <x:c r="B522" t="str">
        <x:v>601229</x:v>
      </x:c>
      <x:c r="C522" t="str">
        <x:v>上海银行</x:v>
      </x:c>
      <x:c r="D522" t="str">
        <x:v>2026-03-31</x:v>
      </x:c>
      <x:c r="E522" t="str">
        <x:v>first_quarter</x:v>
      </x:c>
      <x:c r="F522" t="str">
        <x:v>revenue</x:v>
      </x:c>
      <x:c r="G522" t="n">
        <x:v>14175085</x:v>
      </x:c>
      <x:c r="H522" t="str">
        <x:v>reported_amount</x:v>
      </x:c>
      <x:c r="I522" t="n">
        <x:v>2</x:v>
      </x:c>
      <x:c r="J522" t="str">
        <x:v>营业收入</x:v>
      </x:c>
      <x:c r="K522" t="str">
        <x:v>candidate_pending_automated_verification</x:v>
      </x:c>
      <x:c r="L522" t="str">
        <x:v>https://static.cninfo.com.cn/finalpage/2026-04-24/1225173732.PDF</x:v>
      </x:c>
      <x:c r="M522" t="str">
        <x:v>4fd3217ab0a1486792f3d6eba50eb832ea63a25061f8c6eff80eb5a594e947cb</x:v>
      </x:c>
      <x:c r="N522" t="str">
        <x:v>2
一、主要财务数据
（一）主要会计数据和财务指标
单位：人民币千元
项目 2026 年 1-3 月 2025 年 1-3 月 较上年同期变动
营业收入 14,175,085 13,597,149 4.25%
归属于母公司股东的净利润 6,333,618 6,292,061 0.66%
归属于母公司股东的
扣除非经常性损益的净利润 6,333,184 6,263,600 1.11%
经营活动产生的现金流量净额 -135,959 -143,859,106 99.91%
基本每股收益（人民币元/股） 0.45 0.44 2.27%
</x:v>
      </x:c>
    </x:row>
    <x:row r="523">
      <x:c r="A523" t="str">
        <x:v>adc5ffdb-2b62-46d5-8082-1087a463092a</x:v>
      </x:c>
      <x:c r="B523" t="str">
        <x:v>601229</x:v>
      </x:c>
      <x:c r="C523" t="str">
        <x:v>上海银行</x:v>
      </x:c>
      <x:c r="D523" t="str">
        <x:v>2025-12-31</x:v>
      </x:c>
      <x:c r="E523" t="str">
        <x:v>annual</x:v>
      </x:c>
      <x:c r="F523" t="str">
        <x:v>revenue</x:v>
      </x:c>
      <x:c r="G523" t="n">
        <x:v>54761019</x:v>
      </x:c>
      <x:c r="H523" t="str">
        <x:v>reported_amount</x:v>
      </x:c>
      <x:c r="I523" t="n">
        <x:v>16</x:v>
      </x:c>
      <x:c r="J523" t="str">
        <x:v>营业收入</x:v>
      </x:c>
      <x:c r="K523" t="str">
        <x:v>candidate_pending_automated_verification</x:v>
      </x:c>
      <x:c r="L523" t="str">
        <x:v>https://static.cninfo.com.cn/finalpage/2026-04-24/1225173739.PDF</x:v>
      </x:c>
      <x:c r="M523" t="str">
        <x:v>ee03fef968462982fd65e5f5f39aa77fe9cc7731bfb51f9b97e3feafdc271d3e</x:v>
      </x:c>
      <x:c r="N523" t="str">
        <x:v>,088 2.64% 35,164,078 
手续费及佣金净收入 3,707,007 3,958,816 -6.36% 4,915,199 
其他非利息净收入 17,709,850 16,540,646 7.07% 10,485,197 
营业收入 54,761,019 52,985,550 3.35% 50,564,474 
业务及管理费 12,765,248 12,621,701 1.14% 12,446,006 
信用减值损失 12,950,559 12,446,606 4.05% 11,434,112 
营业利润 28,393,783 27,302,367 4.00% 26,029,504 
利润总额 28,283</x:v>
      </x:c>
    </x:row>
    <x:row r="524">
      <x:c r="A524" t="str">
        <x:v>195a4607-bb1f-4589-8048-511e598521f9</x:v>
      </x:c>
      <x:c r="B524" t="str">
        <x:v>601229</x:v>
      </x:c>
      <x:c r="C524" t="str">
        <x:v>上海银行</x:v>
      </x:c>
      <x:c r="D524" t="str">
        <x:v>2025-12-31</x:v>
      </x:c>
      <x:c r="E524" t="str">
        <x:v>annual</x:v>
      </x:c>
      <x:c r="F524" t="str">
        <x:v>bonds_payable</x:v>
      </x:c>
      <x:c r="G524" t="n">
        <x:v>554554188</x:v>
      </x:c>
      <x:c r="H524" t="str">
        <x:v>CNY</x:v>
      </x:c>
      <x:c r="I524" t="n">
        <x:v>57</x:v>
      </x:c>
      <x:c r="J524" t="str">
        <x:v>应付债券</x:v>
      </x:c>
      <x:c r="K524" t="str">
        <x:v>candidate_pending_automated_verification</x:v>
      </x:c>
      <x:c r="L524" t="str">
        <x:v>https://static.cninfo.com.cn/finalpage/2026-04-24/1225173739.PDF</x:v>
      </x:c>
      <x:c r="M524" t="str">
        <x:v>ee03fef968462982fd65e5f5f39aa77fe9cc7731bfb51f9b97e3feafdc271d3e</x:v>
      </x:c>
      <x:c r="N524" t="str">
        <x:v>上海银行股份有限公司 2025 年度报告 
56 
卖出回购金融资产款 122,607,430 4.02% 180,156,606 6.06% 
应付债券 554,554,188 18.17% 463,665,944 15.60% 
其他
注
 31,344,132 1.03% 43,468,800 1.46% 
负债总额 3,052,226,092 100.00% 2,971,998,867 100.00% 
注： 
1、包括衍生金融负债、应付职工薪酬、应交税费、预计负债、租赁负债、递延所得税负债及其他 
负债； 
2、尾差为四舍</x:v>
      </x:c>
    </x:row>
    <x:row r="525">
      <x:c r="A525" t="str">
        <x:v>316225a2-2c22-48fa-bd11-92f269d14d07</x:v>
      </x:c>
      <x:c r="B525" t="str">
        <x:v>601229</x:v>
      </x:c>
      <x:c r="C525" t="str">
        <x:v>上海银行</x:v>
      </x:c>
      <x:c r="D525" t="str">
        <x:v>2025-12-31</x:v>
      </x:c>
      <x:c r="E525" t="str">
        <x:v>annual</x:v>
      </x:c>
      <x:c r="F525" t="str">
        <x:v>eps_annual</x:v>
      </x:c>
      <x:c r="G525" t="n">
        <x:v>1.65</x:v>
      </x:c>
      <x:c r="H525" t="str">
        <x:v>CNY/share</x:v>
      </x:c>
      <x:c r="I525" t="n">
        <x:v>16</x:v>
      </x:c>
      <x:c r="J525" t="str">
        <x:v>基本每股收益</x:v>
      </x:c>
      <x:c r="K525" t="str">
        <x:v>candidate_pending_automated_verification</x:v>
      </x:c>
      <x:c r="L525" t="str">
        <x:v>https://static.cninfo.com.cn/finalpage/2026-04-24/1225173739.PDF</x:v>
      </x:c>
      <x:c r="M525" t="str">
        <x:v>ee03fef968462982fd65e5f5f39aa77fe9cc7731bfb51f9b97e3feafdc271d3e</x:v>
      </x:c>
      <x:c r="N525" t="str">
        <x:v>性损益
的净利润 24,220,648 23,615,165 2.56% 22,237,469 
经营活动产生的现金流量净额 -67,761,537 4,081,548 -1,760.19% 4,040,247 
每股计（人民币元/股） 
基本每股收益 1.65 1.60 3.12% 1.53  
稀释每股收益 1.46 1.44 1.39% 1.37 
扣除非经常性损益后的基本每股收益 1.65 1.61 2.48% 1.51 
每股经营活动产生的现金流量净额 -4.77 0.29 -1,744.83% 0.28 
资产负债 2025 年 
12 月 31 日 
2024 年 
12 月 31 日 变化 2023</x:v>
      </x:c>
    </x:row>
    <x:row r="526">
      <x:c r="A526" t="str">
        <x:v>717d679b-cb9a-4a96-aaed-4e7fd788b93b</x:v>
      </x:c>
      <x:c r="B526" t="str">
        <x:v>601229</x:v>
      </x:c>
      <x:c r="C526" t="str">
        <x:v>上海银行</x:v>
      </x:c>
      <x:c r="D526" t="str">
        <x:v>2025-12-31</x:v>
      </x:c>
      <x:c r="E526" t="str">
        <x:v>annual</x:v>
      </x:c>
      <x:c r="F526" t="str">
        <x:v>operating_cash_flow</x:v>
      </x:c>
      <x:c r="G526" t="n">
        <x:v>-67761537</x:v>
      </x:c>
      <x:c r="H526" t="str">
        <x:v>reported_amount</x:v>
      </x:c>
      <x:c r="I526" t="n">
        <x:v>16</x:v>
      </x:c>
      <x:c r="J526" t="str">
        <x:v>经营活动产生的现金流量净额</x:v>
      </x:c>
      <x:c r="K526" t="str">
        <x:v>candidate_pending_automated_verification</x:v>
      </x:c>
      <x:c r="L526" t="str">
        <x:v>https://static.cninfo.com.cn/finalpage/2026-04-24/1225173739.PDF</x:v>
      </x:c>
      <x:c r="M526" t="str">
        <x:v>ee03fef968462982fd65e5f5f39aa77fe9cc7731bfb51f9b97e3feafdc271d3e</x:v>
      </x:c>
      <x:c r="N526" t="str">
        <x:v>44 
归属于母公司股东的净利润 24,193,414 23,559,890 2.69% 22,544,789 
归属于母公司股东的扣除非经常性损益
的净利润 24,220,648 23,615,165 2.56% 22,237,469 
经营活动产生的现金流量净额 -67,761,537 4,081,548 -1,760.19% 4,040,247 
每股计（人民币元/股） 
基本每股收益 1.65 1.60 3.12% 1.53  
稀释每股收益 1.46 1.44 1.39% 1.37 
扣除非经常性损益后的基本每股收益 1.65 1.61 2.48% 1.51 
每股经营活动产生的现金流量净额 -4.77 0.29 -1,744.83</x:v>
      </x:c>
    </x:row>
    <x:row r="527">
      <x:c r="A527" t="str">
        <x:v>9c722959-6a37-4edc-97dd-c6e32016969a</x:v>
      </x:c>
      <x:c r="B527" t="str">
        <x:v>600690</x:v>
      </x:c>
      <x:c r="C527" t="str">
        <x:v>海尔智家</x:v>
      </x:c>
      <x:c r="D527" t="str">
        <x:v>2026-03-31</x:v>
      </x:c>
      <x:c r="E527" t="str">
        <x:v>first_quarter</x:v>
      </x:c>
      <x:c r="F527" t="str">
        <x:v>long_term_borrowings</x:v>
      </x:c>
      <x:c r="G527" t="n">
        <x:v>11435947704.26</x:v>
      </x:c>
      <x:c r="H527" t="str">
        <x:v>CNY</x:v>
      </x:c>
      <x:c r="I527" t="n">
        <x:v>11</x:v>
      </x:c>
      <x:c r="J527" t="str">
        <x:v>长期借款</x:v>
      </x:c>
      <x:c r="K527" t="str">
        <x:v>candidate_pending_automated_verification</x:v>
      </x:c>
      <x:c r="L527" t="str">
        <x:v>https://static.cninfo.com.cn/finalpage/2026-04-28/1225215693.PDF</x:v>
      </x:c>
      <x:c r="M527" t="str">
        <x:v>df26bd666d5d671c454fbcf863e6a76dd2db579ebbb27275cacf15d1e9be5419</x:v>
      </x:c>
      <x:c r="N527" t="str">
        <x:v>2 8,678,897,462.98
其他流动负债 1,206,426,459.93 1,601,301,581.05
流动负债合计 138,229,547,779.08 142,346,283,620.95
非流动负债：
保险合同准备金
长期借款 11,435,947,704.26 11,165,886,169.09
应付债券 3,500,000,000.00 3,500,000,000.00
其中：优先股
永续债
租赁负债 4,484,237,262.99 4,551,410,567.84
长期应付款 165,960,035.50 167,862,276.79
长期应付职工薪酬 2,340,874,436.38 2,443,566,</x:v>
      </x:c>
    </x:row>
    <x:row r="528">
      <x:c r="A528" t="str">
        <x:v>1100e8e1-efc1-4c0c-bd04-633d43693b4c</x:v>
      </x:c>
      <x:c r="B528" t="str">
        <x:v>600690</x:v>
      </x:c>
      <x:c r="C528" t="str">
        <x:v>海尔智家</x:v>
      </x:c>
      <x:c r="D528" t="str">
        <x:v>2026-03-31</x:v>
      </x:c>
      <x:c r="E528" t="str">
        <x:v>first_quarter</x:v>
      </x:c>
      <x:c r="F528" t="str">
        <x:v>current_portion_long_term_debt</x:v>
      </x:c>
      <x:c r="G528" t="n">
        <x:v>5187110259.02</x:v>
      </x:c>
      <x:c r="H528" t="str">
        <x:v>CNY</x:v>
      </x:c>
      <x:c r="I528" t="n">
        <x:v>11</x:v>
      </x:c>
      <x:c r="J528" t="str">
        <x:v>一年内到期的非流动负债</x:v>
      </x:c>
      <x:c r="K528" t="str">
        <x:v>candidate_pending_automated_verification</x:v>
      </x:c>
      <x:c r="L528" t="str">
        <x:v>https://static.cninfo.com.cn/finalpage/2026-04-28/1225215693.PDF</x:v>
      </x:c>
      <x:c r="M528" t="str">
        <x:v>df26bd666d5d671c454fbcf863e6a76dd2db579ebbb27275cacf15d1e9be5419</x:v>
      </x:c>
      <x:c r="N528" t="str">
        <x:v>393,123,835.23
其他应付款 17,993,799,213.89 19,493,605,624.57
其中：应付利息
应付股利 1,373,409.41 54,860,109.41
应付手续费及佣金
应付分保账款
持有待售负债
一年内到期的非流动负债 5,187,110,259.02 8,678,897,462.98
其他流动负债 1,206,426,459.93 1,601,301,581.05
流动负债合计 138,229,547,779.08 142,346,283,620.95
非流动负债：
保险合同准备金
长期借款 11,435,947,704.26 11,165,886,169.09
应付债券 3,500,000,000.0</x:v>
      </x:c>
    </x:row>
    <x:row r="529">
      <x:c r="A529" t="str">
        <x:v>b96c1829-1a44-4485-8631-3b9d3cbfde80</x:v>
      </x:c>
      <x:c r="B529" t="str">
        <x:v>600690</x:v>
      </x:c>
      <x:c r="C529" t="str">
        <x:v>海尔智家</x:v>
      </x:c>
      <x:c r="D529" t="str">
        <x:v>2026-03-31</x:v>
      </x:c>
      <x:c r="E529" t="str">
        <x:v>first_quarter</x:v>
      </x:c>
      <x:c r="F529" t="str">
        <x:v>revenue</x:v>
      </x:c>
      <x:c r="G529" t="n">
        <x:v>73686720161.13</x:v>
      </x:c>
      <x:c r="H529" t="str">
        <x:v>reported_amount</x:v>
      </x:c>
      <x:c r="I529" t="n">
        <x:v>1</x:v>
      </x:c>
      <x:c r="J529" t="str">
        <x:v>营业收入</x:v>
      </x:c>
      <x:c r="K529" t="str">
        <x:v>candidate_pending_automated_verification</x:v>
      </x:c>
      <x:c r="L529" t="str">
        <x:v>https://static.cninfo.com.cn/finalpage/2026-04-28/1225215693.PDF</x:v>
      </x:c>
      <x:c r="M529" t="str">
        <x:v>df26bd666d5d671c454fbcf863e6a76dd2db579ebbb27275cacf15d1e9be5419</x:v>
      </x:c>
      <x:c r="N529" t="str">
        <x:v>会计主管人员）保证季度报告中财务信息
的真实、准确、完整。
第一季度财务报表是否经审计
□是 √否
一、主要财务数据
(一)主要会计数据和财务指标
单位：元 币种：人民币
项目 本报告期 上年同期
本报告期比上年同
期增减变动幅度
(%)
营业收入 73,686,720,161.13 79,118,173,583.72 -6.86
利润总额 5,720,788,744.93 6,840,333,484.64 -16.37
归属于上市公司股东的净利润 4,651,612,980.68 5,486,615,176.18 -15.22
归属于上市公司股东的扣除非经常性
损益的净利润
4,441,374,498.46 5,364,091,335</x:v>
      </x:c>
    </x:row>
    <x:row r="530">
      <x:c r="A530" t="str">
        <x:v>b0ca7315-93e7-4d97-9a30-c17a907717f4</x:v>
      </x:c>
      <x:c r="B530" t="str">
        <x:v>600690</x:v>
      </x:c>
      <x:c r="C530" t="str">
        <x:v>海尔智家</x:v>
      </x:c>
      <x:c r="D530" t="str">
        <x:v>2026-03-31</x:v>
      </x:c>
      <x:c r="E530" t="str">
        <x:v>first_quarter</x:v>
      </x:c>
      <x:c r="F530" t="str">
        <x:v>short_term_borrowings</x:v>
      </x:c>
      <x:c r="G530" t="n">
        <x:v>22656623168.39</x:v>
      </x:c>
      <x:c r="H530" t="str">
        <x:v>CNY</x:v>
      </x:c>
      <x:c r="I530" t="n">
        <x:v>10</x:v>
      </x:c>
      <x:c r="J530" t="str">
        <x:v>短期借款</x:v>
      </x:c>
      <x:c r="K530" t="str">
        <x:v>candidate_pending_automated_verification</x:v>
      </x:c>
      <x:c r="L530" t="str">
        <x:v>https://static.cninfo.com.cn/finalpage/2026-04-28/1225215693.PDF</x:v>
      </x:c>
      <x:c r="M530" t="str">
        <x:v>df26bd666d5d671c454fbcf863e6a76dd2db579ebbb27275cacf15d1e9be5419</x:v>
      </x:c>
      <x:c r="N530" t="str">
        <x:v>,091.02 2,301,113,869.91
非流动资产合计 138,989,747,743.29 142,961,578,605.17
资产总计 300,575,029,393.47 295,795,068,591.57
流动负债：
短期借款 22,656,623,168.39 17,420,784,420.86
向中央银行借款
拆入资金
交易性金融负债
衍生金融负债 82,570,190.33 190,868,603.05
应付票据 24,524,214,558.85 23,870,662,224.10
应付账款 53,790,188,053.81 53,544,741,780.87
预收款项
合同负债 5,207,550,27</x:v>
      </x:c>
    </x:row>
    <x:row r="531">
      <x:c r="A531" t="str">
        <x:v>e7566b9b-e2bd-4230-981a-3da692c1670b</x:v>
      </x:c>
      <x:c r="B531" t="str">
        <x:v>600690</x:v>
      </x:c>
      <x:c r="C531" t="str">
        <x:v>海尔智家</x:v>
      </x:c>
      <x:c r="D531" t="str">
        <x:v>2026-03-31</x:v>
      </x:c>
      <x:c r="E531" t="str">
        <x:v>first_quarter</x:v>
      </x:c>
      <x:c r="F531" t="str">
        <x:v>cash</x:v>
      </x:c>
      <x:c r="G531" t="n">
        <x:v>50580305356.36</x:v>
      </x:c>
      <x:c r="H531" t="str">
        <x:v>CNY</x:v>
      </x:c>
      <x:c r="I531" t="n">
        <x:v>9</x:v>
      </x:c>
      <x:c r="J531" t="str">
        <x:v>货币资金</x:v>
      </x:c>
      <x:c r="K531" t="str">
        <x:v>candidate_pending_automated_verification</x:v>
      </x:c>
      <x:c r="L531" t="str">
        <x:v>https://static.cninfo.com.cn/finalpage/2026-04-28/1225215693.PDF</x:v>
      </x:c>
      <x:c r="M531" t="str">
        <x:v>df26bd666d5d671c454fbcf863e6a76dd2db579ebbb27275cacf15d1e9be5419</x:v>
      </x:c>
      <x:c r="N531" t="str">
        <x:v>适用 √不适用
(二)财务报表
合并资产负债表
2026 年 3 月 31 日
编制单位：海尔智家股份有限公司
单位：元 币种:人民币 审计类型：未经审计
项目 2026 年 3 月 31 日 2025 年 12 月 31 日
流动资产：
货币资金 50,580,305,356.36 47,621,657,441.30
结算备付金
拆出资金
交易性金融资产 5,083,959,790.76 2,034,270,761.53
衍生金融资产 233,219,025.41 80,641,860.30
应收票据 7,079,589,072.29 6,482,353,046.34
应收账款 27,753,016,434.94 27,065,839</x:v>
      </x:c>
    </x:row>
    <x:row r="532">
      <x:c r="A532" t="str">
        <x:v>22789363-a757-4237-a952-65140e69f809</x:v>
      </x:c>
      <x:c r="B532" t="str">
        <x:v>600690</x:v>
      </x:c>
      <x:c r="C532" t="str">
        <x:v>海尔智家</x:v>
      </x:c>
      <x:c r="D532" t="str">
        <x:v>2026-03-31</x:v>
      </x:c>
      <x:c r="E532" t="str">
        <x:v>first_quarter</x:v>
      </x:c>
      <x:c r="F532" t="str">
        <x:v>operating_cash_flow</x:v>
      </x:c>
      <x:c r="G532" t="n">
        <x:v>1611474493.67</x:v>
      </x:c>
      <x:c r="H532" t="str">
        <x:v>reported_amount</x:v>
      </x:c>
      <x:c r="I532" t="n">
        <x:v>1</x:v>
      </x:c>
      <x:c r="J532" t="str">
        <x:v>经营活动产生的现金流量净额</x:v>
      </x:c>
      <x:c r="K532" t="str">
        <x:v>candidate_pending_automated_verification</x:v>
      </x:c>
      <x:c r="L532" t="str">
        <x:v>https://static.cninfo.com.cn/finalpage/2026-04-28/1225215693.PDF</x:v>
      </x:c>
      <x:c r="M532" t="str">
        <x:v>df26bd666d5d671c454fbcf863e6a76dd2db579ebbb27275cacf15d1e9be5419</x:v>
      </x:c>
      <x:c r="N532" t="str">
        <x:v>归属于上市公司股东的净利润 4,651,612,980.68 5,486,615,176.18 -15.22
归属于上市公司股东的扣除非经常性
损益的净利润
4,441,374,498.46 5,364,091,335.39 -17.20
经营活动产生的现金流量净额 1,611,474,493.67 2,284,614,694.47 -29.46
基本每股收益（元/股） 0.50 0.59 -15.25</x:v>
      </x:c>
    </x:row>
    <x:row r="533">
      <x:c r="A533" t="str">
        <x:v>bedd3a64-b355-4284-8a09-9bf0fa561b78</x:v>
      </x:c>
      <x:c r="B533" t="str">
        <x:v>600690</x:v>
      </x:c>
      <x:c r="C533" t="str">
        <x:v>海尔智家</x:v>
      </x:c>
      <x:c r="D533" t="str">
        <x:v>2026-03-31</x:v>
      </x:c>
      <x:c r="E533" t="str">
        <x:v>first_quarter</x:v>
      </x:c>
      <x:c r="F533" t="str">
        <x:v>net_income</x:v>
      </x:c>
      <x:c r="G533" t="n">
        <x:v>4651612980.68</x:v>
      </x:c>
      <x:c r="H533" t="str">
        <x:v>reported_amount</x:v>
      </x:c>
      <x:c r="I533" t="n">
        <x:v>1</x:v>
      </x:c>
      <x:c r="J533" t="str">
        <x:v>归属于上市公司股东的净利润</x:v>
      </x:c>
      <x:c r="K533" t="str">
        <x:v>candidate_pending_automated_verification</x:v>
      </x:c>
      <x:c r="L533" t="str">
        <x:v>https://static.cninfo.com.cn/finalpage/2026-04-28/1225215693.PDF</x:v>
      </x:c>
      <x:c r="M533" t="str">
        <x:v>df26bd666d5d671c454fbcf863e6a76dd2db579ebbb27275cacf15d1e9be5419</x:v>
      </x:c>
      <x:c r="N533" t="str">
        <x:v> 上年同期
本报告期比上年同
期增减变动幅度
(%)
营业收入 73,686,720,161.13 79,118,173,583.72 -6.86
利润总额 5,720,788,744.93 6,840,333,484.64 -16.37
归属于上市公司股东的净利润 4,651,612,980.68 5,486,615,176.18 -15.22
归属于上市公司股东的扣除非经常性
损益的净利润
4,441,374,498.46 5,364,091,335.39 -17.20
经营活动产生的现金流量净额 1,611,474,493.67 2,284,614,694.47 -29.46
基本每股收益（元/股） 0.50 0.59 -15.25</x:v>
      </x:c>
    </x:row>
    <x:row r="534">
      <x:c r="A534" t="str">
        <x:v>d1bf8602-1841-4613-8835-f3ffec1b79c3</x:v>
      </x:c>
      <x:c r="B534" t="str">
        <x:v>600690</x:v>
      </x:c>
      <x:c r="C534" t="str">
        <x:v>海尔智家</x:v>
      </x:c>
      <x:c r="D534" t="str">
        <x:v>2026-03-31</x:v>
      </x:c>
      <x:c r="E534" t="str">
        <x:v>first_quarter</x:v>
      </x:c>
      <x:c r="F534" t="str">
        <x:v>operating_cash_flow</x:v>
      </x:c>
      <x:c r="G534" t="n">
        <x:v>1611474493.67</x:v>
      </x:c>
      <x:c r="H534" t="str">
        <x:v>CNY</x:v>
      </x:c>
      <x:c r="I534" t="n">
        <x:v>14</x:v>
      </x:c>
      <x:c r="J534" t="str">
        <x:v>经营活动产生的现金流量净额</x:v>
      </x:c>
      <x:c r="K534" t="str">
        <x:v>candidate_pending_automated_verification</x:v>
      </x:c>
      <x:c r="L534" t="str">
        <x:v>https://static.cninfo.com.cn/finalpage/2026-04-28/1225215693.PDF</x:v>
      </x:c>
      <x:c r="M534" t="str">
        <x:v>df26bd666d5d671c454fbcf863e6a76dd2db579ebbb27275cacf15d1e9be5419</x:v>
      </x:c>
      <x:c r="N534" t="str">
        <x:v>940.37 4,367,046,203.63
支付其他与经营活动有关的现金 7,873,711,316.15 7,402,137,835.91
经营活动现金流出小计 79,283,250,237.16 81,294,753,523.38
经营活动产生的现金流量净额 1,611,474,493.67 2,284,614,694.47
二、投资活动产生的现金流量：
收回投资收到的现金 12,525,989,092.36 8,168,618,454.03
取得投资收益收到的现金 446,691,723.19 301,002,093.56
处置固定资产、无形资产和其他长期资产收
回的现金净额 4,013,700.74 2,790,225.50
处置子公司及其</x:v>
      </x:c>
    </x:row>
    <x:row r="535">
      <x:c r="A535" t="str">
        <x:v>ccbe5420-a4d3-47c9-a3e9-f727680f2a3c</x:v>
      </x:c>
      <x:c r="B535" t="str">
        <x:v>600690</x:v>
      </x:c>
      <x:c r="C535" t="str">
        <x:v>海尔智家</x:v>
      </x:c>
      <x:c r="D535" t="str">
        <x:v>2026-03-31</x:v>
      </x:c>
      <x:c r="E535" t="str">
        <x:v>first_quarter</x:v>
      </x:c>
      <x:c r="F535" t="str">
        <x:v>bonds_payable</x:v>
      </x:c>
      <x:c r="G535" t="n">
        <x:v>3500000000</x:v>
      </x:c>
      <x:c r="H535" t="str">
        <x:v>CNY</x:v>
      </x:c>
      <x:c r="I535" t="n">
        <x:v>11</x:v>
      </x:c>
      <x:c r="J535" t="str">
        <x:v>应付债券</x:v>
      </x:c>
      <x:c r="K535" t="str">
        <x:v>candidate_pending_automated_verification</x:v>
      </x:c>
      <x:c r="L535" t="str">
        <x:v>https://static.cninfo.com.cn/finalpage/2026-04-28/1225215693.PDF</x:v>
      </x:c>
      <x:c r="M535" t="str">
        <x:v>df26bd666d5d671c454fbcf863e6a76dd2db579ebbb27275cacf15d1e9be5419</x:v>
      </x:c>
      <x:c r="N535" t="str">
        <x:v>3 1,601,301,581.05
流动负债合计 138,229,547,779.08 142,346,283,620.95
非流动负债：
保险合同准备金
长期借款 11,435,947,704.26 11,165,886,169.09
应付债券 3,500,000,000.00 3,500,000,000.00
其中：优先股
永续债
租赁负债 4,484,237,262.99 4,551,410,567.84
长期应付款 165,960,035.50 167,862,276.79
长期应付职工薪酬 2,340,874,436.38 2,443,566,578.23
预计负债 2,420,802,210.98 2,490,370,0</x:v>
      </x:c>
    </x:row>
    <x:row r="536">
      <x:c r="A536" t="str">
        <x:v>082e72e1-5ad9-4316-a0f8-76e1f3a078d8</x:v>
      </x:c>
      <x:c r="B536" t="str">
        <x:v>601088</x:v>
      </x:c>
      <x:c r="C536" t="str">
        <x:v>中国神华</x:v>
      </x:c>
      <x:c r="D536" t="str">
        <x:v>2026-03-31</x:v>
      </x:c>
      <x:c r="E536" t="str">
        <x:v>first_quarter</x:v>
      </x:c>
      <x:c r="F536" t="str">
        <x:v>current_portion_long_term_debt</x:v>
      </x:c>
      <x:c r="G536" t="n">
        <x:v>8174</x:v>
      </x:c>
      <x:c r="H536" t="str">
        <x:v>CNY</x:v>
      </x:c>
      <x:c r="I536" t="n">
        <x:v>13</x:v>
      </x:c>
      <x:c r="J536" t="str">
        <x:v>一年内到期的非流动负债</x:v>
      </x:c>
      <x:c r="K536" t="str">
        <x:v>candidate_pending_automated_verification</x:v>
      </x:c>
      <x:c r="L536" t="str">
        <x:v>https://static.cninfo.com.cn/finalpage/2026-04-25/1225185746.PDF</x:v>
      </x:c>
      <x:c r="M536" t="str">
        <x:v>eafdac378c6aece9511c0e3c501ed99312a47addd138a5562d9710e66caf5959</x:v>
      </x:c>
      <x:c r="N536" t="str">
        <x:v>一季度报告
13 / 17
合同负债 4,715 3,810
应付职工薪酬 10,982 8,199
应交税费 6,697 9,145
其他应付款 14,630 12,948
其中：应付利息 113 23
应付股利 1,277 1,474
一年内到期的非流动负债 8,174 9,364
其他流动负债 2,425 3,846
流动负债合计 169,294 89,262
非流动负债：
长期借款 29,673 28,268
租赁负债 996 971
长期应付款 13,892 14,250
预计负债 9,997 9,960
递延所得税负债 1,763 1,760
其他非流动负债 1,781 1,839
非流动负债合计 58,102 5</x:v>
      </x:c>
    </x:row>
    <x:row r="537">
      <x:c r="A537" t="str">
        <x:v>12f5f073-48fb-401e-805e-13e46e6171f6</x:v>
      </x:c>
      <x:c r="B537" t="str">
        <x:v>601088</x:v>
      </x:c>
      <x:c r="C537" t="str">
        <x:v>中国神华</x:v>
      </x:c>
      <x:c r="D537" t="str">
        <x:v>2026-03-31</x:v>
      </x:c>
      <x:c r="E537" t="str">
        <x:v>first_quarter</x:v>
      </x:c>
      <x:c r="F537" t="str">
        <x:v>long_term_borrowings</x:v>
      </x:c>
      <x:c r="G537" t="n">
        <x:v>29673</x:v>
      </x:c>
      <x:c r="H537" t="str">
        <x:v>CNY</x:v>
      </x:c>
      <x:c r="I537" t="n">
        <x:v>13</x:v>
      </x:c>
      <x:c r="J537" t="str">
        <x:v>长期借款</x:v>
      </x:c>
      <x:c r="K537" t="str">
        <x:v>candidate_pending_automated_verification</x:v>
      </x:c>
      <x:c r="L537" t="str">
        <x:v>https://static.cninfo.com.cn/finalpage/2026-04-25/1225185746.PDF</x:v>
      </x:c>
      <x:c r="M537" t="str">
        <x:v>eafdac378c6aece9511c0e3c501ed99312a47addd138a5562d9710e66caf5959</x:v>
      </x:c>
      <x:c r="N537" t="str">
        <x:v>款 14,630 12,948
其中：应付利息 113 23
应付股利 1,277 1,474
一年内到期的非流动负债 8,174 9,364
其他流动负债 2,425 3,846
流动负债合计 169,294 89,262
非流动负债：
长期借款 29,673 28,268
租赁负债 996 971
长期应付款 13,892 14,250
预计负债 9,997 9,960
递延所得税负债 1,763 1,760
其他非流动负债 1,781 1,839
非流动负债合计 58,102 57,048
负债合计 227,396 146,310
所有者权益（或股东权益）：
实收资本（或股本） 21,689 19,869
资</x:v>
      </x:c>
    </x:row>
    <x:row r="538">
      <x:c r="A538" t="str">
        <x:v>5b298d1d-7e05-4cae-9cf4-82aac0134d66</x:v>
      </x:c>
      <x:c r="B538" t="str">
        <x:v>601088</x:v>
      </x:c>
      <x:c r="C538" t="str">
        <x:v>中国神华</x:v>
      </x:c>
      <x:c r="D538" t="str">
        <x:v>2026-03-31</x:v>
      </x:c>
      <x:c r="E538" t="str">
        <x:v>first_quarter</x:v>
      </x:c>
      <x:c r="F538" t="str">
        <x:v>short_term_borrowings</x:v>
      </x:c>
      <x:c r="G538" t="n">
        <x:v>86700</x:v>
      </x:c>
      <x:c r="H538" t="str">
        <x:v>CNY</x:v>
      </x:c>
      <x:c r="I538" t="n">
        <x:v>12</x:v>
      </x:c>
      <x:c r="J538" t="str">
        <x:v>短期借款</x:v>
      </x:c>
      <x:c r="K538" t="str">
        <x:v>candidate_pending_automated_verification</x:v>
      </x:c>
      <x:c r="L538" t="str">
        <x:v>https://static.cninfo.com.cn/finalpage/2026-04-25/1225185746.PDF</x:v>
      </x:c>
      <x:c r="M538" t="str">
        <x:v>eafdac378c6aece9511c0e3c501ed99312a47addd138a5562d9710e66caf5959</x:v>
      </x:c>
      <x:c r="N538" t="str">
        <x:v>69,857
长期待摊费用 5,651 5,849
递延所得税资产 6,926 6,696
其他非流动资产 161,605 26,076
非流动资产合计 615,645 480,792
资产总计 783,279 627,761
流动负债：
短期借款 86,700 409
应付票据 521 337
应付账款 34,365 41,176
预收款项 85 28</x:v>
      </x:c>
    </x:row>
    <x:row r="539">
      <x:c r="A539" t="str">
        <x:v>77802acc-ad61-488f-b542-fd293f297758</x:v>
      </x:c>
      <x:c r="B539" t="str">
        <x:v>601088</x:v>
      </x:c>
      <x:c r="C539" t="str">
        <x:v>中国神华</x:v>
      </x:c>
      <x:c r="D539" t="str">
        <x:v>2026-03-31</x:v>
      </x:c>
      <x:c r="E539" t="str">
        <x:v>first_quarter</x:v>
      </x:c>
      <x:c r="F539" t="str">
        <x:v>cash</x:v>
      </x:c>
      <x:c r="G539" t="n">
        <x:v>118585</x:v>
      </x:c>
      <x:c r="H539" t="str">
        <x:v>CNY</x:v>
      </x:c>
      <x:c r="I539" t="n">
        <x:v>12</x:v>
      </x:c>
      <x:c r="J539" t="str">
        <x:v>货币资金</x:v>
      </x:c>
      <x:c r="K539" t="str">
        <x:v>candidate_pending_automated_verification</x:v>
      </x:c>
      <x:c r="L539" t="str">
        <x:v>https://static.cninfo.com.cn/finalpage/2026-04-25/1225185746.PDF</x:v>
      </x:c>
      <x:c r="M539" t="str">
        <x:v>eafdac378c6aece9511c0e3c501ed99312a47addd138a5562d9710e66caf5959</x:v>
      </x:c>
      <x:c r="N539" t="str">
        <x:v>不适用
(二)财务报表
合并资产负债表
2026 年 3 月 31 日
编制单位：中国神华能源股份有限公司
单位：百万元 币种：人民币 审计类型：未经审计
项目 2026 年 3 月 31 日 2025 年 12 月 31 日
流动资产：
货币资金 118,585 96,772
交易性金融资产 0 0
应收票据 5,269 5,618
应收账款 13,308 13,225
应收款项融资 824 1,495
预付款项 7,864 6,509
其他应收款 2,931 2,910
其中：应收利息 40 70
应收股利 53 118
存货 10,792 11,850
其他流动资产 8,061 8,590
流动资产合计 167</x:v>
      </x:c>
    </x:row>
    <x:row r="540">
      <x:c r="A540" t="str">
        <x:v>72ac55dc-1717-48d9-a785-e24305a54382</x:v>
      </x:c>
      <x:c r="B540" t="str">
        <x:v>601088</x:v>
      </x:c>
      <x:c r="C540" t="str">
        <x:v>中国神华</x:v>
      </x:c>
      <x:c r="D540" t="str">
        <x:v>2026-03-31</x:v>
      </x:c>
      <x:c r="E540" t="str">
        <x:v>first_quarter</x:v>
      </x:c>
      <x:c r="F540" t="str">
        <x:v>operating_cash_flow</x:v>
      </x:c>
      <x:c r="G540" t="n">
        <x:v>17363</x:v>
      </x:c>
      <x:c r="H540" t="str">
        <x:v>CNY</x:v>
      </x:c>
      <x:c r="I540" t="n">
        <x:v>4</x:v>
      </x:c>
      <x:c r="J540" t="str">
        <x:v>经营活动产生的现金流量净额</x:v>
      </x:c>
      <x:c r="K540" t="str">
        <x:v>candidate_pending_automated_verification</x:v>
      </x:c>
      <x:c r="L540" t="str">
        <x:v>https://static.cninfo.com.cn/finalpage/2026-04-25/1225185746.PDF</x:v>
      </x:c>
      <x:c r="M540" t="str">
        <x:v>eafdac378c6aece9511c0e3c501ed99312a47addd138a5562d9710e66caf5959</x:v>
      </x:c>
      <x:c r="N540" t="str">
        <x:v>中国神华能源股份有限公司2026 年第一季度报告
4 / 17
单位：百万元 币种：人民币
序号 合并现金流量表项目 2026 年
1-3 月
2025 年
1-3 月
变动
(%)
主要变动原因
1 经营活动产生的现金流量净额 17,363 20,538 (15.5) 本集团煤炭业务毛利下降
2 投资活动产生的现金流量净额 (102,346) (1,268) 7,971.5 本公司购买控股股东国家
能源集团公司相关资产导
致支付的现金较多
3 筹资活动产生的现金流量净额 106,535 (6,922) (1,639.1) 本集团取得借款及吸收投
资收到的现金较多
二、股东信息
(一)普通股股东</x:v>
      </x:c>
    </x:row>
    <x:row r="541">
      <x:c r="A541" t="str">
        <x:v>a665126c-067e-4203-b1ea-ad7be0adf7af</x:v>
      </x:c>
      <x:c r="B541" t="str">
        <x:v>601088</x:v>
      </x:c>
      <x:c r="C541" t="str">
        <x:v>中国神华</x:v>
      </x:c>
      <x:c r="D541" t="str">
        <x:v>2026-03-31</x:v>
      </x:c>
      <x:c r="E541" t="str">
        <x:v>first_quarter</x:v>
      </x:c>
      <x:c r="F541" t="str">
        <x:v>short_term_borrowings</x:v>
      </x:c>
      <x:c r="G541" t="n">
        <x:v>86700</x:v>
      </x:c>
      <x:c r="H541" t="str">
        <x:v>CNY</x:v>
      </x:c>
      <x:c r="I541" t="n">
        <x:v>3</x:v>
      </x:c>
      <x:c r="J541" t="str">
        <x:v>短期借款</x:v>
      </x:c>
      <x:c r="K541" t="str">
        <x:v>candidate_pending_automated_verification</x:v>
      </x:c>
      <x:c r="L541" t="str">
        <x:v>https://static.cninfo.com.cn/finalpage/2026-04-25/1225185746.PDF</x:v>
      </x:c>
      <x:c r="M541" t="str">
        <x:v>eafdac378c6aece9511c0e3c501ed99312a47addd138a5562d9710e66caf5959</x:v>
      </x:c>
      <x:c r="N541" t="str">
        <x:v>864 6,509 20.8 预付铁路运费及购煤款增加
4 存货 10,792 11,850 (8.9) 煤炭存货下降
5 其他非流动资产 161,605 26,076 519.7 本公司支付购买控股股东国家能源集
团公司相关资产对价
6 短期借款 86,700 409 21,098.0 并购贷款增加
7 应付账款 34,365 41,176 (16.5) 应付材料款、应付煤款等减少
8 合同负债 4,715 3,810 23.8 预收铁路运费及售煤款增加
9 应付职工薪酬 10,982 8,199 33.9 受报告期计提人工成本影响。报告期
末本集团应付职工薪酬较上年同期期
末金额 13,106 百万元下降 16</x:v>
      </x:c>
    </x:row>
    <x:row r="542">
      <x:c r="A542" t="str">
        <x:v>cbc22541-6eeb-4eaa-9155-2e94cca983e5</x:v>
      </x:c>
      <x:c r="B542" t="str">
        <x:v>601088</x:v>
      </x:c>
      <x:c r="C542" t="str">
        <x:v>中国神华</x:v>
      </x:c>
      <x:c r="D542" t="str">
        <x:v>2026-03-31</x:v>
      </x:c>
      <x:c r="E542" t="str">
        <x:v>first_quarter</x:v>
      </x:c>
      <x:c r="F542" t="str">
        <x:v>cash</x:v>
      </x:c>
      <x:c r="G542" t="n">
        <x:v>118585</x:v>
      </x:c>
      <x:c r="H542" t="str">
        <x:v>CNY</x:v>
      </x:c>
      <x:c r="I542" t="n">
        <x:v>3</x:v>
      </x:c>
      <x:c r="J542" t="str">
        <x:v>货币资金</x:v>
      </x:c>
      <x:c r="K542" t="str">
        <x:v>candidate_pending_automated_verification</x:v>
      </x:c>
      <x:c r="L542" t="str">
        <x:v>https://static.cninfo.com.cn/finalpage/2026-04-25/1225185746.PDF</x:v>
      </x:c>
      <x:c r="M542" t="str">
        <x:v>eafdac378c6aece9511c0e3c501ed99312a47addd138a5562d9710e66caf5959</x:v>
      </x:c>
      <x:c r="N542" t="str">
        <x:v> 投资收益 443 1,173 (62.2) 本集团对联营企业的投资收益减少
单位：百万元 币种：人民币
序号 合并资产负债表
项目
于 2026 年
3 月 31 日
于 2025 年
12 月 31 日
变动
(%)
主要变动原因
1 货币资金 118,585 96,772 22.5 报告期经营活动现金净流入
2 应收款项融资 824 1,495 (44.9) 计划用于贴现或背书的应收票据减少
3 预付款项 7,864 6,509 20.8 预付铁路运费及购煤款增加
4 存货 10,792 11,850 (8.9) 煤炭存货下降
5 其他非流动资产 161,605 26,076 519.7 本公司支付购买控股股东</x:v>
      </x:c>
    </x:row>
    <x:row r="543">
      <x:c r="A543" t="str">
        <x:v>d649d5d1-254d-47e6-bd55-06687ed39314</x:v>
      </x:c>
      <x:c r="B543" t="str">
        <x:v>601088</x:v>
      </x:c>
      <x:c r="C543" t="str">
        <x:v>中国神华</x:v>
      </x:c>
      <x:c r="D543" t="str">
        <x:v>2026-03-31</x:v>
      </x:c>
      <x:c r="E543" t="str">
        <x:v>first_quarter</x:v>
      </x:c>
      <x:c r="F543" t="str">
        <x:v>operating_cash_flow</x:v>
      </x:c>
      <x:c r="G543" t="n">
        <x:v>17363</x:v>
      </x:c>
      <x:c r="H543" t="str">
        <x:v>reported_amount</x:v>
      </x:c>
      <x:c r="I543" t="n">
        <x:v>1</x:v>
      </x:c>
      <x:c r="J543" t="str">
        <x:v>经营活动产生的现金流量净额</x:v>
      </x:c>
      <x:c r="K543" t="str">
        <x:v>candidate_pending_automated_verification</x:v>
      </x:c>
      <x:c r="L543" t="str">
        <x:v>https://static.cninfo.com.cn/finalpage/2026-04-25/1225185746.PDF</x:v>
      </x:c>
      <x:c r="M543" t="str">
        <x:v>eafdac378c6aece9511c0e3c501ed99312a47addd138a5562d9710e66caf5959</x:v>
      </x:c>
      <x:c r="N543" t="str">
        <x:v>,397 69,585 1.2
利润总额 16,594 18,002 (7.8)
归属于上市公司股东的净利润 10,667 11,949 (10.7)
归属于上市公司股东的扣除非经常
性损益的净利润
10,712 11,705 (8.5)
经营活动产生的现金流量净额 17,363 20,538 (15.5)
基本每股收益（元/股） 0.530 0.601 (11.8)
稀释每股收益（元/股） 0.530 0.601 (11.8)
加权平均净资产收益率（%） 2.40 2.80 减少 0.40 个百分点
本报告期末 上年度末 本报告期末比上年度
末增减变动幅度(%)
总资产 783,279 627,761 24.8
归属于上市公司股东</x:v>
      </x:c>
    </x:row>
    <x:row r="544">
      <x:c r="A544" t="str">
        <x:v>8ff2b85f-4197-4783-8183-6d148da26414</x:v>
      </x:c>
      <x:c r="B544" t="str">
        <x:v>601088</x:v>
      </x:c>
      <x:c r="C544" t="str">
        <x:v>中国神华</x:v>
      </x:c>
      <x:c r="D544" t="str">
        <x:v>2026-03-31</x:v>
      </x:c>
      <x:c r="E544" t="str">
        <x:v>first_quarter</x:v>
      </x:c>
      <x:c r="F544" t="str">
        <x:v>net_income</x:v>
      </x:c>
      <x:c r="G544" t="n">
        <x:v>10667</x:v>
      </x:c>
      <x:c r="H544" t="str">
        <x:v>reported_amount</x:v>
      </x:c>
      <x:c r="I544" t="n">
        <x:v>1</x:v>
      </x:c>
      <x:c r="J544" t="str">
        <x:v>归属于上市公司股东的净利润</x:v>
      </x:c>
      <x:c r="K544" t="str">
        <x:v>candidate_pending_automated_verification</x:v>
      </x:c>
      <x:c r="L544" t="str">
        <x:v>https://static.cninfo.com.cn/finalpage/2026-04-25/1225185746.PDF</x:v>
      </x:c>
      <x:c r="M544" t="str">
        <x:v>eafdac378c6aece9511c0e3c501ed99312a47addd138a5562d9710e66caf5959</x:v>
      </x:c>
      <x:c r="N544" t="str">
        <x:v>
一、主要财务数据
(一)主要会计数据和财务指标
单位：百万元 币种：人民币
项目 本报告期 上年同期 本报告期比上年同期
增减变动幅度(%)
营业收入 70,397 69,585 1.2
利润总额 16,594 18,002 (7.8)
归属于上市公司股东的净利润 10,667 11,949 (10.7)
归属于上市公司股东的扣除非经常
性损益的净利润
10,712 11,705 (8.5)
经营活动产生的现金流量净额 17,363 20,538 (15.5)
基本每股收益（元/股） 0.530 0.601 (11.8)
稀释每股收益（元/股） 0.530 0.601 (11.8)
加权平均净资产收益率（%） 2.40 2.80 </x:v>
      </x:c>
    </x:row>
    <x:row r="545">
      <x:c r="A545" t="str">
        <x:v>11e762be-bce0-48da-9245-bb4b189ae30c</x:v>
      </x:c>
      <x:c r="B545" t="str">
        <x:v>601088</x:v>
      </x:c>
      <x:c r="C545" t="str">
        <x:v>中国神华</x:v>
      </x:c>
      <x:c r="D545" t="str">
        <x:v>2026-03-31</x:v>
      </x:c>
      <x:c r="E545" t="str">
        <x:v>first_quarter</x:v>
      </x:c>
      <x:c r="F545" t="str">
        <x:v>revenue</x:v>
      </x:c>
      <x:c r="G545" t="n">
        <x:v>70397</x:v>
      </x:c>
      <x:c r="H545" t="str">
        <x:v>reported_amount</x:v>
      </x:c>
      <x:c r="I545" t="n">
        <x:v>1</x:v>
      </x:c>
      <x:c r="J545" t="str">
        <x:v>营业收入</x:v>
      </x:c>
      <x:c r="K545" t="str">
        <x:v>candidate_pending_automated_verification</x:v>
      </x:c>
      <x:c r="L545" t="str">
        <x:v>https://static.cninfo.com.cn/finalpage/2026-04-25/1225185746.PDF</x:v>
      </x:c>
      <x:c r="M545" t="str">
        <x:v>eafdac378c6aece9511c0e3c501ed99312a47addd138a5562d9710e66caf5959</x:v>
      </x:c>
      <x:c r="N545" t="str">
        <x:v>人余燕玲保证季度报告中
财务信息的真实、准确、完整。
 第一季度财务报表是否经审计：□是 √否
一、主要财务数据
(一)主要会计数据和财务指标
单位：百万元 币种：人民币
项目 本报告期 上年同期 本报告期比上年同期
增减变动幅度(%)
营业收入 70,397 69,585 1.2
利润总额 16,594 18,002 (7.8)
归属于上市公司股东的净利润 10,667 11,949 (10.7)
归属于上市公司股东的扣除非经常
性损益的净利润
10,712 11,705 (8.5)
经营活动产生的现金流量净额 17,363 20,538 (15.5)
基本每股收益（元/股） 0.530 0.601 (11.8</x:v>
      </x:c>
    </x:row>
    <x:row r="546">
      <x:c r="A546" t="str">
        <x:v>38c2e957-e9e7-403a-9fdc-159293a72901</x:v>
      </x:c>
      <x:c r="B546" t="str">
        <x:v>600519</x:v>
      </x:c>
      <x:c r="C546" t="str">
        <x:v>贵州茅台</x:v>
      </x:c>
      <x:c r="D546" t="str">
        <x:v>2026-03-31</x:v>
      </x:c>
      <x:c r="E546" t="str">
        <x:v>first_quarter</x:v>
      </x:c>
      <x:c r="F546" t="str">
        <x:v>current_portion_long_term_debt</x:v>
      </x:c>
      <x:c r="G546" t="n">
        <x:v>53309216</x:v>
      </x:c>
      <x:c r="H546" t="str">
        <x:v>CNY</x:v>
      </x:c>
      <x:c r="I546" t="n">
        <x:v>7</x:v>
      </x:c>
      <x:c r="J546" t="str">
        <x:v>一年内到期的非流动负债</x:v>
      </x:c>
      <x:c r="K546" t="str">
        <x:v>candidate_pending_automated_verification</x:v>
      </x:c>
      <x:c r="L546" t="str">
        <x:v>https://static.cninfo.com.cn/finalpage/2026-04-25/1225187851.PDF</x:v>
      </x:c>
      <x:c r="M546" t="str">
        <x:v>ca10d0e4fb3a1e4e9f258c04fc4c62000968f337a9b0bf6f714d4f153536d363</x:v>
      </x:c>
      <x:c r="N546" t="str">
        <x:v>6.50
应交税费 7,299,360,362.95 7,697,169,830.69
其他应付款 6,589,812,851.18 5,298,261,266.22
其中：应付利息
应付股利
应付手续费及佣金
应付分保账款
持有待售负债
一年内到期的非流动负债 53,309,216.00 44,206,237.05
其他流动负债 376,773,821.81 994,959,710.24
流动负债合计 38,455,594,988.88 49,610,476,817.81
非流动负债：
保险合同准备金
长期借款
应付债券
其中：优先股
永续债
租赁负债 189,112,340.75 189,504,942.77
长期应付款
长期应付职工薪酬</x:v>
      </x:c>
    </x:row>
    <x:row r="547">
      <x:c r="A547" t="str">
        <x:v>e1d26da7-538f-4d20-8777-9c3f121b4a4c</x:v>
      </x:c>
      <x:c r="B547" t="str">
        <x:v>600519</x:v>
      </x:c>
      <x:c r="C547" t="str">
        <x:v>贵州茅台</x:v>
      </x:c>
      <x:c r="D547" t="str">
        <x:v>2026-03-31</x:v>
      </x:c>
      <x:c r="E547" t="str">
        <x:v>first_quarter</x:v>
      </x:c>
      <x:c r="F547" t="str">
        <x:v>cash</x:v>
      </x:c>
      <x:c r="G547" t="n">
        <x:v>48786691397.55</x:v>
      </x:c>
      <x:c r="H547" t="str">
        <x:v>CNY</x:v>
      </x:c>
      <x:c r="I547" t="n">
        <x:v>5</x:v>
      </x:c>
      <x:c r="J547" t="str">
        <x:v>货币资金</x:v>
      </x:c>
      <x:c r="K547" t="str">
        <x:v>candidate_pending_automated_verification</x:v>
      </x:c>
      <x:c r="L547" t="str">
        <x:v>https://static.cninfo.com.cn/finalpage/2026-04-25/1225187851.PDF</x:v>
      </x:c>
      <x:c r="M547" t="str">
        <x:v>ca10d0e4fb3a1e4e9f258c04fc4c62000968f337a9b0bf6f714d4f153536d363</x:v>
      </x:c>
      <x:c r="N547" t="str">
        <x:v>
□适用 √不适用
(二)财务报表
合并资产负债表
2026 年 3月 31日
编制单位：贵州茅台酒股份有限公司
单位：元 币种:人民币 审计类型：未经审计
项目 2026 年 3 月 31日 2025 年 12 月 31 日
流动资产：
货币资金 48,786,691,397.55 51,690,610,946.50
结算备付金
拆出资金 155,995,392,128.21 99,096,188,059.75
交易性金融资产
衍生金融资产
应收票据
应收账款 32,344,588.37 2,609,048.49
应收款项融资 3,531,659,717.17 4,457,064,160.16
预付款项 28,053,418.89 6</x:v>
      </x:c>
    </x:row>
    <x:row r="548">
      <x:c r="A548" t="str">
        <x:v>6e84bc91-bcdc-4c20-a356-96ab87296f27</x:v>
      </x:c>
      <x:c r="B548" t="str">
        <x:v>600519</x:v>
      </x:c>
      <x:c r="C548" t="str">
        <x:v>贵州茅台</x:v>
      </x:c>
      <x:c r="D548" t="str">
        <x:v>2026-03-31</x:v>
      </x:c>
      <x:c r="E548" t="str">
        <x:v>first_quarter</x:v>
      </x:c>
      <x:c r="F548" t="str">
        <x:v>operating_cash_flow</x:v>
      </x:c>
      <x:c r="G548" t="n">
        <x:v>26909891269.13</x:v>
      </x:c>
      <x:c r="H548" t="str">
        <x:v>reported_amount</x:v>
      </x:c>
      <x:c r="I548" t="n">
        <x:v>1</x:v>
      </x:c>
      <x:c r="J548" t="str">
        <x:v>经营活动产生的现金流量净额</x:v>
      </x:c>
      <x:c r="K548" t="str">
        <x:v>candidate_pending_automated_verification</x:v>
      </x:c>
      <x:c r="L548" t="str">
        <x:v>https://static.cninfo.com.cn/finalpage/2026-04-25/1225187851.PDF</x:v>
      </x:c>
      <x:c r="M548" t="str">
        <x:v>ca10d0e4fb3a1e4e9f258c04fc4c62000968f337a9b0bf6f714d4f153536d363</x:v>
      </x:c>
      <x:c r="N548" t="str">
        <x:v>归属于上市公司股东的净利润 27,242,512,886.45 26,847,474,238.76 1.47
归属于上市公司股东的扣除非
经常性损益的净利润
27,239,985,194.41 26,849,883,702.90 1.45
经营活动产生的现金流量净额 26,909,891,269.13 8,809,195,646.38 205.48
基本每股收益（元/股） 21.76 21.38 1.78
稀释每股收益（元/股） 21.76 21.38 1.78</x:v>
      </x:c>
    </x:row>
    <x:row r="549">
      <x:c r="A549" t="str">
        <x:v>7be42fdf-7ae5-457e-81ed-152e39fbf09d</x:v>
      </x:c>
      <x:c r="B549" t="str">
        <x:v>600519</x:v>
      </x:c>
      <x:c r="C549" t="str">
        <x:v>贵州茅台</x:v>
      </x:c>
      <x:c r="D549" t="str">
        <x:v>2026-03-31</x:v>
      </x:c>
      <x:c r="E549" t="str">
        <x:v>first_quarter</x:v>
      </x:c>
      <x:c r="F549" t="str">
        <x:v>net_income</x:v>
      </x:c>
      <x:c r="G549" t="n">
        <x:v>27242512886.45</x:v>
      </x:c>
      <x:c r="H549" t="str">
        <x:v>reported_amount</x:v>
      </x:c>
      <x:c r="I549" t="n">
        <x:v>1</x:v>
      </x:c>
      <x:c r="J549" t="str">
        <x:v>归属于上市公司股东的净利润</x:v>
      </x:c>
      <x:c r="K549" t="str">
        <x:v>candidate_pending_automated_verification</x:v>
      </x:c>
      <x:c r="L549" t="str">
        <x:v>https://static.cninfo.com.cn/finalpage/2026-04-25/1225187851.PDF</x:v>
      </x:c>
      <x:c r="M549" t="str">
        <x:v>ca10d0e4fb3a1e4e9f258c04fc4c62000968f337a9b0bf6f714d4f153536d363</x:v>
      </x:c>
      <x:c r="N549" t="str">
        <x:v>告期 上年同期
本报告期比上年同期
增减变动幅度(%)
营业收入 53,909,252,220.51 50,600,957,885.78 6.54
利润总额 37,543,249,644.02 37,031,453,649.79 1.38
归属于上市公司股东的净利润 27,242,512,886.45 26,847,474,238.76 1.47
归属于上市公司股东的扣除非
经常性损益的净利润
27,239,985,194.41 26,849,883,702.90 1.45
经营活动产生的现金流量净额 26,909,891,269.13 8,809,195,646.38 205.48
基本每股收益（元/股） 21.76 21.38 1.78
稀释每股收益</x:v>
      </x:c>
    </x:row>
    <x:row r="550">
      <x:c r="A550" t="str">
        <x:v>23d87802-4e11-459a-af2d-369551800683</x:v>
      </x:c>
      <x:c r="B550" t="str">
        <x:v>600519</x:v>
      </x:c>
      <x:c r="C550" t="str">
        <x:v>贵州茅台</x:v>
      </x:c>
      <x:c r="D550" t="str">
        <x:v>2026-03-31</x:v>
      </x:c>
      <x:c r="E550" t="str">
        <x:v>first_quarter</x:v>
      </x:c>
      <x:c r="F550" t="str">
        <x:v>revenue</x:v>
      </x:c>
      <x:c r="G550" t="n">
        <x:v>53909252220.51</x:v>
      </x:c>
      <x:c r="H550" t="str">
        <x:v>reported_amount</x:v>
      </x:c>
      <x:c r="I550" t="n">
        <x:v>1</x:v>
      </x:c>
      <x:c r="J550" t="str">
        <x:v>营业收入</x:v>
      </x:c>
      <x:c r="K550" t="str">
        <x:v>candidate_pending_automated_verification</x:v>
      </x:c>
      <x:c r="L550" t="str">
        <x:v>https://static.cninfo.com.cn/finalpage/2026-04-25/1225187851.PDF</x:v>
      </x:c>
      <x:c r="M550" t="str">
        <x:v>ca10d0e4fb3a1e4e9f258c04fc4c62000968f337a9b0bf6f714d4f153536d363</x:v>
      </x:c>
      <x:c r="N550" t="str">
        <x:v>主管人员）蔡聪应保证季
度报告中财务信息的真实、准确、完整。
第一季度财务报表是否经审计
□是 √否
一、主要财务数据
(一)主要会计数据和财务指标
单位：元 币种：人民币
项目 本报告期 上年同期
本报告期比上年同期
增减变动幅度(%)
营业收入 53,909,252,220.51 50,600,957,885.78 6.54
利润总额 37,543,249,644.02 37,031,453,649.79 1.38
归属于上市公司股东的净利润 27,242,512,886.45 26,847,474,238.76 1.47
归属于上市公司股东的扣除非
经常性损益的净利润
27,239,985,194.41 26,849,883,70</x:v>
      </x:c>
    </x:row>
    <x:row r="551">
      <x:c r="A551" t="str">
        <x:v>c6d39a23-c97a-4484-a24e-1d5c51ec7d0c</x:v>
      </x:c>
      <x:c r="B551" t="str">
        <x:v>600919</x:v>
      </x:c>
      <x:c r="C551" t="str">
        <x:v>江苏银行</x:v>
      </x:c>
      <x:c r="D551" t="str">
        <x:v>2026-03-31</x:v>
      </x:c>
      <x:c r="E551" t="str">
        <x:v>first_quarter</x:v>
      </x:c>
      <x:c r="F551" t="str">
        <x:v>operating_cash_flow</x:v>
      </x:c>
      <x:c r="G551" t="n">
        <x:v>301646577</x:v>
      </x:c>
      <x:c r="H551" t="str">
        <x:v>CNY</x:v>
      </x:c>
      <x:c r="I551" t="n">
        <x:v>13</x:v>
      </x:c>
      <x:c r="J551" t="str">
        <x:v>经营活动产生的现金流量净额</x:v>
      </x:c>
      <x:c r="K551" t="str">
        <x:v>candidate_pending_automated_verification</x:v>
      </x:c>
      <x:c r="L551" t="str">
        <x:v>https://static.cninfo.com.cn/finalpage/2026-04-29/1225247497.PDF</x:v>
      </x:c>
      <x:c r="M551" t="str">
        <x:v>52aeaae7fcce17e492dce088ceb1f80f8a9ee74067b8ec1b688aeb28f0bedd9b</x:v>
      </x:c>
      <x:c r="N551" t="str">
        <x:v>4,959,339 4,845,986
支付的各项税费 2,971,460 3,533,954
支付其他与经营活动有关的现金 22,339,193 15,717,747
经营活动现金流出小计 305,951,035 244,823,222
经营活动产生的现金流量净额 301,646,577 169,075,192
二、投资活动产生的现金流量：
收回投资收到的现金 556,058,554 694,530,627
取得投资收益收到的现金 12,530,939 10,454,193
处置固定资产、无形资产和其他长期资
产收到的现金 60,092 18,513
投资活动现金流入小计 568,649,585 705,003,333
投资支付的现金 86</x:v>
      </x:c>
    </x:row>
    <x:row r="552">
      <x:c r="A552" t="str">
        <x:v>f18635bb-046a-4907-b344-036c993639ac</x:v>
      </x:c>
      <x:c r="B552" t="str">
        <x:v>600919</x:v>
      </x:c>
      <x:c r="C552" t="str">
        <x:v>江苏银行</x:v>
      </x:c>
      <x:c r="D552" t="str">
        <x:v>2026-03-31</x:v>
      </x:c>
      <x:c r="E552" t="str">
        <x:v>first_quarter</x:v>
      </x:c>
      <x:c r="F552" t="str">
        <x:v>operating_cash_flow</x:v>
      </x:c>
      <x:c r="G552" t="n">
        <x:v>301646577</x:v>
      </x:c>
      <x:c r="H552" t="str">
        <x:v>reported_amount</x:v>
      </x:c>
      <x:c r="I552" t="n">
        <x:v>2</x:v>
      </x:c>
      <x:c r="J552" t="str">
        <x:v>经营活动产生的现金流量净额</x:v>
      </x:c>
      <x:c r="K552" t="str">
        <x:v>candidate_pending_automated_verification</x:v>
      </x:c>
      <x:c r="L552" t="str">
        <x:v>https://static.cninfo.com.cn/finalpage/2026-04-29/1225247497.PDF</x:v>
      </x:c>
      <x:c r="M552" t="str">
        <x:v>52aeaae7fcce17e492dce088ceb1f80f8a9ee74067b8ec1b688aeb28f0bedd9b</x:v>
      </x:c>
      <x:c r="N552" t="str">
        <x:v>收入 24,180,308 22,304,128 8.41
归属于上市公司股东的净利润 10,582,060 9,780,003 8.20
归属于上市公司股东的扣除非经常
性损益的净利润 10,522,407 9,695,471 8.53
经营活动产生的现金流量净额 301,646,577 169,075,192 78.41
基本每股收益（元/股） 0.58 0.53 9.43
稀释每股收益（元/股） 0.58 0.53 9.43
总资产收益率（%）（年化） 0.83 0.96 下降 0.13 个百分点
加权平均净资产收益率（%）（年化） 16.37 16.50 下降 0.13 个百分点
项目 本报告期末 上年度末 本报告期末比上年
末增减变</x:v>
      </x:c>
    </x:row>
    <x:row r="553">
      <x:c r="A553" t="str">
        <x:v>c16a44ee-1e57-415c-b821-98778227281b</x:v>
      </x:c>
      <x:c r="B553" t="str">
        <x:v>600919</x:v>
      </x:c>
      <x:c r="C553" t="str">
        <x:v>江苏银行</x:v>
      </x:c>
      <x:c r="D553" t="str">
        <x:v>2026-03-31</x:v>
      </x:c>
      <x:c r="E553" t="str">
        <x:v>first_quarter</x:v>
      </x:c>
      <x:c r="F553" t="str">
        <x:v>net_income</x:v>
      </x:c>
      <x:c r="G553" t="n">
        <x:v>10582060</x:v>
      </x:c>
      <x:c r="H553" t="str">
        <x:v>reported_amount</x:v>
      </x:c>
      <x:c r="I553" t="n">
        <x:v>2</x:v>
      </x:c>
      <x:c r="J553" t="str">
        <x:v>归属于上市公司股东的净利润</x:v>
      </x:c>
      <x:c r="K553" t="str">
        <x:v>candidate_pending_automated_verification</x:v>
      </x:c>
      <x:c r="L553" t="str">
        <x:v>https://static.cninfo.com.cn/finalpage/2026-04-29/1225247497.PDF</x:v>
      </x:c>
      <x:c r="M553" t="str">
        <x:v>52aeaae7fcce17e492dce088ceb1f80f8a9ee74067b8ec1b688aeb28f0bedd9b</x:v>
      </x:c>
      <x:c r="N553" t="str">
        <x:v>6 年第一季度报告
2 / 15
一、 主要财务数据
(一)主要会计数据和财务指标
单位：千元 币种：人民币
项目 本报告期 上年同期 本报告期比上年同
期增减变动幅度(%)
营业收入 24,180,308 22,304,128 8.41
归属于上市公司股东的净利润 10,582,060 9,780,003 8.20
归属于上市公司股东的扣除非经常
性损益的净利润 10,522,407 9,695,471 8.53
经营活动产生的现金流量净额 301,646,577 169,075,192 78.41
基本每股收益（元/股） 0.58 0.53 9.43
稀释每股收益（元/股） 0.58 0.53 9.43
总资产收益率（%）（年化） 0.</x:v>
      </x:c>
    </x:row>
    <x:row r="554">
      <x:c r="A554" t="str">
        <x:v>da8cd192-d199-44d7-bf91-dccda1736d70</x:v>
      </x:c>
      <x:c r="B554" t="str">
        <x:v>600919</x:v>
      </x:c>
      <x:c r="C554" t="str">
        <x:v>江苏银行</x:v>
      </x:c>
      <x:c r="D554" t="str">
        <x:v>2026-03-31</x:v>
      </x:c>
      <x:c r="E554" t="str">
        <x:v>first_quarter</x:v>
      </x:c>
      <x:c r="F554" t="str">
        <x:v>revenue</x:v>
      </x:c>
      <x:c r="G554" t="n">
        <x:v>24180308</x:v>
      </x:c>
      <x:c r="H554" t="str">
        <x:v>reported_amount</x:v>
      </x:c>
      <x:c r="I554" t="n">
        <x:v>2</x:v>
      </x:c>
      <x:c r="J554" t="str">
        <x:v>营业收入</x:v>
      </x:c>
      <x:c r="K554" t="str">
        <x:v>candidate_pending_automated_verification</x:v>
      </x:c>
      <x:c r="L554" t="str">
        <x:v>https://static.cninfo.com.cn/finalpage/2026-04-29/1225247497.PDF</x:v>
      </x:c>
      <x:c r="M554" t="str">
        <x:v>52aeaae7fcce17e492dce088ceb1f80f8a9ee74067b8ec1b688aeb28f0bedd9b</x:v>
      </x:c>
      <x:c r="N554" t="str">
        <x:v>江苏银行2026 年第一季度报告
2 / 15
一、 主要财务数据
(一)主要会计数据和财务指标
单位：千元 币种：人民币
项目 本报告期 上年同期 本报告期比上年同
期增减变动幅度(%)
营业收入 24,180,308 22,304,128 8.41
归属于上市公司股东的净利润 10,582,060 9,780,003 8.20
归属于上市公司股东的扣除非经常
性损益的净利润 10,522,407 9,695,471 8.53
经营活动产生的现金流量净额 301,646,577 169,075,192 78.41
基本每股收益（元/股） 0.58 0.53 9.43
稀释</x:v>
      </x:c>
    </x:row>
    <x:row r="555">
      <x:c r="A555" t="str">
        <x:v>271991ea-a0b8-4255-99e7-72ad516dfdbe</x:v>
      </x:c>
      <x:c r="B555" t="str">
        <x:v>600919</x:v>
      </x:c>
      <x:c r="C555" t="str">
        <x:v>江苏银行</x:v>
      </x:c>
      <x:c r="D555" t="str">
        <x:v>2025-12-31</x:v>
      </x:c>
      <x:c r="E555" t="str">
        <x:v>annual</x:v>
      </x:c>
      <x:c r="F555" t="str">
        <x:v>operating_cash_flow</x:v>
      </x:c>
      <x:c r="G555" t="n">
        <x:v>560651108</x:v>
      </x:c>
      <x:c r="H555" t="str">
        <x:v>CNY</x:v>
      </x:c>
      <x:c r="I555" t="n">
        <x:v>183</x:v>
      </x:c>
      <x:c r="J555" t="str">
        <x:v>经营活动产生的现金流量净额</x:v>
      </x:c>
      <x:c r="K555" t="str">
        <x:v>candidate_pending_automated_verification</x:v>
      </x:c>
      <x:c r="L555" t="str">
        <x:v>https://static.cninfo.com.cn/finalpage/2026-04-29/1225247387.PDF</x:v>
      </x:c>
      <x:c r="M555" t="str">
        <x:v>63f6612a6d97530a7572ddf7ead66e8b61c97d7b5c72197e2d0ed94b7c36d566</x:v>
      </x:c>
      <x:c r="N555" t="str">
        <x:v>目的增加 (399,241,121) (226,094,517) (346,845,330) (198,573,401)
经营性应付项目的增加 934,430,990 237,749,984 884,235,450 217,200,836
经营活动产生的现金流量净额 560,651,108 36,845,641 553,868,312 37,085,959
(2)  现金及现金等价物净变动情况：
本集团 本行
2025 年度 2024 年度 2025 年度 2024 年度
现金及现金等价物的年末余额 242,948,950 67,759,047 227,430,081 53,887,884
减：现金及现金等价物的年初余额 (67,759,04</x:v>
      </x:c>
    </x:row>
    <x:row r="556">
      <x:c r="A556" t="str">
        <x:v>9c77a2ca-994a-47b7-997d-43cc9d5faa2b</x:v>
      </x:c>
      <x:c r="B556" t="str">
        <x:v>600919</x:v>
      </x:c>
      <x:c r="C556" t="str">
        <x:v>江苏银行</x:v>
      </x:c>
      <x:c r="D556" t="str">
        <x:v>2025-12-31</x:v>
      </x:c>
      <x:c r="E556" t="str">
        <x:v>annual</x:v>
      </x:c>
      <x:c r="F556" t="str">
        <x:v>operating_cash_flow</x:v>
      </x:c>
      <x:c r="G556" t="n">
        <x:v>41</x:v>
      </x:c>
      <x:c r="H556" t="str">
        <x:v>CNY</x:v>
      </x:c>
      <x:c r="I556" t="n">
        <x:v>116</x:v>
      </x:c>
      <x:c r="J556" t="str">
        <x:v>经营活动产生的现金流量净额</x:v>
      </x:c>
      <x:c r="K556" t="str">
        <x:v>candidate_pending_automated_verification</x:v>
      </x:c>
      <x:c r="L556" t="str">
        <x:v>https://static.cninfo.com.cn/finalpage/2026-04-29/1225247387.PDF</x:v>
      </x:c>
      <x:c r="M556" t="str">
        <x:v>63f6612a6d97530a7572ddf7ead66e8b61c97d7b5c72197e2d0ed94b7c36d566</x:v>
      </x:c>
      <x:c r="N556" t="str">
        <x:v>关的现金 (9,992,057) (8,592,567) (8,447,696) (7,586,736)
经营活动现金流出小计 (515,371,698) (454,661,380) (469,643,059) (417,816,960)
经营活动产生的现金流量净额 41(1) 560,651,108 36,845,641 553,868,312 37,085,959
二、投资活动产生的现金流量：
收回投资收到的现金 3,527,698,607 2,884,703,939 3,521,310,949 2,875,374,293
取得投资收益收到的现金 40,429,649 34,123,365 40,237,650 34,7</x:v>
      </x:c>
    </x:row>
    <x:row r="557">
      <x:c r="A557" t="str">
        <x:v>fc069803-f9ec-4656-a2a1-757bf43705c5</x:v>
      </x:c>
      <x:c r="B557" t="str">
        <x:v>600919</x:v>
      </x:c>
      <x:c r="C557" t="str">
        <x:v>江苏银行</x:v>
      </x:c>
      <x:c r="D557" t="str">
        <x:v>2025-12-31</x:v>
      </x:c>
      <x:c r="E557" t="str">
        <x:v>annual</x:v>
      </x:c>
      <x:c r="F557" t="str">
        <x:v>bvps</x:v>
      </x:c>
      <x:c r="G557" t="n">
        <x:v>14.06</x:v>
      </x:c>
      <x:c r="H557" t="str">
        <x:v>CNY/share</x:v>
      </x:c>
      <x:c r="I557" t="n">
        <x:v>17</x:v>
      </x:c>
      <x:c r="J557" t="str">
        <x:v>归属于上市公司普通股股东的每股净资产</x:v>
      </x:c>
      <x:c r="K557" t="str">
        <x:v>candidate_pending_automated_verification</x:v>
      </x:c>
      <x:c r="L557" t="str">
        <x:v>https://static.cninfo.com.cn/finalpage/2026-04-29/1225247387.PDF</x:v>
      </x:c>
      <x:c r="M557" t="str">
        <x:v>63f6612a6d97530a7572ddf7ead66e8b61c97d7b5c72197e2d0ed94b7c36d566</x:v>
      </x:c>
      <x:c r="N557" t="str">
        <x:v> 2024 年 本期比上年同期增减 (%) 2023 年
基本每股收益 1.76 1.65 6.67 1.69
稀释每股收益 1.76 1.65 6.67 1.52
扣除非经常性损益后的基本每股收益 1.75 1.63 7.36 1.66
归属于上市公司普通股股东的每股净资产 14.06 12.73 10.45 11.47
财务指标（%） 2025 年 2024 年 本期比上年同期增减 2023 年
总资产收益率 0.82 0.91 下降 0.09 个百分点 0.94
加权平均净资产收益率 13.14 13.59 下降 0.45 个百分点 14.52
扣除非经常性损益后的加权平均净资产收
益率 13.11 13.42 下降 0.31 个百分</x:v>
      </x:c>
    </x:row>
    <x:row r="558">
      <x:c r="A558" t="str">
        <x:v>7fb942cc-e21a-484c-a593-b50cde62a2a5</x:v>
      </x:c>
      <x:c r="B558" t="str">
        <x:v>600919</x:v>
      </x:c>
      <x:c r="C558" t="str">
        <x:v>江苏银行</x:v>
      </x:c>
      <x:c r="D558" t="str">
        <x:v>2025-12-31</x:v>
      </x:c>
      <x:c r="E558" t="str">
        <x:v>annual</x:v>
      </x:c>
      <x:c r="F558" t="str">
        <x:v>roe</x:v>
      </x:c>
      <x:c r="G558" t="n">
        <x:v>13.14</x:v>
      </x:c>
      <x:c r="H558" t="str">
        <x:v>percent</x:v>
      </x:c>
      <x:c r="I558" t="n">
        <x:v>17</x:v>
      </x:c>
      <x:c r="J558" t="str">
        <x:v>加权平均净资产收益率</x:v>
      </x:c>
      <x:c r="K558" t="str">
        <x:v>candidate_pending_automated_verification</x:v>
      </x:c>
      <x:c r="L558" t="str">
        <x:v>https://static.cninfo.com.cn/finalpage/2026-04-29/1225247387.PDF</x:v>
      </x:c>
      <x:c r="M558" t="str">
        <x:v>63f6612a6d97530a7572ddf7ead66e8b61c97d7b5c72197e2d0ed94b7c36d566</x:v>
      </x:c>
      <x:c r="N558" t="str">
        <x:v>66
归属于上市公司普通股股东的每股净资产 14.06 12.73 10.45 11.47
财务指标（%） 2025 年 2024 年 本期比上年同期增减 2023 年
总资产收益率 0.82 0.91 下降 0.09 个百分点 0.94
加权平均净资产收益率 13.14 13.59 下降 0.45 个百分点 14.52
扣除非经常性损益后的加权平均净资产收
益率 13.11 13.42 下降 0.31 个百分点 14.25
成本收入比 26.67 24.73 上升 1.94 个百分点 23.99
财务概要</x:v>
      </x:c>
    </x:row>
    <x:row r="559">
      <x:c r="A559" t="str">
        <x:v>0de3dfb8-9f10-467c-acf1-8b5723b74158</x:v>
      </x:c>
      <x:c r="B559" t="str">
        <x:v>600919</x:v>
      </x:c>
      <x:c r="C559" t="str">
        <x:v>江苏银行</x:v>
      </x:c>
      <x:c r="D559" t="str">
        <x:v>2025-12-31</x:v>
      </x:c>
      <x:c r="E559" t="str">
        <x:v>annual</x:v>
      </x:c>
      <x:c r="F559" t="str">
        <x:v>eps_annual</x:v>
      </x:c>
      <x:c r="G559" t="n">
        <x:v>1.76</x:v>
      </x:c>
      <x:c r="H559" t="str">
        <x:v>CNY/share</x:v>
      </x:c>
      <x:c r="I559" t="n">
        <x:v>17</x:v>
      </x:c>
      <x:c r="J559" t="str">
        <x:v>基本每股收益</x:v>
      </x:c>
      <x:c r="K559" t="str">
        <x:v>candidate_pending_automated_verification</x:v>
      </x:c>
      <x:c r="L559" t="str">
        <x:v>https://static.cninfo.com.cn/finalpage/2026-04-29/1225247387.PDF</x:v>
      </x:c>
      <x:c r="M559" t="str">
        <x:v>63f6612a6d97530a7572ddf7ead66e8b61c97d7b5c72197e2d0ed94b7c36d566</x:v>
      </x:c>
      <x:c r="N559" t="str">
        <x:v>.41 28,244,751
经营活动产生的现金流量净额 560,651,108 36,845,641 1,421.62 213,598,870
每股指标（元 / 股） 2025 年 2024 年 本期比上年同期增减 (%) 2023 年
基本每股收益 1.76 1.65 6.67 1.69
稀释每股收益 1.76 1.65 6.67 1.52
扣除非经常性损益后的基本每股收益 1.75 1.63 7.36 1.66
归属于上市公司普通股股东的每股净资产 14.06 12.73 10.45 11.47
财务指标（%） 2025 年 2024 年 本期比上年同期增减 2023 年
总资产收益率 0.82 0.91 下</x:v>
      </x:c>
    </x:row>
    <x:row r="560">
      <x:c r="A560" t="str">
        <x:v>3d1a2a4b-52f8-4287-b42f-2a021281eb51</x:v>
      </x:c>
      <x:c r="B560" t="str">
        <x:v>600919</x:v>
      </x:c>
      <x:c r="C560" t="str">
        <x:v>江苏银行</x:v>
      </x:c>
      <x:c r="D560" t="str">
        <x:v>2025-12-31</x:v>
      </x:c>
      <x:c r="E560" t="str">
        <x:v>annual</x:v>
      </x:c>
      <x:c r="F560" t="str">
        <x:v>operating_cash_flow</x:v>
      </x:c>
      <x:c r="G560" t="n">
        <x:v>560651108</x:v>
      </x:c>
      <x:c r="H560" t="str">
        <x:v>reported_amount</x:v>
      </x:c>
      <x:c r="I560" t="n">
        <x:v>17</x:v>
      </x:c>
      <x:c r="J560" t="str">
        <x:v>经营活动产生的现金流量净额</x:v>
      </x:c>
      <x:c r="K560" t="str">
        <x:v>candidate_pending_automated_verification</x:v>
      </x:c>
      <x:c r="L560" t="str">
        <x:v>https://static.cninfo.com.cn/finalpage/2026-04-29/1225247387.PDF</x:v>
      </x:c>
      <x:c r="M560" t="str">
        <x:v>63f6612a6d97530a7572ddf7ead66e8b61c97d7b5c72197e2d0ed94b7c36d566</x:v>
      </x:c>
      <x:c r="N560" t="str">
        <x:v>3,433
归属于上市公司股东的净利润 34,501,004 31,843,213 8.35 28,750,352
归属于上市公司股东的扣除非经常性损益
的净利润 34,424,763 31,464,081 9.41 28,244,751
经营活动产生的现金流量净额 560,651,108 36,845,641 1,421.62 213,598,870
每股指标（元 / 股） 2025 年 2024 年 本期比上年同期增减 (%) 2023 年
基本每股收益 1.76 1.65 6.67 1.69
稀释每股收益 1.76 1.65 6.67 1.52
扣除非经常性损益后的基本每股收益 1.75 1.63 7.36 1.66
归属于上市公司普通</x:v>
      </x:c>
    </x:row>
    <x:row r="561">
      <x:c r="A561" t="str">
        <x:v>5c75694f-9a92-435d-addf-bb8427db6e3b</x:v>
      </x:c>
      <x:c r="B561" t="str">
        <x:v>600919</x:v>
      </x:c>
      <x:c r="C561" t="str">
        <x:v>江苏银行</x:v>
      </x:c>
      <x:c r="D561" t="str">
        <x:v>2025-12-31</x:v>
      </x:c>
      <x:c r="E561" t="str">
        <x:v>annual</x:v>
      </x:c>
      <x:c r="F561" t="str">
        <x:v>net_income</x:v>
      </x:c>
      <x:c r="G561" t="n">
        <x:v>34501004</x:v>
      </x:c>
      <x:c r="H561" t="str">
        <x:v>reported_amount</x:v>
      </x:c>
      <x:c r="I561" t="n">
        <x:v>17</x:v>
      </x:c>
      <x:c r="J561" t="str">
        <x:v>归属于上市公司股东的净利润</x:v>
      </x:c>
      <x:c r="K561" t="str">
        <x:v>candidate_pending_automated_verification</x:v>
      </x:c>
      <x:c r="L561" t="str">
        <x:v>https://static.cninfo.com.cn/finalpage/2026-04-29/1225247387.PDF</x:v>
      </x:c>
      <x:c r="M561" t="str">
        <x:v>63f6612a6d97530a7572ddf7ead66e8b61c97d7b5c72197e2d0ed94b7c36d566</x:v>
      </x:c>
      <x:c r="N561" t="str">
        <x:v> JIANGSU
一、近三年主要会计数据和财务指标
经营业绩指标（人民币  千元） 2025 年 2024 年 本期比上年同期增减 (%) 2023 年
营业收入 87,942,367 80,815,212 8.82 74,293,433
归属于上市公司股东的净利润 34,501,004 31,843,213 8.35 28,750,352
归属于上市公司股东的扣除非经常性损益
的净利润 34,424,763 31,464,081 9.41 28,244,751
经营活动产生的现金流量净额 560,651,108 36,845,641 1,421.62 213,598,870
每股指标（元 / 股） 2025 年 2024 年 本期比上年同</x:v>
      </x:c>
    </x:row>
    <x:row r="562">
      <x:c r="A562" t="str">
        <x:v>448231b3-87c5-41d7-9975-5b13336375f9</x:v>
      </x:c>
      <x:c r="B562" t="str">
        <x:v>600919</x:v>
      </x:c>
      <x:c r="C562" t="str">
        <x:v>江苏银行</x:v>
      </x:c>
      <x:c r="D562" t="str">
        <x:v>2025-12-31</x:v>
      </x:c>
      <x:c r="E562" t="str">
        <x:v>annual</x:v>
      </x:c>
      <x:c r="F562" t="str">
        <x:v>revenue</x:v>
      </x:c>
      <x:c r="G562" t="n">
        <x:v>87942367</x:v>
      </x:c>
      <x:c r="H562" t="str">
        <x:v>reported_amount</x:v>
      </x:c>
      <x:c r="I562" t="n">
        <x:v>17</x:v>
      </x:c>
      <x:c r="J562" t="str">
        <x:v>营业收入</x:v>
      </x:c>
      <x:c r="K562" t="str">
        <x:v>candidate_pending_automated_verification</x:v>
      </x:c>
      <x:c r="L562" t="str">
        <x:v>https://static.cninfo.com.cn/finalpage/2026-04-29/1225247387.PDF</x:v>
      </x:c>
      <x:c r="M562" t="str">
        <x:v>63f6612a6d97530a7572ddf7ead66e8b61c97d7b5c72197e2d0ed94b7c36d566</x:v>
      </x:c>
      <x:c r="N562" t="str">
        <x:v>016
江苏银行 BANK OF JIANGSU
一、近三年主要会计数据和财务指标
经营业绩指标（人民币  千元） 2025 年 2024 年 本期比上年同期增减 (%) 2023 年
营业收入 87,942,367 80,815,212 8.82 74,293,433
归属于上市公司股东的净利润 34,501,004 31,843,213 8.35 28,750,352
归属于上市公司股东的扣除非经常性损益
的净利润 34,424,763 31,464,081 9.41 28,244,751
经营活动产生的现金流量净额 560,651,108 36,845,641 1</x:v>
      </x:c>
    </x:row>
    <x:row r="563">
      <x:c r="A563" t="str">
        <x:v>1790b883-10c5-4122-8f13-36f5ca402b58</x:v>
      </x:c>
      <x:c r="B563" t="str">
        <x:v>601319</x:v>
      </x:c>
      <x:c r="C563" t="str">
        <x:v>中国人保</x:v>
      </x:c>
      <x:c r="D563" t="str">
        <x:v>2026-03-31</x:v>
      </x:c>
      <x:c r="E563" t="str">
        <x:v>first_quarter</x:v>
      </x:c>
      <x:c r="F563" t="str">
        <x:v>operating_cash_flow</x:v>
      </x:c>
      <x:c r="G563" t="n">
        <x:v>15350</x:v>
      </x:c>
      <x:c r="H563" t="str">
        <x:v>CNY</x:v>
      </x:c>
      <x:c r="I563" t="n">
        <x:v>11</x:v>
      </x:c>
      <x:c r="J563" t="str">
        <x:v>经营活动产生的现金流量净额</x:v>
      </x:c>
      <x:c r="K563" t="str">
        <x:v>candidate_pending_automated_verification</x:v>
      </x:c>
      <x:c r="L563" t="str">
        <x:v>https://static.cninfo.com.cn/finalpage/2026-04-30/1225259489.PDF</x:v>
      </x:c>
      <x:c r="M563" t="str">
        <x:v>c23eeb24a10d791d54a4442d207b9394a0cf0b8312183011e36201baf555717f</x:v>
      </x:c>
      <x:c r="N563" t="str">
        <x:v>付给职工以及为职工支付的现金 (14,057) (12,323)
支付的各项税费 (11,394) (9,160)
支付其他与经营活动有关的现金 (7,872) (1,232)
经营活动现金流出小计 (188,687) (170,524)
经营活动产生的现金流量净额 15,350 36,549
二、投资活动（使用）/产生的现金流量
收回投资收到的现金 220,068 157,300
取得投资收益和利息收入收到的现金 6,342 7,132
处置投资性房地产、固定资产、无形资
产及其他长期资产收回的现金净额 24 11
投资活动现金流入小计 226,434 164,443
投资支付的现金 (233,441) (203,971)
购建投</x:v>
      </x:c>
    </x:row>
    <x:row r="564">
      <x:c r="A564" t="str">
        <x:v>da0e0f9a-2473-4558-bc3d-1e60e73fb433</x:v>
      </x:c>
      <x:c r="B564" t="str">
        <x:v>601319</x:v>
      </x:c>
      <x:c r="C564" t="str">
        <x:v>中国人保</x:v>
      </x:c>
      <x:c r="D564" t="str">
        <x:v>2026-03-31</x:v>
      </x:c>
      <x:c r="E564" t="str">
        <x:v>first_quarter</x:v>
      </x:c>
      <x:c r="F564" t="str">
        <x:v>bonds_payable</x:v>
      </x:c>
      <x:c r="G564" t="n">
        <x:v>42039</x:v>
      </x:c>
      <x:c r="H564" t="str">
        <x:v>CNY</x:v>
      </x:c>
      <x:c r="I564" t="n">
        <x:v>8</x:v>
      </x:c>
      <x:c r="J564" t="str">
        <x:v>应付债券</x:v>
      </x:c>
      <x:c r="K564" t="str">
        <x:v>candidate_pending_automated_verification</x:v>
      </x:c>
      <x:c r="L564" t="str">
        <x:v>https://static.cninfo.com.cn/finalpage/2026-04-30/1225259489.PDF</x:v>
      </x:c>
      <x:c r="M564" t="str">
        <x:v>c23eeb24a10d791d54a4442d207b9394a0cf0b8312183011e36201baf555717f</x:v>
      </x:c>
      <x:c r="N564" t="str">
        <x:v> 22,210
卖出回购金融资产款 152,904 180,763
预收保费 5,546 9,763
应付职工薪酬 39,789 40,693
应交税费 6,153 6,997
保费准备金 874 377
应付款项 6,223 6,879
应付债券 42,039 41,806
保险合同负债 1,246,157 1,239,519
分出再保险合同负债 246 146
租赁负债 2,102 1,881
递延所得税负债 1,227 1,401
其他负债 58,624 55,059
负债合计 1,589,296 1,607,494
股东权益
股本 44,224 44,224
资本公积 6,796 6,805
其他综合收益 </x:v>
      </x:c>
    </x:row>
    <x:row r="565">
      <x:c r="A565" t="str">
        <x:v>dda07dd6-ba84-46b1-9f4f-60747407f4d4</x:v>
      </x:c>
      <x:c r="B565" t="str">
        <x:v>601319</x:v>
      </x:c>
      <x:c r="C565" t="str">
        <x:v>中国人保</x:v>
      </x:c>
      <x:c r="D565" t="str">
        <x:v>2026-03-31</x:v>
      </x:c>
      <x:c r="E565" t="str">
        <x:v>first_quarter</x:v>
      </x:c>
      <x:c r="F565" t="str">
        <x:v>cash</x:v>
      </x:c>
      <x:c r="G565" t="n">
        <x:v>25277</x:v>
      </x:c>
      <x:c r="H565" t="str">
        <x:v>CNY</x:v>
      </x:c>
      <x:c r="I565" t="n">
        <x:v>7</x:v>
      </x:c>
      <x:c r="J565" t="str">
        <x:v>货币资金</x:v>
      </x:c>
      <x:c r="K565" t="str">
        <x:v>candidate_pending_automated_verification</x:v>
      </x:c>
      <x:c r="L565" t="str">
        <x:v>https://static.cninfo.com.cn/finalpage/2026-04-30/1225259489.PDF</x:v>
      </x:c>
      <x:c r="M565" t="str">
        <x:v>c23eeb24a10d791d54a4442d207b9394a0cf0b8312183011e36201baf555717f</x:v>
      </x:c>
      <x:c r="N565" t="str">
        <x:v>财务报表
（一）截至2026 年 3 月31 日和2025 年 12 月31 日的合并资产负债表
（除另有注明外，金额单位均为人民币百万元）
2026 年 3 月 31 日 2025 年 12 月 31 日
（未经审计） （经审计）
资产
货币资金 25,277 25,984
买入返售金融资产 14,118 35,596
金融投资：
交易性金融资产 419,865 409,717
债权投资 315,039 322,656
其他债权投资 625,199 607,327
其他权益工具投资 166,307 169,046
定期存款 133,427 127,438
保险合同资产 548 794
分出再保险合同资产 37,3</x:v>
      </x:c>
    </x:row>
    <x:row r="566">
      <x:c r="A566" t="str">
        <x:v>4890a387-a15e-4a24-b431-0e3d63c22f81</x:v>
      </x:c>
      <x:c r="B566" t="str">
        <x:v>601319</x:v>
      </x:c>
      <x:c r="C566" t="str">
        <x:v>中国人保</x:v>
      </x:c>
      <x:c r="D566" t="str">
        <x:v>2026-03-31</x:v>
      </x:c>
      <x:c r="E566" t="str">
        <x:v>first_quarter</x:v>
      </x:c>
      <x:c r="F566" t="str">
        <x:v>operating_cash_flow</x:v>
      </x:c>
      <x:c r="G566" t="n">
        <x:v>15350</x:v>
      </x:c>
      <x:c r="H566" t="str">
        <x:v>reported_amount</x:v>
      </x:c>
      <x:c r="I566" t="n">
        <x:v>1</x:v>
      </x:c>
      <x:c r="J566" t="str">
        <x:v>经营活动产生的现金流量净额</x:v>
      </x:c>
      <x:c r="K566" t="str">
        <x:v>candidate_pending_automated_verification</x:v>
      </x:c>
      <x:c r="L566" t="str">
        <x:v>https://static.cninfo.com.cn/finalpage/2026-04-30/1225259489.PDF</x:v>
      </x:c>
      <x:c r="M566" t="str">
        <x:v>c23eeb24a10d791d54a4442d207b9394a0cf0b8312183011e36201baf555717f</x:v>
      </x:c>
      <x:c r="N566" t="str">
        <x:v>536 156,589 (5.1)
利润总额 11,805 20,603 (42.7)
归属于母公司股东的净利润 8,814 12,849 (31.4)
归属于母公司股东的扣除非经
常性损益的净利润 9,184 12,815 (28.3)
经营活动产生的现金流量净额 15,350 36,549 (58.0)
基本每股收益（元/股） 0.20 0.29 (31.4)
稀释每股收益（元/股） 0.19 0.29 (34.7)
加权平均净资产收益率（%） 2.8 4.7 下降1.9 个
百分点
项目 2026 年3月31 日 2025 年12 月31 日 增减（%）
总资产 2,023,515 2,027,683 (0.2)
归属于母公司</x:v>
      </x:c>
    </x:row>
    <x:row r="567">
      <x:c r="A567" t="str">
        <x:v>f397c966-ebe1-4f3b-b99a-835639db8b2b</x:v>
      </x:c>
      <x:c r="B567" t="str">
        <x:v>601601</x:v>
      </x:c>
      <x:c r="C567" t="str">
        <x:v>中国太保</x:v>
      </x:c>
      <x:c r="D567" t="str">
        <x:v>2026-03-31</x:v>
      </x:c>
      <x:c r="E567" t="str">
        <x:v>first_quarter</x:v>
      </x:c>
      <x:c r="F567" t="str">
        <x:v>operating_cash_flow</x:v>
      </x:c>
      <x:c r="G567" t="n">
        <x:v>61263</x:v>
      </x:c>
      <x:c r="H567" t="str">
        <x:v>CNY</x:v>
      </x:c>
      <x:c r="I567" t="n">
        <x:v>12</x:v>
      </x:c>
      <x:c r="J567" t="str">
        <x:v>经营活动产生的现金流量净额</x:v>
      </x:c>
      <x:c r="K567" t="str">
        <x:v>candidate_pending_automated_verification</x:v>
      </x:c>
      <x:c r="L567" t="str">
        <x:v>https://static.cninfo.com.cn/finalpage/2026-04-29/1225229187.PDF</x:v>
      </x:c>
      <x:c r="M567" t="str">
        <x:v>fa3fff81631066aad54854f927568cc51cc52a103a82e550563a640dfcabb281</x:v>
      </x:c>
      <x:c r="N567" t="str">
        <x:v>)
支付给职工以及为职工支付的现金 (8,731) (8,361)
支付的各项税费 (2,837) (2,549)
支付其他与经营活动有关的现金 (19,387) (18,359)
经营活动现金流出小计 (89,666) (89,510)
经营活动产生的现金流量净额 61,263 64,558
二、投资活动产生的现金流量
收回投资收到的现金 153,486 295,152
取得投资收益和利息收入收到的现金 17,271 14,495
处置子公司及其他营业单位收到的现金净额 83 95
处置固定资产、无形资产和其他长期资产
收到的现金净额 15 27
投资活动现金流入小计 170,855 309,769
投资支付的现金 (216,03</x:v>
      </x:c>
    </x:row>
    <x:row r="568">
      <x:c r="A568" t="str">
        <x:v>5de7e7e7-a813-4cab-b05b-8b4385943234</x:v>
      </x:c>
      <x:c r="B568" t="str">
        <x:v>601601</x:v>
      </x:c>
      <x:c r="C568" t="str">
        <x:v>中国太保</x:v>
      </x:c>
      <x:c r="D568" t="str">
        <x:v>2026-03-31</x:v>
      </x:c>
      <x:c r="E568" t="str">
        <x:v>first_quarter</x:v>
      </x:c>
      <x:c r="F568" t="str">
        <x:v>long_term_borrowings</x:v>
      </x:c>
      <x:c r="G568" t="n">
        <x:v>123</x:v>
      </x:c>
      <x:c r="H568" t="str">
        <x:v>CNY</x:v>
      </x:c>
      <x:c r="I568" t="n">
        <x:v>10</x:v>
      </x:c>
      <x:c r="J568" t="str">
        <x:v>长期借款</x:v>
      </x:c>
      <x:c r="K568" t="str">
        <x:v>candidate_pending_automated_verification</x:v>
      </x:c>
      <x:c r="L568" t="str">
        <x:v>https://static.cninfo.com.cn/finalpage/2026-04-29/1225229187.PDF</x:v>
      </x:c>
      <x:c r="M568" t="str">
        <x:v>fa3fff81631066aad54854f927568cc51cc52a103a82e550563a640dfcabb281</x:v>
      </x:c>
      <x:c r="N568" t="str">
        <x:v>2
应付债券 22,205 22,678
保险合同负债 2,539,861 2,466,607
应付手续费及佣金 6,844 5,835
保费准备金 397 201
租赁负债 1,500 1,571
递延所得税负债 5,957 4,517
长期借款 123 154
其他负债 57,760 52,603
负债合计 2,874,957 2,810,543
股本 9,620 9,620
资本公积 79,932 79,932
其他综合损益 (10,431) (17,390)
盈余公积 5,114 5,114
一般风险准备 35,461 35,420
未分配利润 199,906 189,447
归属于母公司股东权益合计</x:v>
      </x:c>
    </x:row>
    <x:row r="569">
      <x:c r="A569" t="str">
        <x:v>5ea78b18-e472-4585-aea3-b10d9ef0f474</x:v>
      </x:c>
      <x:c r="B569" t="str">
        <x:v>601601</x:v>
      </x:c>
      <x:c r="C569" t="str">
        <x:v>中国太保</x:v>
      </x:c>
      <x:c r="D569" t="str">
        <x:v>2026-03-31</x:v>
      </x:c>
      <x:c r="E569" t="str">
        <x:v>first_quarter</x:v>
      </x:c>
      <x:c r="F569" t="str">
        <x:v>bonds_payable</x:v>
      </x:c>
      <x:c r="G569" t="n">
        <x:v>22205</x:v>
      </x:c>
      <x:c r="H569" t="str">
        <x:v>CNY</x:v>
      </x:c>
      <x:c r="I569" t="n">
        <x:v>10</x:v>
      </x:c>
      <x:c r="J569" t="str">
        <x:v>应付债券</x:v>
      </x:c>
      <x:c r="K569" t="str">
        <x:v>candidate_pending_automated_verification</x:v>
      </x:c>
      <x:c r="L569" t="str">
        <x:v>https://static.cninfo.com.cn/finalpage/2026-04-29/1225229187.PDF</x:v>
      </x:c>
      <x:c r="M569" t="str">
        <x:v>fa3fff81631066aad54854f927568cc51cc52a103a82e550563a640dfcabb281</x:v>
      </x:c>
      <x:c r="N569" t="str">
        <x:v>未经审计) (经审计)
负债和股东权益
衍生金融负债 1,647 2,372
卖出回购金融资产款 219,944 218,930
预收保费 5,127 20,237
应付职工薪酬 8,640 11,116
应交税费 4,952 3,722
应付债券 22,205 22,678
保险合同负债 2,539,861 2,466,607
应付手续费及佣金 6,844 5,835
保费准备金 397 201
租赁负债 1,500 1,571
递延所得税负债 5,957 4,517
长期借款 123 154
其他负债 57,760 52,603
负债合计 2,874,957 2,810,543
股本 9,620 9,620
资</x:v>
      </x:c>
    </x:row>
    <x:row r="570">
      <x:c r="A570" t="str">
        <x:v>a3ff2f77-0204-4a00-aea1-789a935e4b06</x:v>
      </x:c>
      <x:c r="B570" t="str">
        <x:v>601601</x:v>
      </x:c>
      <x:c r="C570" t="str">
        <x:v>中国太保</x:v>
      </x:c>
      <x:c r="D570" t="str">
        <x:v>2026-03-31</x:v>
      </x:c>
      <x:c r="E570" t="str">
        <x:v>first_quarter</x:v>
      </x:c>
      <x:c r="F570" t="str">
        <x:v>cash</x:v>
      </x:c>
      <x:c r="G570" t="n">
        <x:v>88523</x:v>
      </x:c>
      <x:c r="H570" t="str">
        <x:v>CNY</x:v>
      </x:c>
      <x:c r="I570" t="n">
        <x:v>9</x:v>
      </x:c>
      <x:c r="J570" t="str">
        <x:v>货币资金</x:v>
      </x:c>
      <x:c r="K570" t="str">
        <x:v>candidate_pending_automated_verification</x:v>
      </x:c>
      <x:c r="L570" t="str">
        <x:v>https://static.cninfo.com.cn/finalpage/2026-04-29/1225229187.PDF</x:v>
      </x:c>
      <x:c r="M570" t="str">
        <x:v>fa3fff81631066aad54854f927568cc51cc52a103a82e550563a640dfcabb281</x:v>
      </x:c>
      <x:c r="N570" t="str">
        <x:v>
合并资产负债表
2026 年 3 月 31 日
编制单位：中国太平洋保险（集团）股份有限公司
单位：人民币百万元 审计类型：未经审计
项目 2026 年 3 月 31 日 2025 年 12 月 31 日
(未经审计) (经审计)
资产
货币资金 88,523 62,789
衍生金融资产 8 5
买入返售金融资产 13,004 24,512
定期存款 210,322 187,310
金融投资：
交易性金融资产 718,075 714,868
债权投资 49,888 52,601
其他债权投资 1,802,616 1,772,078
其他权益工具投资 192,813 176,161
分出再保险合同资产 45,815</x:v>
      </x:c>
    </x:row>
    <x:row r="571">
      <x:c r="A571" t="str">
        <x:v>e4c86e68-00a9-454e-a940-a02f48d531c2</x:v>
      </x:c>
      <x:c r="B571" t="str">
        <x:v>601668</x:v>
      </x:c>
      <x:c r="C571" t="str">
        <x:v>中国建筑</x:v>
      </x:c>
      <x:c r="D571" t="str">
        <x:v>2026-03-31</x:v>
      </x:c>
      <x:c r="E571" t="str">
        <x:v>first_quarter</x:v>
      </x:c>
      <x:c r="F571" t="str">
        <x:v>cash</x:v>
      </x:c>
      <x:c r="G571" t="n">
        <x:v>374202649</x:v>
      </x:c>
      <x:c r="H571" t="str">
        <x:v>CNY</x:v>
      </x:c>
      <x:c r="I571" t="n">
        <x:v>8</x:v>
      </x:c>
      <x:c r="J571" t="str">
        <x:v>货币资金</x:v>
      </x:c>
      <x:c r="K571" t="str">
        <x:v>candidate_pending_automated_verification</x:v>
      </x:c>
      <x:c r="L571" t="str">
        <x:v>https://static.cninfo.com.cn/finalpage/2026-04-29/1225237435.PDF</x:v>
      </x:c>
      <x:c r="M571" t="str">
        <x:v>46b28d3c04d73def1cdd80da6d0122114ff4237742a30475241b5603ddd6ba3c</x:v>
      </x:c>
      <x:c r="N571" t="str">
        <x:v>
□适用 √不适用
(二)财务报表
合并资产负债表
2026 年 3月 31日
编制单位：中国建筑股份有限公司
单位：千元 币种:人民币 审计类型：未经审计
项目 2026 年 3 月 31日 2025 年 12 月 31 日
流动资产：
货币资金 374,202,649 411,670,207
交易性金融资产 14,208 20,669
应收票据 4,670,734 3,820,157
应收账款 442,286,697 415,558,761
应收款项融资 2,036,189 1,586,441
预付款项 28,407,668 35,476,792
其他应收款 84,757,943 74,786,128
存货 826,03</x:v>
      </x:c>
    </x:row>
    <x:row r="572">
      <x:c r="A572" t="str">
        <x:v>8a9e1ab0-da83-4083-acb6-74fa42ddaa0c</x:v>
      </x:c>
      <x:c r="B572" t="str">
        <x:v>601668</x:v>
      </x:c>
      <x:c r="C572" t="str">
        <x:v>中国建筑</x:v>
      </x:c>
      <x:c r="D572" t="str">
        <x:v>2026-03-31</x:v>
      </x:c>
      <x:c r="E572" t="str">
        <x:v>first_quarter</x:v>
      </x:c>
      <x:c r="F572" t="str">
        <x:v>revenue</x:v>
      </x:c>
      <x:c r="G572" t="n">
        <x:v>511847191</x:v>
      </x:c>
      <x:c r="H572" t="str">
        <x:v>reported_amount</x:v>
      </x:c>
      <x:c r="I572" t="n">
        <x:v>1</x:v>
      </x:c>
      <x:c r="J572" t="str">
        <x:v>营业收入</x:v>
      </x:c>
      <x:c r="K572" t="str">
        <x:v>candidate_pending_automated_verification</x:v>
      </x:c>
      <x:c r="L572" t="str">
        <x:v>https://static.cninfo.com.cn/finalpage/2026-04-29/1225237435.PDF</x:v>
      </x:c>
      <x:c r="M572" t="str">
        <x:v>46b28d3c04d73def1cdd80da6d0122114ff4237742a30475241b5603ddd6ba3c</x:v>
      </x:c>
      <x:c r="N572" t="str">
        <x:v>告中财务信息的真实、准确、完整。
第一季度财务报表是否经审计
□是 √否
一、主要财务数据
(一)主要会计数据和财务指标
单位：千元 币种：人民币
项目 本报告期
上年同期
本报告期比上
年同期增减变
动幅度(%)
调整前 调整后 调整后
营业收入 511,847,191 555,342,204 555,423,385 -7.8
利润总额 20,890,259 22,918,073 22,918,700 -8.9</x:v>
      </x:c>
    </x:row>
    <x:row r="573">
      <x:c r="A573" t="str">
        <x:v>a1baae83-57d0-4fba-b6a0-e4c8af3e68be</x:v>
      </x:c>
      <x:c r="B573" t="str">
        <x:v>601668</x:v>
      </x:c>
      <x:c r="C573" t="str">
        <x:v>中国建筑</x:v>
      </x:c>
      <x:c r="D573" t="str">
        <x:v>2026-03-31</x:v>
      </x:c>
      <x:c r="E573" t="str">
        <x:v>first_quarter</x:v>
      </x:c>
      <x:c r="F573" t="str">
        <x:v>short_term_borrowings</x:v>
      </x:c>
      <x:c r="G573" t="n">
        <x:v>181254266</x:v>
      </x:c>
      <x:c r="H573" t="str">
        <x:v>CNY</x:v>
      </x:c>
      <x:c r="I573" t="n">
        <x:v>9</x:v>
      </x:c>
      <x:c r="J573" t="str">
        <x:v>短期借款</x:v>
      </x:c>
      <x:c r="K573" t="str">
        <x:v>candidate_pending_automated_verification</x:v>
      </x:c>
      <x:c r="L573" t="str">
        <x:v>https://static.cninfo.com.cn/finalpage/2026-04-29/1225237435.PDF</x:v>
      </x:c>
      <x:c r="M573" t="str">
        <x:v>46b28d3c04d73def1cdd80da6d0122114ff4237742a30475241b5603ddd6ba3c</x:v>
      </x:c>
      <x:c r="N573" t="str">
        <x:v>6 年第一季度报告
9 / 20
其他非流动资产 362,401,996 357,439,422
非流动资产合计 960,898,275 954,163,101
资产总计 3,613,674,212 3,560,679,818
流动负债：
短期借款 181,254,266 170,246,434
应付票据 11,245,438 11,657,357
应付账款 981,542,911 997,477,873
预收款项 1,369,708 1,208,413
合同负债 386,556,860 377,779,486
应付职工薪酬 10,515,864 13,951,290
应交税费 57,194,163 57,286,249
其</x:v>
      </x:c>
    </x:row>
    <x:row r="574">
      <x:c r="A574" t="str">
        <x:v>8f8a80d1-1271-4aa8-aca5-5ca1be26391d</x:v>
      </x:c>
      <x:c r="B574" t="str">
        <x:v>601668</x:v>
      </x:c>
      <x:c r="C574" t="str">
        <x:v>中国建筑</x:v>
      </x:c>
      <x:c r="D574" t="str">
        <x:v>2026-03-31</x:v>
      </x:c>
      <x:c r="E574" t="str">
        <x:v>first_quarter</x:v>
      </x:c>
      <x:c r="F574" t="str">
        <x:v>bonds_payable</x:v>
      </x:c>
      <x:c r="G574" t="n">
        <x:v>124319863</x:v>
      </x:c>
      <x:c r="H574" t="str">
        <x:v>CNY</x:v>
      </x:c>
      <x:c r="I574" t="n">
        <x:v>9</x:v>
      </x:c>
      <x:c r="J574" t="str">
        <x:v>应付债券</x:v>
      </x:c>
      <x:c r="K574" t="str">
        <x:v>candidate_pending_automated_verification</x:v>
      </x:c>
      <x:c r="L574" t="str">
        <x:v>https://static.cninfo.com.cn/finalpage/2026-04-29/1225237435.PDF</x:v>
      </x:c>
      <x:c r="M574" t="str">
        <x:v>46b28d3c04d73def1cdd80da6d0122114ff4237742a30475241b5603ddd6ba3c</x:v>
      </x:c>
      <x:c r="N574" t="str">
        <x:v>4,915 127,047,835
其他流动负债 156,725,050 155,221,746
流动负债合计 2,078,119,068 2,065,876,652
非流动负债：
长期借款 539,803,611 526,471,993
应付债券 124,319,863 113,381,047
租赁负债 3,233,829 3,382,648
长期应付款 15,906,233 15,407,569
长期应付职工薪酬 1,370,012 1,360,180
预计负债 2,464,700 2,467,283
递延收益 476,226 478,962
递延所得税负债 9,122,559 8,902,586
其他非流动负债 483</x:v>
      </x:c>
    </x:row>
    <x:row r="575">
      <x:c r="A575" t="str">
        <x:v>9ac50102-2cce-47ee-8578-65f43923c66b</x:v>
      </x:c>
      <x:c r="B575" t="str">
        <x:v>601668</x:v>
      </x:c>
      <x:c r="C575" t="str">
        <x:v>中国建筑</x:v>
      </x:c>
      <x:c r="D575" t="str">
        <x:v>2026-03-31</x:v>
      </x:c>
      <x:c r="E575" t="str">
        <x:v>first_quarter</x:v>
      </x:c>
      <x:c r="F575" t="str">
        <x:v>long_term_borrowings</x:v>
      </x:c>
      <x:c r="G575" t="n">
        <x:v>539803611</x:v>
      </x:c>
      <x:c r="H575" t="str">
        <x:v>CNY</x:v>
      </x:c>
      <x:c r="I575" t="n">
        <x:v>9</x:v>
      </x:c>
      <x:c r="J575" t="str">
        <x:v>长期借款</x:v>
      </x:c>
      <x:c r="K575" t="str">
        <x:v>candidate_pending_automated_verification</x:v>
      </x:c>
      <x:c r="L575" t="str">
        <x:v>https://static.cninfo.com.cn/finalpage/2026-04-29/1225237435.PDF</x:v>
      </x:c>
      <x:c r="M575" t="str">
        <x:v>46b28d3c04d73def1cdd80da6d0122114ff4237742a30475241b5603ddd6ba3c</x:v>
      </x:c>
      <x:c r="N575" t="str">
        <x:v>53,999,969
一年内到期的非流动负债 137,364,915 127,047,835
其他流动负债 156,725,050 155,221,746
流动负债合计 2,078,119,068 2,065,876,652
非流动负债：
长期借款 539,803,611 526,471,993
应付债券 124,319,863 113,381,047
租赁负债 3,233,829 3,382,648
长期应付款 15,906,233 15,407,569
长期应付职工薪酬 1,370,012 1,360,180
预计负债 2,464,700 2,467,283
递延收益 476,226 478,962
递延所得税负债 9,</x:v>
      </x:c>
    </x:row>
    <x:row r="576">
      <x:c r="A576" t="str">
        <x:v>62c63200-68a3-4c56-bd3b-d80503e856ad</x:v>
      </x:c>
      <x:c r="B576" t="str">
        <x:v>601668</x:v>
      </x:c>
      <x:c r="C576" t="str">
        <x:v>中国建筑</x:v>
      </x:c>
      <x:c r="D576" t="str">
        <x:v>2026-03-31</x:v>
      </x:c>
      <x:c r="E576" t="str">
        <x:v>first_quarter</x:v>
      </x:c>
      <x:c r="F576" t="str">
        <x:v>current_portion_long_term_debt</x:v>
      </x:c>
      <x:c r="G576" t="n">
        <x:v>137364915</x:v>
      </x:c>
      <x:c r="H576" t="str">
        <x:v>CNY</x:v>
      </x:c>
      <x:c r="I576" t="n">
        <x:v>9</x:v>
      </x:c>
      <x:c r="J576" t="str">
        <x:v>一年内到期的非流动负债</x:v>
      </x:c>
      <x:c r="K576" t="str">
        <x:v>candidate_pending_automated_verification</x:v>
      </x:c>
      <x:c r="L576" t="str">
        <x:v>https://static.cninfo.com.cn/finalpage/2026-04-29/1225237435.PDF</x:v>
      </x:c>
      <x:c r="M576" t="str">
        <x:v>46b28d3c04d73def1cdd80da6d0122114ff4237742a30475241b5603ddd6ba3c</x:v>
      </x:c>
      <x:c r="N576" t="str">
        <x:v>,413
合同负债 386,556,860 377,779,486
应付职工薪酬 10,515,864 13,951,290
应交税费 57,194,163 57,286,249
其他应付款 154,349,893 153,999,969
一年内到期的非流动负债 137,364,915 127,047,835
其他流动负债 156,725,050 155,221,746
流动负债合计 2,078,119,068 2,065,876,652
非流动负债：
长期借款 539,803,611 526,471,993
应付债券 124,319,863 113,381,047
租赁负债 3,233,829 3,382,648
长期应付款 15,90</x:v>
      </x:c>
    </x:row>
    <x:row r="577">
      <x:c r="A577" t="str">
        <x:v>6388aa02-814b-4d2b-89dc-191120ca3d95</x:v>
      </x:c>
      <x:c r="B577" t="str">
        <x:v>601818</x:v>
      </x:c>
      <x:c r="C577" t="str">
        <x:v>光大银行</x:v>
      </x:c>
      <x:c r="D577" t="str">
        <x:v>2026-03-31</x:v>
      </x:c>
      <x:c r="E577" t="str">
        <x:v>first_quarter</x:v>
      </x:c>
      <x:c r="F577" t="str">
        <x:v>bonds_payable</x:v>
      </x:c>
      <x:c r="G577" t="n">
        <x:v>1346600</x:v>
      </x:c>
      <x:c r="H577" t="str">
        <x:v>CNY</x:v>
      </x:c>
      <x:c r="I577" t="n">
        <x:v>15</x:v>
      </x:c>
      <x:c r="J577" t="str">
        <x:v>应付债券</x:v>
      </x:c>
      <x:c r="K577" t="str">
        <x:v>candidate_pending_automated_verification</x:v>
      </x:c>
      <x:c r="L577" t="str">
        <x:v>https://static.cninfo.com.cn/finalpage/2026-04-30/1225262113.PDF</x:v>
      </x:c>
      <x:c r="M577" t="str">
        <x:v>e7c26bbb2e93eca80dab0b2e413bdaee15704a174eaaf185259b6bc358ca1e68</x:v>
      </x:c>
      <x:c r="N577" t="str">
        <x:v>职工薪酬 15,956 18,908 15,340 18,143
应交税费 5,787 6,368 5,169 5,539
租赁负债 9,204 9,534 9,071 9,402
预计负债 1,761 1,839 1,761 1,839
应付债券 1,346,600 1,328,801 1,332,218 1,316,876
其他负债 74,038 56,565 59,015 42,383
负债合计 6,624,131 6,557,877 6,482,520 6,405,685</x:v>
      </x:c>
    </x:row>
    <x:row r="578">
      <x:c r="A578" t="str">
        <x:v>bad51b41-1988-44d3-96d6-ea8b0d73915b</x:v>
      </x:c>
      <x:c r="B578" t="str">
        <x:v>601818</x:v>
      </x:c>
      <x:c r="C578" t="str">
        <x:v>光大银行</x:v>
      </x:c>
      <x:c r="D578" t="str">
        <x:v>2026-03-31</x:v>
      </x:c>
      <x:c r="E578" t="str">
        <x:v>first_quarter</x:v>
      </x:c>
      <x:c r="F578" t="str">
        <x:v>revenue</x:v>
      </x:c>
      <x:c r="G578" t="n">
        <x:v>31811</x:v>
      </x:c>
      <x:c r="H578" t="str">
        <x:v>reported_amount</x:v>
      </x:c>
      <x:c r="I578" t="n">
        <x:v>3</x:v>
      </x:c>
      <x:c r="J578" t="str">
        <x:v>营业收入</x:v>
      </x:c>
      <x:c r="K578" t="str">
        <x:v>candidate_pending_automated_verification</x:v>
      </x:c>
      <x:c r="L578" t="str">
        <x:v>https://static.cninfo.com.cn/finalpage/2026-04-30/1225262113.PDF</x:v>
      </x:c>
      <x:c r="M578" t="str">
        <x:v>e7c26bbb2e93eca80dab0b2e413bdaee15704a174eaaf185259b6bc358ca1e68</x:v>
      </x:c>
      <x:c r="N578" t="str">
        <x:v>地化经营责任。推进
特殊资产经营管理专业化、精细化转型，持续加大不良资产处置力度。
三、主要财务数据和经营情况
（一）主要会计数据和财务指标
单位：人民币百万元、%
项目 2026 年 1-3 月 2025 年 1-3 月 比上年同期增减
营业收入 31,811 33,086 (3.85)
净利润 11,521 12,530 (8.05)
归属于本行股东的净利润 11,459 12,464 (8.06)
归属于本行股东的扣除非经常
性损益的净利润
11,490 12,634 (9.05)</x:v>
      </x:c>
    </x:row>
    <x:row r="579">
      <x:c r="A579" t="str">
        <x:v>647befef-8877-4dd1-83c1-1242eb58d7a5</x:v>
      </x:c>
      <x:c r="B579" t="str">
        <x:v>601390</x:v>
      </x:c>
      <x:c r="C579" t="str">
        <x:v>中国中铁</x:v>
      </x:c>
      <x:c r="D579" t="str">
        <x:v>2026-03-31</x:v>
      </x:c>
      <x:c r="E579" t="str">
        <x:v>first_quarter</x:v>
      </x:c>
      <x:c r="F579" t="str">
        <x:v>net_income</x:v>
      </x:c>
      <x:c r="G579" t="n">
        <x:v>4358918</x:v>
      </x:c>
      <x:c r="H579" t="str">
        <x:v>reported_amount</x:v>
      </x:c>
      <x:c r="I579" t="n">
        <x:v>1</x:v>
      </x:c>
      <x:c r="J579" t="str">
        <x:v>归属于上市公司股东的净利润</x:v>
      </x:c>
      <x:c r="K579" t="str">
        <x:v>candidate_pending_automated_verification</x:v>
      </x:c>
      <x:c r="L579" t="str">
        <x:v>https://static.cninfo.com.cn/finalpage/2026-04-30/1225262240.PDF</x:v>
      </x:c>
      <x:c r="M579" t="str">
        <x:v>fdcf75d3eedc40e47f7e5b90fd7b7d363e85cea6cd70080c57a6917c77fd56fc</x:v>
      </x:c>
      <x:c r="N579" t="str">
        <x:v>据和财务指标
单位：千元 币种：人民币
项目 本报告期 上年同期
本报告期比上年同期
增减变动幅度(%)
营业收入 234,997,667 248,564,203 -5.46
利润总额 6,467,537 8,048,394 -19.64
归属于上市公司股东的净利润 4,358,918 6,025,119 -27.65
归属于上市公司股东的扣除非经常性
损益的净利润
3,892,255 5,553,117 -29.91
经营活动产生的现金流量净额 -86,427,712 -77,399,254 不适用
基本每股收益（元/股） 0.177 0.245 -27.76
稀释每股收益（元/股） 0.177 0.245 -27.76
加权平均净资产</x:v>
      </x:c>
    </x:row>
    <x:row r="580">
      <x:c r="A580" t="str">
        <x:v>00e6c732-86ad-4c5f-ae83-eb314638cf10</x:v>
      </x:c>
      <x:c r="B580" t="str">
        <x:v>601390</x:v>
      </x:c>
      <x:c r="C580" t="str">
        <x:v>中国中铁</x:v>
      </x:c>
      <x:c r="D580" t="str">
        <x:v>2026-03-31</x:v>
      </x:c>
      <x:c r="E580" t="str">
        <x:v>first_quarter</x:v>
      </x:c>
      <x:c r="F580" t="str">
        <x:v>operating_cash_flow</x:v>
      </x:c>
      <x:c r="G580" t="n">
        <x:v>-86427712</x:v>
      </x:c>
      <x:c r="H580" t="str">
        <x:v>CNY</x:v>
      </x:c>
      <x:c r="I580" t="n">
        <x:v>9</x:v>
      </x:c>
      <x:c r="J580" t="str">
        <x:v>经营活动产生的现金流量净额</x:v>
      </x:c>
      <x:c r="K580" t="str">
        <x:v>candidate_pending_automated_verification</x:v>
      </x:c>
      <x:c r="L580" t="str">
        <x:v>https://static.cninfo.com.cn/finalpage/2026-04-30/1225262240.PDF</x:v>
      </x:c>
      <x:c r="M580" t="str">
        <x:v>fdcf75d3eedc40e47f7e5b90fd7b7d363e85cea6cd70080c57a6917c77fd56fc</x:v>
      </x:c>
      <x:c r="N580" t="str">
        <x:v>,106,091 23,873,246
支付的各项税费 9,551,200 9,636,323
支付其他与经营活动有关的现金 22,433,320 19,168,227
经营活动现金流出小计 363,351,855 315,031,582
经营活动产生的现金流量净额 -86,427,712 -77,399,254
二、投资活动产生的现金流量：
收回投资收到的现金 4,895,771 4,519,688
取得投资收益收到的现金 782,949 1,838,409
处置固定资产、无形资产和其他长期资产收回的现金净额 98,102 49,243
收到其他与投资活动有关的现金 827,270 1,096,988
投资活动现金流入小计 6,604,09</x:v>
      </x:c>
    </x:row>
    <x:row r="581">
      <x:c r="A581" t="str">
        <x:v>b104f127-e59f-4b5b-a5d6-526ea5dab85e</x:v>
      </x:c>
      <x:c r="B581" t="str">
        <x:v>601390</x:v>
      </x:c>
      <x:c r="C581" t="str">
        <x:v>中国中铁</x:v>
      </x:c>
      <x:c r="D581" t="str">
        <x:v>2026-03-31</x:v>
      </x:c>
      <x:c r="E581" t="str">
        <x:v>first_quarter</x:v>
      </x:c>
      <x:c r="F581" t="str">
        <x:v>bonds_payable</x:v>
      </x:c>
      <x:c r="G581" t="n">
        <x:v>47529887</x:v>
      </x:c>
      <x:c r="H581" t="str">
        <x:v>CNY</x:v>
      </x:c>
      <x:c r="I581" t="n">
        <x:v>6</x:v>
      </x:c>
      <x:c r="J581" t="str">
        <x:v>应付债券</x:v>
      </x:c>
      <x:c r="K581" t="str">
        <x:v>candidate_pending_automated_verification</x:v>
      </x:c>
      <x:c r="L581" t="str">
        <x:v>https://static.cninfo.com.cn/finalpage/2026-04-30/1225262240.PDF</x:v>
      </x:c>
      <x:c r="M581" t="str">
        <x:v>fdcf75d3eedc40e47f7e5b90fd7b7d363e85cea6cd70080c57a6917c77fd56fc</x:v>
      </x:c>
      <x:c r="N581" t="str">
        <x:v>,215,079 57,811,548
其他流动负债 50,137,090 49,591,787
流动负债合计 1,340,250,829 1,394,585,755
非流动负债：
长期借款 388,966,440 373,128,703
应付债券 47,529,887 45,572,147
其中：优先股
永续债
租赁负债 3,182,282 3,410,707
长期应付款 84,637,807 99,762,727
长期应付职工薪酬 1,423,582 1,449,910
预计负债 4,005,324 3,964,133
递延收益 1,120,322 1,115,635
递延所得税负债 6,821,282 6,895,1</x:v>
      </x:c>
    </x:row>
    <x:row r="582">
      <x:c r="A582" t="str">
        <x:v>f829bf67-d943-417e-b075-aab4f008a7b1</x:v>
      </x:c>
      <x:c r="B582" t="str">
        <x:v>601390</x:v>
      </x:c>
      <x:c r="C582" t="str">
        <x:v>中国中铁</x:v>
      </x:c>
      <x:c r="D582" t="str">
        <x:v>2026-03-31</x:v>
      </x:c>
      <x:c r="E582" t="str">
        <x:v>first_quarter</x:v>
      </x:c>
      <x:c r="F582" t="str">
        <x:v>long_term_borrowings</x:v>
      </x:c>
      <x:c r="G582" t="n">
        <x:v>388966440</x:v>
      </x:c>
      <x:c r="H582" t="str">
        <x:v>CNY</x:v>
      </x:c>
      <x:c r="I582" t="n">
        <x:v>6</x:v>
      </x:c>
      <x:c r="J582" t="str">
        <x:v>长期借款</x:v>
      </x:c>
      <x:c r="K582" t="str">
        <x:v>candidate_pending_automated_verification</x:v>
      </x:c>
      <x:c r="L582" t="str">
        <x:v>https://static.cninfo.com.cn/finalpage/2026-04-30/1225262240.PDF</x:v>
      </x:c>
      <x:c r="M582" t="str">
        <x:v>fdcf75d3eedc40e47f7e5b90fd7b7d363e85cea6cd70080c57a6917c77fd56fc</x:v>
      </x:c>
      <x:c r="N582" t="str">
        <x:v>75,233 950,092
一年内到期的非流动负债 56,215,079 57,811,548
其他流动负债 50,137,090 49,591,787
流动负债合计 1,340,250,829 1,394,585,755
非流动负债：
长期借款 388,966,440 373,128,703
应付债券 47,529,887 45,572,147
其中：优先股
永续债
租赁负债 3,182,282 3,410,707
长期应付款 84,637,807 99,762,727
长期应付职工薪酬 1,423,582 1,449,910
预计负债 4,005,324 3,964,133
递延收益 1,120,322 1,115,6</x:v>
      </x:c>
    </x:row>
    <x:row r="583">
      <x:c r="A583" t="str">
        <x:v>346fbb85-9543-4943-9fb6-4b6b0597e8a5</x:v>
      </x:c>
      <x:c r="B583" t="str">
        <x:v>601390</x:v>
      </x:c>
      <x:c r="C583" t="str">
        <x:v>中国中铁</x:v>
      </x:c>
      <x:c r="D583" t="str">
        <x:v>2026-03-31</x:v>
      </x:c>
      <x:c r="E583" t="str">
        <x:v>first_quarter</x:v>
      </x:c>
      <x:c r="F583" t="str">
        <x:v>current_portion_long_term_debt</x:v>
      </x:c>
      <x:c r="G583" t="n">
        <x:v>56215079</x:v>
      </x:c>
      <x:c r="H583" t="str">
        <x:v>CNY</x:v>
      </x:c>
      <x:c r="I583" t="n">
        <x:v>6</x:v>
      </x:c>
      <x:c r="J583" t="str">
        <x:v>一年内到期的非流动负债</x:v>
      </x:c>
      <x:c r="K583" t="str">
        <x:v>candidate_pending_automated_verification</x:v>
      </x:c>
      <x:c r="L583" t="str">
        <x:v>https://static.cninfo.com.cn/finalpage/2026-04-30/1225262240.PDF</x:v>
      </x:c>
      <x:c r="M583" t="str">
        <x:v>fdcf75d3eedc40e47f7e5b90fd7b7d363e85cea6cd70080c57a6917c77fd56fc</x:v>
      </x:c>
      <x:c r="N583" t="str">
        <x:v>7,071 7,493,159
应交税费 13,000,128 15,426,143
其他应付款 134,436,826 131,123,417
其中：应付利息 662,186 338,960
应付股利 1,675,233 950,092
一年内到期的非流动负债 56,215,079 57,811,548
其他流动负债 50,137,090 49,591,787
流动负债合计 1,340,250,829 1,394,585,755
非流动负债：
长期借款 388,966,440 373,128,703
应付债券 47,529,887 45,572,147
其中：优先股
永续债
租赁负债 3,182,282 3,410,707
长期应付款</x:v>
      </x:c>
    </x:row>
    <x:row r="584">
      <x:c r="A584" t="str">
        <x:v>ecae3fb5-5831-4a45-bfb3-938c07980a0d</x:v>
      </x:c>
      <x:c r="B584" t="str">
        <x:v>601390</x:v>
      </x:c>
      <x:c r="C584" t="str">
        <x:v>中国中铁</x:v>
      </x:c>
      <x:c r="D584" t="str">
        <x:v>2026-03-31</x:v>
      </x:c>
      <x:c r="E584" t="str">
        <x:v>first_quarter</x:v>
      </x:c>
      <x:c r="F584" t="str">
        <x:v>short_term_borrowings</x:v>
      </x:c>
      <x:c r="G584" t="n">
        <x:v>126657544</x:v>
      </x:c>
      <x:c r="H584" t="str">
        <x:v>CNY</x:v>
      </x:c>
      <x:c r="I584" t="n">
        <x:v>6</x:v>
      </x:c>
      <x:c r="J584" t="str">
        <x:v>短期借款</x:v>
      </x:c>
      <x:c r="K584" t="str">
        <x:v>candidate_pending_automated_verification</x:v>
      </x:c>
      <x:c r="L584" t="str">
        <x:v>https://static.cninfo.com.cn/finalpage/2026-04-30/1225262240.PDF</x:v>
      </x:c>
      <x:c r="M584" t="str">
        <x:v>fdcf75d3eedc40e47f7e5b90fd7b7d363e85cea6cd70080c57a6917c77fd56fc</x:v>
      </x:c>
      <x:c r="N584" t="str">
        <x:v>2 18,591,935
其他非流动资产 283,265,465 274,951,801
非流动资产合计 1,146,559,270 1,130,913,752
资产总计 2,424,585,163 2,470,580,585
流动负债：
短期借款 126,657,544 98,079,980
交易性金融负债 28,723 30,328
衍生金融负债 847,310 847,310
应付票据 54,041,365 59,928,579
应付账款 749,521,413 813,278,882
预收款项 1,784,440 1,768,886
合同负债 144,054,866 150,870,737
吸收存款及同业存放 4,4</x:v>
      </x:c>
    </x:row>
    <x:row r="585">
      <x:c r="A585" t="str">
        <x:v>238f1664-5f5b-4d61-bcaf-1d1c5126afbf</x:v>
      </x:c>
      <x:c r="B585" t="str">
        <x:v>601390</x:v>
      </x:c>
      <x:c r="C585" t="str">
        <x:v>中国中铁</x:v>
      </x:c>
      <x:c r="D585" t="str">
        <x:v>2026-03-31</x:v>
      </x:c>
      <x:c r="E585" t="str">
        <x:v>first_quarter</x:v>
      </x:c>
      <x:c r="F585" t="str">
        <x:v>cash</x:v>
      </x:c>
      <x:c r="G585" t="n">
        <x:v>182103255</x:v>
      </x:c>
      <x:c r="H585" t="str">
        <x:v>CNY</x:v>
      </x:c>
      <x:c r="I585" t="n">
        <x:v>5</x:v>
      </x:c>
      <x:c r="J585" t="str">
        <x:v>货币资金</x:v>
      </x:c>
      <x:c r="K585" t="str">
        <x:v>candidate_pending_automated_verification</x:v>
      </x:c>
      <x:c r="L585" t="str">
        <x:v>https://static.cninfo.com.cn/finalpage/2026-04-30/1225262240.PDF</x:v>
      </x:c>
      <x:c r="M585" t="str">
        <x:v>fdcf75d3eedc40e47f7e5b90fd7b7d363e85cea6cd70080c57a6917c77fd56fc</x:v>
      </x:c>
      <x:c r="N585" t="str">
        <x:v>□适用 √不适用
(二)财务报表
合并资产负债表
2026 年 3月 31日
编制单位：中国中铁股份有限公司
单位：千元 币种:人民币 审计类型：未经审计
项目 2026 年 3 月 31 日 2025 年 12 月 31 日
流动资产：
货币资金 182,103,255 253,502,633
交易性金融资产 12,178,506 12,797,615
衍生金融资产 126,066 126,066
应收票据 1,656,197 1,557,441
应收账款 281,086,003 288,877,597
应收款项融资 979,603 853,511
预付款项 42,723,386 40,394,259
其他应收款 50,0</x:v>
      </x:c>
    </x:row>
    <x:row r="586">
      <x:c r="A586" t="str">
        <x:v>b5327f70-7fc4-436a-8909-7b7ee8f945b3</x:v>
      </x:c>
      <x:c r="B586" t="str">
        <x:v>601390</x:v>
      </x:c>
      <x:c r="C586" t="str">
        <x:v>中国中铁</x:v>
      </x:c>
      <x:c r="D586" t="str">
        <x:v>2026-03-31</x:v>
      </x:c>
      <x:c r="E586" t="str">
        <x:v>first_quarter</x:v>
      </x:c>
      <x:c r="F586" t="str">
        <x:v>operating_cash_flow</x:v>
      </x:c>
      <x:c r="G586" t="n">
        <x:v>-86427712</x:v>
      </x:c>
      <x:c r="H586" t="str">
        <x:v>reported_amount</x:v>
      </x:c>
      <x:c r="I586" t="n">
        <x:v>1</x:v>
      </x:c>
      <x:c r="J586" t="str">
        <x:v>经营活动产生的现金流量净额</x:v>
      </x:c>
      <x:c r="K586" t="str">
        <x:v>candidate_pending_automated_verification</x:v>
      </x:c>
      <x:c r="L586" t="str">
        <x:v>https://static.cninfo.com.cn/finalpage/2026-04-30/1225262240.PDF</x:v>
      </x:c>
      <x:c r="M586" t="str">
        <x:v>fdcf75d3eedc40e47f7e5b90fd7b7d363e85cea6cd70080c57a6917c77fd56fc</x:v>
      </x:c>
      <x:c r="N586" t="str">
        <x:v> 6,467,537 8,048,394 -19.64
归属于上市公司股东的净利润 4,358,918 6,025,119 -27.65
归属于上市公司股东的扣除非经常性
损益的净利润
3,892,255 5,553,117 -29.91
经营活动产生的现金流量净额 -86,427,712 -77,399,254 不适用
基本每股收益（元/股） 0.177 0.245 -27.76
稀释每股收益（元/股） 0.177 0.245 -27.76
加权平均净资产收益率（%） 1.36 1.96 减少 0.60 个百分点
本报告期末 上年度末
本报告期末比上年度
末增减变动幅度(%)
总资产 2,424,585,163 2,470,580,585 </x:v>
      </x:c>
    </x:row>
    <x:row r="587">
      <x:c r="A587" t="str">
        <x:v>c15f14d8-7833-4f24-816c-487b3a3fb8c7</x:v>
      </x:c>
      <x:c r="B587" t="str">
        <x:v>601390</x:v>
      </x:c>
      <x:c r="C587" t="str">
        <x:v>中国中铁</x:v>
      </x:c>
      <x:c r="D587" t="str">
        <x:v>2026-03-31</x:v>
      </x:c>
      <x:c r="E587" t="str">
        <x:v>first_quarter</x:v>
      </x:c>
      <x:c r="F587" t="str">
        <x:v>revenue</x:v>
      </x:c>
      <x:c r="G587" t="n">
        <x:v>234997667</x:v>
      </x:c>
      <x:c r="H587" t="str">
        <x:v>reported_amount</x:v>
      </x:c>
      <x:c r="I587" t="n">
        <x:v>1</x:v>
      </x:c>
      <x:c r="J587" t="str">
        <x:v>营业收入</x:v>
      </x:c>
      <x:c r="K587" t="str">
        <x:v>candidate_pending_automated_verification</x:v>
      </x:c>
      <x:c r="L587" t="str">
        <x:v>https://static.cninfo.com.cn/finalpage/2026-04-30/1225262240.PDF</x:v>
      </x:c>
      <x:c r="M587" t="str">
        <x:v>fdcf75d3eedc40e47f7e5b90fd7b7d363e85cea6cd70080c57a6917c77fd56fc</x:v>
      </x:c>
      <x:c r="N587" t="str">
        <x:v>管人员）于来新保证季
度报告中财务信息的真实、准确、完整。
第一季度财务报表是否经审计
□是 √否
一、主要财务数据
(一)主要会计数据和财务指标
单位：千元 币种：人民币
项目 本报告期 上年同期
本报告期比上年同期
增减变动幅度(%)
营业收入 234,997,667 248,564,203 -5.46
利润总额 6,467,537 8,048,394 -19.64
归属于上市公司股东的净利润 4,358,918 6,025,119 -27.65
归属于上市公司股东的扣除非经常性
损益的净利润
3,892,255 5,553,117 -29.91
经营活动产生的现金流量净额 -86,427,712 -77,399,254</x:v>
      </x:c>
    </x:row>
    <x:row r="588">
      <x:c r="A588" t="str">
        <x:v>91145e18-9fac-472b-901c-d42aa466a551</x:v>
      </x:c>
      <x:c r="B588" t="str">
        <x:v>600887</x:v>
      </x:c>
      <x:c r="C588" t="str">
        <x:v>伊利股份</x:v>
      </x:c>
      <x:c r="D588" t="str">
        <x:v>2026-03-31</x:v>
      </x:c>
      <x:c r="E588" t="str">
        <x:v>first_quarter</x:v>
      </x:c>
      <x:c r="F588" t="str">
        <x:v>operating_cash_flow</x:v>
      </x:c>
      <x:c r="G588" t="n">
        <x:v>3734648413.05</x:v>
      </x:c>
      <x:c r="H588" t="str">
        <x:v>reported_amount</x:v>
      </x:c>
      <x:c r="I588" t="n">
        <x:v>1</x:v>
      </x:c>
      <x:c r="J588" t="str">
        <x:v>经营活动产生的现金流量净额</x:v>
      </x:c>
      <x:c r="K588" t="str">
        <x:v>candidate_pending_automated_verification</x:v>
      </x:c>
      <x:c r="L588" t="str">
        <x:v>https://static.cninfo.com.cn/finalpage/2026-04-30/1225259609.PDF</x:v>
      </x:c>
      <x:c r="M588" t="str">
        <x:v>b6c728dd2a403480f9b73e29dfd905cde310c52c7a552cc19ef192b71a08ccc9</x:v>
      </x:c>
      <x:c r="N588" t="str">
        <x:v>78
归属于上市公司股东的净利润 5,394,651,297.16 4,874,104,242.93 10.68
归属于上市公司股东的扣除非经常性损益的净利润 5,328,824,365.82 4,629,303,049.44 15.11
经营活动产生的现金流量净额 3,734,648,413.05 948,079,882.53 293.92
基本每股收益（元/股） 0.85 0.77 10.39
稀释每股收益（元/股） 0.85 0.77 10.39
加权平均净资产收益率（%） 9.44 8.74 增加 0.70 个百分点
本报告期末 上年度末 本报告期末比上年度
末增减变动幅度(%)
总资产 156,745,247,869.64 152,098,5</x:v>
      </x:c>
    </x:row>
    <x:row r="589">
      <x:c r="A589" t="str">
        <x:v>6dcc44ba-912b-4a0b-a5a3-3648197f5542</x:v>
      </x:c>
      <x:c r="B589" t="str">
        <x:v>600887</x:v>
      </x:c>
      <x:c r="C589" t="str">
        <x:v>伊利股份</x:v>
      </x:c>
      <x:c r="D589" t="str">
        <x:v>2026-03-31</x:v>
      </x:c>
      <x:c r="E589" t="str">
        <x:v>first_quarter</x:v>
      </x:c>
      <x:c r="F589" t="str">
        <x:v>operating_cash_flow</x:v>
      </x:c>
      <x:c r="G589" t="n">
        <x:v>3734648413.05</x:v>
      </x:c>
      <x:c r="H589" t="str">
        <x:v>CNY</x:v>
      </x:c>
      <x:c r="I589" t="n">
        <x:v>9</x:v>
      </x:c>
      <x:c r="J589" t="str">
        <x:v>经营活动产生的现金流量净额</x:v>
      </x:c>
      <x:c r="K589" t="str">
        <x:v>candidate_pending_automated_verification</x:v>
      </x:c>
      <x:c r="L589" t="str">
        <x:v>https://static.cninfo.com.cn/finalpage/2026-04-30/1225259609.PDF</x:v>
      </x:c>
      <x:c r="M589" t="str">
        <x:v>b6c728dd2a403480f9b73e29dfd905cde310c52c7a552cc19ef192b71a08ccc9</x:v>
      </x:c>
      <x:c r="N589" t="str">
        <x:v>718,828.27 1,864,301,025.72
支付其他与经营活动有关的现金 432,802,142.41 433,347,415.41
经营活动现金流出小计 28,695,373,811.97 29,025,032,724.04
经营活动产生的现金流量净额 3,734,648,413.05 948,079,882.53</x:v>
      </x:c>
    </x:row>
    <x:row r="590">
      <x:c r="A590" t="str">
        <x:v>a8ae1c41-c0b2-494a-8c07-3ba4a6b8077d</x:v>
      </x:c>
      <x:c r="B590" t="str">
        <x:v>600887</x:v>
      </x:c>
      <x:c r="C590" t="str">
        <x:v>伊利股份</x:v>
      </x:c>
      <x:c r="D590" t="str">
        <x:v>2026-03-31</x:v>
      </x:c>
      <x:c r="E590" t="str">
        <x:v>first_quarter</x:v>
      </x:c>
      <x:c r="F590" t="str">
        <x:v>long_term_borrowings</x:v>
      </x:c>
      <x:c r="G590" t="n">
        <x:v>450429848.76</x:v>
      </x:c>
      <x:c r="H590" t="str">
        <x:v>CNY</x:v>
      </x:c>
      <x:c r="I590" t="n">
        <x:v>6</x:v>
      </x:c>
      <x:c r="J590" t="str">
        <x:v>长期借款</x:v>
      </x:c>
      <x:c r="K590" t="str">
        <x:v>candidate_pending_automated_verification</x:v>
      </x:c>
      <x:c r="L590" t="str">
        <x:v>https://static.cninfo.com.cn/finalpage/2026-04-30/1225259609.PDF</x:v>
      </x:c>
      <x:c r="M590" t="str">
        <x:v>b6c728dd2a403480f9b73e29dfd905cde310c52c7a552cc19ef192b71a08ccc9</x:v>
      </x:c>
      <x:c r="N590" t="str">
        <x:v>2.23 4,414,707,476.52
其他流动负债 835,905,501.73 10,445,809,070.14
流动负债合计 90,855,775,734.31 91,053,004,170.21
非流动负债：
保险合同准备金
长期借款 450,429,848.76 472,479,632.72
应付债券
其中：优先股
永续债
租赁负债 234,221,383.75 288,520,048.50
长期应付款
长期应付职工薪酬 23,743,536.23 24,084,724.90
预计负债
递延收益 768,444,792.87 755,371,787.60
递延所得税负债 928,171,269.39 960,705</x:v>
      </x:c>
    </x:row>
    <x:row r="591">
      <x:c r="A591" t="str">
        <x:v>bfc7402b-4d8e-481e-bd7b-010dee177509</x:v>
      </x:c>
      <x:c r="B591" t="str">
        <x:v>600887</x:v>
      </x:c>
      <x:c r="C591" t="str">
        <x:v>伊利股份</x:v>
      </x:c>
      <x:c r="D591" t="str">
        <x:v>2026-03-31</x:v>
      </x:c>
      <x:c r="E591" t="str">
        <x:v>first_quarter</x:v>
      </x:c>
      <x:c r="F591" t="str">
        <x:v>current_portion_long_term_debt</x:v>
      </x:c>
      <x:c r="G591" t="n">
        <x:v>2405055952.23</x:v>
      </x:c>
      <x:c r="H591" t="str">
        <x:v>CNY</x:v>
      </x:c>
      <x:c r="I591" t="n">
        <x:v>6</x:v>
      </x:c>
      <x:c r="J591" t="str">
        <x:v>一年内到期的非流动负债</x:v>
      </x:c>
      <x:c r="K591" t="str">
        <x:v>candidate_pending_automated_verification</x:v>
      </x:c>
      <x:c r="L591" t="str">
        <x:v>https://static.cninfo.com.cn/finalpage/2026-04-30/1225259609.PDF</x:v>
      </x:c>
      <x:c r="M591" t="str">
        <x:v>b6c728dd2a403480f9b73e29dfd905cde310c52c7a552cc19ef192b71a08ccc9</x:v>
      </x:c>
      <x:c r="N591" t="str">
        <x:v>29,062,556.93
其他应付款 2,786,199,325.01 2,675,338,004.20
其中：应付利息
应付股利 318,822,696.73 318,900,828.36
应付手续费及佣金
应付分保账款
持有待售负债
一年内到期的非流动负债 2,405,055,952.23 4,414,707,476.52
其他流动负债 835,905,501.73 10,445,809,070.14
流动负债合计 90,855,775,734.31 91,053,004,170.21
非流动负债：
保险合同准备金
长期借款 450,429,848.76 472,479,632.72
应付债券
其中：优先股
永续债
租赁负债 234,221,</x:v>
      </x:c>
    </x:row>
    <x:row r="592">
      <x:c r="A592" t="str">
        <x:v>42b3d40f-d620-429f-be86-b588b9f762c7</x:v>
      </x:c>
      <x:c r="B592" t="str">
        <x:v>600887</x:v>
      </x:c>
      <x:c r="C592" t="str">
        <x:v>伊利股份</x:v>
      </x:c>
      <x:c r="D592" t="str">
        <x:v>2026-03-31</x:v>
      </x:c>
      <x:c r="E592" t="str">
        <x:v>first_quarter</x:v>
      </x:c>
      <x:c r="F592" t="str">
        <x:v>short_term_borrowings</x:v>
      </x:c>
      <x:c r="G592" t="n">
        <x:v>59050990165.43</x:v>
      </x:c>
      <x:c r="H592" t="str">
        <x:v>CNY</x:v>
      </x:c>
      <x:c r="I592" t="n">
        <x:v>6</x:v>
      </x:c>
      <x:c r="J592" t="str">
        <x:v>短期借款</x:v>
      </x:c>
      <x:c r="K592" t="str">
        <x:v>candidate_pending_automated_verification</x:v>
      </x:c>
      <x:c r="L592" t="str">
        <x:v>https://static.cninfo.com.cn/finalpage/2026-04-30/1225259609.PDF</x:v>
      </x:c>
      <x:c r="M592" t="str">
        <x:v>b6c728dd2a403480f9b73e29dfd905cde310c52c7a552cc19ef192b71a08ccc9</x:v>
      </x:c>
      <x:c r="N592" t="str">
        <x:v>内蒙古伊利实业集团股份有限公司2026年第一季度报告
6 / 15
流动负债：
短期借款 59,050,990,165.43 45,630,626,027.83
向中央银行借款
拆入资金
交易性金融负债
衍生金融负债 66,123,449.44 33,489,348.83
应付票据 2,612,177,523.52 1,650,779,898.61
应付账款 12,933,122,566.70 11,479,437,770.67
预收款项
合同负债 5,399,011,667.5</x:v>
      </x:c>
    </x:row>
    <x:row r="593">
      <x:c r="A593" t="str">
        <x:v>9de427df-a919-4839-9e3c-5b9dba3207d1</x:v>
      </x:c>
      <x:c r="B593" t="str">
        <x:v>600887</x:v>
      </x:c>
      <x:c r="C593" t="str">
        <x:v>伊利股份</x:v>
      </x:c>
      <x:c r="D593" t="str">
        <x:v>2026-03-31</x:v>
      </x:c>
      <x:c r="E593" t="str">
        <x:v>first_quarter</x:v>
      </x:c>
      <x:c r="F593" t="str">
        <x:v>cash</x:v>
      </x:c>
      <x:c r="G593" t="n">
        <x:v>19755302604.96</x:v>
      </x:c>
      <x:c r="H593" t="str">
        <x:v>CNY</x:v>
      </x:c>
      <x:c r="I593" t="n">
        <x:v>5</x:v>
      </x:c>
      <x:c r="J593" t="str">
        <x:v>货币资金</x:v>
      </x:c>
      <x:c r="K593" t="str">
        <x:v>candidate_pending_automated_verification</x:v>
      </x:c>
      <x:c r="L593" t="str">
        <x:v>https://static.cninfo.com.cn/finalpage/2026-04-30/1225259609.PDF</x:v>
      </x:c>
      <x:c r="M593" t="str">
        <x:v>b6c728dd2a403480f9b73e29dfd905cde310c52c7a552cc19ef192b71a08ccc9</x:v>
      </x:c>
      <x:c r="N593" t="str">
        <x:v>季度报告
5 / 15
合并资产负债表
2026 年 3 月 31 日
编制单位：内蒙古伊利实业集团股份有限公司
单位：元 币种：人民币 审计类型：未经审计
项目 2026 年 3 月 31日 2025 年 12 月 31 日
流动资产：
货币资金 19,755,302,604.96 19,494,920,358.00
结算备付金
拆出资金
交易性金融资产 302,959,055.06 3,300,546.52
衍生金融资产 13,304,100.31 40,816,480.79
应收票据 11,183,611.43 7,279,782.71
应收账款 3,562,528,703.34 2,987,426,531.59
应收款项融资 1</x:v>
      </x:c>
    </x:row>
    <x:row r="594">
      <x:c r="A594" t="str">
        <x:v>b51a9445-35fd-4211-8fc5-4ce66174bfef</x:v>
      </x:c>
      <x:c r="B594" t="str">
        <x:v>600887</x:v>
      </x:c>
      <x:c r="C594" t="str">
        <x:v>伊利股份</x:v>
      </x:c>
      <x:c r="D594" t="str">
        <x:v>2026-03-31</x:v>
      </x:c>
      <x:c r="E594" t="str">
        <x:v>first_quarter</x:v>
      </x:c>
      <x:c r="F594" t="str">
        <x:v>net_income</x:v>
      </x:c>
      <x:c r="G594" t="n">
        <x:v>5394651297.16</x:v>
      </x:c>
      <x:c r="H594" t="str">
        <x:v>reported_amount</x:v>
      </x:c>
      <x:c r="I594" t="n">
        <x:v>1</x:v>
      </x:c>
      <x:c r="J594" t="str">
        <x:v>归属于上市公司股东的净利润</x:v>
      </x:c>
      <x:c r="K594" t="str">
        <x:v>candidate_pending_automated_verification</x:v>
      </x:c>
      <x:c r="L594" t="str">
        <x:v>https://static.cninfo.com.cn/finalpage/2026-04-30/1225259609.PDF</x:v>
      </x:c>
      <x:c r="M594" t="str">
        <x:v>b6c728dd2a403480f9b73e29dfd905cde310c52c7a552cc19ef192b71a08ccc9</x:v>
      </x:c>
      <x:c r="N594" t="str">
        <x:v>报告期 上年同期 本报告期比上年同期
增减变动幅度(%)
营业收入 34,741,223,880.93 32,938,299,808.43 5.47
利润总额 6,373,727,293.62 5,753,533,142.71 10.78
归属于上市公司股东的净利润 5,394,651,297.16 4,874,104,242.93 10.68
归属于上市公司股东的扣除非经常性损益的净利润 5,328,824,365.82 4,629,303,049.44 15.11
经营活动产生的现金流量净额 3,734,648,413.05 948,079,882.53 293.92
基本每股收益（元/股） 0.85 0.77 10.39
稀释每股收益（元/股） </x:v>
      </x:c>
    </x:row>
    <x:row r="595">
      <x:c r="A595" t="str">
        <x:v>ae1cb832-8152-42bc-94d6-19a49a1caf93</x:v>
      </x:c>
      <x:c r="B595" t="str">
        <x:v>600887</x:v>
      </x:c>
      <x:c r="C595" t="str">
        <x:v>伊利股份</x:v>
      </x:c>
      <x:c r="D595" t="str">
        <x:v>2026-03-31</x:v>
      </x:c>
      <x:c r="E595" t="str">
        <x:v>first_quarter</x:v>
      </x:c>
      <x:c r="F595" t="str">
        <x:v>revenue</x:v>
      </x:c>
      <x:c r="G595" t="n">
        <x:v>34741223880.93</x:v>
      </x:c>
      <x:c r="H595" t="str">
        <x:v>reported_amount</x:v>
      </x:c>
      <x:c r="I595" t="n">
        <x:v>1</x:v>
      </x:c>
      <x:c r="J595" t="str">
        <x:v>营业收入</x:v>
      </x:c>
      <x:c r="K595" t="str">
        <x:v>candidate_pending_automated_verification</x:v>
      </x:c>
      <x:c r="L595" t="str">
        <x:v>https://static.cninfo.com.cn/finalpage/2026-04-30/1225259609.PDF</x:v>
      </x:c>
      <x:c r="M595" t="str">
        <x:v>b6c728dd2a403480f9b73e29dfd905cde310c52c7a552cc19ef192b71a08ccc9</x:v>
      </x:c>
      <x:c r="N595" t="str">
        <x:v>（会计主管人员）保证季度报告中财务
信息的真实、准确、完整。
第一季度财务报表是否经审计
□是 √否
一、主要财务数据
(一)主要会计数据和财务指标
单位：元 币种：人民币
项目 本报告期 上年同期 本报告期比上年同期
增减变动幅度(%)
营业收入 34,741,223,880.93 32,938,299,808.43 5.47
利润总额 6,373,727,293.62 5,753,533,142.71 10.78
归属于上市公司股东的净利润 5,394,651,297.16 4,874,104,242.93 10.68
归属于上市公司股东的扣除非经常性损益的净利润 5,328,824,365.82 4,629,303,049.44 </x:v>
      </x:c>
    </x:row>
    <x:row r="596">
      <x:c r="A596" t="str">
        <x:v>68e8a5fb-eddc-402e-87df-94e70d615bdd</x:v>
      </x:c>
      <x:c r="B596" t="str">
        <x:v>601166</x:v>
      </x:c>
      <x:c r="C596" t="str">
        <x:v>兴业银行</x:v>
      </x:c>
      <x:c r="D596" t="str">
        <x:v>2026-03-31</x:v>
      </x:c>
      <x:c r="E596" t="str">
        <x:v>first_quarter</x:v>
      </x:c>
      <x:c r="F596" t="str">
        <x:v>bonds_payable</x:v>
      </x:c>
      <x:c r="G596" t="n">
        <x:v>870030</x:v>
      </x:c>
      <x:c r="H596" t="str">
        <x:v>CNY</x:v>
      </x:c>
      <x:c r="I596" t="n">
        <x:v>11</x:v>
      </x:c>
      <x:c r="J596" t="str">
        <x:v>应付债券</x:v>
      </x:c>
      <x:c r="K596" t="str">
        <x:v>candidate_pending_automated_verification</x:v>
      </x:c>
      <x:c r="L596" t="str">
        <x:v>https://static.cninfo.com.cn/finalpage/2026-04-30/1225264485.PDF</x:v>
      </x:c>
      <x:c r="M596" t="str">
        <x:v>13437b81bfc744c7485d5915236fb20254a9a6e6473849de596c826313cdaa26</x:v>
      </x:c>
      <x:c r="N596" t="str">
        <x:v>0,806 6,095,947 6,026,439
应付职工薪酬 37,135 39,534 34,894 37,221
应交税费 11,832 6,659 9,989 4,526
预计负债 7,781 7,588 7,766 7,574
应付债券 870,030 937,816 838,580 909,219
租赁负债 8,689 8,702 8,552 8,591
递延所得税负债 123 204 - 80
其他负债 58,709 41,542 31,434 19,595
负债合计 10,358,378 10,180,610 10,104,658 9,932,929</x:v>
      </x:c>
    </x:row>
    <x:row r="597">
      <x:c r="A597" t="str">
        <x:v>968d69d2-e969-4710-a851-a9244caf2673</x:v>
      </x:c>
      <x:c r="B597" t="str">
        <x:v>601166</x:v>
      </x:c>
      <x:c r="C597" t="str">
        <x:v>兴业银行</x:v>
      </x:c>
      <x:c r="D597" t="str">
        <x:v>2026-03-31</x:v>
      </x:c>
      <x:c r="E597" t="str">
        <x:v>first_quarter</x:v>
      </x:c>
      <x:c r="F597" t="str">
        <x:v>revenue</x:v>
      </x:c>
      <x:c r="G597" t="n">
        <x:v>55090</x:v>
      </x:c>
      <x:c r="H597" t="str">
        <x:v>reported_amount</x:v>
      </x:c>
      <x:c r="I597" t="n">
        <x:v>1</x:v>
      </x:c>
      <x:c r="J597" t="str">
        <x:v>营业收入</x:v>
      </x:c>
      <x:c r="K597" t="str">
        <x:v>candidate_pending_automated_verification</x:v>
      </x:c>
      <x:c r="L597" t="str">
        <x:v>https://static.cninfo.com.cn/finalpage/2026-04-30/1225264485.PDF</x:v>
      </x:c>
      <x:c r="M597" t="str">
        <x:v>13437b81bfc744c7485d5915236fb20254a9a6e6473849de596c826313cdaa26</x:v>
      </x:c>
      <x:c r="N597" t="str">
        <x:v>准确、完整。
● 公司 2026 年第一季度报告中的财务报表未经审计。
一、主要财务数据
（一）主要会计数据和财务指标
单位：人民币百万元
项目 2026 年 1-3 月 2025 年 1-3 月 本报告期较上年同期增减
(%)
经营业绩
营业收入 55,090 55,683 (1.06)
利息净收入 36,918 37,722 (2.13)
非利息净收入 18,172 17,961 1.17
营业利润 27,384 27,414 (0.11)</x:v>
      </x:c>
    </x:row>
    <x:row r="598">
      <x:c r="A598" t="str">
        <x:v>972236da-4906-4b04-a566-e2f8460fa928</x:v>
      </x:c>
      <x:c r="B598" t="str">
        <x:v>600036</x:v>
      </x:c>
      <x:c r="C598" t="str">
        <x:v>招商银行</x:v>
      </x:c>
      <x:c r="D598" t="str">
        <x:v>2026-03-31</x:v>
      </x:c>
      <x:c r="E598" t="str">
        <x:v>first_quarter</x:v>
      </x:c>
      <x:c r="F598" t="str">
        <x:v>bonds_payable</x:v>
      </x:c>
      <x:c r="G598" t="n">
        <x:v>72866</x:v>
      </x:c>
      <x:c r="H598" t="str">
        <x:v>CNY</x:v>
      </x:c>
      <x:c r="I598" t="n">
        <x:v>16</x:v>
      </x:c>
      <x:c r="J598" t="str">
        <x:v>应付债券</x:v>
      </x:c>
      <x:c r="K598" t="str">
        <x:v>candidate_pending_automated_verification</x:v>
      </x:c>
      <x:c r="L598" t="str">
        <x:v>https://static.cninfo.com.cn/finalpage/2026-04-29/1225231394.PDF</x:v>
      </x:c>
      <x:c r="M598" t="str">
        <x:v>2802004753a3bf4899ebebd55a8bd80d0704390cb791775d528565009d99802d</x:v>
      </x:c>
      <x:c r="N598" t="str">
        <x:v>客户存款 9,669,327 9,547,148
应付职工薪酬 27,782 30,386
应交税费 16,063 12,447
合同负债 3,316 3,535
租赁负债 10,550 10,787
预计负债 17,762 16,829
应付债券 72,866 76,397
其他负债 152,384 102,041
负债合计 11,445,123 11,053,685
股东权益
股本 25,220 25,220
其他权益工具 149,989 177,457
其中：优先股 - 27,468
永续债 149,989 149,989
资本公积 76,024 76,056
其他综合收益 19,125 18,254
盈余公</x:v>
      </x:c>
    </x:row>
    <x:row r="599">
      <x:c r="A599" t="str">
        <x:v>04933f11-59ec-4412-9e13-7e5f127d8420</x:v>
      </x:c>
      <x:c r="B599" t="str">
        <x:v>600036</x:v>
      </x:c>
      <x:c r="C599" t="str">
        <x:v>招商银行</x:v>
      </x:c>
      <x:c r="D599" t="str">
        <x:v>2026-03-31</x:v>
      </x:c>
      <x:c r="E599" t="str">
        <x:v>first_quarter</x:v>
      </x:c>
      <x:c r="F599" t="str">
        <x:v>operating_cash_flow</x:v>
      </x:c>
      <x:c r="G599" t="n">
        <x:v>125760</x:v>
      </x:c>
      <x:c r="H599" t="str">
        <x:v>CNY</x:v>
      </x:c>
      <x:c r="I599" t="n">
        <x:v>23</x:v>
      </x:c>
      <x:c r="J599" t="str">
        <x:v>经营活动产生的现金流量净额</x:v>
      </x:c>
      <x:c r="K599" t="str">
        <x:v>candidate_pending_automated_verification</x:v>
      </x:c>
      <x:c r="L599" t="str">
        <x:v>https://static.cninfo.com.cn/finalpage/2026-04-29/1225231394.PDF</x:v>
      </x:c>
      <x:c r="M599" t="str">
        <x:v>2802004753a3bf4899ebebd55a8bd80d0704390cb791775d528565009d99802d</x:v>
      </x:c>
      <x:c r="N599" t="str">
        <x:v>给职工以及为职工支付的现金 (18,227) (13,647)
支付的各项税费 (9,162) (9,668)
支付其他与经营活动有关的现金 (15,205) (45,457)
经营活动现金流出小计 (343,519) (453,880)
经营活动产生的现金流量净额 125,760 80,120
二、投资活动产生的现金流量
收回投资所收到的现金 416,119 268,501
取得投资收益收到的现金 22,503 26,403
出售固定资产和其他资产所收到的现金 2 4
投资活动现金流入小计 438,624 294,908
投资支付的现金 (504,342) (468,251)
购建固定资产和其他资产所支付的现金 (463) (450</x:v>
      </x:c>
    </x:row>
    <x:row r="600">
      <x:c r="A600" t="str">
        <x:v>4b24068f-54a3-44bb-9486-c5496dc64a96</x:v>
      </x:c>
      <x:c r="B600" t="str">
        <x:v>600036</x:v>
      </x:c>
      <x:c r="C600" t="str">
        <x:v>招商银行</x:v>
      </x:c>
      <x:c r="D600" t="str">
        <x:v>2026-03-31</x:v>
      </x:c>
      <x:c r="E600" t="str">
        <x:v>first_quarter</x:v>
      </x:c>
      <x:c r="F600" t="str">
        <x:v>bonds_payable</x:v>
      </x:c>
      <x:c r="G600" t="n">
        <x:v>142484</x:v>
      </x:c>
      <x:c r="H600" t="str">
        <x:v>CNY</x:v>
      </x:c>
      <x:c r="I600" t="n">
        <x:v>14</x:v>
      </x:c>
      <x:c r="J600" t="str">
        <x:v>应付债券</x:v>
      </x:c>
      <x:c r="K600" t="str">
        <x:v>candidate_pending_automated_verification</x:v>
      </x:c>
      <x:c r="L600" t="str">
        <x:v>https://static.cninfo.com.cn/finalpage/2026-04-29/1225231394.PDF</x:v>
      </x:c>
      <x:c r="M600" t="str">
        <x:v>2802004753a3bf4899ebebd55a8bd80d0704390cb791775d528565009d99802d</x:v>
      </x:c>
      <x:c r="N600" t="str">
        <x:v>户存款 10,042,123 9,924,558
应付职工薪酬 32,923 35,959
应交税费 18,152 14,713
合同负债 3,386 3,548
租赁负债 10,969 11,253
预计负债 17,823 16,919
应付债券 142,484 143,487
递延所得税负债 1,116 1,115
其他负债 182,108 130,034
负债合计 12,194,297 11,789,624
股东权益
股本 25,220 25,220
其他权益工具 149,989 177,457
其中：优先股 - 27,468
永续债 149,989 149,989
资本公积 65,377 65,409
其他综</x:v>
      </x:c>
    </x:row>
    <x:row r="601">
      <x:c r="A601" t="str">
        <x:v>6de16b4b-87b5-49c9-960e-c0e7507b9341</x:v>
      </x:c>
      <x:c r="B601" t="str">
        <x:v>600036</x:v>
      </x:c>
      <x:c r="C601" t="str">
        <x:v>招商银行</x:v>
      </x:c>
      <x:c r="D601" t="str">
        <x:v>2026-03-31</x:v>
      </x:c>
      <x:c r="E601" t="str">
        <x:v>first_quarter</x:v>
      </x:c>
      <x:c r="F601" t="str">
        <x:v>operating_cash_flow</x:v>
      </x:c>
      <x:c r="G601" t="n">
        <x:v>125849</x:v>
      </x:c>
      <x:c r="H601" t="str">
        <x:v>CNY</x:v>
      </x:c>
      <x:c r="I601" t="n">
        <x:v>21</x:v>
      </x:c>
      <x:c r="J601" t="str">
        <x:v>经营活动产生的现金流量净额</x:v>
      </x:c>
      <x:c r="K601" t="str">
        <x:v>candidate_pending_automated_verification</x:v>
      </x:c>
      <x:c r="L601" t="str">
        <x:v>https://static.cninfo.com.cn/finalpage/2026-04-29/1225231394.PDF</x:v>
      </x:c>
      <x:c r="M601" t="str">
        <x:v>2802004753a3bf4899ebebd55a8bd80d0704390cb791775d528565009d99802d</x:v>
      </x:c>
      <x:c r="N601" t="str">
        <x:v>工以及为职工支付的现金 (20,730) (15,823)
支付的各项税费 (10,680) (10,868)
支付其他与经营活动有关的现金 (17,335) (45,935)
经营活动现金流出小计 (371,748) (458,322)
经营活动产生的现金流量净额 125,849 95,026
二、投资活动产生的现金流量
收回投资收到的现金 444,699 289,062
取得投资收益收到的现金 24,384 28,021
出售固定资产和其他资产收到的现金 5,727 1,666
投资活动现金流入小计 474,810 318,749
投资支付的现金 (556,195) (515,015)
购建固定资产和其他资产所支付的现金 (5,4</x:v>
      </x:c>
    </x:row>
    <x:row r="602">
      <x:c r="A602" t="str">
        <x:v>6ccfc63f-19f0-4d53-9e2e-4b018dc28756</x:v>
      </x:c>
      <x:c r="B602" t="str">
        <x:v>601658</x:v>
      </x:c>
      <x:c r="C602" t="str">
        <x:v>邮储银行</x:v>
      </x:c>
      <x:c r="D602" t="str">
        <x:v>2026-03-31</x:v>
      </x:c>
      <x:c r="E602" t="str">
        <x:v>first_quarter</x:v>
      </x:c>
      <x:c r="F602" t="str">
        <x:v>revenue</x:v>
      </x:c>
      <x:c r="G602" t="n">
        <x:v>96162</x:v>
      </x:c>
      <x:c r="H602" t="str">
        <x:v>reported_amount</x:v>
      </x:c>
      <x:c r="I602" t="n">
        <x:v>2</x:v>
      </x:c>
      <x:c r="J602" t="str">
        <x:v>营业收入</x:v>
      </x:c>
      <x:c r="K602" t="str">
        <x:v>candidate_pending_automated_verification</x:v>
      </x:c>
      <x:c r="L602" t="str">
        <x:v>https://static.cninfo.com.cn/finalpage/2026-04-30/1225255200.PDF</x:v>
      </x:c>
      <x:c r="M602" t="str">
        <x:v>be89be4ca1a0a8ab9397957f345109e8db5899d25888d36c4925e5827d692244</x:v>
      </x:c>
      <x:c r="N602" t="str">
        <x:v> 以摊余成本计量的客户贷款的减值准备。
注(2)： 按期末归属于银行普通股股东的权益除以期末普通股股本总数计算。
人民币百万元，百分比或另有标注除外
项目
2026 年
1-3 月
2025 年
1-3 月
比上年同期增减
变动幅度(%)
营业收入 96,162 89,363 7.61
利润总额 27,641 27,252 1.43
净利润 25,846 25,362 1.91
归属于银行股东的净利润 25,726 25,246 1.90
扣除非经常性损益后归属于银行股东的净利润 25,680 25,317 1.43
经营活动产生的现金流量净额 307,846 75,695 306.69
基本及稀释每股收益（人民币</x:v>
      </x:c>
    </x:row>
    <x:row r="603">
      <x:c r="A603" t="str">
        <x:v>918bb4b3-2d72-40a4-ac10-b808b4a4e406</x:v>
      </x:c>
      <x:c r="B603" t="str">
        <x:v>601658</x:v>
      </x:c>
      <x:c r="C603" t="str">
        <x:v>邮储银行</x:v>
      </x:c>
      <x:c r="D603" t="str">
        <x:v>2026-03-31</x:v>
      </x:c>
      <x:c r="E603" t="str">
        <x:v>first_quarter</x:v>
      </x:c>
      <x:c r="F603" t="str">
        <x:v>operating_cash_flow</x:v>
      </x:c>
      <x:c r="G603" t="n">
        <x:v>307846</x:v>
      </x:c>
      <x:c r="H603" t="str">
        <x:v>reported_amount</x:v>
      </x:c>
      <x:c r="I603" t="n">
        <x:v>2</x:v>
      </x:c>
      <x:c r="J603" t="str">
        <x:v>经营活动产生的现金流量净额</x:v>
      </x:c>
      <x:c r="K603" t="str">
        <x:v>candidate_pending_automated_verification</x:v>
      </x:c>
      <x:c r="L603" t="str">
        <x:v>https://static.cninfo.com.cn/finalpage/2026-04-30/1225255200.PDF</x:v>
      </x:c>
      <x:c r="M603" t="str">
        <x:v>be89be4ca1a0a8ab9397957f345109e8db5899d25888d36c4925e5827d692244</x:v>
      </x:c>
      <x:c r="N603" t="str">
        <x:v>1
利润总额 27,641 27,252 1.43
净利润 25,846 25,362 1.91
归属于银行股东的净利润 25,726 25,246 1.90
扣除非经常性损益后归属于银行股东的净利润 25,680 25,317 1.43
经营活动产生的现金流量净额 307,846 75,695 306.69
基本及稀释每股收益（人民币元）(1) 0.20 0.24 (16.67)
加权平均净资产收益率（%，年化）(1) 9.71 11.33 下降1.62 个百分点
注(1)： 根据中华人民共和国财政部《企业会计准则第 34 号——每股收益》和中国证券监督管理委员会《公开发行证券的公司信息披露编报规则
第9 号——净资产收益率和每股收</x:v>
      </x:c>
    </x:row>
    <x:row r="604">
      <x:c r="A604" t="str">
        <x:v>71d03c28-2b28-4740-a59c-56f63f52b2e9</x:v>
      </x:c>
      <x:c r="B604" t="str">
        <x:v>601998</x:v>
      </x:c>
      <x:c r="C604" t="str">
        <x:v>中信银行</x:v>
      </x:c>
      <x:c r="D604" t="str">
        <x:v>2026-03-31</x:v>
      </x:c>
      <x:c r="E604" t="str">
        <x:v>first_quarter</x:v>
      </x:c>
      <x:c r="F604" t="str">
        <x:v>operating_cash_flow</x:v>
      </x:c>
      <x:c r="G604" t="n">
        <x:v>188185</x:v>
      </x:c>
      <x:c r="H604" t="str">
        <x:v>CNY</x:v>
      </x:c>
      <x:c r="I604" t="n">
        <x:v>27</x:v>
      </x:c>
      <x:c r="J604" t="str">
        <x:v>经营活动产生的现金流量净额</x:v>
      </x:c>
      <x:c r="K604" t="str">
        <x:v>candidate_pending_automated_verification</x:v>
      </x:c>
      <x:c r="L604" t="str">
        <x:v>https://static.cninfo.com.cn/finalpage/2026-04-30/1225265327.PDF</x:v>
      </x:c>
      <x:c r="M604" t="str">
        <x:v>26a657e11c53212ef3d14a8a8794ca38149de9634e1a14b27cfb178f2e7b281d</x:v>
      </x:c>
      <x:c r="N604" t="str">
        <x:v>) (6,780) (6,707)
支付其他与经营活动有关的现金 (40,827) (53,976) (23,243) (48,339)
经营活动现金流出小计 (416,174) (493,335) (418,998) (445,484)
经营活动产生的现金流量净额 188,185 37,993 174,495 30,216
方合英 康超
董事长、执行董事 财务会计部总经理
(代为履行行长职责，主管财会工作负责人)
(公司盖章)</x:v>
      </x:c>
    </x:row>
    <x:row r="605">
      <x:c r="A605" t="str">
        <x:v>3e97c19a-18a2-4c21-ace1-3846f43a90b9</x:v>
      </x:c>
      <x:c r="B605" t="str">
        <x:v>601328</x:v>
      </x:c>
      <x:c r="C605" t="str">
        <x:v>交通银行</x:v>
      </x:c>
      <x:c r="D605" t="str">
        <x:v>2026-03-31</x:v>
      </x:c>
      <x:c r="E605" t="str">
        <x:v>first_quarter</x:v>
      </x:c>
      <x:c r="F605" t="str">
        <x:v>bonds_payable</x:v>
      </x:c>
      <x:c r="G605" t="n">
        <x:v>600481</x:v>
      </x:c>
      <x:c r="H605" t="str">
        <x:v>CNY</x:v>
      </x:c>
      <x:c r="I605" t="n">
        <x:v>10</x:v>
      </x:c>
      <x:c r="J605" t="str">
        <x:v>应付债券</x:v>
      </x:c>
      <x:c r="K605" t="str">
        <x:v>candidate_pending_automated_verification</x:v>
      </x:c>
      <x:c r="L605" t="str">
        <x:v>https://static.cninfo.com.cn/finalpage/2026-04-30/1225262918.PDF</x:v>
      </x:c>
      <x:c r="M605" t="str">
        <x:v>45f662b3b062f40eb486fc6e1df686f6f8e03e646daa423ecd67a9d8812749c9</x:v>
      </x:c>
      <x:c r="N605" t="str">
        <x:v>5 438,037
客户存款 9,377,092 8,997,834
已发行存款证 1,348,920 1,385,700
应付职工薪酬 13,376 19,479
应交税费 11,322 8,596
预计负债 10,082 10,524
应付债券 600,481 633,395
递延所得税负债 353 423
其他负债 118,423 83,623
负债合计 14,099,568 13,412,059
股东权益：
股本 88,364 88,364
其他权益工具 126,450 126,450
其中：优先股 44,952 44,952
永续债 81,498 81,498
资本公积 215,469 215,522
其他</x:v>
      </x:c>
    </x:row>
    <x:row r="606">
      <x:c r="A606" t="str">
        <x:v>e8721285-84a5-4dad-a126-a79315ac826f</x:v>
      </x:c>
      <x:c r="B606" t="str">
        <x:v>601328</x:v>
      </x:c>
      <x:c r="C606" t="str">
        <x:v>交通银行</x:v>
      </x:c>
      <x:c r="D606" t="str">
        <x:v>2026-03-31</x:v>
      </x:c>
      <x:c r="E606" t="str">
        <x:v>first_quarter</x:v>
      </x:c>
      <x:c r="F606" t="str">
        <x:v>bonds_payable</x:v>
      </x:c>
      <x:c r="G606" t="n">
        <x:v>655661</x:v>
      </x:c>
      <x:c r="H606" t="str">
        <x:v>CNY</x:v>
      </x:c>
      <x:c r="I606" t="n">
        <x:v>9</x:v>
      </x:c>
      <x:c r="J606" t="str">
        <x:v>应付债券</x:v>
      </x:c>
      <x:c r="K606" t="str">
        <x:v>candidate_pending_automated_verification</x:v>
      </x:c>
      <x:c r="L606" t="str">
        <x:v>https://static.cninfo.com.cn/finalpage/2026-04-30/1225262918.PDF</x:v>
      </x:c>
      <x:c r="M606" t="str">
        <x:v>45f662b3b062f40eb486fc6e1df686f6f8e03e646daa423ecd67a9d8812749c9</x:v>
      </x:c>
      <x:c r="N606" t="str">
        <x:v> 457,777
客户存款 9,685,327 9,307,815
已发行存款证 1,365,962 1,403,271
应付职工薪酬 14,562 21,247
应交税费 14,059 11,084
预计负债 10,128 10,572
应付债券 655,661 692,085
递延所得税负债 3,431 3,657
其他负债 298,437 255,906
负债合计 14,971,189 14,268,106
股东权益：
股本 88,364 88,364
其他权益工具 126,450 126,450
其中：优先股 44,952 44,952
永续债 81,498 81,498
资本公积 215,720 215,7</x:v>
      </x:c>
    </x:row>
    <x:row r="607">
      <x:c r="A607" t="str">
        <x:v>96fd1b1f-e7e0-4341-a22c-3c767c49f5c6</x:v>
      </x:c>
      <x:c r="B607" t="str">
        <x:v>600000</x:v>
      </x:c>
      <x:c r="C607" t="str">
        <x:v>浦发银行</x:v>
      </x:c>
      <x:c r="D607" t="str">
        <x:v>2026-03-31</x:v>
      </x:c>
      <x:c r="E607" t="str">
        <x:v>first_quarter</x:v>
      </x:c>
      <x:c r="F607" t="str">
        <x:v>eps_annual</x:v>
      </x:c>
      <x:c r="G607" t="n">
        <x:v>0.52</x:v>
      </x:c>
      <x:c r="H607" t="str">
        <x:v>CNY/share</x:v>
      </x:c>
      <x:c r="I607" t="n">
        <x:v>1</x:v>
      </x:c>
      <x:c r="J607" t="str">
        <x:v>基本每股收益</x:v>
      </x:c>
      <x:c r="K607" t="str">
        <x:v>candidate_pending_automated_verification</x:v>
      </x:c>
      <x:c r="L607" t="str">
        <x:v>https://static.cninfo.com.cn/finalpage/2026-04-30/1225261168.PDF</x:v>
      </x:c>
      <x:c r="M607" t="str">
        <x:v>df6911eb74bd5448fbf7729936979c60391052746db7d0577e4d4803f38d77e1</x:v>
      </x:c>
      <x:c r="N607" t="str">
        <x:v>母公司股东的净利润 17,861 17,598 1.49
归属于母公司股东的扣除非经常性损
益的净利润 17,903 17,581 1.83
经营活动产生的现金流量净额 91,724 -202,002 145.41
主要财务指标（元/股）
基本每股收益 0.52 0.57 -8.77
稀释每股收益 0.52 0.52 持平
扣除非经常性损益后的基本每股收益 0.52 0.57 -8.77
每股经营活动产生的现金流量净额 2.75 -6.88 139.97
盈利能力指标（%）
加权平均净资产收益率 2.32 2.55 下降0.23 个百分点
扣除非经常性损益后的加权平均净资
产收益率 2.33 2.55 下降0.22</x:v>
      </x:c>
    </x:row>
    <x:row r="608">
      <x:c r="A608" t="str">
        <x:v>04f38800-b983-4e38-a415-2481eca0f44d</x:v>
      </x:c>
      <x:c r="B608" t="str">
        <x:v>600000</x:v>
      </x:c>
      <x:c r="C608" t="str">
        <x:v>浦发银行</x:v>
      </x:c>
      <x:c r="D608" t="str">
        <x:v>2026-03-31</x:v>
      </x:c>
      <x:c r="E608" t="str">
        <x:v>first_quarter</x:v>
      </x:c>
      <x:c r="F608" t="str">
        <x:v>operating_cash_flow</x:v>
      </x:c>
      <x:c r="G608" t="n">
        <x:v>91724</x:v>
      </x:c>
      <x:c r="H608" t="str">
        <x:v>reported_amount</x:v>
      </x:c>
      <x:c r="I608" t="n">
        <x:v>1</x:v>
      </x:c>
      <x:c r="J608" t="str">
        <x:v>经营活动产生的现金流量净额</x:v>
      </x:c>
      <x:c r="K608" t="str">
        <x:v>candidate_pending_automated_verification</x:v>
      </x:c>
      <x:c r="L608" t="str">
        <x:v>https://static.cninfo.com.cn/finalpage/2026-04-30/1225261168.PDF</x:v>
      </x:c>
      <x:c r="M608" t="str">
        <x:v>df6911eb74bd5448fbf7729936979c60391052746db7d0577e4d4803f38d77e1</x:v>
      </x:c>
      <x:c r="N608" t="str">
        <x:v>收入 46,573 45,922 1.42
利润总额 21,724 20,155 7.78
归属于母公司股东的净利润 17,861 17,598 1.49
归属于母公司股东的扣除非经常性损
益的净利润 17,903 17,581 1.83
经营活动产生的现金流量净额 91,724 -202,002 145.41
主要财务指标（元/股）
基本每股收益 0.52 0.57 -8.77
稀释每股收益 0.52 0.52 持平
扣除非经常性损益后的基本每股收益 0.52 0.57 -8.77
每股经营活动产生的现金流量净额 2.75 -6.88 139.97
盈利能力指标（%）
加权平均净资产收益率 2.32 2.55 下降0.23 个百分</x:v>
      </x:c>
    </x:row>
    <x:row r="609">
      <x:c r="A609" t="str">
        <x:v>5a4b0340-f6c1-4986-a0f5-70f6c5671cb8</x:v>
      </x:c>
      <x:c r="B609" t="str">
        <x:v>600000</x:v>
      </x:c>
      <x:c r="C609" t="str">
        <x:v>浦发银行</x:v>
      </x:c>
      <x:c r="D609" t="str">
        <x:v>2026-03-31</x:v>
      </x:c>
      <x:c r="E609" t="str">
        <x:v>first_quarter</x:v>
      </x:c>
      <x:c r="F609" t="str">
        <x:v>revenue</x:v>
      </x:c>
      <x:c r="G609" t="n">
        <x:v>46573</x:v>
      </x:c>
      <x:c r="H609" t="str">
        <x:v>reported_amount</x:v>
      </x:c>
      <x:c r="I609" t="n">
        <x:v>1</x:v>
      </x:c>
      <x:c r="J609" t="str">
        <x:v>营业收入</x:v>
      </x:c>
      <x:c r="K609" t="str">
        <x:v>candidate_pending_automated_verification</x:v>
      </x:c>
      <x:c r="L609" t="str">
        <x:v>https://static.cninfo.com.cn/finalpage/2026-04-30/1225261168.PDF</x:v>
      </x:c>
      <x:c r="M609" t="str">
        <x:v>df6911eb74bd5448fbf7729936979c60391052746db7d0577e4d4803f38d77e1</x:v>
      </x:c>
      <x:c r="N609" t="str">
        <x:v>
确、完整。
3. 公司第一季度财务报表未经审计。
二、主要财务数据
1.主要会计数据和财务指标
单位：人民币百万元
项目 本报告期
2026 年 1-3 月
上年同期
2025年 1-3 月
本报告期比上年同期
增减（%）
主要会计数据
营业收入 46,573 45,922 1.42
利润总额 21,724 20,155 7.78
归属于母公司股东的净利润 17,861 17,598 1.49
归属于母公司股东的扣除非经常性损
益的净利润 17,903 17,581 1.83
经营活动产生的现金流量净额 91,724 -202,002 145.41
主要财务指标（元/股）
基本每股收益 0.52 0.57 -8.</x:v>
      </x:c>
    </x:row>
    <x:row r="610">
      <x:c r="A610" t="str">
        <x:v>58f7618a-1733-49a8-8a17-c0a36cc21377</x:v>
      </x:c>
      <x:c r="B610" t="str">
        <x:v>600000</x:v>
      </x:c>
      <x:c r="C610" t="str">
        <x:v>浦发银行</x:v>
      </x:c>
      <x:c r="D610" t="str">
        <x:v>2026-03-31</x:v>
      </x:c>
      <x:c r="E610" t="str">
        <x:v>first_quarter</x:v>
      </x:c>
      <x:c r="F610" t="str">
        <x:v>roe</x:v>
      </x:c>
      <x:c r="G610" t="n">
        <x:v>2.32</x:v>
      </x:c>
      <x:c r="H610" t="str">
        <x:v>percent</x:v>
      </x:c>
      <x:c r="I610" t="n">
        <x:v>1</x:v>
      </x:c>
      <x:c r="J610" t="str">
        <x:v>加权平均净资产收益率</x:v>
      </x:c>
      <x:c r="K610" t="str">
        <x:v>candidate_pending_automated_verification</x:v>
      </x:c>
      <x:c r="L610" t="str">
        <x:v>https://static.cninfo.com.cn/finalpage/2026-04-30/1225261168.PDF</x:v>
      </x:c>
      <x:c r="M610" t="str">
        <x:v>df6911eb74bd5448fbf7729936979c60391052746db7d0577e4d4803f38d77e1</x:v>
      </x:c>
      <x:c r="N610" t="str">
        <x:v>基本每股收益 0.52 0.57 -8.77
稀释每股收益 0.52 0.52 持平
扣除非经常性损益后的基本每股收益 0.52 0.57 -8.77
每股经营活动产生的现金流量净额 2.75 -6.88 139.97
盈利能力指标（%）
加权平均净资产收益率 2.32 2.55 下降0.23 个百分点
扣除非经常性损益后的加权平均净资
产收益率 2.33 2.55 下降0.22 个百分点
成本收入比 22.41 24.59 下降2.18 个百分点
营业收入构成（%）
利息净收入比营业收入 68.93 62.18 上升6.75 个百分点
非利息净收入比营业收入 31.07 37.82 下降6.75 个百分点
其中：手续费及</x:v>
      </x:c>
    </x:row>
    <x:row r="611">
      <x:c r="A611" t="str">
        <x:v>ca9763fc-1da4-4938-a332-69f637168ae8</x:v>
      </x:c>
      <x:c r="B611" t="str">
        <x:v>600016</x:v>
      </x:c>
      <x:c r="C611" t="str">
        <x:v>民生银行</x:v>
      </x:c>
      <x:c r="D611" t="str">
        <x:v>2026-03-31</x:v>
      </x:c>
      <x:c r="E611" t="str">
        <x:v>first_quarter</x:v>
      </x:c>
      <x:c r="F611" t="str">
        <x:v>bonds_payable</x:v>
      </x:c>
      <x:c r="G611" t="n">
        <x:v>895549</x:v>
      </x:c>
      <x:c r="H611" t="str">
        <x:v>CNY</x:v>
      </x:c>
      <x:c r="I611" t="n">
        <x:v>15</x:v>
      </x:c>
      <x:c r="J611" t="str">
        <x:v>应付债券</x:v>
      </x:c>
      <x:c r="K611" t="str">
        <x:v>candidate_pending_automated_verification</x:v>
      </x:c>
      <x:c r="L611" t="str">
        <x:v>https://static.cninfo.com.cn/finalpage/2026-04-30/1225264299.PDF</x:v>
      </x:c>
      <x:c r="M611" t="str">
        <x:v>eac7aa5e95661e28e222eddd89e94965d4e8874e436e945cf3ac20919dbf6676</x:v>
      </x:c>
      <x:c r="N611" t="str">
        <x:v> 8,062 8,066 7,758 7,703
应付职工薪酬 10,702 14,597 10,170 13,879
应交税费 11,094 8,719 10,704 8,293
预计负债 1,801 1,727 1,801 1,727
应付债券 895,549 1,012,008 886,873 1,003,862
递延所得税负债 238 238 - -
其他负债 72,996 67,263 60,297 54,836
负债合计 7,133,945 7,129,370 6,931,351 6,918,889</x:v>
      </x:c>
    </x:row>
    <x:row r="612">
      <x:c r="A612" t="str">
        <x:v>12e03348-d8a7-436b-aba1-063423400e35</x:v>
      </x:c>
      <x:c r="B612" t="str">
        <x:v>601628</x:v>
      </x:c>
      <x:c r="C612" t="str">
        <x:v>中国人寿</x:v>
      </x:c>
      <x:c r="D612" t="str">
        <x:v>2026-03-31</x:v>
      </x:c>
      <x:c r="E612" t="str">
        <x:v>first_quarter</x:v>
      </x:c>
      <x:c r="F612" t="str">
        <x:v>long_term_borrowings</x:v>
      </x:c>
      <x:c r="G612" t="n">
        <x:v>50</x:v>
      </x:c>
      <x:c r="H612" t="str">
        <x:v>CNY</x:v>
      </x:c>
      <x:c r="I612" t="n">
        <x:v>7</x:v>
      </x:c>
      <x:c r="J612" t="str">
        <x:v>长期借款</x:v>
      </x:c>
      <x:c r="K612" t="str">
        <x:v>candidate_pending_automated_verification</x:v>
      </x:c>
      <x:c r="L612" t="str">
        <x:v>https://static.cninfo.com.cn/finalpage/2026-04-30/1225255158.PDF</x:v>
      </x:c>
      <x:c r="M612" t="str">
        <x:v>faab8461386c26fcb94f99e8ee0b8d6286c4c5ad65ee324bb03fc3aedda6821b</x:v>
      </x:c>
      <x:c r="N612" t="str">
        <x:v> 331,863 225,906 311,657
预收保费 2,623 48,227 2,623 48,227
应付职工薪酬 12,680 13,643 10,887 12,082
应交税费 2,106 2,625 1,338 1,651
长期借款 50 50 - -
应付债券 35,381 35,195 35,381 35,195
保险合同负债 6,616,793 6,376,114 6,616,793 6,376,114
分出再保险合同负债 310 312 310 312
租赁负债 1,480 1,539 1,164 1,261
递延所得税负债 1,664 1,480 - -
其他负债 99,283 89,5</x:v>
      </x:c>
    </x:row>
    <x:row r="613">
      <x:c r="A613" t="str">
        <x:v>80b9afa0-133a-4fc4-87c2-e6f8a5d08329</x:v>
      </x:c>
      <x:c r="B613" t="str">
        <x:v>601628</x:v>
      </x:c>
      <x:c r="C613" t="str">
        <x:v>中国人寿</x:v>
      </x:c>
      <x:c r="D613" t="str">
        <x:v>2026-03-31</x:v>
      </x:c>
      <x:c r="E613" t="str">
        <x:v>first_quarter</x:v>
      </x:c>
      <x:c r="F613" t="str">
        <x:v>operating_cash_flow</x:v>
      </x:c>
      <x:c r="G613" t="n">
        <x:v>175431</x:v>
      </x:c>
      <x:c r="H613" t="str">
        <x:v>CNY</x:v>
      </x:c>
      <x:c r="I613" t="n">
        <x:v>10</x:v>
      </x:c>
      <x:c r="J613" t="str">
        <x:v>经营活动产生的现金流量净额</x:v>
      </x:c>
      <x:c r="K613" t="str">
        <x:v>candidate_pending_automated_verification</x:v>
      </x:c>
      <x:c r="L613" t="str">
        <x:v>https://static.cninfo.com.cn/finalpage/2026-04-30/1225255158.PDF</x:v>
      </x:c>
      <x:c r="M613" t="str">
        <x:v>faab8461386c26fcb94f99e8ee0b8d6286c4c5ad65ee324bb03fc3aedda6821b</x:v>
      </x:c>
      <x:c r="N613" t="str">
        <x:v>70) (2,796) (1,355)
支付其他与经营活动有关的现金 (21,026) (3,035) (21,515) (2,923)
经营活动现金流出小计 (248,970) (184,679) (247,877) (183,360)
经营活动产生的现金流量净额 175,431 192,530 174,552 191,472
法定代表人: 利明光 主管会计工作的负责人: 袁颖 总精算师: 侯晋 会计机构负责人: 袁颖</x:v>
      </x:c>
    </x:row>
    <x:row r="614">
      <x:c r="A614" t="str">
        <x:v>8ca921d4-b5ae-4e96-b0ec-d865b2b4e6ba</x:v>
      </x:c>
      <x:c r="B614" t="str">
        <x:v>601628</x:v>
      </x:c>
      <x:c r="C614" t="str">
        <x:v>中国人寿</x:v>
      </x:c>
      <x:c r="D614" t="str">
        <x:v>2026-03-31</x:v>
      </x:c>
      <x:c r="E614" t="str">
        <x:v>first_quarter</x:v>
      </x:c>
      <x:c r="F614" t="str">
        <x:v>bonds_payable</x:v>
      </x:c>
      <x:c r="G614" t="n">
        <x:v>35381</x:v>
      </x:c>
      <x:c r="H614" t="str">
        <x:v>CNY</x:v>
      </x:c>
      <x:c r="I614" t="n">
        <x:v>7</x:v>
      </x:c>
      <x:c r="J614" t="str">
        <x:v>应付债券</x:v>
      </x:c>
      <x:c r="K614" t="str">
        <x:v>candidate_pending_automated_verification</x:v>
      </x:c>
      <x:c r="L614" t="str">
        <x:v>https://static.cninfo.com.cn/finalpage/2026-04-30/1225255158.PDF</x:v>
      </x:c>
      <x:c r="M614" t="str">
        <x:v>faab8461386c26fcb94f99e8ee0b8d6286c4c5ad65ee324bb03fc3aedda6821b</x:v>
      </x:c>
      <x:c r="N614" t="str">
        <x:v>6 311,657
预收保费 2,623 48,227 2,623 48,227
应付职工薪酬 12,680 13,643 10,887 12,082
应交税费 2,106 2,625 1,338 1,651
长期借款 50 50 - -
应付债券 35,381 35,195 35,381 35,195
保险合同负债 6,616,793 6,376,114 6,616,793 6,376,114
分出再保险合同负债 310 312 310 312
租赁负债 1,480 1,539 1,164 1,261
递延所得税负债 1,664 1,480 - -
其他负债 99,283 89,547 29,695 25,385</x:v>
      </x:c>
    </x:row>
    <x:row r="615">
      <x:c r="A615" t="str">
        <x:v>150c088b-9c64-4373-bf81-21f0e1d2d975</x:v>
      </x:c>
      <x:c r="B615" t="str">
        <x:v>601628</x:v>
      </x:c>
      <x:c r="C615" t="str">
        <x:v>中国人寿</x:v>
      </x:c>
      <x:c r="D615" t="str">
        <x:v>2026-03-31</x:v>
      </x:c>
      <x:c r="E615" t="str">
        <x:v>first_quarter</x:v>
      </x:c>
      <x:c r="F615" t="str">
        <x:v>short_term_borrowings</x:v>
      </x:c>
      <x:c r="G615" t="n">
        <x:v>6</x:v>
      </x:c>
      <x:c r="H615" t="str">
        <x:v>CNY</x:v>
      </x:c>
      <x:c r="I615" t="n">
        <x:v>7</x:v>
      </x:c>
      <x:c r="J615" t="str">
        <x:v>短期借款</x:v>
      </x:c>
      <x:c r="K615" t="str">
        <x:v>candidate_pending_automated_verification</x:v>
      </x:c>
      <x:c r="L615" t="str">
        <x:v>https://static.cninfo.com.cn/finalpage/2026-04-30/1225255158.PDF</x:v>
      </x:c>
      <x:c r="M615" t="str">
        <x:v>faab8461386c26fcb94f99e8ee0b8d6286c4c5ad65ee324bb03fc3aedda6821b</x:v>
      </x:c>
      <x:c r="N615" t="str">
        <x:v>计)(续)
(除特别注明外，金额单位为人民币百万元)
负债及股东权益 2026 年 3 月 31 日 2025 年 12 月 31 日 2026 年 3 月 31 日2025 年 12 月 31 日
本集团 本集团 本公司 本公司
负债：
短期借款 6 6 - -
交易性金融负债 91,755 82,010 - -
卖出回购金融资产款 238,956 331,863 225,906 311,657
预收保费 2,623 48,227 2,623 48,227
应付职工薪酬 12,680 13,643 10,887 12,082
应交税费 2,106 2,625 1,338 1,651
长期借款 50 50 -</x:v>
      </x:c>
    </x:row>
    <x:row r="616">
      <x:c r="A616" t="str">
        <x:v>2506c992-0192-44a1-b585-45f598abff8c</x:v>
      </x:c>
      <x:c r="B616" t="str">
        <x:v>601628</x:v>
      </x:c>
      <x:c r="C616" t="str">
        <x:v>中国人寿</x:v>
      </x:c>
      <x:c r="D616" t="str">
        <x:v>2026-03-31</x:v>
      </x:c>
      <x:c r="E616" t="str">
        <x:v>first_quarter</x:v>
      </x:c>
      <x:c r="F616" t="str">
        <x:v>cash</x:v>
      </x:c>
      <x:c r="G616" t="n">
        <x:v>137688</x:v>
      </x:c>
      <x:c r="H616" t="str">
        <x:v>CNY</x:v>
      </x:c>
      <x:c r="I616" t="n">
        <x:v>6</x:v>
      </x:c>
      <x:c r="J616" t="str">
        <x:v>货币资金</x:v>
      </x:c>
      <x:c r="K616" t="str">
        <x:v>candidate_pending_automated_verification</x:v>
      </x:c>
      <x:c r="L616" t="str">
        <x:v>https://static.cninfo.com.cn/finalpage/2026-04-30/1225255158.PDF</x:v>
      </x:c>
      <x:c r="M616" t="str">
        <x:v>faab8461386c26fcb94f99e8ee0b8d6286c4c5ad65ee324bb03fc3aedda6821b</x:v>
      </x:c>
      <x:c r="N616" t="str">
        <x:v>负债表(未经审计)
(除特别注明外，金额单位为人民币百万元)
资产 2026 年 3 月 31 日 2025 年 12 月 31 日 2026 年 3 月 31 日 2025 年 12 月 31 日
本集团 本集团 本公司 本公司
资产：
货币资金 137,688 143,319 127,652 135,927
买入返售金融资产 22,720 50,879 17,374 48,215
定期存款 442,822 418,688 396,061 372,258
交易性金融资产 2,015,827 2,067,288 1,705,828 1,772,784
债权投资 166,895 173,992 - -
其他债权投资 4</x:v>
      </x:c>
    </x:row>
    <x:row r="617">
      <x:c r="A617" t="str">
        <x:v>7c3e0ef0-8735-4ffd-8c6c-8e59e8f4a76b</x:v>
      </x:c>
      <x:c r="B617" t="str">
        <x:v>601628</x:v>
      </x:c>
      <x:c r="C617" t="str">
        <x:v>中国人寿</x:v>
      </x:c>
      <x:c r="D617" t="str">
        <x:v>2026-03-31</x:v>
      </x:c>
      <x:c r="E617" t="str">
        <x:v>first_quarter</x:v>
      </x:c>
      <x:c r="F617" t="str">
        <x:v>revenue</x:v>
      </x:c>
      <x:c r="G617" t="n">
        <x:v>93291</x:v>
      </x:c>
      <x:c r="H617" t="str">
        <x:v>reported_amount</x:v>
      </x:c>
      <x:c r="I617" t="n">
        <x:v>1</x:v>
      </x:c>
      <x:c r="J617" t="str">
        <x:v>营业收入</x:v>
      </x:c>
      <x:c r="K617" t="str">
        <x:v>candidate_pending_automated_verification</x:v>
      </x:c>
      <x:c r="L617" t="str">
        <x:v>https://static.cninfo.com.cn/finalpage/2026-04-30/1225255158.PDF</x:v>
      </x:c>
      <x:c r="M617" t="str">
        <x:v>faab8461386c26fcb94f99e8ee0b8d6286c4c5ad65ee324bb03fc3aedda6821b</x:v>
      </x:c>
      <x:c r="N617" t="str">
        <x:v>年度末 本报告期末比上年度末
增减变动幅度
资产总计 7,715,074 7,591,004 1.6%
归属于母公司股东的股东权益
合计 598,260 595,205 0.5%
项目 本报告期 上年同期 本报告期比上年同期
增减变动幅度
营业收入 93,291 110,177 -15.3%
利润总额 19,466 32,587 -40.3%
本公司董事会及全体董事保证本公告内容不存在任何虚假记载、误导性陈述或者重大遗
漏，并对其内容的真实性、准确性和完整性承担法律责任。</x:v>
      </x:c>
    </x:row>
    <x:row r="618">
      <x:c r="A618" t="str">
        <x:v>9aa5bcff-564b-41e4-bb62-8058a12fc57c</x:v>
      </x:c>
      <x:c r="B618" t="str">
        <x:v>601336</x:v>
      </x:c>
      <x:c r="C618" t="str">
        <x:v>新华保险</x:v>
      </x:c>
      <x:c r="D618" t="str">
        <x:v>2026-03-31</x:v>
      </x:c>
      <x:c r="E618" t="str">
        <x:v>first_quarter</x:v>
      </x:c>
      <x:c r="F618" t="str">
        <x:v>operating_cash_flow</x:v>
      </x:c>
      <x:c r="G618" t="n">
        <x:v>36311</x:v>
      </x:c>
      <x:c r="H618" t="str">
        <x:v>reported_amount</x:v>
      </x:c>
      <x:c r="I618" t="n">
        <x:v>1</x:v>
      </x:c>
      <x:c r="J618" t="str">
        <x:v>经营活动产生的现金流量净额</x:v>
      </x:c>
      <x:c r="K618" t="str">
        <x:v>candidate_pending_automated_verification</x:v>
      </x:c>
      <x:c r="L618" t="str">
        <x:v>https://static.cninfo.com.cn/finalpage/2026-04-30/1225255761.PDF</x:v>
      </x:c>
      <x:c r="M618" t="str">
        <x:v>c5729848ce855ec9099c06b1c076364a81868a01fb8f95436371676467c61a06</x:v>
      </x:c>
      <x:c r="N618" t="str">
        <x:v>上年同期
本报告期比上年同
期增减变动幅度
营业收入 22,133 33,402 -33.7%
归属于母公司股东的净利润 6,501 5,882 10.5%
归属于母公司股东的扣除
非经常性损益的净利润 6,523 5,923 10.1%
经营活动产生的现金流量净额 36,311 33,588 8.1%
归属于母公司股东的基本加权 2.08 1.89 10.1%</x:v>
      </x:c>
    </x:row>
    <x:row r="619">
      <x:c r="A619" t="str">
        <x:v>95277465-c78a-4ea3-87b8-81f9410eb50e</x:v>
      </x:c>
      <x:c r="B619" t="str">
        <x:v>601336</x:v>
      </x:c>
      <x:c r="C619" t="str">
        <x:v>新华保险</x:v>
      </x:c>
      <x:c r="D619" t="str">
        <x:v>2026-03-31</x:v>
      </x:c>
      <x:c r="E619" t="str">
        <x:v>first_quarter</x:v>
      </x:c>
      <x:c r="F619" t="str">
        <x:v>revenue</x:v>
      </x:c>
      <x:c r="G619" t="n">
        <x:v>22133</x:v>
      </x:c>
      <x:c r="H619" t="str">
        <x:v>reported_amount</x:v>
      </x:c>
      <x:c r="I619" t="n">
        <x:v>1</x:v>
      </x:c>
      <x:c r="J619" t="str">
        <x:v>营业收入</x:v>
      </x:c>
      <x:c r="K619" t="str">
        <x:v>candidate_pending_automated_verification</x:v>
      </x:c>
      <x:c r="L619" t="str">
        <x:v>https://static.cninfo.com.cn/finalpage/2026-04-30/1225255761.PDF</x:v>
      </x:c>
      <x:c r="M619" t="str">
        <x:v>c5729848ce855ec9099c06b1c076364a81868a01fb8f95436371676467c61a06</x:v>
      </x:c>
      <x:c r="N619" t="str">
        <x:v>保证本季度报告中财务信息的真实、准确、
完整。
 本公司 2026年第一季度报告所载财务资料未经审计。
一、主要财务数据
（一）主要会计数据和财务指标
单位：人民币百万元
项目 本报告期(1) 上年同期
本报告期比上年同
期增减变动幅度
营业收入 22,133 33,402 -33.7%
归属于母公司股东的净利润 6,501 5,882 10.5%
归属于母公司股东的扣除
非经常性损益的净利润 6,523 5,923 10.1%
经营活动产生的现金流量净额 36,311 33,588 8.1%
归属于母公司股东的基本加权 2.08 1.89 10.1%</x:v>
      </x:c>
    </x:row>
    <x:row r="620">
      <x:c r="A620" t="str">
        <x:v>6db37d68-2247-48ae-a29f-d1b023820225</x:v>
      </x:c>
      <x:c r="B620" t="str">
        <x:v>600015</x:v>
      </x:c>
      <x:c r="C620" t="str">
        <x:v>华夏银行</x:v>
      </x:c>
      <x:c r="D620" t="str">
        <x:v>2026-03-31</x:v>
      </x:c>
      <x:c r="E620" t="str">
        <x:v>first_quarter</x:v>
      </x:c>
      <x:c r="F620" t="str">
        <x:v>revenue</x:v>
      </x:c>
      <x:c r="G620" t="n">
        <x:v>24622</x:v>
      </x:c>
      <x:c r="H620" t="str">
        <x:v>reported_amount</x:v>
      </x:c>
      <x:c r="I620" t="n">
        <x:v>1</x:v>
      </x:c>
      <x:c r="J620" t="str">
        <x:v>营业收入</x:v>
      </x:c>
      <x:c r="K620" t="str">
        <x:v>candidate_pending_automated_verification</x:v>
      </x:c>
      <x:c r="L620" t="str">
        <x:v>https://static.cninfo.com.cn/finalpage/2026-04-30/1225262347.PDF</x:v>
      </x:c>
      <x:c r="M620" t="str">
        <x:v>093eb96636d74d4419a883432ef5245fd80629c8237b5d5586c9457ca54db204</x:v>
      </x:c>
      <x:c r="N620" t="str">
        <x:v>会机构负责人刘越，保证第一季度
报告中财务信息的真实、准确、完整。
1 主要财务数据
1.1 主要会计数据和财务指标
（单位：百万元 币种：人民币 未经审计）
项目 2026 年 1-3 月 2026 年 1-3 月
比上年同期增减（%）
营业收入 24,622 35.33
归属于上市公司股东的净利润 4,987 -1.50
归属于上市公司股东的扣除非经常性损益的
净利润 4,988 1.71
基本每股收益（元） 0.31 -3.13
扣除非经常性损益后的基本每股收益（元） 0.31 持平
稀释每股收益（元） 0.31 -3.13
加权平均净资产收益率（%） 1.57 下降 0.10个百分点
扣除非经常性损益后的加</x:v>
      </x:c>
    </x:row>
    <x:row r="621">
      <x:c r="A621" t="str">
        <x:v>c333a168-157e-4dd9-99e8-63d09959a737</x:v>
      </x:c>
      <x:c r="B621" t="str">
        <x:v>600015</x:v>
      </x:c>
      <x:c r="C621" t="str">
        <x:v>华夏银行</x:v>
      </x:c>
      <x:c r="D621" t="str">
        <x:v>2026-03-31</x:v>
      </x:c>
      <x:c r="E621" t="str">
        <x:v>first_quarter</x:v>
      </x:c>
      <x:c r="F621" t="str">
        <x:v>net_income</x:v>
      </x:c>
      <x:c r="G621" t="n">
        <x:v>4987</x:v>
      </x:c>
      <x:c r="H621" t="str">
        <x:v>reported_amount</x:v>
      </x:c>
      <x:c r="I621" t="n">
        <x:v>1</x:v>
      </x:c>
      <x:c r="J621" t="str">
        <x:v>归属于上市公司股东的净利润</x:v>
      </x:c>
      <x:c r="K621" t="str">
        <x:v>candidate_pending_automated_verification</x:v>
      </x:c>
      <x:c r="L621" t="str">
        <x:v>https://static.cninfo.com.cn/finalpage/2026-04-30/1225262347.PDF</x:v>
      </x:c>
      <x:c r="M621" t="str">
        <x:v>093eb96636d74d4419a883432ef5245fd80629c8237b5d5586c9457ca54db204</x:v>
      </x:c>
      <x:c r="N621" t="str">
        <x:v>中财务信息的真实、准确、完整。
1 主要财务数据
1.1 主要会计数据和财务指标
（单位：百万元 币种：人民币 未经审计）
项目 2026 年 1-3 月 2026 年 1-3 月
比上年同期增减（%）
营业收入 24,622 35.33
归属于上市公司股东的净利润 4,987 -1.50
归属于上市公司股东的扣除非经常性损益的
净利润 4,988 1.71
基本每股收益（元） 0.31 -3.13
扣除非经常性损益后的基本每股收益（元） 0.31 持平
稀释每股收益（元） 0.31 -3.13
加权平均净资产收益率（%） 1.57 下降 0.10个百分点
扣除非经常性损益后的加权平均净资产收益
率（%） 1.57 下降 0.05</x:v>
      </x:c>
    </x:row>
    <x:row r="622">
      <x:c r="A622" t="str">
        <x:v>0a6e893b-3013-4c3a-8cef-ba3ba12a1ee1</x:v>
      </x:c>
      <x:c r="B622" t="str">
        <x:v>600887</x:v>
      </x:c>
      <x:c r="C622" t="str">
        <x:v>伊利股份</x:v>
      </x:c>
      <x:c r="D622" t="str">
        <x:v>2025-12-31</x:v>
      </x:c>
      <x:c r="E622" t="str">
        <x:v>annual</x:v>
      </x:c>
      <x:c r="F622" t="str">
        <x:v>current_portion_long_term_debt</x:v>
      </x:c>
      <x:c r="G622" t="n">
        <x:v>4441660422.46</x:v>
      </x:c>
      <x:c r="H622" t="str">
        <x:v>CNY</x:v>
      </x:c>
      <x:c r="I622" t="n">
        <x:v>229</x:v>
      </x:c>
      <x:c r="J622" t="str">
        <x:v>一年内到期的非流动负债</x:v>
      </x:c>
      <x:c r="K622" t="str">
        <x:v>candidate_pending_automated_verification</x:v>
      </x:c>
      <x:c r="L622" t="str">
        <x:v>https://static.cninfo.com.cn/finalpage/2026-04-30/1225259562.PDF</x:v>
      </x:c>
      <x:c r="M622" t="str">
        <x:v>d17b8c541c42f65d092317093eb0cfbb5aeed4f44eafa2d2f6182041cdcdbaac</x:v>
      </x:c>
      <x:c r="N622" t="str">
        <x:v>应付票据 1,650,779,898.61 1,650,779,898.61
应付账款 11,479,437,770.67 11,479,437,770.67
其他应付款 2,356,437,175.84 2,356,437,175.84
一年内到期的非流动负债 4,441,660,422.46 4,441,660,422.46</x:v>
      </x:c>
    </x:row>
    <x:row r="623">
      <x:c r="A623" t="str">
        <x:v>78f77ba9-dedc-46c7-8643-81787d6ffafc</x:v>
      </x:c>
      <x:c r="B623" t="str">
        <x:v>600887</x:v>
      </x:c>
      <x:c r="C623" t="str">
        <x:v>伊利股份</x:v>
      </x:c>
      <x:c r="D623" t="str">
        <x:v>2025-12-31</x:v>
      </x:c>
      <x:c r="E623" t="str">
        <x:v>annual</x:v>
      </x:c>
      <x:c r="F623" t="str">
        <x:v>short_term_borrowings</x:v>
      </x:c>
      <x:c r="G623" t="n">
        <x:v>45726694133.02</x:v>
      </x:c>
      <x:c r="H623" t="str">
        <x:v>CNY</x:v>
      </x:c>
      <x:c r="I623" t="n">
        <x:v>229</x:v>
      </x:c>
      <x:c r="J623" t="str">
        <x:v>短期借款</x:v>
      </x:c>
      <x:c r="K623" t="str">
        <x:v>candidate_pending_automated_verification</x:v>
      </x:c>
      <x:c r="L623" t="str">
        <x:v>https://static.cninfo.com.cn/finalpage/2026-04-30/1225259562.PDF</x:v>
      </x:c>
      <x:c r="M623" t="str">
        <x:v>d17b8c541c42f65d092317093eb0cfbb5aeed4f44eafa2d2f6182041cdcdbaac</x:v>
      </x:c>
      <x:c r="N623" t="str">
        <x:v>满足短期和长期的资金需求。
截至 2025 年 12 月 31 日，本公司各项金融负债以未折现的合同现金流量按到期日列示如下：
单位：元
项目
2025年 12 月 31日
未折现合同金额合计 1 年以内 1-2 年 2-5 年 5年以上
短期借款 45,726,694,133.02 45,726,694,133.02
衍生金融负债 33,489,348.83 33,489,348.83
应付票据 1,650,779,898.61 1,650,779,898.61
应付账款 11,479,437,770.67 11,479,437,770.67
其他应付款 2,356,437,175.84 2,356,437,175.84
一年内到期的</x:v>
      </x:c>
    </x:row>
    <x:row r="624">
      <x:c r="A624" t="str">
        <x:v>840575ad-2ddd-48d3-90e6-8556b22758f5</x:v>
      </x:c>
      <x:c r="B624" t="str">
        <x:v>600887</x:v>
      </x:c>
      <x:c r="C624" t="str">
        <x:v>伊利股份</x:v>
      </x:c>
      <x:c r="D624" t="str">
        <x:v>2025-12-31</x:v>
      </x:c>
      <x:c r="E624" t="str">
        <x:v>annual</x:v>
      </x:c>
      <x:c r="F624" t="str">
        <x:v>cash</x:v>
      </x:c>
      <x:c r="G624" t="n">
        <x:v>7580.06</x:v>
      </x:c>
      <x:c r="H624" t="str">
        <x:v>CNY</x:v>
      </x:c>
      <x:c r="I624" t="n">
        <x:v>219</x:v>
      </x:c>
      <x:c r="J624" t="str">
        <x:v>货币资金</x:v>
      </x:c>
      <x:c r="K624" t="str">
        <x:v>candidate_pending_automated_verification</x:v>
      </x:c>
      <x:c r="L624" t="str">
        <x:v>https://static.cninfo.com.cn/finalpage/2026-04-30/1225259562.PDF</x:v>
      </x:c>
      <x:c r="M624" t="str">
        <x:v>d17b8c541c42f65d092317093eb0cfbb5aeed4f44eafa2d2f6182041cdcdbaac</x:v>
      </x:c>
      <x:c r="N624" t="str">
        <x:v>5
单位：万元 币种：人民币
内蒙古伊顺供应链管理有限公司 内蒙古众拓营销管理有限公司
购买日公允价值 购买日账面价值 购买日公允价值 购买日账面价值
资产： 64,519.14 63,638.76 24,439.12 24,436.22
货币资金 7,580.06 7,580.06 7,021.72 7,021.72
应收款项 31,358.45 31,358.45 14,927.84 14,927.84
存货 283.50 283.50 2,065.34 2,065.34
固定资产 8,697.21 8,697.21 71.92 69.02
无形资产 6,427.65 6,427.65
投资性房地产 6,201.4</x:v>
      </x:c>
    </x:row>
    <x:row r="625">
      <x:c r="A625" t="str">
        <x:v>81117e2d-6ec4-454e-9e20-4c9193847f00</x:v>
      </x:c>
      <x:c r="B625" t="str">
        <x:v>600887</x:v>
      </x:c>
      <x:c r="C625" t="str">
        <x:v>伊利股份</x:v>
      </x:c>
      <x:c r="D625" t="str">
        <x:v>2025-12-31</x:v>
      </x:c>
      <x:c r="E625" t="str">
        <x:v>annual</x:v>
      </x:c>
      <x:c r="F625" t="str">
        <x:v>cash</x:v>
      </x:c>
      <x:c r="G625" t="n">
        <x:v>5553335.37</x:v>
      </x:c>
      <x:c r="H625" t="str">
        <x:v>CNY</x:v>
      </x:c>
      <x:c r="I625" t="n">
        <x:v>212</x:v>
      </x:c>
      <x:c r="J625" t="str">
        <x:v>货币资金</x:v>
      </x:c>
      <x:c r="K625" t="str">
        <x:v>candidate_pending_automated_verification</x:v>
      </x:c>
      <x:c r="L625" t="str">
        <x:v>https://static.cninfo.com.cn/finalpage/2026-04-30/1225259562.PDF</x:v>
      </x:c>
      <x:c r="M625" t="str">
        <x:v>d17b8c541c42f65d092317093eb0cfbb5aeed4f44eafa2d2f6182041cdcdbaac</x:v>
      </x:c>
      <x:c r="N625" t="str">
        <x:v>77,587,920.54 24,546,520,007.54
其中：库存现金 72,906.60 135,278.06
可随时用于支付的银行存款 13,561,783,492.82 14,470,775,654.56
可随时用于支付的其他货币资金 5,553,335.37 52,739,558.16
可用于支付的存放中央银行款项
存放同业款项 4,110,178,185.75 10,022,869,516.76
拆放同业款项
二、现金等价物
其中：三个月内到期的债券投资
三、期末现金及现金等价物余额 17,677,587,920.54 24,546,520,007.54
其中：母公司或集团内子公司使用受限制的现
金和现金等价</x:v>
      </x:c>
    </x:row>
    <x:row r="626">
      <x:c r="A626" t="str">
        <x:v>b1749e84-3cfa-4acf-8411-d34bb7246c10</x:v>
      </x:c>
      <x:c r="B626" t="str">
        <x:v>600887</x:v>
      </x:c>
      <x:c r="C626" t="str">
        <x:v>伊利股份</x:v>
      </x:c>
      <x:c r="D626" t="str">
        <x:v>2025-12-31</x:v>
      </x:c>
      <x:c r="E626" t="str">
        <x:v>annual</x:v>
      </x:c>
      <x:c r="F626" t="str">
        <x:v>bonds_payable</x:v>
      </x:c>
      <x:c r="G626" t="n">
        <x:v>10024230136.98</x:v>
      </x:c>
      <x:c r="H626" t="str">
        <x:v>CNY</x:v>
      </x:c>
      <x:c r="I626" t="n">
        <x:v>210</x:v>
      </x:c>
      <x:c r="J626" t="str">
        <x:v>应付债券</x:v>
      </x:c>
      <x:c r="K626" t="str">
        <x:v>candidate_pending_automated_verification</x:v>
      </x:c>
      <x:c r="L626" t="str">
        <x:v>https://static.cninfo.com.cn/finalpage/2026-04-30/1225259562.PDF</x:v>
      </x:c>
      <x:c r="M626" t="str">
        <x:v>d17b8c541c42f65d092317093eb0cfbb5aeed4f44eafa2d2f6182041cdcdbaac</x:v>
      </x:c>
      <x:c r="N626" t="str">
        <x:v>额
现金变动 非现金变动 现金变动 非现金变动
短期借款 36,354,630,548.02 111,233,343,047.73 855,639,588.55 102,812,987,156.47 45,630,626,027.83
短期应付债券 10,024,230,136.98 122,797,449,444.44 531,398,336.38 124,309,683,397.27 9,043,394,520.53
长期借款以及一年内到
期的长期借款 10,163,206,257.41 440,573,934.08 188,963,114.80 6,057,186,994.24 4,735,556,312.05
应付债券以及一年内</x:v>
      </x:c>
    </x:row>
    <x:row r="627">
      <x:c r="A627" t="str">
        <x:v>8ff7cfda-1e6c-497e-993d-766dd686605d</x:v>
      </x:c>
      <x:c r="B627" t="str">
        <x:v>600887</x:v>
      </x:c>
      <x:c r="C627" t="str">
        <x:v>伊利股份</x:v>
      </x:c>
      <x:c r="D627" t="str">
        <x:v>2025-12-31</x:v>
      </x:c>
      <x:c r="E627" t="str">
        <x:v>annual</x:v>
      </x:c>
      <x:c r="F627" t="str">
        <x:v>long_term_borrowings</x:v>
      </x:c>
      <x:c r="G627" t="n">
        <x:v>10163206257.41</x:v>
      </x:c>
      <x:c r="H627" t="str">
        <x:v>CNY</x:v>
      </x:c>
      <x:c r="I627" t="n">
        <x:v>210</x:v>
      </x:c>
      <x:c r="J627" t="str">
        <x:v>长期借款</x:v>
      </x:c>
      <x:c r="K627" t="str">
        <x:v>candidate_pending_automated_verification</x:v>
      </x:c>
      <x:c r="L627" t="str">
        <x:v>https://static.cninfo.com.cn/finalpage/2026-04-30/1225259562.PDF</x:v>
      </x:c>
      <x:c r="M627" t="str">
        <x:v>d17b8c541c42f65d092317093eb0cfbb5aeed4f44eafa2d2f6182041cdcdbaac</x:v>
      </x:c>
      <x:c r="N627" t="str">
        <x:v>,626,027.83
短期应付债券 10,024,230,136.98 122,797,449,444.44 531,398,336.38 124,309,683,397.27 9,043,394,520.53
长期借款以及一年内到
期的长期借款 10,163,206,257.41 440,573,934.08 188,963,114.80 6,057,186,994.24 4,735,556,312.05
应付债券以及一年内到
期的应付债券 3,600,851,765.96 2,528,393.41 3,603,380,159.37
长期应付款及一年内到
期的长期应付款 34,890,000.00 1,514,105.75 36,4</x:v>
      </x:c>
    </x:row>
    <x:row r="628">
      <x:c r="A628" t="str">
        <x:v>f7c5b61c-e3c2-468e-b45f-6332ee794550</x:v>
      </x:c>
      <x:c r="B628" t="str">
        <x:v>600887</x:v>
      </x:c>
      <x:c r="C628" t="str">
        <x:v>伊利股份</x:v>
      </x:c>
      <x:c r="D628" t="str">
        <x:v>2025-12-31</x:v>
      </x:c>
      <x:c r="E628" t="str">
        <x:v>annual</x:v>
      </x:c>
      <x:c r="F628" t="str">
        <x:v>short_term_borrowings</x:v>
      </x:c>
      <x:c r="G628" t="n">
        <x:v>36354630548.02</x:v>
      </x:c>
      <x:c r="H628" t="str">
        <x:v>CNY</x:v>
      </x:c>
      <x:c r="I628" t="n">
        <x:v>210</x:v>
      </x:c>
      <x:c r="J628" t="str">
        <x:v>短期借款</x:v>
      </x:c>
      <x:c r="K628" t="str">
        <x:v>candidate_pending_automated_verification</x:v>
      </x:c>
      <x:c r="L628" t="str">
        <x:v>https://static.cninfo.com.cn/finalpage/2026-04-30/1225259562.PDF</x:v>
      </x:c>
      <x:c r="M628" t="str">
        <x:v>d17b8c541c42f65d092317093eb0cfbb5aeed4f44eafa2d2f6182041cdcdbaac</x:v>
      </x:c>
      <x:c r="N628" t="str">
        <x:v>内蒙古伊利实业集团股份有限公司2025 年年度报告
206 / 255
单位：元 币种：人民币
项目 期初余额
本期增加 本期减少
期末余额
现金变动 非现金变动 现金变动 非现金变动
短期借款 36,354,630,548.02 111,233,343,047.73 855,639,588.55 102,812,987,156.47 45,630,626,027.83
短期应付债券 10,024,230,136.98 122,797,449,444.44 531,398,336.38 124,309,683,397.27 9,043,394,520.53
长期借款以及一年内到
期的</x:v>
      </x:c>
    </x:row>
    <x:row r="629">
      <x:c r="A629" t="str">
        <x:v>c03adc25-73d0-40cc-9b4f-6e546bf0c40c</x:v>
      </x:c>
      <x:c r="B629" t="str">
        <x:v>600887</x:v>
      </x:c>
      <x:c r="C629" t="str">
        <x:v>伊利股份</x:v>
      </x:c>
      <x:c r="D629" t="str">
        <x:v>2025-12-31</x:v>
      </x:c>
      <x:c r="E629" t="str">
        <x:v>annual</x:v>
      </x:c>
      <x:c r="F629" t="str">
        <x:v>bonds_payable</x:v>
      </x:c>
      <x:c r="G629" t="n">
        <x:v>3600851765.96</x:v>
      </x:c>
      <x:c r="H629" t="str">
        <x:v>CNY</x:v>
      </x:c>
      <x:c r="I629" t="n">
        <x:v>190</x:v>
      </x:c>
      <x:c r="J629" t="str">
        <x:v>应付债券</x:v>
      </x:c>
      <x:c r="K629" t="str">
        <x:v>candidate_pending_automated_verification</x:v>
      </x:c>
      <x:c r="L629" t="str">
        <x:v>https://static.cninfo.com.cn/finalpage/2026-04-30/1225259562.PDF</x:v>
      </x:c>
      <x:c r="M629" t="str">
        <x:v>d17b8c541c42f65d092317093eb0cfbb5aeed4f44eafa2d2f6182041cdcdbaac</x:v>
      </x:c>
      <x:c r="N629" t="str">
        <x:v>25 年年度报告
186 / 255
43、1 年内到期的非流动负债
√适用 □不适用
单位：元 币种：人民币
项目 期末余额 期初余额
1年内到期的长期借款 4,263,076,679.33 5,476,676,210.19
1年内到期的应付债券 3,600,851,765.96
1年内到期的长期应付款 34,890,000.00
1年内到期的租赁负债 151,630,797.19 117,130,579.80
合计 4,414,707,476.52 9,229,548,555.95
其他说明：
一年内到期的非流动负债减少原因：偿还到期的应付债券和长期借款所致。
44、其他流动负债
其他流动负债情况
√适用 □不适用
单位：元 币种</x:v>
      </x:c>
    </x:row>
    <x:row r="630">
      <x:c r="A630" t="str">
        <x:v>92fe6b03-eca9-451c-8213-68018343a0b0</x:v>
      </x:c>
      <x:c r="B630" t="str">
        <x:v>600887</x:v>
      </x:c>
      <x:c r="C630" t="str">
        <x:v>伊利股份</x:v>
      </x:c>
      <x:c r="D630" t="str">
        <x:v>2025-12-31</x:v>
      </x:c>
      <x:c r="E630" t="str">
        <x:v>annual</x:v>
      </x:c>
      <x:c r="F630" t="str">
        <x:v>long_term_borrowings</x:v>
      </x:c>
      <x:c r="G630" t="n">
        <x:v>4263076679.33</x:v>
      </x:c>
      <x:c r="H630" t="str">
        <x:v>CNY</x:v>
      </x:c>
      <x:c r="I630" t="n">
        <x:v>190</x:v>
      </x:c>
      <x:c r="J630" t="str">
        <x:v>长期借款</x:v>
      </x:c>
      <x:c r="K630" t="str">
        <x:v>candidate_pending_automated_verification</x:v>
      </x:c>
      <x:c r="L630" t="str">
        <x:v>https://static.cninfo.com.cn/finalpage/2026-04-30/1225259562.PDF</x:v>
      </x:c>
      <x:c r="M630" t="str">
        <x:v>d17b8c541c42f65d092317093eb0cfbb5aeed4f44eafa2d2f6182041cdcdbaac</x:v>
      </x:c>
      <x:c r="N630" t="str">
        <x:v>内蒙古伊利实业集团股份有限公司2025 年年度报告
186 / 255
43、1 年内到期的非流动负债
√适用 □不适用
单位：元 币种：人民币
项目 期末余额 期初余额
1年内到期的长期借款 4,263,076,679.33 5,476,676,210.19
1年内到期的应付债券 3,600,851,765.96
1年内到期的长期应付款 34,890,000.00
1年内到期的租赁负债 151,630,797.19 117,130,579.80
合计 4,414,707,476.52 9,229,548,555.95
其他说明：
一年内到期的非流动负债减少原因：偿还到期的应付债</x:v>
      </x:c>
    </x:row>
    <x:row r="631">
      <x:c r="A631" t="str">
        <x:v>5d4b4fc7-4f3e-4566-a753-e14f279ba7f1</x:v>
      </x:c>
      <x:c r="B631" t="str">
        <x:v>600887</x:v>
      </x:c>
      <x:c r="C631" t="str">
        <x:v>伊利股份</x:v>
      </x:c>
      <x:c r="D631" t="str">
        <x:v>2025-12-31</x:v>
      </x:c>
      <x:c r="E631" t="str">
        <x:v>annual</x:v>
      </x:c>
      <x:c r="F631" t="str">
        <x:v>cash</x:v>
      </x:c>
      <x:c r="G631" t="n">
        <x:v>1806734061.15</x:v>
      </x:c>
      <x:c r="H631" t="str">
        <x:v>CNY</x:v>
      </x:c>
      <x:c r="I631" t="n">
        <x:v>144</x:v>
      </x:c>
      <x:c r="J631" t="str">
        <x:v>货币资金</x:v>
      </x:c>
      <x:c r="K631" t="str">
        <x:v>candidate_pending_automated_verification</x:v>
      </x:c>
      <x:c r="L631" t="str">
        <x:v>https://static.cninfo.com.cn/finalpage/2026-04-30/1225259562.PDF</x:v>
      </x:c>
      <x:c r="M631" t="str">
        <x:v>d17b8c541c42f65d092317093eb0cfbb5aeed4f44eafa2d2f6182041cdcdbaac</x:v>
      </x:c>
      <x:c r="N631" t="str">
        <x:v>项目 期末余额 期初余额
库存现金 72,906.60 135,278.06
银行存款 17,688,113,390.25 24,518,402,363.98
其中：未到期应收利息 6,488,935.61 15,438,903.17
其他货币资金 1,806,734,061.15 885,717,916.56
存放财务公司存款
合计 19,494,920,358.00 25,404,255,558.60
其中：存放在境外的款项总额 1,054,334,932.18 1,206,844,262.89</x:v>
      </x:c>
    </x:row>
    <x:row r="632">
      <x:c r="A632" t="str">
        <x:v>188f355a-55ce-4f66-959e-ab935f05eb68</x:v>
      </x:c>
      <x:c r="B632" t="str">
        <x:v>600887</x:v>
      </x:c>
      <x:c r="C632" t="str">
        <x:v>伊利股份</x:v>
      </x:c>
      <x:c r="D632" t="str">
        <x:v>2025-12-31</x:v>
      </x:c>
      <x:c r="E632" t="str">
        <x:v>annual</x:v>
      </x:c>
      <x:c r="F632" t="str">
        <x:v>operating_cash_flow</x:v>
      </x:c>
      <x:c r="G632" t="n">
        <x:v>14343920490.32</x:v>
      </x:c>
      <x:c r="H632" t="str">
        <x:v>CNY</x:v>
      </x:c>
      <x:c r="I632" t="n">
        <x:v>89</x:v>
      </x:c>
      <x:c r="J632" t="str">
        <x:v>经营活动产生的现金流量净额</x:v>
      </x:c>
      <x:c r="K632" t="str">
        <x:v>candidate_pending_automated_verification</x:v>
      </x:c>
      <x:c r="L632" t="str">
        <x:v>https://static.cninfo.com.cn/finalpage/2026-04-30/1225259562.PDF</x:v>
      </x:c>
      <x:c r="M632" t="str">
        <x:v>d17b8c541c42f65d092317093eb0cfbb5aeed4f44eafa2d2f6182041cdcdbaac</x:v>
      </x:c>
      <x:c r="N632" t="str">
        <x:v>729,507,740.55
支付其他与经营活动有关的现金 七（79）1 2,184,219,656.95 1,692,614,991.37
经营活动现金流出小计 114,492,494,878.82 113,537,478,699.40
经营活动产生的现金流量净额 14,343,920,490.32 21,739,740,393.38</x:v>
      </x:c>
    </x:row>
    <x:row r="633">
      <x:c r="A633" t="str">
        <x:v>014f4ce7-1ac7-4bf5-841e-056ce1883220</x:v>
      </x:c>
      <x:c r="B633" t="str">
        <x:v>600887</x:v>
      </x:c>
      <x:c r="C633" t="str">
        <x:v>伊利股份</x:v>
      </x:c>
      <x:c r="D633" t="str">
        <x:v>2025-12-31</x:v>
      </x:c>
      <x:c r="E633" t="str">
        <x:v>annual</x:v>
      </x:c>
      <x:c r="F633" t="str">
        <x:v>operating_cash_flow</x:v>
      </x:c>
      <x:c r="G633" t="n">
        <x:v>14343920490.32</x:v>
      </x:c>
      <x:c r="H633" t="str">
        <x:v>reported_amount</x:v>
      </x:c>
      <x:c r="I633" t="n">
        <x:v>7</x:v>
      </x:c>
      <x:c r="J633" t="str">
        <x:v>经营活动产生的现金流量净额</x:v>
      </x:c>
      <x:c r="K633" t="str">
        <x:v>candidate_pending_automated_verification</x:v>
      </x:c>
      <x:c r="L633" t="str">
        <x:v>https://static.cninfo.com.cn/finalpage/2026-04-30/1225259562.PDF</x:v>
      </x:c>
      <x:c r="M633" t="str">
        <x:v>d17b8c541c42f65d092317093eb0cfbb5aeed4f44eafa2d2f6182041cdcdbaac</x:v>
      </x:c>
      <x:c r="N633" t="str">
        <x:v>2,859,993.18 36.82 10,428,540,457.94
归属于上市公司股东的扣除非
经常性损益的净利润 11,068,321,695.12 6,011,274,945.92 84.13 10,026,171,076.03
经营活动产生的现金流量净额 14,343,920,490.32 21,739,740,393.38 -34.02 18,290,357,650.56
2025年末 2024年末 本期末比上年同
期末增减（%） 2023年末
归属于上市公司股东的净资产 54,655,690,475.89 53,179,935,140.80 2.78 53,539,331,413.16
总资产 152,098,516,632.34 153</x:v>
      </x:c>
    </x:row>
    <x:row r="634">
      <x:c r="A634" t="str">
        <x:v>a922bfe9-bee4-437e-aa32-b7813b1eb607</x:v>
      </x:c>
      <x:c r="B634" t="str">
        <x:v>600887</x:v>
      </x:c>
      <x:c r="C634" t="str">
        <x:v>伊利股份</x:v>
      </x:c>
      <x:c r="D634" t="str">
        <x:v>2025-12-31</x:v>
      </x:c>
      <x:c r="E634" t="str">
        <x:v>annual</x:v>
      </x:c>
      <x:c r="F634" t="str">
        <x:v>net_income</x:v>
      </x:c>
      <x:c r="G634" t="n">
        <x:v>11565166497.81</x:v>
      </x:c>
      <x:c r="H634" t="str">
        <x:v>reported_amount</x:v>
      </x:c>
      <x:c r="I634" t="n">
        <x:v>7</x:v>
      </x:c>
      <x:c r="J634" t="str">
        <x:v>归属于上市公司股东的净利润</x:v>
      </x:c>
      <x:c r="K634" t="str">
        <x:v>candidate_pending_automated_verification</x:v>
      </x:c>
      <x:c r="L634" t="str">
        <x:v>https://static.cninfo.com.cn/finalpage/2026-04-30/1225259562.PDF</x:v>
      </x:c>
      <x:c r="M634" t="str">
        <x:v>d17b8c541c42f65d092317093eb0cfbb5aeed4f44eafa2d2f6182041cdcdbaac</x:v>
      </x:c>
      <x:c r="N634" t="str">
        <x:v>,231,250.05 115,393,310,976.69 0.21 125,758,168,916.51
利润总额 12,993,830,374.42 10,126,728,993.52 28.31 11,721,187,786.65
归属于上市公司股东的净利润 11,565,166,497.81 8,452,859,993.18 36.82 10,428,540,457.94
归属于上市公司股东的扣除非
经常性损益的净利润 11,068,321,695.12 6,011,274,945.92 84.13 10,026,171,076.03
经营活动产生的现金流量净额 14,343,920,490.32 21,739,740,393.38 -34.0</x:v>
      </x:c>
    </x:row>
    <x:row r="635">
      <x:c r="A635" t="str">
        <x:v>aacc22d1-b29f-4401-acdc-e6377b71d32c</x:v>
      </x:c>
      <x:c r="B635" t="str">
        <x:v>600887</x:v>
      </x:c>
      <x:c r="C635" t="str">
        <x:v>伊利股份</x:v>
      </x:c>
      <x:c r="D635" t="str">
        <x:v>2025-12-31</x:v>
      </x:c>
      <x:c r="E635" t="str">
        <x:v>annual</x:v>
      </x:c>
      <x:c r="F635" t="str">
        <x:v>revenue</x:v>
      </x:c>
      <x:c r="G635" t="n">
        <x:v>115636231250.05</x:v>
      </x:c>
      <x:c r="H635" t="str">
        <x:v>reported_amount</x:v>
      </x:c>
      <x:c r="I635" t="n">
        <x:v>7</x:v>
      </x:c>
      <x:c r="J635" t="str">
        <x:v>营业收入</x:v>
      </x:c>
      <x:c r="K635" t="str">
        <x:v>candidate_pending_automated_verification</x:v>
      </x:c>
      <x:c r="L635" t="str">
        <x:v>https://static.cninfo.com.cn/finalpage/2026-04-30/1225259562.PDF</x:v>
      </x:c>
      <x:c r="M635" t="str">
        <x:v>d17b8c541c42f65d092317093eb0cfbb5aeed4f44eafa2d2f6182041cdcdbaac</x:v>
      </x:c>
      <x:c r="N635" t="str">
        <x:v>人姓名 李想、唐亮
持续督导的期间 2021 年 12 月 9日至募集资金使用完毕
七、近三年主要会计数据和财务指标
(一)主要会计数据
单位：元 币种：人民币
主要会计数据 2025年 2024年 本期比上年同期
增减(%) 2023年
营业收入 115,636,231,250.05 115,393,310,976.69 0.21 125,758,168,916.51
利润总额 12,993,830,374.42 10,126,728,993.52 28.31 11,721,187,786.65
归属于上市公司股东的净利润 11,565,166,497.81 8,452,859,993.18 36.82 10,428,540,457.9</x:v>
      </x:c>
    </x:row>
    <x:row r="636">
      <x:c r="A636" t="str">
        <x:v>bd850853-68e4-4c0d-9628-d042047f1224</x:v>
      </x:c>
      <x:c r="B636" t="str">
        <x:v>600887</x:v>
      </x:c>
      <x:c r="C636" t="str">
        <x:v>伊利股份</x:v>
      </x:c>
      <x:c r="D636" t="str">
        <x:v>2025-12-31</x:v>
      </x:c>
      <x:c r="E636" t="str">
        <x:v>annual</x:v>
      </x:c>
      <x:c r="F636" t="str">
        <x:v>current_portion_long_term_debt</x:v>
      </x:c>
      <x:c r="G636" t="n">
        <x:v>9386706115.6</x:v>
      </x:c>
      <x:c r="H636" t="str">
        <x:v>CNY</x:v>
      </x:c>
      <x:c r="I636" t="n">
        <x:v>230</x:v>
      </x:c>
      <x:c r="J636" t="str">
        <x:v>一年内到期的非流动负债</x:v>
      </x:c>
      <x:c r="K636" t="str">
        <x:v>candidate_pending_automated_verification</x:v>
      </x:c>
      <x:c r="L636" t="str">
        <x:v>https://static.cninfo.com.cn/finalpage/2026-04-30/1225259562.PDF</x:v>
      </x:c>
      <x:c r="M636" t="str">
        <x:v>d17b8c541c42f65d092317093eb0cfbb5aeed4f44eafa2d2f6182041cdcdbaac</x:v>
      </x:c>
      <x:c r="N636" t="str">
        <x:v>.29
应付票据 969,449,892.95 969,449,892.95
应付账款 12,312,877,232.19 12,312,877,232.19
其他应付款 2,503,238,916.89 2,503,238,916.89
一年内到期的非流动负债 9,386,706,115.60 9,386,706,115.60
其他流动负债 10,170,987,671.23 10,170,987,671.23
长期借款 4,813,984,925.40 4,298,657,245.37 514,789,936.98 537,743.05
租赁负债 286,691,083.54 116,744,499.60 97,761,612.14 72,18</x:v>
      </x:c>
    </x:row>
    <x:row r="637">
      <x:c r="A637" t="str">
        <x:v>cbc0753b-bbdd-49c0-8ee0-19a3e48aa264</x:v>
      </x:c>
      <x:c r="B637" t="str">
        <x:v>600887</x:v>
      </x:c>
      <x:c r="C637" t="str">
        <x:v>伊利股份</x:v>
      </x:c>
      <x:c r="D637" t="str">
        <x:v>2025-12-31</x:v>
      </x:c>
      <x:c r="E637" t="str">
        <x:v>annual</x:v>
      </x:c>
      <x:c r="F637" t="str">
        <x:v>long_term_borrowings</x:v>
      </x:c>
      <x:c r="G637" t="n">
        <x:v>524639332.68</x:v>
      </x:c>
      <x:c r="H637" t="str">
        <x:v>CNY</x:v>
      </x:c>
      <x:c r="I637" t="n">
        <x:v>230</x:v>
      </x:c>
      <x:c r="J637" t="str">
        <x:v>长期借款</x:v>
      </x:c>
      <x:c r="K637" t="str">
        <x:v>candidate_pending_automated_verification</x:v>
      </x:c>
      <x:c r="L637" t="str">
        <x:v>https://static.cninfo.com.cn/finalpage/2026-04-30/1225259562.PDF</x:v>
      </x:c>
      <x:c r="M637" t="str">
        <x:v>d17b8c541c42f65d092317093eb0cfbb5aeed4f44eafa2d2f6182041cdcdbaac</x:v>
      </x:c>
      <x:c r="N637" t="str">
        <x:v>内蒙古伊利实业集团股份有限公司2025 年年度报告
226 / 255
其他流动负债 9,048,174,246.56 9,048,174,246.56
长期借款 524,639,332.68 487,763,157.12 36,876,175.56
租赁负债 313,850,463.66 141,603,195.12 110,892,571.21 61,354,697.33
小计 75,575,162,792.33 74,736,672,995.99 141,603,195.12 598,655,728.33 98,230,872.89
续：
</x:v>
      </x:c>
    </x:row>
    <x:row r="638">
      <x:c r="A638" t="str">
        <x:v>b7b832de-5748-4afa-80cc-54d43136dba0</x:v>
      </x:c>
      <x:c r="B638" t="str">
        <x:v>600887</x:v>
      </x:c>
      <x:c r="C638" t="str">
        <x:v>伊利股份</x:v>
      </x:c>
      <x:c r="D638" t="str">
        <x:v>2025-12-31</x:v>
      </x:c>
      <x:c r="E638" t="str">
        <x:v>annual</x:v>
      </x:c>
      <x:c r="F638" t="str">
        <x:v>short_term_borrowings</x:v>
      </x:c>
      <x:c r="G638" t="n">
        <x:v>36424783533.46</x:v>
      </x:c>
      <x:c r="H638" t="str">
        <x:v>CNY</x:v>
      </x:c>
      <x:c r="I638" t="n">
        <x:v>230</x:v>
      </x:c>
      <x:c r="J638" t="str">
        <x:v>短期借款</x:v>
      </x:c>
      <x:c r="K638" t="str">
        <x:v>candidate_pending_automated_verification</x:v>
      </x:c>
      <x:c r="L638" t="str">
        <x:v>https://static.cninfo.com.cn/finalpage/2026-04-30/1225259562.PDF</x:v>
      </x:c>
      <x:c r="M638" t="str">
        <x:v>d17b8c541c42f65d092317093eb0cfbb5aeed4f44eafa2d2f6182041cdcdbaac</x:v>
      </x:c>
      <x:c r="N638" t="str">
        <x:v>4,736,672,995.99 141,603,195.12 598,655,728.33 98,230,872.89
续：
单位：元
项目
2024 年12 月 31 日
未折现合同金额合计 1年以内 1-2 年 2-5 年 5年以上
短期借款 36,424,783,533.46 36,424,783,533.46
交易性金融负债 231,386.23 231,386.23
衍生金融负债 159,011,722.29 159,011,722.29
应付票据 969,449,892.95 969,449,892.95
应付账款 12,312,877,232.19 12,312,877,232.19
其他应付款 2,503,238,91</x:v>
      </x:c>
    </x:row>
    <x:row r="639">
      <x:c r="A639" t="str">
        <x:v>0526cb12-9675-41cf-b593-109ac558a049</x:v>
      </x:c>
      <x:c r="B639" t="str">
        <x:v>600900</x:v>
      </x:c>
      <x:c r="C639" t="str">
        <x:v>长江电力</x:v>
      </x:c>
      <x:c r="D639" t="str">
        <x:v>2025-12-31</x:v>
      </x:c>
      <x:c r="E639" t="str">
        <x:v>annual</x:v>
      </x:c>
      <x:c r="F639" t="str">
        <x:v>cash</x:v>
      </x:c>
      <x:c r="G639" t="n">
        <x:v>130536776.62</x:v>
      </x:c>
      <x:c r="H639" t="str">
        <x:v>CNY</x:v>
      </x:c>
      <x:c r="I639" t="n">
        <x:v>200</x:v>
      </x:c>
      <x:c r="J639" t="str">
        <x:v>货币资金</x:v>
      </x:c>
      <x:c r="K639" t="str">
        <x:v>candidate_pending_automated_verification</x:v>
      </x:c>
      <x:c r="L639" t="str">
        <x:v>https://static.cninfo.com.cn/finalpage/2026-04-30/1225262036.PDF</x:v>
      </x:c>
      <x:c r="M639" t="str">
        <x:v>aa0cdb92e3aad81b1e6454594a64cacbcfeb9013b10dd31f47a93a94e7a70f91</x:v>
      </x:c>
      <x:c r="N639" t="str">
        <x:v>元 币种：人民币
项目 河南巩义抽水蓄能有限公司 江西寻乌抽水蓄能有限公司
合并日 上期期末 合并日 上期期末
资产: 442,312,405.46 323,809,377.89 368,436,561.89 207,889,803.58
货币资金 130,536,776.62 13,712,846.59 1,447,707.52 3,669,979.10
应收款项</x:v>
      </x:c>
    </x:row>
    <x:row r="640">
      <x:c r="A640" t="str">
        <x:v>6e553cbc-6fd9-42c7-9c27-f8d98aee2c39</x:v>
      </x:c>
      <x:c r="B640" t="str">
        <x:v>600900</x:v>
      </x:c>
      <x:c r="C640" t="str">
        <x:v>长江电力</x:v>
      </x:c>
      <x:c r="D640" t="str">
        <x:v>2025-12-31</x:v>
      </x:c>
      <x:c r="E640" t="str">
        <x:v>annual</x:v>
      </x:c>
      <x:c r="F640" t="str">
        <x:v>bonds_payable</x:v>
      </x:c>
      <x:c r="G640" t="n">
        <x:v>1284103161.11</x:v>
      </x:c>
      <x:c r="H640" t="str">
        <x:v>CNY</x:v>
      </x:c>
      <x:c r="I640" t="n">
        <x:v>215</x:v>
      </x:c>
      <x:c r="J640" t="str">
        <x:v>应付债券</x:v>
      </x:c>
      <x:c r="K640" t="str">
        <x:v>candidate_pending_automated_verification</x:v>
      </x:c>
      <x:c r="L640" t="str">
        <x:v>https://static.cninfo.com.cn/finalpage/2026-04-30/1225262036.PDF</x:v>
      </x:c>
      <x:c r="M640" t="str">
        <x:v>aa0cdb92e3aad81b1e6454594a64cacbcfeb9013b10dd31f47a93a94e7a70f91</x:v>
      </x:c>
      <x:c r="N640" t="str">
        <x:v>,863,715.48
其他流动负债 247,624,338.58 247,624,338.58
长期借款 225,687,599.05 1,144,125,789.32 1,445,025,827.70 2,814,839,216.07
应付债券 1,284,103,161.11 5,029,191,974.20 6,313,295,135.31
小计 4,437,224,810.30 81,288.01 1,144,125,789.32 14,522,079.77 9,742,727,403.16 15,338,681,370.56
（2）敏感性分析：
截至 2025 年 12 月 31 日，对于本公司各类外币金融资产和外币金融负</x:v>
      </x:c>
    </x:row>
    <x:row r="641">
      <x:c r="A641" t="str">
        <x:v>315fd21d-f58e-4b59-adbe-d6c44059e277</x:v>
      </x:c>
      <x:c r="B641" t="str">
        <x:v>600900</x:v>
      </x:c>
      <x:c r="C641" t="str">
        <x:v>长江电力</x:v>
      </x:c>
      <x:c r="D641" t="str">
        <x:v>2025-12-31</x:v>
      </x:c>
      <x:c r="E641" t="str">
        <x:v>annual</x:v>
      </x:c>
      <x:c r="F641" t="str">
        <x:v>long_term_borrowings</x:v>
      </x:c>
      <x:c r="G641" t="n">
        <x:v>225687599.05</x:v>
      </x:c>
      <x:c r="H641" t="str">
        <x:v>CNY</x:v>
      </x:c>
      <x:c r="I641" t="n">
        <x:v>215</x:v>
      </x:c>
      <x:c r="J641" t="str">
        <x:v>长期借款</x:v>
      </x:c>
      <x:c r="K641" t="str">
        <x:v>candidate_pending_automated_verification</x:v>
      </x:c>
      <x:c r="L641" t="str">
        <x:v>https://static.cninfo.com.cn/finalpage/2026-04-30/1225262036.PDF</x:v>
      </x:c>
      <x:c r="M641" t="str">
        <x:v>aa0cdb92e3aad81b1e6454594a64cacbcfeb9013b10dd31f47a93a94e7a70f91</x:v>
      </x:c>
      <x:c r="N641" t="str">
        <x:v>48,349.69
其他应付款 3,827,340.03 81,288.01 12,278,412.15 356,676,675.29 372,863,715.48
其他流动负债 247,624,338.58 247,624,338.58
长期借款 225,687,599.05 1,144,125,789.32 1,445,025,827.70 2,814,839,216.07
应付债券 1,284,103,161.11 5,029,191,974.20 6,313,295,135.31
小计 4,437,224,810.30 81,288.01 1,144,125,789.32 14,522,079.77 9,742,727,4</x:v>
      </x:c>
    </x:row>
    <x:row r="642">
      <x:c r="A642" t="str">
        <x:v>771f8dd0-d2cd-4def-88f6-97dd5c5c54dc</x:v>
      </x:c>
      <x:c r="B642" t="str">
        <x:v>600900</x:v>
      </x:c>
      <x:c r="C642" t="str">
        <x:v>长江电力</x:v>
      </x:c>
      <x:c r="D642" t="str">
        <x:v>2025-12-31</x:v>
      </x:c>
      <x:c r="E642" t="str">
        <x:v>annual</x:v>
      </x:c>
      <x:c r="F642" t="str">
        <x:v>short_term_borrowings</x:v>
      </x:c>
      <x:c r="G642" t="n">
        <x:v>2896743787.27</x:v>
      </x:c>
      <x:c r="H642" t="str">
        <x:v>CNY</x:v>
      </x:c>
      <x:c r="I642" t="n">
        <x:v>215</x:v>
      </x:c>
      <x:c r="J642" t="str">
        <x:v>短期借款</x:v>
      </x:c>
      <x:c r="K642" t="str">
        <x:v>candidate_pending_automated_verification</x:v>
      </x:c>
      <x:c r="L642" t="str">
        <x:v>https://static.cninfo.com.cn/finalpage/2026-04-30/1225262036.PDF</x:v>
      </x:c>
      <x:c r="M642" t="str">
        <x:v>aa0cdb92e3aad81b1e6454594a64cacbcfeb9013b10dd31f47a93a94e7a70f91</x:v>
      </x:c>
      <x:c r="N642" t="str">
        <x:v>12,424.42
小计 1,357,479,759.64 4,959,133,699.99 1,322,407,448.02 76,974,329.01 1,847,267,389.93 9,563,262,626.59
外币金融负债：
短期借款 2,896,743,787.27 1,796,788,104.57 4,693,531,891.84
应付股利 44,378,723.59 44,378,723.59
应付账款 26,862,922.84 2,243,667.62 823,041,759.23 852,148,349.69
其他应付款 3,827,340.03 81,288.01 12,278,412.15 356,676</x:v>
      </x:c>
    </x:row>
    <x:row r="643">
      <x:c r="A643" t="str">
        <x:v>5318bff8-5d7e-492e-a178-65aef46bf1e2</x:v>
      </x:c>
      <x:c r="B643" t="str">
        <x:v>600900</x:v>
      </x:c>
      <x:c r="C643" t="str">
        <x:v>长江电力</x:v>
      </x:c>
      <x:c r="D643" t="str">
        <x:v>2025-12-31</x:v>
      </x:c>
      <x:c r="E643" t="str">
        <x:v>annual</x:v>
      </x:c>
      <x:c r="F643" t="str">
        <x:v>bonds_payable</x:v>
      </x:c>
      <x:c r="G643" t="n">
        <x:v>29780996027.99</x:v>
      </x:c>
      <x:c r="H643" t="str">
        <x:v>CNY</x:v>
      </x:c>
      <x:c r="I643" t="n">
        <x:v>214</x:v>
      </x:c>
      <x:c r="J643" t="str">
        <x:v>应付债券</x:v>
      </x:c>
      <x:c r="K643" t="str">
        <x:v>candidate_pending_automated_verification</x:v>
      </x:c>
      <x:c r="L643" t="str">
        <x:v>https://static.cninfo.com.cn/finalpage/2026-04-30/1225262036.PDF</x:v>
      </x:c>
      <x:c r="M643" t="str">
        <x:v>aa0cdb92e3aad81b1e6454594a64cacbcfeb9013b10dd31f47a93a94e7a70f91</x:v>
      </x:c>
      <x:c r="N643" t="str">
        <x:v>80.39 5,210,727,780.39
长期借款 172,310,624,303.31 172,310,624,303.31 68,075,206,246.78 87,905,540,000.00 16,329,878,056.53
应付债券 29,780,996,027.99 29,780,996,027.99 7,334,576,110.37 7,082,805,531.78 15,363,614,385.84
其他流动负债 2,766,855,488.65 2,766,855,488.65 2,766,855,488.65
一年内到期的
非流动负债
70,204,456,814.10 70,204,456,814.10 70</x:v>
      </x:c>
    </x:row>
    <x:row r="644">
      <x:c r="A644" t="str">
        <x:v>14808053-ca77-429a-88dc-a85b3d735c71</x:v>
      </x:c>
      <x:c r="B644" t="str">
        <x:v>600900</x:v>
      </x:c>
      <x:c r="C644" t="str">
        <x:v>长江电力</x:v>
      </x:c>
      <x:c r="D644" t="str">
        <x:v>2025-12-31</x:v>
      </x:c>
      <x:c r="E644" t="str">
        <x:v>annual</x:v>
      </x:c>
      <x:c r="F644" t="str">
        <x:v>long_term_borrowings</x:v>
      </x:c>
      <x:c r="G644" t="n">
        <x:v>172310624303.31</x:v>
      </x:c>
      <x:c r="H644" t="str">
        <x:v>CNY</x:v>
      </x:c>
      <x:c r="I644" t="n">
        <x:v>214</x:v>
      </x:c>
      <x:c r="J644" t="str">
        <x:v>长期借款</x:v>
      </x:c>
      <x:c r="K644" t="str">
        <x:v>candidate_pending_automated_verification</x:v>
      </x:c>
      <x:c r="L644" t="str">
        <x:v>https://static.cninfo.com.cn/finalpage/2026-04-30/1225262036.PDF</x:v>
      </x:c>
      <x:c r="M644" t="str">
        <x:v>aa0cdb92e3aad81b1e6454594a64cacbcfeb9013b10dd31f47a93a94e7a70f91</x:v>
      </x:c>
      <x:c r="N644" t="str">
        <x:v>.07
其他应付款 20,707,508,552.36 20,707,508,552.36 20,707,508,552.36
应付股利 5,210,727,780.39 5,210,727,780.39 5,210,727,780.39
长期借款 172,310,624,303.31 172,310,624,303.31 68,075,206,246.78 87,905,540,000.00 16,329,878,056.53
应付债券 29,780,996,027.99 29,780,996,027.99 7,334,576,110.37 7,082,805,531.78 15,363,614,385.84
其他流动负债 2,766,</x:v>
      </x:c>
    </x:row>
    <x:row r="645">
      <x:c r="A645" t="str">
        <x:v>d6b83ed5-de55-4ef7-b5e7-8ac319383a81</x:v>
      </x:c>
      <x:c r="B645" t="str">
        <x:v>600900</x:v>
      </x:c>
      <x:c r="C645" t="str">
        <x:v>长江电力</x:v>
      </x:c>
      <x:c r="D645" t="str">
        <x:v>2025-12-31</x:v>
      </x:c>
      <x:c r="E645" t="str">
        <x:v>annual</x:v>
      </x:c>
      <x:c r="F645" t="str">
        <x:v>short_term_borrowings</x:v>
      </x:c>
      <x:c r="G645" t="n">
        <x:v>15181107941.81</x:v>
      </x:c>
      <x:c r="H645" t="str">
        <x:v>CNY</x:v>
      </x:c>
      <x:c r="I645" t="n">
        <x:v>214</x:v>
      </x:c>
      <x:c r="J645" t="str">
        <x:v>短期借款</x:v>
      </x:c>
      <x:c r="K645" t="str">
        <x:v>candidate_pending_automated_verification</x:v>
      </x:c>
      <x:c r="L645" t="str">
        <x:v>https://static.cninfo.com.cn/finalpage/2026-04-30/1225262036.PDF</x:v>
      </x:c>
      <x:c r="M645" t="str">
        <x:v>aa0cdb92e3aad81b1e6454594a64cacbcfeb9013b10dd31f47a93a94e7a70f91</x:v>
      </x:c>
      <x:c r="N645" t="str">
        <x:v>资金
需求。
截至 2025 年 12 月 31 日，本公司金融负债和表外担保项目以未折现的合同现金流量按合同剩
余期限列示如下：
单位：元 币种：人民币
项目
年末余额
账面净值 账面原值 1 年以内 1-2 年 2-5 年 5 年以上
短期借款 15,181,107,941.81 15,181,107,941.81 15,181,107,941.81
应付账款 1,468,707,269.07 1,468,707,269.07 1,468,707,269.07
其他应付款 20,707,508,552.36 20,707,508,552.36 20,707,508,552.36
应付股利 5,210,727,780.39 5,210</x:v>
      </x:c>
    </x:row>
    <x:row r="646">
      <x:c r="A646" t="str">
        <x:v>e11ff2dd-0c89-4eea-ade3-005be7b6e783</x:v>
      </x:c>
      <x:c r="B646" t="str">
        <x:v>600900</x:v>
      </x:c>
      <x:c r="C646" t="str">
        <x:v>长江电力</x:v>
      </x:c>
      <x:c r="D646" t="str">
        <x:v>2025-12-31</x:v>
      </x:c>
      <x:c r="E646" t="str">
        <x:v>annual</x:v>
      </x:c>
      <x:c r="F646" t="str">
        <x:v>long_term_borrowings</x:v>
      </x:c>
      <x:c r="G646" t="n">
        <x:v>162644521.52</x:v>
      </x:c>
      <x:c r="H646" t="str">
        <x:v>CNY</x:v>
      </x:c>
      <x:c r="I646" t="n">
        <x:v>201</x:v>
      </x:c>
      <x:c r="J646" t="str">
        <x:v>长期借款</x:v>
      </x:c>
      <x:c r="K646" t="str">
        <x:v>candidate_pending_automated_verification</x:v>
      </x:c>
      <x:c r="L646" t="str">
        <x:v>https://static.cninfo.com.cn/finalpage/2026-04-30/1225262036.PDF</x:v>
      </x:c>
      <x:c r="M646" t="str">
        <x:v>aa0cdb92e3aad81b1e6454594a64cacbcfeb9013b10dd31f47a93a94e7a70f91</x:v>
      </x:c>
      <x:c r="N646" t="str">
        <x:v>77 103,128,782.53 2,761,519.63 42,205,973.15
一年内到期的
非流动负债 143,504.70 1,153,698.84 48,259.46
其他流动负债 760,413.93 69,946.17
长期借款 162,644,521.52 223,080,714.64 64,724,950.00
长期应付款 42,006,086.93
租赁负债 73,145.52 146,607.32
取得的净资产 174,250,000.00 46,750,000.00 100,001,474.15 100,000,000.00
企业合并中承担的被合并方的或有负债：
无
其他说明：
无
3、 反向购买
□</x:v>
      </x:c>
    </x:row>
    <x:row r="647">
      <x:c r="A647" t="str">
        <x:v>15e5bf9a-6b8f-473b-8b1d-5a2371775a63</x:v>
      </x:c>
      <x:c r="B647" t="str">
        <x:v>600900</x:v>
      </x:c>
      <x:c r="C647" t="str">
        <x:v>长江电力</x:v>
      </x:c>
      <x:c r="D647" t="str">
        <x:v>2025-12-31</x:v>
      </x:c>
      <x:c r="E647" t="str">
        <x:v>annual</x:v>
      </x:c>
      <x:c r="F647" t="str">
        <x:v>current_portion_long_term_debt</x:v>
      </x:c>
      <x:c r="G647" t="n">
        <x:v>18.3</x:v>
      </x:c>
      <x:c r="H647" t="str">
        <x:v>CNY</x:v>
      </x:c>
      <x:c r="I647" t="n">
        <x:v>199</x:v>
      </x:c>
      <x:c r="J647" t="str">
        <x:v>一年内到期的非流动负债</x:v>
      </x:c>
      <x:c r="K647" t="str">
        <x:v>candidate_pending_automated_verification</x:v>
      </x:c>
      <x:c r="L647" t="str">
        <x:v>https://static.cninfo.com.cn/finalpage/2026-04-30/1225262036.PDF</x:v>
      </x:c>
      <x:c r="M647" t="str">
        <x:v>aa0cdb92e3aad81b1e6454594a64cacbcfeb9013b10dd31f47a93a94e7a70f91</x:v>
      </x:c>
      <x:c r="N647" t="str">
        <x:v>资产 20,759.80 20,387.98
使用权资产 193.50 193.50
无形资产 787.49
递延所得税资产 982.50 982.50
负债：
应付款项 212.30 212.30
其他应付款 233.70 233.70
一年内到期的非流动负债 18.30 18.30
租赁负债 206.20 206.20
预计负债 253.40 253.40
递延所得税负债 232.29
取得的净资产 25,600.00 24,672.98
可辨认资产、负债公允价值的确定方法：
无
企业合并中承担的被购买方的或有负债：
无
其他说明：
无
(4).购买日之前持有的股权按照公允价值重新计量产生的利得或损失
是否存在通过多次交易</x:v>
      </x:c>
    </x:row>
    <x:row r="648">
      <x:c r="A648" t="str">
        <x:v>34846e3f-9f20-47df-84a7-5c35f0a68daa</x:v>
      </x:c>
      <x:c r="B648" t="str">
        <x:v>600900</x:v>
      </x:c>
      <x:c r="C648" t="str">
        <x:v>长江电力</x:v>
      </x:c>
      <x:c r="D648" t="str">
        <x:v>2025-12-31</x:v>
      </x:c>
      <x:c r="E648" t="str">
        <x:v>annual</x:v>
      </x:c>
      <x:c r="F648" t="str">
        <x:v>cash</x:v>
      </x:c>
      <x:c r="G648" t="n">
        <x:v>790.6</x:v>
      </x:c>
      <x:c r="H648" t="str">
        <x:v>CNY</x:v>
      </x:c>
      <x:c r="I648" t="n">
        <x:v>199</x:v>
      </x:c>
      <x:c r="J648" t="str">
        <x:v>货币资金</x:v>
      </x:c>
      <x:c r="K648" t="str">
        <x:v>candidate_pending_automated_verification</x:v>
      </x:c>
      <x:c r="L648" t="str">
        <x:v>https://static.cninfo.com.cn/finalpage/2026-04-30/1225262036.PDF</x:v>
      </x:c>
      <x:c r="M648" t="str">
        <x:v>aa0cdb92e3aad81b1e6454594a64cacbcfeb9013b10dd31f47a93a94e7a70f91</x:v>
      </x:c>
      <x:c r="N648" t="str">
        <x:v>中国长江电力股份有限公司2025 年年度报告
199 / 259
项目 Energia Renovable del Sur S.A.
购买日公允价值 购买日账面价值
资产：
货币资金 790.60 790.60
应收款项 419.80 419.80
其他应收款 265.30 265.30
其他流动资产 2,557.20 2,557.20
固定资产 20,759.80 20,387.98
使用权资产 193.50 193.50
无形资产 787.49
递延所得税资产 982.50 982.50
负债：
应付款项 212.30 212.30
其他应付款 </x:v>
      </x:c>
    </x:row>
    <x:row r="649">
      <x:c r="A649" t="str">
        <x:v>d82b26c8-379f-49a3-b956-b1a97253494e</x:v>
      </x:c>
      <x:c r="B649" t="str">
        <x:v>600900</x:v>
      </x:c>
      <x:c r="C649" t="str">
        <x:v>长江电力</x:v>
      </x:c>
      <x:c r="D649" t="str">
        <x:v>2025-12-31</x:v>
      </x:c>
      <x:c r="E649" t="str">
        <x:v>annual</x:v>
      </x:c>
      <x:c r="F649" t="str">
        <x:v>bonds_payable</x:v>
      </x:c>
      <x:c r="G649" t="n">
        <x:v>35193817273.1</x:v>
      </x:c>
      <x:c r="H649" t="str">
        <x:v>CNY</x:v>
      </x:c>
      <x:c r="I649" t="n">
        <x:v>175</x:v>
      </x:c>
      <x:c r="J649" t="str">
        <x:v>应付债券</x:v>
      </x:c>
      <x:c r="K649" t="str">
        <x:v>candidate_pending_automated_verification</x:v>
      </x:c>
      <x:c r="L649" t="str">
        <x:v>https://static.cninfo.com.cn/finalpage/2026-04-30/1225262036.PDF</x:v>
      </x:c>
      <x:c r="M649" t="str">
        <x:v>aa0cdb92e3aad81b1e6454594a64cacbcfeb9013b10dd31f47a93a94e7a70f91</x:v>
      </x:c>
      <x:c r="N649" t="str">
        <x:v> 172,310,624,303.31 158,815,759,451.94
长期借款分类的说明：
无
其他说明：
□适用 √不适用
46、应付债券
(1).应付债券
√适用 □不适用
单位：元 币种：人民币
项目 期末余额 期初余额
其他应付债券 35,193,817,273.10 35,220,382,279.51
减：一年内到期的应付债券 5,412,821,245.11 13,479,577,452.08
合计 29,780,996,027.99 21,740,804,827.43</x:v>
      </x:c>
    </x:row>
    <x:row r="650">
      <x:c r="A650" t="str">
        <x:v>a0968880-8a6a-4935-9a7c-574f8d461467</x:v>
      </x:c>
      <x:c r="B650" t="str">
        <x:v>600900</x:v>
      </x:c>
      <x:c r="C650" t="str">
        <x:v>长江电力</x:v>
      </x:c>
      <x:c r="D650" t="str">
        <x:v>2025-12-31</x:v>
      </x:c>
      <x:c r="E650" t="str">
        <x:v>annual</x:v>
      </x:c>
      <x:c r="F650" t="str">
        <x:v>long_term_borrowings</x:v>
      </x:c>
      <x:c r="G650" t="n">
        <x:v>64683843288.21</x:v>
      </x:c>
      <x:c r="H650" t="str">
        <x:v>CNY</x:v>
      </x:c>
      <x:c r="I650" t="n">
        <x:v>175</x:v>
      </x:c>
      <x:c r="J650" t="str">
        <x:v>长期借款</x:v>
      </x:c>
      <x:c r="K650" t="str">
        <x:v>candidate_pending_automated_verification</x:v>
      </x:c>
      <x:c r="L650" t="str">
        <x:v>https://static.cninfo.com.cn/finalpage/2026-04-30/1225262036.PDF</x:v>
      </x:c>
      <x:c r="M650" t="str">
        <x:v>aa0cdb92e3aad81b1e6454594a64cacbcfeb9013b10dd31f47a93a94e7a70f91</x:v>
      </x:c>
      <x:c r="N650" t="str">
        <x:v>款 14,020,000.00 118,700,000.00
信用借款 232,642,762,969.30 188,661,651,644.96
未到期应付利息 435,460,523.86 404,451,859.57
减：一年内到期的长期借款 64,683,843,288.21 33,269,468,742.09
合计 172,310,624,303.31 158,815,759,451.94
长期借款分类的说明：
无
其他说明：
□适用 √不适用
46、应付债券
(1).应付债券
√适用 □不适用
单位：元 币种：人民币
项目 期末余额 期初余额
其他应付债券 35,193,817,273.10 35,220,382,279.5</x:v>
      </x:c>
    </x:row>
    <x:row r="651">
      <x:c r="A651" t="str">
        <x:v>0cdae4ad-8d3e-4021-b3e3-ba1c7af80db1</x:v>
      </x:c>
      <x:c r="B651" t="str">
        <x:v>600900</x:v>
      </x:c>
      <x:c r="C651" t="str">
        <x:v>长江电力</x:v>
      </x:c>
      <x:c r="D651" t="str">
        <x:v>2025-12-31</x:v>
      </x:c>
      <x:c r="E651" t="str">
        <x:v>annual</x:v>
      </x:c>
      <x:c r="F651" t="str">
        <x:v>bonds_payable</x:v>
      </x:c>
      <x:c r="G651" t="n">
        <x:v>4919618557.45</x:v>
      </x:c>
      <x:c r="H651" t="str">
        <x:v>CNY</x:v>
      </x:c>
      <x:c r="I651" t="n">
        <x:v>172</x:v>
      </x:c>
      <x:c r="J651" t="str">
        <x:v>应付债券</x:v>
      </x:c>
      <x:c r="K651" t="str">
        <x:v>candidate_pending_automated_verification</x:v>
      </x:c>
      <x:c r="L651" t="str">
        <x:v>https://static.cninfo.com.cn/finalpage/2026-04-30/1225262036.PDF</x:v>
      </x:c>
      <x:c r="M651" t="str">
        <x:v>aa0cdb92e3aad81b1e6454594a64cacbcfeb9013b10dd31f47a93a94e7a70f91</x:v>
      </x:c>
      <x:c r="N651" t="str">
        <x:v>中国长江电力股份有限公司2025 年年度报告
172 / 259
1年内到期的长期借款 64,248,382,764.35 32,883,531,021.65
1年内到期的应付债券 4,919,618,557.45 12,877,653,300.88
1年内到期的租赁负债 107,792,280.78 110,685,469.32
未到期应付利息 928,663,211.52 987,861,871.64
合计 70,204,456,814.10 46,859,731,663.49
其他说明：
无
44、其他流动负债
其他流动负债情况
√适用 □不适用
单位：元 币种</x:v>
      </x:c>
    </x:row>
    <x:row r="652">
      <x:c r="A652" t="str">
        <x:v>bdcf8a29-8b1a-4e83-bd76-55e2dd4c511f</x:v>
      </x:c>
      <x:c r="B652" t="str">
        <x:v>600900</x:v>
      </x:c>
      <x:c r="C652" t="str">
        <x:v>长江电力</x:v>
      </x:c>
      <x:c r="D652" t="str">
        <x:v>2025-12-31</x:v>
      </x:c>
      <x:c r="E652" t="str">
        <x:v>annual</x:v>
      </x:c>
      <x:c r="F652" t="str">
        <x:v>long_term_borrowings</x:v>
      </x:c>
      <x:c r="G652" t="n">
        <x:v>64248382764.35</x:v>
      </x:c>
      <x:c r="H652" t="str">
        <x:v>CNY</x:v>
      </x:c>
      <x:c r="I652" t="n">
        <x:v>172</x:v>
      </x:c>
      <x:c r="J652" t="str">
        <x:v>长期借款</x:v>
      </x:c>
      <x:c r="K652" t="str">
        <x:v>candidate_pending_automated_verification</x:v>
      </x:c>
      <x:c r="L652" t="str">
        <x:v>https://static.cninfo.com.cn/finalpage/2026-04-30/1225262036.PDF</x:v>
      </x:c>
      <x:c r="M652" t="str">
        <x:v>aa0cdb92e3aad81b1e6454594a64cacbcfeb9013b10dd31f47a93a94e7a70f91</x:v>
      </x:c>
      <x:c r="N652" t="str">
        <x:v>中国长江电力股份有限公司2025 年年度报告
172 / 259
1年内到期的长期借款 64,248,382,764.35 32,883,531,021.65
1年内到期的应付债券 4,919,618,557.45 12,877,653,300.88
1年内到期的租赁负债 107,792,280.78 110,685,469.32
未到期应付利息 928,663,211.52 987,861,871.64
合计 70,204,456,814.10 46,859,731,663.</x:v>
      </x:c>
    </x:row>
    <x:row r="653">
      <x:c r="A653" t="str">
        <x:v>248d765b-441e-47be-8259-d565c9bab740</x:v>
      </x:c>
      <x:c r="B653" t="str">
        <x:v>600900</x:v>
      </x:c>
      <x:c r="C653" t="str">
        <x:v>长江电力</x:v>
      </x:c>
      <x:c r="D653" t="str">
        <x:v>2025-12-31</x:v>
      </x:c>
      <x:c r="E653" t="str">
        <x:v>annual</x:v>
      </x:c>
      <x:c r="F653" t="str">
        <x:v>cash</x:v>
      </x:c>
      <x:c r="G653" t="n">
        <x:v>50991682.04</x:v>
      </x:c>
      <x:c r="H653" t="str">
        <x:v>CNY</x:v>
      </x:c>
      <x:c r="I653" t="n">
        <x:v>167</x:v>
      </x:c>
      <x:c r="J653" t="str">
        <x:v>货币资金</x:v>
      </x:c>
      <x:c r="K653" t="str">
        <x:v>candidate_pending_automated_verification</x:v>
      </x:c>
      <x:c r="L653" t="str">
        <x:v>https://static.cninfo.com.cn/finalpage/2026-04-30/1225262036.PDF</x:v>
      </x:c>
      <x:c r="M653" t="str">
        <x:v>aa0cdb92e3aad81b1e6454594a64cacbcfeb9013b10dd31f47a93a94e7a70f91</x:v>
      </x:c>
      <x:c r="N653" t="str">
        <x:v>12 1,187,863,378.12 880,748,529.38 880,748,529.38
其他说明：
无
31、所有权或使用权受限资产
√适用 □不适用
单位：元 币种：人民币
项目 期末
账面余额 账面价值 受限类型 受限情况
货币资金 50,991,682.04 50,991,682.04 冻结 保证金等
应收账款 930,520,173.96 866,098,014.23 质押 质押借款
固定资产 36,961,793.23 26,737,594.61 抵押 抵押借款
无形资产 25,585,800.00 24,007,707.84 其他 未办妥产权证
合计 1,044,059,449.23 967,834,99</x:v>
      </x:c>
    </x:row>
    <x:row r="654">
      <x:c r="A654" t="str">
        <x:v>29a0e07c-caa6-46fb-9d8d-7b951fecdfba</x:v>
      </x:c>
      <x:c r="B654" t="str">
        <x:v>600900</x:v>
      </x:c>
      <x:c r="C654" t="str">
        <x:v>长江电力</x:v>
      </x:c>
      <x:c r="D654" t="str">
        <x:v>2025-12-31</x:v>
      </x:c>
      <x:c r="E654" t="str">
        <x:v>annual</x:v>
      </x:c>
      <x:c r="F654" t="str">
        <x:v>cash</x:v>
      </x:c>
      <x:c r="G654" t="n">
        <x:v>31547526.36</x:v>
      </x:c>
      <x:c r="H654" t="str">
        <x:v>CNY</x:v>
      </x:c>
      <x:c r="I654" t="n">
        <x:v>130</x:v>
      </x:c>
      <x:c r="J654" t="str">
        <x:v>货币资金</x:v>
      </x:c>
      <x:c r="K654" t="str">
        <x:v>candidate_pending_automated_verification</x:v>
      </x:c>
      <x:c r="L654" t="str">
        <x:v>https://static.cninfo.com.cn/finalpage/2026-04-30/1225262036.PDF</x:v>
      </x:c>
      <x:c r="M654" t="str">
        <x:v>aa0cdb92e3aad81b1e6454594a64cacbcfeb9013b10dd31f47a93a94e7a70f91</x:v>
      </x:c>
      <x:c r="N654" t="str">
        <x:v>财务报表项目注释
1、货币资金
√适用 □不适用
单位：元 币种：人民币
项目 期末余额 期初余额
库存现金 509,113.69 9,263,625.19
银行存款 4,553,799,428.01 6,528,114,054.97
其他货币资金 31,547,526.36 35,346,724.16
合计 4,585,856,068.06 6,572,724,404.32</x:v>
      </x:c>
    </x:row>
    <x:row r="655">
      <x:c r="A655" t="str">
        <x:v>3a139730-ff45-44c4-ae5b-f69849c21515</x:v>
      </x:c>
      <x:c r="B655" t="str">
        <x:v>600900</x:v>
      </x:c>
      <x:c r="C655" t="str">
        <x:v>长江电力</x:v>
      </x:c>
      <x:c r="D655" t="str">
        <x:v>2025-12-31</x:v>
      </x:c>
      <x:c r="E655" t="str">
        <x:v>annual</x:v>
      </x:c>
      <x:c r="F655" t="str">
        <x:v>operating_cash_flow</x:v>
      </x:c>
      <x:c r="G655" t="n">
        <x:v>60562925570.41</x:v>
      </x:c>
      <x:c r="H655" t="str">
        <x:v>CNY</x:v>
      </x:c>
      <x:c r="I655" t="n">
        <x:v>88</x:v>
      </x:c>
      <x:c r="J655" t="str">
        <x:v>经营活动产生的现金流量净额</x:v>
      </x:c>
      <x:c r="K655" t="str">
        <x:v>candidate_pending_automated_verification</x:v>
      </x:c>
      <x:c r="L655" t="str">
        <x:v>https://static.cninfo.com.cn/finalpage/2026-04-30/1225262036.PDF</x:v>
      </x:c>
      <x:c r="M655" t="str">
        <x:v>aa0cdb92e3aad81b1e6454594a64cacbcfeb9013b10dd31f47a93a94e7a70f91</x:v>
      </x:c>
      <x:c r="N655" t="str">
        <x:v> 17,521,925,470.26
支付其他与经营活动有关的现金 七、78 1,723,085,450.17 1,458,313,335.40
经营活动现金流出小计 40,199,812,016.16 35,851,434,501.65
经营活动产生的现金流量净额 60,562,925,570.41 59,648,468,284.22
二、投资活动产生的现金流量：
收回投资收到的现金 4,633,371,682.43 51,304,202,111.84
取得投资收益收到的现金 2,634,610,585.96 2,548,040,281.44
处置固定资产、无形资产和其他长期资
产收回的现金净额 4,832,440.19 9,541,006.99
处置</x:v>
      </x:c>
    </x:row>
    <x:row r="656">
      <x:c r="A656" t="str">
        <x:v>60f996ff-a12e-42e3-83cc-60934eba7f6f</x:v>
      </x:c>
      <x:c r="B656" t="str">
        <x:v>600900</x:v>
      </x:c>
      <x:c r="C656" t="str">
        <x:v>长江电力</x:v>
      </x:c>
      <x:c r="D656" t="str">
        <x:v>2025-12-31</x:v>
      </x:c>
      <x:c r="E656" t="str">
        <x:v>annual</x:v>
      </x:c>
      <x:c r="F656" t="str">
        <x:v>revenue</x:v>
      </x:c>
      <x:c r="G656" t="n">
        <x:v>17015283778.59</x:v>
      </x:c>
      <x:c r="H656" t="str">
        <x:v>reported_amount</x:v>
      </x:c>
      <x:c r="I656" t="n">
        <x:v>7</x:v>
      </x:c>
      <x:c r="J656" t="str">
        <x:v>营业收入</x:v>
      </x:c>
      <x:c r="K656" t="str">
        <x:v>candidate_pending_automated_verification</x:v>
      </x:c>
      <x:c r="L656" t="str">
        <x:v>https://static.cninfo.com.cn/finalpage/2026-04-30/1225262036.PDF</x:v>
      </x:c>
      <x:c r="M656" t="str">
        <x:v>aa0cdb92e3aad81b1e6454594a64cacbcfeb9013b10dd31f47a93a94e7a70f91</x:v>
      </x:c>
      <x:c r="N656" t="str">
        <x:v>不适用
(三) 境内外会计准则差异的说明：
□适用 √不适用
九、 2025 年分季度主要财务数据
单位：元 币种：人民币
第一季度
（1-3 月份）
第二季度
（4-6 月份）
第三季度
（7-9 月份）
第四季度
（10-12 月份）
营业收入 17,015,283,778.59 19,682,330,288.13 29,043,671,615.00 20,500,654,540.48
归属于上市公司
股东的净利润 5,180,785,597.87 7,875,566,875.68 15,136,522,021.40 6,309,934,681.44
归属于上市公司
股东的扣除非经
常性损益后的净
利润
5,232,734,947.</x:v>
      </x:c>
    </x:row>
    <x:row r="657">
      <x:c r="A657" t="str">
        <x:v>ab341430-a5ac-45fc-b2ea-909d6c6751af</x:v>
      </x:c>
      <x:c r="B657" t="str">
        <x:v>600900</x:v>
      </x:c>
      <x:c r="C657" t="str">
        <x:v>长江电力</x:v>
      </x:c>
      <x:c r="D657" t="str">
        <x:v>2025-12-31</x:v>
      </x:c>
      <x:c r="E657" t="str">
        <x:v>annual</x:v>
      </x:c>
      <x:c r="F657" t="str">
        <x:v>cash</x:v>
      </x:c>
      <x:c r="G657" t="n">
        <x:v>1161691662.73</x:v>
      </x:c>
      <x:c r="H657" t="str">
        <x:v>CNY</x:v>
      </x:c>
      <x:c r="I657" t="n">
        <x:v>214</x:v>
      </x:c>
      <x:c r="J657" t="str">
        <x:v>货币资金</x:v>
      </x:c>
      <x:c r="K657" t="str">
        <x:v>candidate_pending_automated_verification</x:v>
      </x:c>
      <x:c r="L657" t="str">
        <x:v>https://static.cninfo.com.cn/finalpage/2026-04-30/1225262036.PDF</x:v>
      </x:c>
      <x:c r="M657" t="str">
        <x:v>aa0cdb92e3aad81b1e6454594a64cacbcfeb9013b10dd31f47a93a94e7a70f91</x:v>
      </x:c>
      <x:c r="N657" t="str">
        <x:v>降低面
临的汇率风险。
（1）截至2025年12月31日，本公司持有的外币金融资产和外币金融负债折算成人民币的金额
列示如下：
单位：元 币种：人民币
项目
年末余额
美元项目 港币项目 欧元项目 卢比项目 索尔项目 合计
外币金融资产：
货币资金 1,161,691,662.73 6,170,302.83 5,161,247.39 31,201,273.13 494,141,402.40 1,698,365,888.48
应收账款 134,048,680.35 45,716,204.38 1,278,016,067.67 1,457,780,952.40</x:v>
      </x:c>
    </x:row>
    <x:row r="658">
      <x:c r="A658" t="str">
        <x:v>cb0b605f-54db-41b2-999f-c17e8d54a11d</x:v>
      </x:c>
      <x:c r="B658" t="str">
        <x:v>600900</x:v>
      </x:c>
      <x:c r="C658" t="str">
        <x:v>长江电力</x:v>
      </x:c>
      <x:c r="D658" t="str">
        <x:v>2025-12-31</x:v>
      </x:c>
      <x:c r="E658" t="str">
        <x:v>annual</x:v>
      </x:c>
      <x:c r="F658" t="str">
        <x:v>revenue</x:v>
      </x:c>
      <x:c r="G658" t="n">
        <x:v>86241940222.2</x:v>
      </x:c>
      <x:c r="H658" t="str">
        <x:v>reported_amount</x:v>
      </x:c>
      <x:c r="I658" t="n">
        <x:v>6</x:v>
      </x:c>
      <x:c r="J658" t="str">
        <x:v>营业收入</x:v>
      </x:c>
      <x:c r="K658" t="str">
        <x:v>candidate_pending_automated_verification</x:v>
      </x:c>
      <x:c r="L658" t="str">
        <x:v>https://static.cninfo.com.cn/finalpage/2026-04-30/1225262036.PDF</x:v>
      </x:c>
      <x:c r="M658" t="str">
        <x:v>aa0cdb92e3aad81b1e6454594a64cacbcfeb9013b10dd31f47a93a94e7a70f91</x:v>
      </x:c>
      <x:c r="N658" t="str">
        <x:v>门北大街8号富华大厦A座
9层
签字会计师姓名 胡松林、闫欢
七、 近三年主要会计数据和财务指标
(一) 主要会计数据
单位：元 币种：人民币
主要会计数据 2025年 2024年 本期比上年
同期增减
(%)
2023年
调整后 调整前
营业收入 86,241,940,222.20 84,491,870,566.52 84,491,870,566.52 2.07 78,143,535,736.10
利润总额 41,739,840,157.92 38,862,377,699.64 38,862,377,699.64 7.40 32,424,047,365.38
归属于上市公司股
东的净利润 34,502,809,176.39 32,49</x:v>
      </x:c>
    </x:row>
    <x:row r="659">
      <x:c r="A659" t="str">
        <x:v>097ef769-f546-423b-aa19-0ae759441760</x:v>
      </x:c>
      <x:c r="B659" t="str">
        <x:v>600900</x:v>
      </x:c>
      <x:c r="C659" t="str">
        <x:v>长江电力</x:v>
      </x:c>
      <x:c r="D659" t="str">
        <x:v>2025-12-31</x:v>
      </x:c>
      <x:c r="E659" t="str">
        <x:v>annual</x:v>
      </x:c>
      <x:c r="F659" t="str">
        <x:v>short_term_borrowings</x:v>
      </x:c>
      <x:c r="G659" t="n">
        <x:v>163217877.49</x:v>
      </x:c>
      <x:c r="H659" t="str">
        <x:v>CNY</x:v>
      </x:c>
      <x:c r="I659" t="n">
        <x:v>201</x:v>
      </x:c>
      <x:c r="J659" t="str">
        <x:v>短期借款</x:v>
      </x:c>
      <x:c r="K659" t="str">
        <x:v>candidate_pending_automated_verification</x:v>
      </x:c>
      <x:c r="L659" t="str">
        <x:v>https://static.cninfo.com.cn/finalpage/2026-04-30/1225262036.PDF</x:v>
      </x:c>
      <x:c r="M659" t="str">
        <x:v>aa0cdb92e3aad81b1e6454594a64cacbcfeb9013b10dd31f47a93a94e7a70f91</x:v>
      </x:c>
      <x:c r="N659" t="str">
        <x:v> 11,573,700.86 11,551,923.19 10,059,908.28 9,965,398.15
负债: 268,062,405.46 277,059,377.89 268,435,087.74 107,889,803.58
短期借款 163,217,877.49
应付款项 8,049,020.92
应付职工薪酬 747,107.02 981,362.22 484,476.39 386,081.07
应交税费 3,384.03 955,384.54 32,343.98 524,539.90
其他应付款 103,116,972.77 103,128,782.53 2,761,519.63 42,205,973.15
一</x:v>
      </x:c>
    </x:row>
    <x:row r="660">
      <x:c r="A660" t="str">
        <x:v>b671b3af-2307-483c-876a-4ede240e9dc5</x:v>
      </x:c>
      <x:c r="B660" t="str">
        <x:v>002142</x:v>
      </x:c>
      <x:c r="C660" t="str">
        <x:v>宁波银行</x:v>
      </x:c>
      <x:c r="D660" t="str">
        <x:v>2026-06-30</x:v>
      </x:c>
      <x:c r="E660" t="str">
        <x:v>interim</x:v>
      </x:c>
      <x:c r="F660" t="str">
        <x:v>bonds_payable</x:v>
      </x:c>
      <x:c r="G660" t="n">
        <x:v>504631</x:v>
      </x:c>
      <x:c r="H660" t="str">
        <x:v>CNY</x:v>
      </x:c>
      <x:c r="I660" t="n">
        <x:v>168</x:v>
      </x:c>
      <x:c r="J660" t="str">
        <x:v>应付债券</x:v>
      </x:c>
      <x:c r="K660" t="str">
        <x:v>candidate_pending_automated_verification</x:v>
      </x:c>
      <x:c r="L660" t="str">
        <x:v>https://static.cninfo.com.cn/finalpage/2026-08-20/1225482240.PDF</x:v>
      </x:c>
      <x:c r="M660" t="str">
        <x:v>408aaf086be5a23839c8a1abb85f77c917e9987f8a027ca3e68afd26f2451349</x:v>
      </x:c>
      <x:c r="N660" t="str">
        <x:v>第二层次  第三层次 
 金融资产：          
 债权投资 572,520   594,898   -   575,520   19,378  
 金融负债：          
 应付债券 504,631   505,673   -   505,673   -  
  2025 年12 月31 日 
  账面价值  公允价值  第一层次  第二层次  第三层次 
 金融资产：          
 债权投资 523,415   535,712   -   500,371   35,341  
         </x:v>
      </x:c>
    </x:row>
    <x:row r="661">
      <x:c r="A661" t="str">
        <x:v>e0b09dd6-5e01-4d7a-ad88-990dc1a999a8</x:v>
      </x:c>
      <x:c r="B661" t="str">
        <x:v>002142</x:v>
      </x:c>
      <x:c r="C661" t="str">
        <x:v>宁波银行</x:v>
      </x:c>
      <x:c r="D661" t="str">
        <x:v>2026-06-30</x:v>
      </x:c>
      <x:c r="E661" t="str">
        <x:v>interim</x:v>
      </x:c>
      <x:c r="F661" t="str">
        <x:v>bonds_payable</x:v>
      </x:c>
      <x:c r="G661" t="n">
        <x:v>459747</x:v>
      </x:c>
      <x:c r="H661" t="str">
        <x:v>CNY</x:v>
      </x:c>
      <x:c r="I661" t="n">
        <x:v>163</x:v>
      </x:c>
      <x:c r="J661" t="str">
        <x:v>应付债券</x:v>
      </x:c>
      <x:c r="K661" t="str">
        <x:v>candidate_pending_automated_verification</x:v>
      </x:c>
      <x:c r="L661" t="str">
        <x:v>https://static.cninfo.com.cn/finalpage/2026-08-20/1225482240.PDF</x:v>
      </x:c>
      <x:c r="M661" t="str">
        <x:v>408aaf086be5a23839c8a1abb85f77c917e9987f8a027ca3e68afd26f2451349</x:v>
      </x:c>
      <x:c r="N661" t="str">
        <x:v>债 17,141   44   35   17,220  
 卖出回购金融资产款 336,081   -  1,615   337,696  
 吸收存款 1,987,345   62,082   9,328   2,058,755  
 应付债券 459,747   -  -  459,747  
 其他金融负债 8,253   4   2   8,259  
 负债总额 3,278,044   68,573   10,983   3,357,600  
 表内净头寸 207,667   29,298   (4,604)  232,361  
 表外头寸 </x:v>
      </x:c>
    </x:row>
    <x:row r="662">
      <x:c r="A662" t="str">
        <x:v>0bdde34c-c17f-4e04-812c-569f0680496e</x:v>
      </x:c>
      <x:c r="B662" t="str">
        <x:v>002142</x:v>
      </x:c>
      <x:c r="C662" t="str">
        <x:v>宁波银行</x:v>
      </x:c>
      <x:c r="D662" t="str">
        <x:v>2026-06-30</x:v>
      </x:c>
      <x:c r="E662" t="str">
        <x:v>interim</x:v>
      </x:c>
      <x:c r="F662" t="str">
        <x:v>bonds_payable</x:v>
      </x:c>
      <x:c r="G662" t="n">
        <x:v>504631</x:v>
      </x:c>
      <x:c r="H662" t="str">
        <x:v>CNY</x:v>
      </x:c>
      <x:c r="I662" t="n">
        <x:v>162</x:v>
      </x:c>
      <x:c r="J662" t="str">
        <x:v>应付债券</x:v>
      </x:c>
      <x:c r="K662" t="str">
        <x:v>candidate_pending_automated_verification</x:v>
      </x:c>
      <x:c r="L662" t="str">
        <x:v>https://static.cninfo.com.cn/finalpage/2026-08-20/1225482240.PDF</x:v>
      </x:c>
      <x:c r="M662" t="str">
        <x:v>408aaf086be5a23839c8a1abb85f77c917e9987f8a027ca3e68afd26f2451349</x:v>
      </x:c>
      <x:c r="N662" t="str">
        <x:v>18,812   159   73   19,044  
 卖出回购金融资产款 162,379   5,706   -   168,085  
 吸收存款 2,240,798   72,443   9,464   2,322,705  
 应付债券 504,631   -   -   504,631  
 其他金融负债 28,499   -   -   28,499  
 负债总额 3,550,644   92,315   9,553   3,652,512  
 表内净头寸 216,629   50,895   (4,405)  263,119  
 表外</x:v>
      </x:c>
    </x:row>
    <x:row r="663">
      <x:c r="A663" t="str">
        <x:v>ece8fe30-60ea-414f-a5b0-a885095045f8</x:v>
      </x:c>
      <x:c r="B663" t="str">
        <x:v>002142</x:v>
      </x:c>
      <x:c r="C663" t="str">
        <x:v>宁波银行</x:v>
      </x:c>
      <x:c r="D663" t="str">
        <x:v>2026-06-30</x:v>
      </x:c>
      <x:c r="E663" t="str">
        <x:v>interim</x:v>
      </x:c>
      <x:c r="F663" t="str">
        <x:v>bonds_payable</x:v>
      </x:c>
      <x:c r="G663" t="n">
        <x:v>72191</x:v>
      </x:c>
      <x:c r="H663" t="str">
        <x:v>CNY</x:v>
      </x:c>
      <x:c r="I663" t="n">
        <x:v>160</x:v>
      </x:c>
      <x:c r="J663" t="str">
        <x:v>应付债券</x:v>
      </x:c>
      <x:c r="K663" t="str">
        <x:v>candidate_pending_automated_verification</x:v>
      </x:c>
      <x:c r="L663" t="str">
        <x:v>https://static.cninfo.com.cn/finalpage/2026-08-20/1225482240.PDF</x:v>
      </x:c>
      <x:c r="M663" t="str">
        <x:v>408aaf086be5a23839c8a1abb85f77c917e9987f8a027ca3e68afd26f2451349</x:v>
      </x:c>
      <x:c r="N663" t="str">
        <x:v>040   67,483   42,770   -  -  403   337,696  
 吸收存款 913,701   215,395   547,298   348,324   165   33,872   2,058,755  
 应付债券 72,191   136,719   172,290   53,989   22,900   1,658   459,747  
 其他金融负债 -  -  -  -  -  8,259   8,259  
 负债总额 1,396,258   500,800   961,016   408,983   23,065   67,478   </x:v>
      </x:c>
    </x:row>
    <x:row r="664">
      <x:c r="A664" t="str">
        <x:v>b8893e1e-0da4-486c-8db8-467181929fcc</x:v>
      </x:c>
      <x:c r="B664" t="str">
        <x:v>002142</x:v>
      </x:c>
      <x:c r="C664" t="str">
        <x:v>宁波银行</x:v>
      </x:c>
      <x:c r="D664" t="str">
        <x:v>2026-06-30</x:v>
      </x:c>
      <x:c r="E664" t="str">
        <x:v>interim</x:v>
      </x:c>
      <x:c r="F664" t="str">
        <x:v>bonds_payable</x:v>
      </x:c>
      <x:c r="G664" t="n">
        <x:v>28655</x:v>
      </x:c>
      <x:c r="H664" t="str">
        <x:v>CNY</x:v>
      </x:c>
      <x:c r="I664" t="n">
        <x:v>158</x:v>
      </x:c>
      <x:c r="J664" t="str">
        <x:v>应付债券</x:v>
      </x:c>
      <x:c r="K664" t="str">
        <x:v>candidate_pending_automated_verification</x:v>
      </x:c>
      <x:c r="L664" t="str">
        <x:v>https://static.cninfo.com.cn/finalpage/2026-08-20/1225482240.PDF</x:v>
      </x:c>
      <x:c r="M664" t="str">
        <x:v>408aaf086be5a23839c8a1abb85f77c917e9987f8a027ca3e68afd26f2451349</x:v>
      </x:c>
      <x:c r="N664" t="str">
        <x:v>   21,903   11,570   -   -   272   168,085  
 吸收存款 1,060,154   251,744   604,024   376,738   98   29,947   2,322,705  
 应付债券 28,655   126,033   270,262   78,392   -   1,289   504,631  
 其他金融负债 -   -   -   -   -   28,499   28,499  
 负债总额 1,414,858   463,115   1,218,624   467,407   98   88,410   </x:v>
      </x:c>
    </x:row>
    <x:row r="665">
      <x:c r="A665" t="str">
        <x:v>a0e5d11f-94cc-4082-9702-1c24dbdd127f</x:v>
      </x:c>
      <x:c r="B665" t="str">
        <x:v>002142</x:v>
      </x:c>
      <x:c r="C665" t="str">
        <x:v>宁波银行</x:v>
      </x:c>
      <x:c r="D665" t="str">
        <x:v>2026-06-30</x:v>
      </x:c>
      <x:c r="E665" t="str">
        <x:v>interim</x:v>
      </x:c>
      <x:c r="F665" t="str">
        <x:v>operating_cash_flow</x:v>
      </x:c>
      <x:c r="G665" t="n">
        <x:v>34186</x:v>
      </x:c>
      <x:c r="H665" t="str">
        <x:v>CNY</x:v>
      </x:c>
      <x:c r="I665" t="n">
        <x:v>67</x:v>
      </x:c>
      <x:c r="J665" t="str">
        <x:v>经营活动产生的现金流量净额</x:v>
      </x:c>
      <x:c r="K665" t="str">
        <x:v>candidate_pending_automated_verification</x:v>
      </x:c>
      <x:c r="L665" t="str">
        <x:v>https://static.cninfo.com.cn/finalpage/2026-08-20/1225482240.PDF</x:v>
      </x:c>
      <x:c r="M665" t="str">
        <x:v>408aaf086be5a23839c8a1abb85f77c917e9987f8a027ca3e68afd26f2451349</x:v>
      </x:c>
      <x:c r="N665" t="str">
        <x:v>现金 8,070   8,006  
支付的各项税费  3,586   2,673  
支付其他与经营活动有关的现金 1,470   12,295  
经营活动现金流出小计  430,781   244,181  
经营活动产生的现金流量净额 4 34,186   176,595  
二、投资活动产生的现金流量          
收回投资收到的现金  1,393,914   1,318,563  
取得投资收益收到的现金  14,721   12,862  
处置固定资产、无形资产和其他长期
资产收回的现金   4   171  
投资活动现金流入小计  1,408,639   1,33</x:v>
      </x:c>
    </x:row>
    <x:row r="666">
      <x:c r="A666" t="str">
        <x:v>d69c9aef-e6f9-4868-9983-6352fd281907</x:v>
      </x:c>
      <x:c r="B666" t="str">
        <x:v>002142</x:v>
      </x:c>
      <x:c r="C666" t="str">
        <x:v>宁波银行</x:v>
      </x:c>
      <x:c r="D666" t="str">
        <x:v>2026-06-30</x:v>
      </x:c>
      <x:c r="E666" t="str">
        <x:v>interim</x:v>
      </x:c>
      <x:c r="F666" t="str">
        <x:v>operating_cash_flow</x:v>
      </x:c>
      <x:c r="G666" t="n">
        <x:v>33234</x:v>
      </x:c>
      <x:c r="H666" t="str">
        <x:v>CNY</x:v>
      </x:c>
      <x:c r="I666" t="n">
        <x:v>60</x:v>
      </x:c>
      <x:c r="J666" t="str">
        <x:v>经营活动产生的现金流量净额</x:v>
      </x:c>
      <x:c r="K666" t="str">
        <x:v>candidate_pending_automated_verification</x:v>
      </x:c>
      <x:c r="L666" t="str">
        <x:v>https://static.cninfo.com.cn/finalpage/2026-08-20/1225482240.PDF</x:v>
      </x:c>
      <x:c r="M666" t="str">
        <x:v>408aaf086be5a23839c8a1abb85f77c917e9987f8a027ca3e68afd26f2451349</x:v>
      </x:c>
      <x:c r="N666" t="str">
        <x:v>9,325   9,200  
支付的各项税费  5,411   4,073  
支付其他与经营活动有关的现金 44 2,520   13,131  
经营活动现金流出小计  461,880   269,568  
经营活动产生的现金流量净额 44 33,234   168,041  
二、投资活动产生的现金流量          
收回投资收到的现金  1,394,005   1,319,403  
取得投资收益收到的现金  14,536   12,897  
处置固定资产、无形资产和其他长期资产
收回的现金   152   224  
投资活动现金流入小计  1,408,693   1,</x:v>
      </x:c>
    </x:row>
    <x:row r="667">
      <x:c r="A667" t="str">
        <x:v>32478a48-9325-444b-9f54-6be8163b4039</x:v>
      </x:c>
      <x:c r="B667" t="str">
        <x:v>002142</x:v>
      </x:c>
      <x:c r="C667" t="str">
        <x:v>宁波银行</x:v>
      </x:c>
      <x:c r="D667" t="str">
        <x:v>2026-06-30</x:v>
      </x:c>
      <x:c r="E667" t="str">
        <x:v>interim</x:v>
      </x:c>
      <x:c r="F667" t="str">
        <x:v>bonds_payable</x:v>
      </x:c>
      <x:c r="G667" t="n">
        <x:v>504631</x:v>
      </x:c>
      <x:c r="H667" t="str">
        <x:v>CNY</x:v>
      </x:c>
      <x:c r="I667" t="n">
        <x:v>55</x:v>
      </x:c>
      <x:c r="J667" t="str">
        <x:v>应付债券</x:v>
      </x:c>
      <x:c r="K667" t="str">
        <x:v>candidate_pending_automated_verification</x:v>
      </x:c>
      <x:c r="L667" t="str">
        <x:v>https://static.cninfo.com.cn/finalpage/2026-08-20/1225482240.PDF</x:v>
      </x:c>
      <x:c r="M667" t="str">
        <x:v>408aaf086be5a23839c8a1abb85f77c917e9987f8a027ca3e68afd26f2451349</x:v>
      </x:c>
      <x:c r="N667" t="str">
        <x:v>20  
卖出回购金融资产款 18 168,085   337,696  
吸收存款 19 2,322,705   2,058,755  
应付职工薪酬 20 2,953   4,533  
应交税费 21 2,693   3,205  
应付债券 22 504,631   459,747  
租赁负债 23 2,212   2,276  
预计负债 24 2,193   1,832  
递延所得税负债 12 3   -  
其他负债 25 29,180   18,855  
负债合计  3,663,247   3,380,042  
股东权益          
股本 26 6,604   6,6</x:v>
      </x:c>
    </x:row>
    <x:row r="668">
      <x:c r="A668" t="str">
        <x:v>fd6e4130-f571-4b57-9777-f89a80f9e40e</x:v>
      </x:c>
      <x:c r="B668" t="str">
        <x:v>002142</x:v>
      </x:c>
      <x:c r="C668" t="str">
        <x:v>宁波银行</x:v>
      </x:c>
      <x:c r="D668" t="str">
        <x:v>2026-06-30</x:v>
      </x:c>
      <x:c r="E668" t="str">
        <x:v>interim</x:v>
      </x:c>
      <x:c r="F668" t="str">
        <x:v>revenue</x:v>
      </x:c>
      <x:c r="G668" t="n">
        <x:v>41450</x:v>
      </x:c>
      <x:c r="H668" t="str">
        <x:v>reported_amount</x:v>
      </x:c>
      <x:c r="I668" t="n">
        <x:v>6</x:v>
      </x:c>
      <x:c r="J668" t="str">
        <x:v>营业收入</x:v>
      </x:c>
      <x:c r="K668" t="str">
        <x:v>candidate_pending_automated_verification</x:v>
      </x:c>
      <x:c r="L668" t="str">
        <x:v>https://static.cninfo.com.cn/finalpage/2026-08-20/1225482240.PDF</x:v>
      </x:c>
      <x:c r="M668" t="str">
        <x:v>408aaf086be5a23839c8a1abb85f77c917e9987f8a027ca3e68afd26f2451349</x:v>
      </x:c>
      <x:c r="N668" t="str">
        <x:v>其他有关资料 
公司其他有关资料在报告期无变化，具体可参见2025 年年报。 
四、主要会计数据和财务指标 
经营业绩（人民币 百万元） 2026 年 1-6 月 2025年1-6月 本报告期比 
上年同期增减 2024 年 1-6 月 
营业收入 41,450  37,160  11.54% 34,437  
营业利润 18,163  16,117  12.69% 15,634  
利润总额 18,123  16,052  12.90% 15,557  
净利润 16,726  14,838  12.72% 13,692  
归属于母公司股东的净利润 16,562  14,772  12.12% 13,649  </x:v>
      </x:c>
    </x:row>
    <x:row r="669">
      <x:c r="A669" t="str">
        <x:v>d1c83ac1-7a5d-4c4d-ace3-eb0d82393517</x:v>
      </x:c>
      <x:c r="B669" t="str">
        <x:v>601009</x:v>
      </x:c>
      <x:c r="C669" t="str">
        <x:v>南京银行</x:v>
      </x:c>
      <x:c r="D669" t="str">
        <x:v>2026-06-30</x:v>
      </x:c>
      <x:c r="E669" t="str">
        <x:v>interim</x:v>
      </x:c>
      <x:c r="F669" t="str">
        <x:v>operating_cash_flow</x:v>
      </x:c>
      <x:c r="G669" t="n">
        <x:v>112525664</x:v>
      </x:c>
      <x:c r="H669" t="str">
        <x:v>CNY</x:v>
      </x:c>
      <x:c r="I669" t="n">
        <x:v>107</x:v>
      </x:c>
      <x:c r="J669" t="str">
        <x:v>经营活动产生的现金流量净额</x:v>
      </x:c>
      <x:c r="K669" t="str">
        <x:v>candidate_pending_automated_verification</x:v>
      </x:c>
      <x:c r="L669" t="str">
        <x:v>https://static.cninfo.com.cn/finalpage/2026-08-19/1225480697.PDF</x:v>
      </x:c>
      <x:c r="M669" t="str">
        <x:v>fc75a360e08bd81e95a8935a02286234ebf348276d210a600c2f9ea9542e2e71</x:v>
      </x:c>
      <x:c r="N669" t="str">
        <x:v>,742) (10,125,496) 
经营活动现金流出小计  (218,728,519) (168,100,819) 
   ----------------------  ---------------------- 
经营活动产生的现金流量净额  112,525,664 108,519,227 
   ----------------------  ---------------------- 
刊载于第 22 页至第 132 页的财务报表附注为本财务报表的组成部分。 </x:v>
      </x:c>
    </x:row>
    <x:row r="670">
      <x:c r="A670" t="str">
        <x:v>cada3424-5e59-41d7-9c40-b8e515b884e3</x:v>
      </x:c>
      <x:c r="B670" t="str">
        <x:v>601009</x:v>
      </x:c>
      <x:c r="C670" t="str">
        <x:v>南京银行</x:v>
      </x:c>
      <x:c r="D670" t="str">
        <x:v>2026-06-30</x:v>
      </x:c>
      <x:c r="E670" t="str">
        <x:v>interim</x:v>
      </x:c>
      <x:c r="F670" t="str">
        <x:v>operating_cash_flow</x:v>
      </x:c>
      <x:c r="G670" t="n">
        <x:v>105177712</x:v>
      </x:c>
      <x:c r="H670" t="str">
        <x:v>reported_amount</x:v>
      </x:c>
      <x:c r="I670" t="n">
        <x:v>9</x:v>
      </x:c>
      <x:c r="J670" t="str">
        <x:v>经营活动产生的现金流量净额</x:v>
      </x:c>
      <x:c r="K670" t="str">
        <x:v>candidate_pending_automated_verification</x:v>
      </x:c>
      <x:c r="L670" t="str">
        <x:v>https://static.cninfo.com.cn/finalpage/2026-08-19/1225480697.PDF</x:v>
      </x:c>
      <x:c r="M670" t="str">
        <x:v>fc75a360e08bd81e95a8935a02286234ebf348276d210a600c2f9ea9542e2e71</x:v>
      </x:c>
      <x:c r="N670" t="str">
        <x:v>2,989
归属于上市公司股东净利润 13,650,199 12,619,215 8.17 11,594,146
归属于上市公司股东的扣除非经
常性损益后的净利润 13,646,168 12,520,620 8.99 11,476,892
经营活动产生的现金流量净额 105,177,712 119,496,372 -11.98 -59,284,903
每股计
基本每股收益（元／股） 1.10 1.13 -2.65 1.12
稀释每股收益（元／股） 1.10 1.03 6.80 0.97
扣除非经常性损益后的基本每股
收益（元／股） 1.10 1.12 -1.79 1.11
每股经营活动产生的现金流量净
额（元／股） 8.51 10.70 -2</x:v>
      </x:c>
    </x:row>
    <x:row r="671">
      <x:c r="A671" t="str">
        <x:v>242a8b53-a162-467c-b6dd-7c36000d4da0</x:v>
      </x:c>
      <x:c r="B671" t="str">
        <x:v>601009</x:v>
      </x:c>
      <x:c r="C671" t="str">
        <x:v>南京银行</x:v>
      </x:c>
      <x:c r="D671" t="str">
        <x:v>2026-06-30</x:v>
      </x:c>
      <x:c r="E671" t="str">
        <x:v>interim</x:v>
      </x:c>
      <x:c r="F671" t="str">
        <x:v>revenue</x:v>
      </x:c>
      <x:c r="G671" t="n">
        <x:v>31595756</x:v>
      </x:c>
      <x:c r="H671" t="str">
        <x:v>reported_amount</x:v>
      </x:c>
      <x:c r="I671" t="n">
        <x:v>9</x:v>
      </x:c>
      <x:c r="J671" t="str">
        <x:v>营业收入</x:v>
      </x:c>
      <x:c r="K671" t="str">
        <x:v>candidate_pending_automated_verification</x:v>
      </x:c>
      <x:c r="L671" t="str">
        <x:v>https://static.cninfo.com.cn/finalpage/2026-08-19/1225480697.PDF</x:v>
      </x:c>
      <x:c r="M671" t="str">
        <x:v>fc75a360e08bd81e95a8935a02286234ebf348276d210a600c2f9ea9542e2e71</x:v>
      </x:c>
      <x:c r="N671" t="str">
        <x:v>7
第三节 主要会计数据和财务指标
一、可比期间主要会计数据和财务指标
单位：人民币千元
主要会计数据 2026 年 1-6 月 2025 年 1-6 月 同比增减
（%） 2024 年 1-6 月
经营业绩
营业收入 31,595,756 28,480,211 10.94 26,215,568
营业利润 16,472,646 15,356,880 7.27 14,123,051
利润总额 16,441,041 15,340,688 7.17 14,102,989
归属于上市公司股东净利润 13,650,199 12,619,215 8.17 11,594,146
归属于上市公司股东的扣除非经</x:v>
      </x:c>
    </x:row>
    <x:row r="672">
      <x:c r="A672" t="str">
        <x:v>fbeb7d1d-f931-4f82-a1aa-6ea026c4f498</x:v>
      </x:c>
      <x:c r="B672" t="str">
        <x:v>601009</x:v>
      </x:c>
      <x:c r="C672" t="str">
        <x:v>南京银行</x:v>
      </x:c>
      <x:c r="D672" t="str">
        <x:v>2026-06-30</x:v>
      </x:c>
      <x:c r="E672" t="str">
        <x:v>interim</x:v>
      </x:c>
      <x:c r="F672" t="str">
        <x:v>bonds_payable</x:v>
      </x:c>
      <x:c r="G672" t="n">
        <x:v>393936873</x:v>
      </x:c>
      <x:c r="H672" t="str">
        <x:v>CNY</x:v>
      </x:c>
      <x:c r="I672" t="n">
        <x:v>209</x:v>
      </x:c>
      <x:c r="J672" t="str">
        <x:v>应付债券</x:v>
      </x:c>
      <x:c r="K672" t="str">
        <x:v>candidate_pending_automated_verification</x:v>
      </x:c>
      <x:c r="L672" t="str">
        <x:v>https://static.cninfo.com.cn/finalpage/2026-08-19/1225480697.PDF</x:v>
      </x:c>
      <x:c r="M672" t="str">
        <x:v>fc75a360e08bd81e95a8935a02286234ebf348276d210a600c2f9ea9542e2e71</x:v>
      </x:c>
      <x:c r="N672" t="str">
        <x:v>  公允价值  
  第一层次 第二层次 第三层次 合计 
金融资产：      
金融投资—债权投资 444,311,160 - 470,961,122 1,879,727 472,840,849 
金融负债：      
应付债券 393,936,873 - 397,744,513 - 397,744,513 
  2025 年 12 月 31 日  
 账面价值  公允价值  
  第一层次 第二层次 第三层次 合计 
金融资产：      
金融投资—债权投资 453,675,002 - 477,945,981 2,391,229 480,337,210 
金融负债：      
应付</x:v>
      </x:c>
    </x:row>
    <x:row r="673">
      <x:c r="A673" t="str">
        <x:v>5cf53037-49f1-4ca8-813e-3c7dbdaa7c0a</x:v>
      </x:c>
      <x:c r="B673" t="str">
        <x:v>600919</x:v>
      </x:c>
      <x:c r="C673" t="str">
        <x:v>江苏银行</x:v>
      </x:c>
      <x:c r="D673" t="str">
        <x:v>2026-06-30</x:v>
      </x:c>
      <x:c r="E673" t="str">
        <x:v>interim</x:v>
      </x:c>
      <x:c r="F673" t="str">
        <x:v>revenue</x:v>
      </x:c>
      <x:c r="G673" t="n">
        <x:v>48951744</x:v>
      </x:c>
      <x:c r="H673" t="str">
        <x:v>reported_amount</x:v>
      </x:c>
      <x:c r="I673" t="n">
        <x:v>8</x:v>
      </x:c>
      <x:c r="J673" t="str">
        <x:v>营业收入</x:v>
      </x:c>
      <x:c r="K673" t="str">
        <x:v>candidate_pending_automated_verification</x:v>
      </x:c>
      <x:c r="L673" t="str">
        <x:v>https://static.cninfo.com.cn/finalpage/2026-08-20/1225482188.PDF</x:v>
      </x:c>
      <x:c r="M673" t="str">
        <x:v>2f2fb600211f4023e59153c8107ae6bca2134b24d8abf424bca75846dcf31c1c</x:v>
      </x:c>
      <x:c r="N673" t="str">
        <x:v>2026 年半年度报告
8 / 85
第二节 财务概要
一、主要会计数据和财务指标
（一）报告期内主要会计数据
单位：千元 币种：人民币
项目 2026年1-6月 2025年1-6月 增减幅度(%)
营业收入 48,951,744 44,864,292 9.11
归属于母公司股东的净利润 21,875,647 20,238,459 8.09
归属于母公司股东的扣除非经
常性损益的净利润 21,803,568 20,170,610 8.10
经营活动产生的现金流量净额 189,271,509 313,044,010 -39.54
项目 2026 年 6 月 30 日 2025 年12 </x:v>
      </x:c>
    </x:row>
    <x:row r="674">
      <x:c r="A674" t="str">
        <x:v>ad2ca96c-1ddd-49f6-b529-f9d6a758cf93</x:v>
      </x:c>
      <x:c r="B674" t="str">
        <x:v>600919</x:v>
      </x:c>
      <x:c r="C674" t="str">
        <x:v>江苏银行</x:v>
      </x:c>
      <x:c r="D674" t="str">
        <x:v>2026-06-30</x:v>
      </x:c>
      <x:c r="E674" t="str">
        <x:v>interim</x:v>
      </x:c>
      <x:c r="F674" t="str">
        <x:v>operating_cash_flow</x:v>
      </x:c>
      <x:c r="G674" t="n">
        <x:v>41</x:v>
      </x:c>
      <x:c r="H674" t="str">
        <x:v>CNY</x:v>
      </x:c>
      <x:c r="I674" t="n">
        <x:v>94</x:v>
      </x:c>
      <x:c r="J674" t="str">
        <x:v>经营活动产生的现金流量净额</x:v>
      </x:c>
      <x:c r="K674" t="str">
        <x:v>candidate_pending_automated_verification</x:v>
      </x:c>
      <x:c r="L674" t="str">
        <x:v>https://static.cninfo.com.cn/finalpage/2026-08-20/1225482188.PDF</x:v>
      </x:c>
      <x:c r="M674" t="str">
        <x:v>2f2fb600211f4023e59153c8107ae6bca2134b24d8abf424bca75846dcf31c1c</x:v>
      </x:c>
      <x:c r="N674" t="str">
        <x:v> (428,727,695) (418,155,667) (396,140,042) (387,750,691)   ______________ ______________ ______________ ______________ 
经营活动产生的现金流量净额 41(1) 189,271,509 313,044,010 198,954,534 303,276,035   ______________ ______________ ______________ ______________ 
二、投资活动产生的现金流量：      
收回投资所收到的现金  1,105,905,764 1,290,149,633 1,09</x:v>
      </x:c>
    </x:row>
    <x:row r="675">
      <x:c r="A675" t="str">
        <x:v>556d192c-6e66-4999-a6d6-5e7828156c10</x:v>
      </x:c>
      <x:c r="B675" t="str">
        <x:v>600919</x:v>
      </x:c>
      <x:c r="C675" t="str">
        <x:v>江苏银行</x:v>
      </x:c>
      <x:c r="D675" t="str">
        <x:v>2026-06-30</x:v>
      </x:c>
      <x:c r="E675" t="str">
        <x:v>interim</x:v>
      </x:c>
      <x:c r="F675" t="str">
        <x:v>operating_cash_flow</x:v>
      </x:c>
      <x:c r="G675" t="n">
        <x:v>189271509</x:v>
      </x:c>
      <x:c r="H675" t="str">
        <x:v>reported_amount</x:v>
      </x:c>
      <x:c r="I675" t="n">
        <x:v>8</x:v>
      </x:c>
      <x:c r="J675" t="str">
        <x:v>经营活动产生的现金流量净额</x:v>
      </x:c>
      <x:c r="K675" t="str">
        <x:v>candidate_pending_automated_verification</x:v>
      </x:c>
      <x:c r="L675" t="str">
        <x:v>https://static.cninfo.com.cn/finalpage/2026-08-20/1225482188.PDF</x:v>
      </x:c>
      <x:c r="M675" t="str">
        <x:v>2f2fb600211f4023e59153c8107ae6bca2134b24d8abf424bca75846dcf31c1c</x:v>
      </x:c>
      <x:c r="N675" t="str">
        <x:v>收入 48,951,744 44,864,292 9.11
归属于母公司股东的净利润 21,875,647 20,238,459 8.09
归属于母公司股东的扣除非经
常性损益的净利润 21,803,568 20,170,610 8.10
经营活动产生的现金流量净额 189,271,509 313,044,010 -39.54
项目 2026 年 6 月 30 日 2025 年12 月31 日 增减幅度(%)
归属于母公司股东的净资产 351,336,365 337,961,238 3.96
归属于母公司普通股股东的每
股净资产（元） 14.79 14.06 5.19
总资产 5,611,101,653 4,931,316,046 13.79</x:v>
      </x:c>
    </x:row>
    <x:row r="676">
      <x:c r="A676" t="str">
        <x:v>9d60d6d7-9ab9-492f-9f99-15d761b8ac3b</x:v>
      </x:c>
      <x:c r="B676" t="str">
        <x:v>600919</x:v>
      </x:c>
      <x:c r="C676" t="str">
        <x:v>江苏银行</x:v>
      </x:c>
      <x:c r="D676" t="str">
        <x:v>2026-06-30</x:v>
      </x:c>
      <x:c r="E676" t="str">
        <x:v>interim</x:v>
      </x:c>
      <x:c r="F676" t="str">
        <x:v>revenue</x:v>
      </x:c>
      <x:c r="G676" t="n">
        <x:v>48951744</x:v>
      </x:c>
      <x:c r="H676" t="str">
        <x:v>reported_amount</x:v>
      </x:c>
      <x:c r="I676" t="n">
        <x:v>9</x:v>
      </x:c>
      <x:c r="J676" t="str">
        <x:v>营业收入</x:v>
      </x:c>
      <x:c r="K676" t="str">
        <x:v>candidate_pending_automated_verification</x:v>
      </x:c>
      <x:c r="L676" t="str">
        <x:v>https://static.cninfo.com.cn/finalpage/2026-08-20/1225482188.PDF</x:v>
      </x:c>
      <x:c r="M676" t="str">
        <x:v>2f2fb600211f4023e59153c8107ae6bca2134b24d8abf424bca75846dcf31c1c</x:v>
      </x:c>
      <x:c r="N676" t="str">
        <x:v>总额 5,247,416,469 4,581,733,981 3,638,383,352
股东权益 363,685,184 349,582,065 313,658,218
经营业绩指标 2026 年 1-6 月 2025 年 2024 年
营业收入 48,951,744 87,942,367 80,815,212
利润总额 26,269,833 41,066,346 41,268,011
归属于母公司股东的
净利润 21,875,647 34,501,004 31,843,213
归属于母公司股东的
扣除非经常性损益后
的净利润
21,803,568 34,424,763 31,464,081
存贷款指标 2026 年 6</x:v>
      </x:c>
    </x:row>
    <x:row r="677">
      <x:c r="A677" t="str">
        <x:v>d8a3f573-8c67-4a5a-ae11-e6852d688603</x:v>
      </x:c>
      <x:c r="B677" t="str">
        <x:v>600919</x:v>
      </x:c>
      <x:c r="C677" t="str">
        <x:v>江苏银行</x:v>
      </x:c>
      <x:c r="D677" t="str">
        <x:v>2026-06-30</x:v>
      </x:c>
      <x:c r="E677" t="str">
        <x:v>interim</x:v>
      </x:c>
      <x:c r="F677" t="str">
        <x:v>operating_cash_flow</x:v>
      </x:c>
      <x:c r="G677" t="n">
        <x:v>189271509</x:v>
      </x:c>
      <x:c r="H677" t="str">
        <x:v>CNY</x:v>
      </x:c>
      <x:c r="I677" t="n">
        <x:v>166</x:v>
      </x:c>
      <x:c r="J677" t="str">
        <x:v>经营活动产生的现金流量净额</x:v>
      </x:c>
      <x:c r="K677" t="str">
        <x:v>candidate_pending_automated_verification</x:v>
      </x:c>
      <x:c r="L677" t="str">
        <x:v>https://static.cninfo.com.cn/finalpage/2026-08-20/1225482188.PDF</x:v>
      </x:c>
      <x:c r="M677" t="str">
        <x:v>2f2fb600211f4023e59153c8107ae6bca2134b24d8abf424bca75846dcf31c1c</x:v>
      </x:c>
      <x:c r="N677" t="str">
        <x:v>393) 
经营性应付项目的增加 514,179,977 667,119,070 498,318,793 635,244,268   ____________ ____________ ____________ ____________ 
经营活动产生的现金流量净额 189,271,509 313,044,010 198,954,534 303,276,035   ____________ ____________ ____________ ____________   ____________ ____________ ____________ ____________ 
  </x:v>
      </x:c>
    </x:row>
    <x:row r="678">
      <x:c r="A678" t="str">
        <x:v>62ac57c5-deb6-4ddd-bc79-544a25130ff8</x:v>
      </x:c>
      <x:c r="B678" t="str">
        <x:v>600926</x:v>
      </x:c>
      <x:c r="C678" t="str">
        <x:v>杭州银行</x:v>
      </x:c>
      <x:c r="D678" t="str">
        <x:v>2026-06-30</x:v>
      </x:c>
      <x:c r="E678" t="str">
        <x:v>interim</x:v>
      </x:c>
      <x:c r="F678" t="str">
        <x:v>bonds_payable</x:v>
      </x:c>
      <x:c r="G678" t="n">
        <x:v>38471289</x:v>
      </x:c>
      <x:c r="H678" t="str">
        <x:v>CNY</x:v>
      </x:c>
      <x:c r="I678" t="n">
        <x:v>172</x:v>
      </x:c>
      <x:c r="J678" t="str">
        <x:v>应付债券</x:v>
      </x:c>
      <x:c r="K678" t="str">
        <x:v>candidate_pending_automated_verification</x:v>
      </x:c>
      <x:c r="L678" t="str">
        <x:v>https://static.cninfo.com.cn/finalpage/2026-08-27/1225515546.PDF</x:v>
      </x:c>
      <x:c r="M678" t="str">
        <x:v>974d4eea81266f8f7c6cda3d79ab54e708c342afd66233c3a5ca89aa37e95389</x:v>
      </x:c>
      <x:c r="N678" t="str">
        <x:v>29,047,884    68,995    15,879,426   1,514,776,574  
衍生金融负债  -      -      -      -      -      4,729,738   4,729,738  
应付债券  38,471,289    67,577,668    177,702,254    44,994,448    19,995,458    961,967   349,703,084  
其他负债  -      -      9,669    688,918    1,364,948    3,206,485   5,270,020  
负债合</x:v>
      </x:c>
    </x:row>
    <x:row r="679">
      <x:c r="A679" t="str">
        <x:v>0e568f88-e453-4fa4-9b56-d1bd109d6d30</x:v>
      </x:c>
      <x:c r="B679" t="str">
        <x:v>600926</x:v>
      </x:c>
      <x:c r="C679" t="str">
        <x:v>杭州银行</x:v>
      </x:c>
      <x:c r="D679" t="str">
        <x:v>2026-06-30</x:v>
      </x:c>
      <x:c r="E679" t="str">
        <x:v>interim</x:v>
      </x:c>
      <x:c r="F679" t="str">
        <x:v>bonds_payable</x:v>
      </x:c>
      <x:c r="G679" t="n">
        <x:v>349703084</x:v>
      </x:c>
      <x:c r="H679" t="str">
        <x:v>CNY</x:v>
      </x:c>
      <x:c r="I679" t="n">
        <x:v>67</x:v>
      </x:c>
      <x:c r="J679" t="str">
        <x:v>应付债券</x:v>
      </x:c>
      <x:c r="K679" t="str">
        <x:v>candidate_pending_automated_verification</x:v>
      </x:c>
      <x:c r="L679" t="str">
        <x:v>https://static.cninfo.com.cn/finalpage/2026-08-27/1225515546.PDF</x:v>
      </x:c>
      <x:c r="M679" t="str">
        <x:v>974d4eea81266f8f7c6cda3d79ab54e708c342afd66233c3a5ca89aa37e95389</x:v>
      </x:c>
      <x:c r="N679" t="str">
        <x:v>999,372  
应付职工薪酬 19  4,583,712  6,530,785  4,517,712  6,428,881  
应交税费 20  2,539,096  2,293,796  2,453,862  2,244,147  
应付债券 21  349,703,084  355,484,517  349,703,084  355,484,517  
预计负债 22  4,834,990  4,297,184  4,834,990  4,297,184  
其他负债 23  10,378,890  11,130,284  10,448,297  10,855,054  
负债合计   2,294,2</x:v>
      </x:c>
    </x:row>
    <x:row r="680">
      <x:c r="A680" t="str">
        <x:v>3e7e779d-0cfe-4ec2-80d3-7dacae6c4a21</x:v>
      </x:c>
      <x:c r="B680" t="str">
        <x:v>600926</x:v>
      </x:c>
      <x:c r="C680" t="str">
        <x:v>杭州银行</x:v>
      </x:c>
      <x:c r="D680" t="str">
        <x:v>2026-06-30</x:v>
      </x:c>
      <x:c r="E680" t="str">
        <x:v>interim</x:v>
      </x:c>
      <x:c r="F680" t="str">
        <x:v>bonds_payable</x:v>
      </x:c>
      <x:c r="G680" t="n">
        <x:v>3132655</x:v>
      </x:c>
      <x:c r="H680" t="str">
        <x:v>CNY</x:v>
      </x:c>
      <x:c r="I680" t="n">
        <x:v>132</x:v>
      </x:c>
      <x:c r="J680" t="str">
        <x:v>应付债券</x:v>
      </x:c>
      <x:c r="K680" t="str">
        <x:v>candidate_pending_automated_verification</x:v>
      </x:c>
      <x:c r="L680" t="str">
        <x:v>https://static.cninfo.com.cn/finalpage/2026-08-27/1225515546.PDF</x:v>
      </x:c>
      <x:c r="M680" t="str">
        <x:v>974d4eea81266f8f7c6cda3d79ab54e708c342afd66233c3a5ca89aa37e95389</x:v>
      </x:c>
      <x:c r="N680" t="str">
        <x:v>2,075,400 
拆入资金及卖出回购金融
资产款 431,727  300,744  431,727  300,744 
吸收存款及其他 10,404,845   11,767,656  10,404,845  11,767,656 
应付债券 3,132,655  3,619,863  3,132,655  3,619,863 
租赁负债 26,705  31,023  26,438  30,624 
利息支出小计 16,334,217  18,297,492  16,338,302  18,300,121 
利息净收入 15,598,750  13,089,527  15,56</x:v>
      </x:c>
    </x:row>
    <x:row r="681">
      <x:c r="A681" t="str">
        <x:v>cab7d320-6200-484d-ad5a-31902b93a609</x:v>
      </x:c>
      <x:c r="B681" t="str">
        <x:v>600926</x:v>
      </x:c>
      <x:c r="C681" t="str">
        <x:v>杭州银行</x:v>
      </x:c>
      <x:c r="D681" t="str">
        <x:v>2026-06-30</x:v>
      </x:c>
      <x:c r="E681" t="str">
        <x:v>interim</x:v>
      </x:c>
      <x:c r="F681" t="str">
        <x:v>revenue</x:v>
      </x:c>
      <x:c r="G681" t="n">
        <x:v>21047502</x:v>
      </x:c>
      <x:c r="H681" t="str">
        <x:v>reported_amount</x:v>
      </x:c>
      <x:c r="I681" t="n">
        <x:v>10</x:v>
      </x:c>
      <x:c r="J681" t="str">
        <x:v>营业收入</x:v>
      </x:c>
      <x:c r="K681" t="str">
        <x:v>candidate_pending_automated_verification</x:v>
      </x:c>
      <x:c r="L681" t="str">
        <x:v>https://static.cninfo.com.cn/finalpage/2026-08-27/1225515546.PDF</x:v>
      </x:c>
      <x:c r="M681" t="str">
        <x:v>974d4eea81266f8f7c6cda3d79ab54e708c342afd66233c3a5ca89aa37e95389</x:v>
      </x:c>
      <x:c r="N681" t="str">
        <x:v>公司 2026年半年度报告
10
第三节 会计数据和财务指标
一、 近三年主要会计数据和财务指标
(一) 主要会计数据
单位：人民币千元
主要会计数据 2026年1-6月 2025年1-6月 本期比上年同
期增减(%) 2024年1-6月
营业收入 21,047,502 20,093,208 4.75 19,339,619
营业利润 15,163,313 13,368,077 13.43 11,378,090
利润总额 15,154,885 13,370,587 13.34 11,373,034
归属于上市公司股东的净利润 12,813,493 11,662,296 9.87 9,996,488
归属于上市公司股东的扣除非</x:v>
      </x:c>
    </x:row>
    <x:row r="682">
      <x:c r="A682" t="str">
        <x:v>c6c7166f-8434-4284-bf3e-7db9dc62e041</x:v>
      </x:c>
      <x:c r="B682" t="str">
        <x:v>600926</x:v>
      </x:c>
      <x:c r="C682" t="str">
        <x:v>杭州银行</x:v>
      </x:c>
      <x:c r="D682" t="str">
        <x:v>2026-06-30</x:v>
      </x:c>
      <x:c r="E682" t="str">
        <x:v>interim</x:v>
      </x:c>
      <x:c r="F682" t="str">
        <x:v>net_income</x:v>
      </x:c>
      <x:c r="G682" t="n">
        <x:v>12813493</x:v>
      </x:c>
      <x:c r="H682" t="str">
        <x:v>reported_amount</x:v>
      </x:c>
      <x:c r="I682" t="n">
        <x:v>10</x:v>
      </x:c>
      <x:c r="J682" t="str">
        <x:v>归属于上市公司股东的净利润</x:v>
      </x:c>
      <x:c r="K682" t="str">
        <x:v>candidate_pending_automated_verification</x:v>
      </x:c>
      <x:c r="L682" t="str">
        <x:v>https://static.cninfo.com.cn/finalpage/2026-08-27/1225515546.PDF</x:v>
      </x:c>
      <x:c r="M682" t="str">
        <x:v>974d4eea81266f8f7c6cda3d79ab54e708c342afd66233c3a5ca89aa37e95389</x:v>
      </x:c>
      <x:c r="N682" t="str">
        <x:v>,502 20,093,208 4.75 19,339,619
营业利润 15,163,313 13,368,077 13.43 11,378,090
利润总额 15,154,885 13,370,587 13.34 11,373,034
归属于上市公司股东的净利润 12,813,493 11,662,296 9.87 9,996,488
归属于上市公司股东的扣除非
经常性损益的净利润 12,800,705 11,559,244 10.74 9,863,225
经营活动产生的现金流量净额 -34,558,164 29,261,891 -218.10 8,997,434
主要会计数据 2026年
6月30日
2025年
12月31日
本期末比</x:v>
      </x:c>
    </x:row>
    <x:row r="683">
      <x:c r="A683" t="str">
        <x:v>c8c28669-68b0-4258-8526-af8190e9974f</x:v>
      </x:c>
      <x:c r="B683" t="str">
        <x:v>600926</x:v>
      </x:c>
      <x:c r="C683" t="str">
        <x:v>杭州银行</x:v>
      </x:c>
      <x:c r="D683" t="str">
        <x:v>2026-06-30</x:v>
      </x:c>
      <x:c r="E683" t="str">
        <x:v>interim</x:v>
      </x:c>
      <x:c r="F683" t="str">
        <x:v>bonds_payable</x:v>
      </x:c>
      <x:c r="G683" t="n">
        <x:v>41700062</x:v>
      </x:c>
      <x:c r="H683" t="str">
        <x:v>CNY</x:v>
      </x:c>
      <x:c r="I683" t="n">
        <x:v>173</x:v>
      </x:c>
      <x:c r="J683" t="str">
        <x:v>应付债券</x:v>
      </x:c>
      <x:c r="K683" t="str">
        <x:v>candidate_pending_automated_verification</x:v>
      </x:c>
      <x:c r="L683" t="str">
        <x:v>https://static.cninfo.com.cn/finalpage/2026-08-27/1225515546.PDF</x:v>
      </x:c>
      <x:c r="M683" t="str">
        <x:v>974d4eea81266f8f7c6cda3d79ab54e708c342afd66233c3a5ca89aa37e95389</x:v>
      </x:c>
      <x:c r="N683" t="str">
        <x:v> 131,646,925  341,158,233  277,606,337  104,171  18,420,795  1,458,999,372 
衍生金融负债 -  -  -  -  -  2,551,539  2,551,539 
应付债券 41,700,062  66,742,292  171,174,923  54,992,314  19,995,189  879,737  355,484,517 
其他负债 -  -  15,243  683,192  1,539,040  3,648,331  5,885,806 
负债合计 875,945,862  236,997,808  </x:v>
      </x:c>
    </x:row>
    <x:row r="684">
      <x:c r="A684" t="str">
        <x:v>d7dfe8dd-8998-4396-a208-c3f776684f68</x:v>
      </x:c>
      <x:c r="B684" t="str">
        <x:v>600926</x:v>
      </x:c>
      <x:c r="C684" t="str">
        <x:v>杭州银行</x:v>
      </x:c>
      <x:c r="D684" t="str">
        <x:v>2026-06-30</x:v>
      </x:c>
      <x:c r="E684" t="str">
        <x:v>interim</x:v>
      </x:c>
      <x:c r="F684" t="str">
        <x:v>bonds_payable</x:v>
      </x:c>
      <x:c r="G684" t="n">
        <x:v>349703084</x:v>
      </x:c>
      <x:c r="H684" t="str">
        <x:v>CNY</x:v>
      </x:c>
      <x:c r="I684" t="n">
        <x:v>176</x:v>
      </x:c>
      <x:c r="J684" t="str">
        <x:v>应付债券</x:v>
      </x:c>
      <x:c r="K684" t="str">
        <x:v>candidate_pending_automated_verification</x:v>
      </x:c>
      <x:c r="L684" t="str">
        <x:v>https://static.cninfo.com.cn/finalpage/2026-08-27/1225515546.PDF</x:v>
      </x:c>
      <x:c r="M684" t="str">
        <x:v>974d4eea81266f8f7c6cda3d79ab54e708c342afd66233c3a5ca89aa37e95389</x:v>
      </x:c>
      <x:c r="N684" t="str">
        <x:v>吸收存款   1,458,954,616    43,366,330    12,455,628   1,514,776,574  
衍生金融负债  4,346,240    339,767    43,731   4,729,738  
应付债券  349,703,084    -      -     349,703,084  
其他负债  5,202,073    66,330    1,617   5,270,020  
负债合计  2,215,121,874  49,575,670  12,500,976  2,277,198,520 
资产负债表头寸净额  132,070,5</x:v>
      </x:c>
    </x:row>
    <x:row r="685">
      <x:c r="A685" t="str">
        <x:v>d9c60574-3991-4a8e-a07b-5679216f4c06</x:v>
      </x:c>
      <x:c r="B685" t="str">
        <x:v>600926</x:v>
      </x:c>
      <x:c r="C685" t="str">
        <x:v>杭州银行</x:v>
      </x:c>
      <x:c r="D685" t="str">
        <x:v>2026-06-30</x:v>
      </x:c>
      <x:c r="E685" t="str">
        <x:v>interim</x:v>
      </x:c>
      <x:c r="F685" t="str">
        <x:v>bonds_payable</x:v>
      </x:c>
      <x:c r="G685" t="n">
        <x:v>355484517</x:v>
      </x:c>
      <x:c r="H685" t="str">
        <x:v>CNY</x:v>
      </x:c>
      <x:c r="I685" t="n">
        <x:v>177</x:v>
      </x:c>
      <x:c r="J685" t="str">
        <x:v>应付债券</x:v>
      </x:c>
      <x:c r="K685" t="str">
        <x:v>candidate_pending_automated_verification</x:v>
      </x:c>
      <x:c r="L685" t="str">
        <x:v>https://static.cninfo.com.cn/finalpage/2026-08-27/1225515546.PDF</x:v>
      </x:c>
      <x:c r="M685" t="str">
        <x:v>974d4eea81266f8f7c6cda3d79ab54e708c342afd66233c3a5ca89aa37e95389</x:v>
      </x:c>
      <x:c r="N685" t="str">
        <x:v> 259,854,079 
吸收存款  1,402,536,484  46,616,619  9,846,269  1,458,999,372 
衍生金融负债  2,274,150  252,992  24,397  2,551,539 
应付债券  355,484,517  -  -  355,484,517 
其他负债  5,885,005  659  142  5,885,806 
负债合计  2,124,134,148  47,245,657  9,870,808  2,181,250,613 
资产负债表头寸净额  157,981,459  (2,670,253)  (6,26</x:v>
      </x:c>
    </x:row>
    <x:row r="686">
      <x:c r="A686" t="str">
        <x:v>0bbe44be-9fb3-4eb4-848e-e5567a6357c1</x:v>
      </x:c>
      <x:c r="B686" t="str">
        <x:v>600926</x:v>
      </x:c>
      <x:c r="C686" t="str">
        <x:v>杭州银行</x:v>
      </x:c>
      <x:c r="D686" t="str">
        <x:v>2026-06-30</x:v>
      </x:c>
      <x:c r="E686" t="str">
        <x:v>interim</x:v>
      </x:c>
      <x:c r="F686" t="str">
        <x:v>operating_cash_flow</x:v>
      </x:c>
      <x:c r="G686" t="n">
        <x:v>-34558164</x:v>
      </x:c>
      <x:c r="H686" t="str">
        <x:v>reported_amount</x:v>
      </x:c>
      <x:c r="I686" t="n">
        <x:v>10</x:v>
      </x:c>
      <x:c r="J686" t="str">
        <x:v>经营活动产生的现金流量净额</x:v>
      </x:c>
      <x:c r="K686" t="str">
        <x:v>candidate_pending_automated_verification</x:v>
      </x:c>
      <x:c r="L686" t="str">
        <x:v>https://static.cninfo.com.cn/finalpage/2026-08-27/1225515546.PDF</x:v>
      </x:c>
      <x:c r="M686" t="str">
        <x:v>974d4eea81266f8f7c6cda3d79ab54e708c342afd66233c3a5ca89aa37e95389</x:v>
      </x:c>
      <x:c r="N686" t="str">
        <x:v>73,034
归属于上市公司股东的净利润 12,813,493 11,662,296 9.87 9,996,488
归属于上市公司股东的扣除非
经常性损益的净利润 12,800,705 11,559,244 10.74 9,863,225
经营活动产生的现金流量净额 -34,558,164 29,261,891 -218.10 8,997,434
主要会计数据 2026年
6月30日
2025年
12月31日
本期末比上年
末增减(%)
2024年
12月31日
资产总额 2,468,078,317 2,362,805,622 4.46 2,112,355,860
贷款总额 1,162,285,612 1,071,876,407 8.43 9</x:v>
      </x:c>
    </x:row>
    <x:row r="687">
      <x:c r="A687" t="str">
        <x:v>a089a31d-cfe9-4a09-87fd-585d49a16f1a</x:v>
      </x:c>
      <x:c r="B687" t="str">
        <x:v>600926</x:v>
      </x:c>
      <x:c r="C687" t="str">
        <x:v>杭州银行</x:v>
      </x:c>
      <x:c r="D687" t="str">
        <x:v>2026-06-30</x:v>
      </x:c>
      <x:c r="E687" t="str">
        <x:v>interim</x:v>
      </x:c>
      <x:c r="F687" t="str">
        <x:v>bonds_payable</x:v>
      </x:c>
      <x:c r="G687" t="n">
        <x:v>349703084</x:v>
      </x:c>
      <x:c r="H687" t="str">
        <x:v>CNY</x:v>
      </x:c>
      <x:c r="I687" t="n">
        <x:v>180</x:v>
      </x:c>
      <x:c r="J687" t="str">
        <x:v>应付债券</x:v>
      </x:c>
      <x:c r="K687" t="str">
        <x:v>candidate_pending_automated_verification</x:v>
      </x:c>
      <x:c r="L687" t="str">
        <x:v>https://static.cninfo.com.cn/finalpage/2026-08-27/1225515546.PDF</x:v>
      </x:c>
      <x:c r="M687" t="str">
        <x:v>974d4eea81266f8f7c6cda3d79ab54e708c342afd66233c3a5ca89aa37e95389</x:v>
      </x:c>
      <x:c r="N687" t="str">
        <x:v>        
金融资产：           
金融投资—债权投资  481,060,217  -  465,205,011  49,769,320  514,974,331 
金融负债：           
应付债券  349,703,084  -  350,471,888  -  350,471,888 
  2025年12月31日 
  账面价值  公允价值 
    第一层次  第二层次  第三层次  合计 
金融资产：           
金融投资—债权投资  444,071,811  -  422,301,162  51,015,5</x:v>
      </x:c>
    </x:row>
    <x:row r="688">
      <x:c r="A688" t="str">
        <x:v>a994f0af-3ac8-4890-b2b7-d0b7a0c8967e</x:v>
      </x:c>
      <x:c r="B688" t="str">
        <x:v>000001</x:v>
      </x:c>
      <x:c r="C688" t="str">
        <x:v>平安银行</x:v>
      </x:c>
      <x:c r="D688" t="str">
        <x:v>2026-06-30</x:v>
      </x:c>
      <x:c r="E688" t="str">
        <x:v>interim</x:v>
      </x:c>
      <x:c r="F688" t="str">
        <x:v>operating_cash_flow</x:v>
      </x:c>
      <x:c r="G688" t="n">
        <x:v>208544</x:v>
      </x:c>
      <x:c r="H688" t="str">
        <x:v>CNY</x:v>
      </x:c>
      <x:c r="I688" t="n">
        <x:v>102</x:v>
      </x:c>
      <x:c r="J688" t="str">
        <x:v>经营活动产生的现金流量净额</x:v>
      </x:c>
      <x:c r="K688" t="str">
        <x:v>candidate_pending_automated_verification</x:v>
      </x:c>
      <x:c r="L688" t="str">
        <x:v>https://static.cninfo.com.cn/finalpage/2026-08-15/1225475344.PDF</x:v>
      </x:c>
      <x:c r="M688" t="str">
        <x:v>04f7b69417f665164ea6b8c636bc6a1ec1f399cedc97faa0662226a54b4f5527</x:v>
      </x:c>
      <x:c r="N688" t="str">
        <x:v>负债的利息费用 51 61
已发行债务证券利息支出 37 4,414 6,309
经营性应收项目的增加 (92,891) (104,605)
经营性应付项目的增加 268,105 246,448
预计诉讼损失的(转回)/计提 (5) 30
经营活动产生的现金流量净额 208,544 177,660
2．现金及现金等价物净(减少)/增加情况
现金的期末余额 49 2,486 4,576
减：现金的期初余额 (4,057) (3,421)
加：现金等价物的期末余额 49 284,033 299,743
减：现金等价物的期初余额 (336,386) (252,286)
现金及现金等价物净(减少)/增加额 (53,924) 48,612
后附</x:v>
      </x:c>
    </x:row>
    <x:row r="689">
      <x:c r="A689" t="str">
        <x:v>b8c4d04a-fe8d-4c44-951d-c2c68e902277</x:v>
      </x:c>
      <x:c r="B689" t="str">
        <x:v>000001</x:v>
      </x:c>
      <x:c r="C689" t="str">
        <x:v>平安银行</x:v>
      </x:c>
      <x:c r="D689" t="str">
        <x:v>2026-06-30</x:v>
      </x:c>
      <x:c r="E689" t="str">
        <x:v>interim</x:v>
      </x:c>
      <x:c r="F689" t="str">
        <x:v>operating_cash_flow</x:v>
      </x:c>
      <x:c r="G689" t="n">
        <x:v>215012</x:v>
      </x:c>
      <x:c r="H689" t="str">
        <x:v>CNY</x:v>
      </x:c>
      <x:c r="I689" t="n">
        <x:v>99</x:v>
      </x:c>
      <x:c r="J689" t="str">
        <x:v>经营活动产生的现金流量净额</x:v>
      </x:c>
      <x:c r="K689" t="str">
        <x:v>candidate_pending_automated_verification</x:v>
      </x:c>
      <x:c r="L689" t="str">
        <x:v>https://static.cninfo.com.cn/finalpage/2026-08-15/1225475344.PDF</x:v>
      </x:c>
      <x:c r="M689" t="str">
        <x:v>04f7b69417f665164ea6b8c636bc6a1ec1f399cedc97faa0662226a54b4f5527</x:v>
      </x:c>
      <x:c r="N689" t="str">
        <x:v>负债的利息费用 51 61
已发行债务证券利息支出 37 4,414 6,309
经营性应收项目的增加 (93,380) (102,799)
经营性应付项目的增加 274,338 241,217
预计诉讼损失的(转回)/计提 (5) 30
经营活动产生的现金流量净额 215,012 174,682
2. 现金及现金等价物净(减少)/增加情况
现金的期末余额 49 2,486 4,576
减：现金的期初余额 (4,057) (3,421)
加：现金等价物的期末余额 49 286,765 300,944
减：现金等价物的期初余额 (338,578) (253,525)
现金及现金等价物净(减少)/增加额 (53,384) 48,574
后</x:v>
      </x:c>
    </x:row>
    <x:row r="690">
      <x:c r="A690" t="str">
        <x:v>662fece6-d478-4fd6-9d64-634ee6be8c2d</x:v>
      </x:c>
      <x:c r="B690" t="str">
        <x:v>000001</x:v>
      </x:c>
      <x:c r="C690" t="str">
        <x:v>平安银行</x:v>
      </x:c>
      <x:c r="D690" t="str">
        <x:v>2026-06-30</x:v>
      </x:c>
      <x:c r="E690" t="str">
        <x:v>interim</x:v>
      </x:c>
      <x:c r="F690" t="str">
        <x:v>operating_cash_flow</x:v>
      </x:c>
      <x:c r="G690" t="n">
        <x:v>208544</x:v>
      </x:c>
      <x:c r="H690" t="str">
        <x:v>CNY</x:v>
      </x:c>
      <x:c r="I690" t="n">
        <x:v>100</x:v>
      </x:c>
      <x:c r="J690" t="str">
        <x:v>经营活动产生的现金流量净额</x:v>
      </x:c>
      <x:c r="K690" t="str">
        <x:v>candidate_pending_automated_verification</x:v>
      </x:c>
      <x:c r="L690" t="str">
        <x:v>https://static.cninfo.com.cn/finalpage/2026-08-15/1225475344.PDF</x:v>
      </x:c>
      <x:c r="M690" t="str">
        <x:v>04f7b69417f665164ea6b8c636bc6a1ec1f399cedc97faa0662226a54b4f5527</x:v>
      </x:c>
      <x:c r="N690" t="str">
        <x:v>及为职工支付的现金 (12,015) (11,639)
支付的各项税费 (8,764) (15,586)
支付其他与经营活动有关的现金 51 (25,903) (58,532)
经营活动现金流出小计 (185,010) (351,762)
经营活动产生的现金流量净额 208,544 177,660
后附财务报表附注为本财务报表的组成部分。</x:v>
      </x:c>
    </x:row>
    <x:row r="691">
      <x:c r="A691" t="str">
        <x:v>5a720bbb-513b-41cd-91bf-5f732e0b81e7</x:v>
      </x:c>
      <x:c r="B691" t="str">
        <x:v>000001</x:v>
      </x:c>
      <x:c r="C691" t="str">
        <x:v>平安银行</x:v>
      </x:c>
      <x:c r="D691" t="str">
        <x:v>2026-06-30</x:v>
      </x:c>
      <x:c r="E691" t="str">
        <x:v>interim</x:v>
      </x:c>
      <x:c r="F691" t="str">
        <x:v>operating_cash_flow</x:v>
      </x:c>
      <x:c r="G691" t="n">
        <x:v>215012</x:v>
      </x:c>
      <x:c r="H691" t="str">
        <x:v>CNY</x:v>
      </x:c>
      <x:c r="I691" t="n">
        <x:v>97</x:v>
      </x:c>
      <x:c r="J691" t="str">
        <x:v>经营活动产生的现金流量净额</x:v>
      </x:c>
      <x:c r="K691" t="str">
        <x:v>candidate_pending_automated_verification</x:v>
      </x:c>
      <x:c r="L691" t="str">
        <x:v>https://static.cninfo.com.cn/finalpage/2026-08-15/1225475344.PDF</x:v>
      </x:c>
      <x:c r="M691" t="str">
        <x:v>04f7b69417f665164ea6b8c636bc6a1ec1f399cedc97faa0662226a54b4f5527</x:v>
      </x:c>
      <x:c r="N691" t="str">
        <x:v>及为职工支付的现金 (12,365) (11,970)
支付的各项税费 (9,003) (15,796)
支付其他与经营活动有关的现金 51 (22,895) (58,195)
经营活动现金流出小计 (182,758) (355,506)
经营活动产生的现金流量净额 215,012 174,682
后附财务报表附注为本财务报表的组成部分。</x:v>
      </x:c>
    </x:row>
    <x:row r="692">
      <x:c r="A692" t="str">
        <x:v>30531b2f-9266-40d9-b56d-49a7805c331b</x:v>
      </x:c>
      <x:c r="B692" t="str">
        <x:v>000001</x:v>
      </x:c>
      <x:c r="C692" t="str">
        <x:v>平安银行</x:v>
      </x:c>
      <x:c r="D692" t="str">
        <x:v>2026-06-30</x:v>
      </x:c>
      <x:c r="E692" t="str">
        <x:v>interim</x:v>
      </x:c>
      <x:c r="F692" t="str">
        <x:v>revenue</x:v>
      </x:c>
      <x:c r="G692" t="n">
        <x:v>70617</x:v>
      </x:c>
      <x:c r="H692" t="str">
        <x:v>reported_amount</x:v>
      </x:c>
      <x:c r="I692" t="n">
        <x:v>11</x:v>
      </x:c>
      <x:c r="J692" t="str">
        <x:v>营业收入</x:v>
      </x:c>
      <x:c r="K692" t="str">
        <x:v>candidate_pending_automated_verification</x:v>
      </x:c>
      <x:c r="L692" t="str">
        <x:v>https://static.cninfo.com.cn/finalpage/2026-08-15/1225475344.PDF</x:v>
      </x:c>
      <x:c r="M692" t="str">
        <x:v>04f7b69417f665164ea6b8c636bc6a1ec1f399cedc97faa0662226a54b4f5527</x:v>
      </x:c>
      <x:c r="N692" t="str">
        <x:v>第二章 会计数据和财务指标
10
平安银行股份有限公司
2026年半年度报告
第二章 会计数据和财务指标
2.1 关键指标
（货币单位：人民币百万元）
项 目 2026年
1-6月
2025年
1-6月 本期同比增减
营业收入 70,617 69,385 1.8%
归属于本行股东的净利润 25,696 24,870 3.3%
成本收入比 27.06% 27.68% -0.62个百分点
平均总资产收益率（年化） 0.86% 0.85% +0.01个百分点
加权平均净资产收益率（年化） 10.56% 10.74% -0.18个百分点
净息差（年化） 1.80% 1.80% -
非利息净收入占比 3</x:v>
      </x:c>
    </x:row>
    <x:row r="693">
      <x:c r="A693" t="str">
        <x:v>f972aefd-0a89-4d7c-8e82-a749d2ca4739</x:v>
      </x:c>
      <x:c r="B693" t="str">
        <x:v>300750</x:v>
      </x:c>
      <x:c r="C693" t="str">
        <x:v>宁德时代</x:v>
      </x:c>
      <x:c r="D693" t="str">
        <x:v>2026-06-30</x:v>
      </x:c>
      <x:c r="E693" t="str">
        <x:v>interim</x:v>
      </x:c>
      <x:c r="F693" t="str">
        <x:v>long_term_borrowings</x:v>
      </x:c>
      <x:c r="G693" t="n">
        <x:v>17447694</x:v>
      </x:c>
      <x:c r="H693" t="str">
        <x:v>CNY</x:v>
      </x:c>
      <x:c r="I693" t="n">
        <x:v>146</x:v>
      </x:c>
      <x:c r="J693" t="str">
        <x:v>长期借款</x:v>
      </x:c>
      <x:c r="K693" t="str">
        <x:v>candidate_pending_automated_verification</x:v>
      </x:c>
      <x:c r="L693" t="str">
        <x:v>https://static.cninfo.com.cn/finalpage/2026-07-25/1225441586.PDF</x:v>
      </x:c>
      <x:c r="M693" t="str">
        <x:v>d96b5d49ae75bec5913d032de781873565f5405bf99fd8b011eab152549862b9</x:v>
      </x:c>
      <x:c r="N693" t="str">
        <x:v>押借款 3,763,747 4,025,971 
保证借款 37,556,120 38,944,244 
信用借款 37,324,522 39,903,286 
抵押及保证借款 12,633,291 12,963,075 
减：一年内到期的长期借款 17,447,694 18,082,816 
合计 74,262,746 78,234,935 
长期借款分类的说明： 
1) 截至 2026 年 6 月 30 日，上述借款的年利率为1.64%-4.55%（2025 年： 1.64%-4.55% ）； 
2) 抵押的财产详见本报告“第八节 财务报告”之“七、合并财务报表项目注释”“25、所有权或使用权受到限制的资产”。  
3</x:v>
      </x:c>
    </x:row>
    <x:row r="694">
      <x:c r="A694" t="str">
        <x:v>5df79d9d-e704-4689-b932-eef0a41cd0e2</x:v>
      </x:c>
      <x:c r="B694" t="str">
        <x:v>300750</x:v>
      </x:c>
      <x:c r="C694" t="str">
        <x:v>宁德时代</x:v>
      </x:c>
      <x:c r="D694" t="str">
        <x:v>2026-06-30</x:v>
      </x:c>
      <x:c r="E694" t="str">
        <x:v>interim</x:v>
      </x:c>
      <x:c r="F694" t="str">
        <x:v>bonds_payable</x:v>
      </x:c>
      <x:c r="G694" t="n">
        <x:v>5248</x:v>
      </x:c>
      <x:c r="H694" t="str">
        <x:v>CNY</x:v>
      </x:c>
      <x:c r="I694" t="n">
        <x:v>163</x:v>
      </x:c>
      <x:c r="J694" t="str">
        <x:v>应付债券</x:v>
      </x:c>
      <x:c r="K694" t="str">
        <x:v>candidate_pending_automated_verification</x:v>
      </x:c>
      <x:c r="L694" t="str">
        <x:v>https://static.cninfo.com.cn/finalpage/2026-07-25/1225441586.PDF</x:v>
      </x:c>
      <x:c r="M694" t="str">
        <x:v>d96b5d49ae75bec5913d032de781873565f5405bf99fd8b011eab152549862b9</x:v>
      </x:c>
      <x:c r="N694" t="str">
        <x:v>945      9,598,945  
一年内到期的非流动负债  22,010,724      22,010,724  
长期借款  28,360,623  31,006,256   14,895,867   74,262,746  
应付债券   5,248  28,506,791       28,512,039  
租赁负债   612,962   1,491,641   1,253,028   3,357,630  
长期应付款   23,599   1,541,449   67,271   1,632,319  
合计 408,671,149  29,002,432  62,546,137   16,2</x:v>
      </x:c>
    </x:row>
    <x:row r="695">
      <x:c r="A695" t="str">
        <x:v>18f30a77-59b1-4d90-aaaa-1ef79640d612</x:v>
      </x:c>
      <x:c r="B695" t="str">
        <x:v>300750</x:v>
      </x:c>
      <x:c r="C695" t="str">
        <x:v>宁德时代</x:v>
      </x:c>
      <x:c r="D695" t="str">
        <x:v>2026-06-30</x:v>
      </x:c>
      <x:c r="E695" t="str">
        <x:v>interim</x:v>
      </x:c>
      <x:c r="F695" t="str">
        <x:v>long_term_borrowings</x:v>
      </x:c>
      <x:c r="G695" t="n">
        <x:v>28360623</x:v>
      </x:c>
      <x:c r="H695" t="str">
        <x:v>CNY</x:v>
      </x:c>
      <x:c r="I695" t="n">
        <x:v>163</x:v>
      </x:c>
      <x:c r="J695" t="str">
        <x:v>长期借款</x:v>
      </x:c>
      <x:c r="K695" t="str">
        <x:v>candidate_pending_automated_verification</x:v>
      </x:c>
      <x:c r="L695" t="str">
        <x:v>https://static.cninfo.com.cn/finalpage/2026-07-25/1225441586.PDF</x:v>
      </x:c>
      <x:c r="M695" t="str">
        <x:v>d96b5d49ae75bec5913d032de781873565f5405bf99fd8b011eab152549862b9</x:v>
      </x:c>
      <x:c r="N695" t="str">
        <x:v>,931  
应付账款  202,508,781      202,508,781  
其他应付款  9,598,945      9,598,945  
一年内到期的非流动负债  22,010,724      22,010,724  
长期借款  28,360,623  31,006,256   14,895,867   74,262,746  
应付债券   5,248  28,506,791       28,512,039  
租赁负债   612,962   1,491,641   1,253,028   3,357,630  
长期应付款   23,599   1,541,449   67,271   1,63</x:v>
      </x:c>
    </x:row>
    <x:row r="696">
      <x:c r="A696" t="str">
        <x:v>0707605e-e413-4dfd-9cdf-1b9a4f23fe67</x:v>
      </x:c>
      <x:c r="B696" t="str">
        <x:v>300750</x:v>
      </x:c>
      <x:c r="C696" t="str">
        <x:v>宁德时代</x:v>
      </x:c>
      <x:c r="D696" t="str">
        <x:v>2026-06-30</x:v>
      </x:c>
      <x:c r="E696" t="str">
        <x:v>interim</x:v>
      </x:c>
      <x:c r="F696" t="str">
        <x:v>current_portion_long_term_debt</x:v>
      </x:c>
      <x:c r="G696" t="n">
        <x:v>22010724</x:v>
      </x:c>
      <x:c r="H696" t="str">
        <x:v>CNY</x:v>
      </x:c>
      <x:c r="I696" t="n">
        <x:v>163</x:v>
      </x:c>
      <x:c r="J696" t="str">
        <x:v>一年内到期的非流动负债</x:v>
      </x:c>
      <x:c r="K696" t="str">
        <x:v>candidate_pending_automated_verification</x:v>
      </x:c>
      <x:c r="L696" t="str">
        <x:v>https://static.cninfo.com.cn/finalpage/2026-07-25/1225441586.PDF</x:v>
      </x:c>
      <x:c r="M696" t="str">
        <x:v>d96b5d49ae75bec5913d032de781873565f5405bf99fd8b011eab152549862b9</x:v>
      </x:c>
      <x:c r="N696" t="str">
        <x:v>  688,861  
应付票据  152,977,931      152,977,931  
应付账款  202,508,781      202,508,781  
其他应付款  9,598,945      9,598,945  
一年内到期的非流动负债  22,010,724      22,010,724  
长期借款  28,360,623  31,006,256   14,895,867   74,262,746  
应付债券   5,248  28,506,791       28,512,039  
租赁负债   612,962   1,491,641   1,253,028   3,357,630  
长期应付款  </x:v>
      </x:c>
    </x:row>
    <x:row r="697">
      <x:c r="A697" t="str">
        <x:v>00df56f2-db2d-4db3-ba6d-b45ef08aa2b0</x:v>
      </x:c>
      <x:c r="B697" t="str">
        <x:v>300750</x:v>
      </x:c>
      <x:c r="C697" t="str">
        <x:v>宁德时代</x:v>
      </x:c>
      <x:c r="D697" t="str">
        <x:v>2026-06-30</x:v>
      </x:c>
      <x:c r="E697" t="str">
        <x:v>interim</x:v>
      </x:c>
      <x:c r="F697" t="str">
        <x:v>short_term_borrowings</x:v>
      </x:c>
      <x:c r="G697" t="n">
        <x:v>20885906</x:v>
      </x:c>
      <x:c r="H697" t="str">
        <x:v>CNY</x:v>
      </x:c>
      <x:c r="I697" t="n">
        <x:v>163</x:v>
      </x:c>
      <x:c r="J697" t="str">
        <x:v>短期借款</x:v>
      </x:c>
      <x:c r="K697" t="str">
        <x:v>candidate_pending_automated_verification</x:v>
      </x:c>
      <x:c r="L697" t="str">
        <x:v>https://static.cninfo.com.cn/finalpage/2026-07-25/1225441586.PDF</x:v>
      </x:c>
      <x:c r="M697" t="str">
        <x:v>d96b5d49ae75bec5913d032de781873565f5405bf99fd8b011eab152549862b9</x:v>
      </x:c>
      <x:c r="N697" t="str">
        <x:v>本公司持有的金融负债按未折现剩余合同现金流量的到期期限分析如下：期初，本公司持有
的金融负债按未折现剩余合同现金流量的到期期限分析如下： 
单位：千元 
项目 
2026 年6 月30 日 
一年以内 一至二年 二至五年 五年以上 合计 
短期借款  20,885,906      20,885,906  
衍生金融负债  688,861      688,861  
应付票据  152,977,931      152,977,931  
应付账款  202,508,781      202,508,781  
其他应付款  9,598,945      9,598,945  
一年内到期的非流动负债  22,010,72</x:v>
      </x:c>
    </x:row>
    <x:row r="698">
      <x:c r="A698" t="str">
        <x:v>cb150796-17ff-4813-9572-a0478237ee65</x:v>
      </x:c>
      <x:c r="B698" t="str">
        <x:v>300750</x:v>
      </x:c>
      <x:c r="C698" t="str">
        <x:v>宁德时代</x:v>
      </x:c>
      <x:c r="D698" t="str">
        <x:v>2026-06-30</x:v>
      </x:c>
      <x:c r="E698" t="str">
        <x:v>interim</x:v>
      </x:c>
      <x:c r="F698" t="str">
        <x:v>bonds_payable</x:v>
      </x:c>
      <x:c r="G698" t="n">
        <x:v>3620481</x:v>
      </x:c>
      <x:c r="H698" t="str">
        <x:v>CNY</x:v>
      </x:c>
      <x:c r="I698" t="n">
        <x:v>147</x:v>
      </x:c>
      <x:c r="J698" t="str">
        <x:v>应付债券</x:v>
      </x:c>
      <x:c r="K698" t="str">
        <x:v>candidate_pending_automated_verification</x:v>
      </x:c>
      <x:c r="L698" t="str">
        <x:v>https://static.cninfo.com.cn/finalpage/2026-07-25/1225441586.PDF</x:v>
      </x:c>
      <x:c r="M698" t="str">
        <x:v>d96b5d49ae75bec5913d032de781873565f5405bf99fd8b011eab152549862b9</x:v>
      </x:c>
      <x:c r="N698" t="str">
        <x:v>,995,264 23,608 -296   5,019,169 否 
小计 7,063,915  25,489,268  155,624  -4,930  70,238  -218,678  32,424,821    
减：一年内到期的应付债券 3,620,481            3,912,781    
合计 3,443,434  25,489,268  155,624  -4,930  70,238  -218,678  28,512,040    
38、租赁负债 
单位：千元 
项目 期末余额 期初余额 
租赁付款额 4,642,980 4,028,984 
减：未确认融资费用 662,252 744</x:v>
      </x:c>
    </x:row>
    <x:row r="699">
      <x:c r="A699" t="str">
        <x:v>058bae89-5ba6-4652-8dbe-b35f75f8fcf8</x:v>
      </x:c>
      <x:c r="B699" t="str">
        <x:v>300750</x:v>
      </x:c>
      <x:c r="C699" t="str">
        <x:v>宁德时代</x:v>
      </x:c>
      <x:c r="D699" t="str">
        <x:v>2026-06-30</x:v>
      </x:c>
      <x:c r="E699" t="str">
        <x:v>interim</x:v>
      </x:c>
      <x:c r="F699" t="str">
        <x:v>bonds_payable</x:v>
      </x:c>
      <x:c r="G699" t="n">
        <x:v>3912781</x:v>
      </x:c>
      <x:c r="H699" t="str">
        <x:v>CNY</x:v>
      </x:c>
      <x:c r="I699" t="n">
        <x:v>145</x:v>
      </x:c>
      <x:c r="J699" t="str">
        <x:v>应付债券</x:v>
      </x:c>
      <x:c r="K699" t="str">
        <x:v>candidate_pending_automated_verification</x:v>
      </x:c>
      <x:c r="L699" t="str">
        <x:v>https://static.cninfo.com.cn/finalpage/2026-07-25/1225441586.PDF</x:v>
      </x:c>
      <x:c r="M699" t="str">
        <x:v>d96b5d49ae75bec5913d032de781873565f5405bf99fd8b011eab152549862b9</x:v>
      </x:c>
      <x:c r="N699" t="str">
        <x:v> 995,224 742,748 
合计 9,502,483 11,775,019 
34、一年内到期的非流动负债 
单位：千元 
项目 期末余额 期初余额 
一年内到期的长期借款 17,447,694 18,082,816 
一年内到期的应付债券 3,912,781 3,620,481 
一年内到期的长期应付款 27,152 55,291 
一年内到期的租赁负债 623,097 478,952 
合计 22,010,724 22,237,540 
（1）一年内到期的长期借款 
单位：千元 
项目 期末余额 期初余额 
质押借款  62,506   45,484  
抵押借款  804,509   801,713  
抵</x:v>
      </x:c>
    </x:row>
    <x:row r="700">
      <x:c r="A700" t="str">
        <x:v>d0da83f8-43d7-41b2-93be-e6e0c06944dd</x:v>
      </x:c>
      <x:c r="B700" t="str">
        <x:v>300750</x:v>
      </x:c>
      <x:c r="C700" t="str">
        <x:v>宁德时代</x:v>
      </x:c>
      <x:c r="D700" t="str">
        <x:v>2026-06-30</x:v>
      </x:c>
      <x:c r="E700" t="str">
        <x:v>interim</x:v>
      </x:c>
      <x:c r="F700" t="str">
        <x:v>long_term_borrowings</x:v>
      </x:c>
      <x:c r="G700" t="n">
        <x:v>17447694</x:v>
      </x:c>
      <x:c r="H700" t="str">
        <x:v>CNY</x:v>
      </x:c>
      <x:c r="I700" t="n">
        <x:v>145</x:v>
      </x:c>
      <x:c r="J700" t="str">
        <x:v>长期借款</x:v>
      </x:c>
      <x:c r="K700" t="str">
        <x:v>candidate_pending_automated_verification</x:v>
      </x:c>
      <x:c r="L700" t="str">
        <x:v>https://static.cninfo.com.cn/finalpage/2026-07-25/1225441586.PDF</x:v>
      </x:c>
      <x:c r="M700" t="str">
        <x:v>d96b5d49ae75bec5913d032de781873565f5405bf99fd8b011eab152549862b9</x:v>
      </x:c>
      <x:c r="N700" t="str">
        <x:v>6 
企业所得税 7,639,390 9,866,556 
其他税费 995,224 742,748 
合计 9,502,483 11,775,019 
34、一年内到期的非流动负债 
单位：千元 
项目 期末余额 期初余额 
一年内到期的长期借款 17,447,694 18,082,816 
一年内到期的应付债券 3,912,781 3,620,481 
一年内到期的长期应付款 27,152 55,291 
一年内到期的租赁负债 623,097 478,952 
合计 22,010,724 22,237,540 
（1）一年内到期的长期借款 
单位：千元 
项目 期末余额 期初余额 
质押借款  62,506   45,</x:v>
      </x:c>
    </x:row>
    <x:row r="701">
      <x:c r="A701" t="str">
        <x:v>7c15a296-5001-4cb2-969c-866549a7e547</x:v>
      </x:c>
      <x:c r="B701" t="str">
        <x:v>300750</x:v>
      </x:c>
      <x:c r="C701" t="str">
        <x:v>宁德时代</x:v>
      </x:c>
      <x:c r="D701" t="str">
        <x:v>2026-06-30</x:v>
      </x:c>
      <x:c r="E701" t="str">
        <x:v>interim</x:v>
      </x:c>
      <x:c r="F701" t="str">
        <x:v>cash</x:v>
      </x:c>
      <x:c r="G701" t="n">
        <x:v>9335251</x:v>
      </x:c>
      <x:c r="H701" t="str">
        <x:v>CNY</x:v>
      </x:c>
      <x:c r="I701" t="n">
        <x:v>142</x:v>
      </x:c>
      <x:c r="J701" t="str">
        <x:v>货币资金</x:v>
      </x:c>
      <x:c r="K701" t="str">
        <x:v>candidate_pending_automated_verification</x:v>
      </x:c>
      <x:c r="L701" t="str">
        <x:v>https://static.cninfo.com.cn/finalpage/2026-07-25/1225441586.PDF</x:v>
      </x:c>
      <x:c r="M701" t="str">
        <x:v>d96b5d49ae75bec5913d032de781873565f5405bf99fd8b011eab152549862b9</x:v>
      </x:c>
      <x:c r="N701" t="str">
        <x:v>宁德时代新能源科技股份有限公司 2026 年半年度报告全文 
142 
25、所有权或使用权受到限制的资产 
单位：千元 
项目 
期末 期初 
账面余额 账面价值 受限
类型 受限情况 账面余额 账面价值 受限
类型 受限情况 
货币资金 9,335,251 9,335,251 质押 保证金及质押定
期存款 18,890,217 18,890,217 质押 保证金及质押定
期存款 
应收票据 779,835 779,835 质押 已质押但尚未到
期的应收票据 1,275,896 1,275,896 质押 已质押但尚未到
期的应收票据 
固定资产 7,445,113 5,124,775 抵押 
以机器设备及房
屋</x:v>
      </x:c>
    </x:row>
    <x:row r="702">
      <x:c r="A702" t="str">
        <x:v>7321e9ed-13f8-4d1f-97d8-d8c115512d41</x:v>
      </x:c>
      <x:c r="B702" t="str">
        <x:v>300750</x:v>
      </x:c>
      <x:c r="C702" t="str">
        <x:v>宁德时代</x:v>
      </x:c>
      <x:c r="D702" t="str">
        <x:v>2026-06-30</x:v>
      </x:c>
      <x:c r="E702" t="str">
        <x:v>interim</x:v>
      </x:c>
      <x:c r="F702" t="str">
        <x:v>cash</x:v>
      </x:c>
      <x:c r="G702" t="n">
        <x:v>15800512</x:v>
      </x:c>
      <x:c r="H702" t="str">
        <x:v>CNY</x:v>
      </x:c>
      <x:c r="I702" t="n">
        <x:v>123</x:v>
      </x:c>
      <x:c r="J702" t="str">
        <x:v>货币资金</x:v>
      </x:c>
      <x:c r="K702" t="str">
        <x:v>candidate_pending_automated_verification</x:v>
      </x:c>
      <x:c r="L702" t="str">
        <x:v>https://static.cninfo.com.cn/finalpage/2026-07-25/1225441586.PDF</x:v>
      </x:c>
      <x:c r="M702" t="str">
        <x:v>d96b5d49ae75bec5913d032de781873565f5405bf99fd8b011eab152549862b9</x:v>
      </x:c>
      <x:c r="N702" t="str">
        <x:v>子公司属于免征消费税的项目，享受免征消费税的优惠政策。 
七、合并财务报表项目注释 
1、货币资金 
单位：千元 
项目 期末余额 期初余额 
库存现金 1,723 435 
银行存款 356,251,041 305,992,667 
其他货币资金 15,800,512 27,519,824 
合计 372,053,275 333,512,927 
其中：存放在境外的款项总额 114,222,016 87,741,244 
其他说明：期末除保证金 8,581,399 千元、质押的定期存款753,851 千元外，不存在因抵押、质押或冻结等对使用有限制的
款项，以及存放在境外且资金汇回受到限制的款项。 
2、交易性金融资产 
</x:v>
      </x:c>
    </x:row>
    <x:row r="703">
      <x:c r="A703" t="str">
        <x:v>bf230141-ac60-405d-a8f1-05cc267063ea</x:v>
      </x:c>
      <x:c r="B703" t="str">
        <x:v>300750</x:v>
      </x:c>
      <x:c r="C703" t="str">
        <x:v>宁德时代</x:v>
      </x:c>
      <x:c r="D703" t="str">
        <x:v>2026-06-30</x:v>
      </x:c>
      <x:c r="E703" t="str">
        <x:v>interim</x:v>
      </x:c>
      <x:c r="F703" t="str">
        <x:v>operating_cash_flow</x:v>
      </x:c>
      <x:c r="G703" t="n">
        <x:v>60216851</x:v>
      </x:c>
      <x:c r="H703" t="str">
        <x:v>CNY</x:v>
      </x:c>
      <x:c r="I703" t="n">
        <x:v>81</x:v>
      </x:c>
      <x:c r="J703" t="str">
        <x:v>经营活动产生的现金流量净额</x:v>
      </x:c>
      <x:c r="K703" t="str">
        <x:v>candidate_pending_automated_verification</x:v>
      </x:c>
      <x:c r="L703" t="str">
        <x:v>https://static.cninfo.com.cn/finalpage/2026-07-25/1225441586.PDF</x:v>
      </x:c>
      <x:c r="M703" t="str">
        <x:v>d96b5d49ae75bec5913d032de781873565f5405bf99fd8b011eab152549862b9</x:v>
      </x:c>
      <x:c r="N703" t="str">
        <x:v>74  
支付的各项税费  21,601,057   18,804,676  
支付其他与经营活动有关的现金  4,933,617   4,567,711  
经营活动现金流出小计  218,274,494   179,749,954  
经营活动产生的现金流量净额  60,216,851   58,687,066  
二、投资活动产生的现金流量：   
收回投资收到的现金  13,836,775   2,026,104  
取得投资收益收到的现金  2,545,271   1,797,958  
处置固定资产、无形资产和其他长
期资产收回的现金净额  187,534   51,763  
处置子公司及其他营业单位收到的
现金净额  1,58</x:v>
      </x:c>
    </x:row>
    <x:row r="704">
      <x:c r="A704" t="str">
        <x:v>fbb6d417-3a01-4d16-84af-06819b938b1d</x:v>
      </x:c>
      <x:c r="B704" t="str">
        <x:v>300750</x:v>
      </x:c>
      <x:c r="C704" t="str">
        <x:v>宁德时代</x:v>
      </x:c>
      <x:c r="D704" t="str">
        <x:v>2026-06-30</x:v>
      </x:c>
      <x:c r="E704" t="str">
        <x:v>interim</x:v>
      </x:c>
      <x:c r="F704" t="str">
        <x:v>bonds_payable</x:v>
      </x:c>
      <x:c r="G704" t="n">
        <x:v>28512039</x:v>
      </x:c>
      <x:c r="H704" t="str">
        <x:v>CNY</x:v>
      </x:c>
      <x:c r="I704" t="n">
        <x:v>74</x:v>
      </x:c>
      <x:c r="J704" t="str">
        <x:v>应付债券</x:v>
      </x:c>
      <x:c r="K704" t="str">
        <x:v>candidate_pending_automated_verification</x:v>
      </x:c>
      <x:c r="L704" t="str">
        <x:v>https://static.cninfo.com.cn/finalpage/2026-07-25/1225441586.PDF</x:v>
      </x:c>
      <x:c r="M704" t="str">
        <x:v>d96b5d49ae75bec5913d032de781873565f5405bf99fd8b011eab152549862b9</x:v>
      </x:c>
      <x:c r="N704" t="str">
        <x:v>他流动负债  8,850,903   5,830,358  
流动负债合计  486,607,002   399,625,988  
非流动负债：   
保险合同准备金   
长期借款  74,262,746   78,234,935  
应付债券  28,512,039   3,443,434  
其中：优先股   
永续债   
租赁负债  3,357,630   2,805,081  
长期应付款  1,632,319   1,639,608  
长期应付职工薪酬   
预计负债  98,607,243   85,324,358  
递延收益  27,433,641   27,321,553  
递延所得税负债  29</x:v>
      </x:c>
    </x:row>
    <x:row r="705">
      <x:c r="A705" t="str">
        <x:v>8caf8e4a-0c36-49e7-af3b-c04881dce676</x:v>
      </x:c>
      <x:c r="B705" t="str">
        <x:v>300750</x:v>
      </x:c>
      <x:c r="C705" t="str">
        <x:v>宁德时代</x:v>
      </x:c>
      <x:c r="D705" t="str">
        <x:v>2026-06-30</x:v>
      </x:c>
      <x:c r="E705" t="str">
        <x:v>interim</x:v>
      </x:c>
      <x:c r="F705" t="str">
        <x:v>long_term_borrowings</x:v>
      </x:c>
      <x:c r="G705" t="n">
        <x:v>74262746</x:v>
      </x:c>
      <x:c r="H705" t="str">
        <x:v>CNY</x:v>
      </x:c>
      <x:c r="I705" t="n">
        <x:v>74</x:v>
      </x:c>
      <x:c r="J705" t="str">
        <x:v>长期借款</x:v>
      </x:c>
      <x:c r="K705" t="str">
        <x:v>candidate_pending_automated_verification</x:v>
      </x:c>
      <x:c r="L705" t="str">
        <x:v>https://static.cninfo.com.cn/finalpage/2026-07-25/1225441586.PDF</x:v>
      </x:c>
      <x:c r="M705" t="str">
        <x:v>d96b5d49ae75bec5913d032de781873565f5405bf99fd8b011eab152549862b9</x:v>
      </x:c>
      <x:c r="N705" t="str">
        <x:v>动负债  22,010,724   22,237,540  
其他流动负债  8,850,903   5,830,358  
流动负债合计  486,607,002   399,625,988  
非流动负债：   
保险合同准备金   
长期借款  74,262,746   78,234,935  
应付债券  28,512,039   3,443,434  
其中：优先股   
永续债   
租赁负债  3,357,630   2,805,081  
长期应付款  1,632,319   1,639,608  
长期应付职工薪酬   
预计负债  98,607,243   85,324,358  
递延收益  27,43</x:v>
      </x:c>
    </x:row>
    <x:row r="706">
      <x:c r="A706" t="str">
        <x:v>58bcc0df-c906-45b6-959f-4d817246d733</x:v>
      </x:c>
      <x:c r="B706" t="str">
        <x:v>300750</x:v>
      </x:c>
      <x:c r="C706" t="str">
        <x:v>宁德时代</x:v>
      </x:c>
      <x:c r="D706" t="str">
        <x:v>2026-06-30</x:v>
      </x:c>
      <x:c r="E706" t="str">
        <x:v>interim</x:v>
      </x:c>
      <x:c r="F706" t="str">
        <x:v>current_portion_long_term_debt</x:v>
      </x:c>
      <x:c r="G706" t="n">
        <x:v>22010724</x:v>
      </x:c>
      <x:c r="H706" t="str">
        <x:v>CNY</x:v>
      </x:c>
      <x:c r="I706" t="n">
        <x:v>74</x:v>
      </x:c>
      <x:c r="J706" t="str">
        <x:v>一年内到期的非流动负债</x:v>
      </x:c>
      <x:c r="K706" t="str">
        <x:v>candidate_pending_automated_verification</x:v>
      </x:c>
      <x:c r="L706" t="str">
        <x:v>https://static.cninfo.com.cn/finalpage/2026-07-25/1225441586.PDF</x:v>
      </x:c>
      <x:c r="M706" t="str">
        <x:v>d96b5d49ae75bec5913d032de781873565f5405bf99fd8b011eab152549862b9</x:v>
      </x:c>
      <x:c r="N706" t="str">
        <x:v> 
74 
应交税费  9,502,483   11,775,019  
其他应付款  9,598,945   10,504,098  
其中：应付利息   
应付股利   
应付手续费及佣金   
应付分保账款   
持有待售负债   
一年内到期的非流动负债  22,010,724   22,237,540  
其他流动负债  8,850,903   5,830,358  
流动负债合计  486,607,002   399,625,988  
非流动负债：   
保险合同准备金   
长期借款  74,262,746   78,234,935  
应付债券  28,512,039   3,443,434  
其中：优先股   
永续</x:v>
      </x:c>
    </x:row>
    <x:row r="707">
      <x:c r="A707" t="str">
        <x:v>60013d06-f146-4e48-8b25-78e203f32869</x:v>
      </x:c>
      <x:c r="B707" t="str">
        <x:v>300750</x:v>
      </x:c>
      <x:c r="C707" t="str">
        <x:v>宁德时代</x:v>
      </x:c>
      <x:c r="D707" t="str">
        <x:v>2026-06-30</x:v>
      </x:c>
      <x:c r="E707" t="str">
        <x:v>interim</x:v>
      </x:c>
      <x:c r="F707" t="str">
        <x:v>short_term_borrowings</x:v>
      </x:c>
      <x:c r="G707" t="n">
        <x:v>20885906</x:v>
      </x:c>
      <x:c r="H707" t="str">
        <x:v>CNY</x:v>
      </x:c>
      <x:c r="I707" t="n">
        <x:v>73</x:v>
      </x:c>
      <x:c r="J707" t="str">
        <x:v>短期借款</x:v>
      </x:c>
      <x:c r="K707" t="str">
        <x:v>candidate_pending_automated_verification</x:v>
      </x:c>
      <x:c r="L707" t="str">
        <x:v>https://static.cninfo.com.cn/finalpage/2026-07-25/1225441586.PDF</x:v>
      </x:c>
      <x:c r="M707" t="str">
        <x:v>d96b5d49ae75bec5913d032de781873565f5405bf99fd8b011eab152549862b9</x:v>
      </x:c>
      <x:c r="N707" t="str">
        <x:v>  
其他非流动资产  28,544,967   23,261,595  
非流动资产合计  380,001,250   336,346,001  
资产总计  1,138,880,789   974,827,544  
流动负债：   
短期借款  20,885,906   12,935,498  
向中央银行借款   
拆入资金   
交易性金融负债   
衍生金融负债  688,861   393,224  
应付票据  152,977,931   103,276,999  
应付账款  202,508,781   160,328,962  
预收款项   
合同负债  36,482,664   49,233,377 </x:v>
      </x:c>
    </x:row>
    <x:row r="708">
      <x:c r="A708" t="str">
        <x:v>90d89e62-5330-4dfa-a209-ed22a4bf36bf</x:v>
      </x:c>
      <x:c r="B708" t="str">
        <x:v>300750</x:v>
      </x:c>
      <x:c r="C708" t="str">
        <x:v>宁德时代</x:v>
      </x:c>
      <x:c r="D708" t="str">
        <x:v>2026-06-30</x:v>
      </x:c>
      <x:c r="E708" t="str">
        <x:v>interim</x:v>
      </x:c>
      <x:c r="F708" t="str">
        <x:v>cash</x:v>
      </x:c>
      <x:c r="G708" t="n">
        <x:v>372053275</x:v>
      </x:c>
      <x:c r="H708" t="str">
        <x:v>CNY</x:v>
      </x:c>
      <x:c r="I708" t="n">
        <x:v>72</x:v>
      </x:c>
      <x:c r="J708" t="str">
        <x:v>货币资金</x:v>
      </x:c>
      <x:c r="K708" t="str">
        <x:v>candidate_pending_automated_verification</x:v>
      </x:c>
      <x:c r="L708" t="str">
        <x:v>https://static.cninfo.com.cn/finalpage/2026-07-25/1225441586.PDF</x:v>
      </x:c>
      <x:c r="M708" t="str">
        <x:v>d96b5d49ae75bec5913d032de781873565f5405bf99fd8b011eab152549862b9</x:v>
      </x:c>
      <x:c r="N708" t="str">
        <x:v> 
公司半年度财务报告未经审计。 
二、财务报表 
财务附注中报表的单位为：千元 
1、合并资产负债表 
编制单位：宁德时代新能源科技股份有限公司 
2026 年6 月30 日 
单位：千元 
项目 期末余额 期初余额 
流动资产：   
货币资金  372,053,275   333,512,927  
结算备付金   
拆出资金   
交易性金融资产  68,158,325   58,993,528  
衍生金融资产  2,657,905   1,133,502  
应收票据  779,835   1,380,016  
应收账款  88,417,984   76,403,264  
应收款项融资  51,923,468 </x:v>
      </x:c>
    </x:row>
    <x:row r="709">
      <x:c r="A709" t="str">
        <x:v>df7ca03c-8ae1-4a3f-aa33-71873d882920</x:v>
      </x:c>
      <x:c r="B709" t="str">
        <x:v>300750</x:v>
      </x:c>
      <x:c r="C709" t="str">
        <x:v>宁德时代</x:v>
      </x:c>
      <x:c r="D709" t="str">
        <x:v>2026-06-30</x:v>
      </x:c>
      <x:c r="E709" t="str">
        <x:v>interim</x:v>
      </x:c>
      <x:c r="F709" t="str">
        <x:v>roe</x:v>
      </x:c>
      <x:c r="G709" t="n">
        <x:v>12.08</x:v>
      </x:c>
      <x:c r="H709" t="str">
        <x:v>percent</x:v>
      </x:c>
      <x:c r="I709" t="n">
        <x:v>7</x:v>
      </x:c>
      <x:c r="J709" t="str">
        <x:v>加权平均净资产收益率</x:v>
      </x:c>
      <x:c r="K709" t="str">
        <x:v>candidate_pending_automated_verification</x:v>
      </x:c>
      <x:c r="L709" t="str">
        <x:v>https://static.cninfo.com.cn/finalpage/2026-07-25/1225441586.PDF</x:v>
      </x:c>
      <x:c r="M709" t="str">
        <x:v>d96b5d49ae75bec5913d032de781873565f5405bf99fd8b011eab152549862b9</x:v>
      </x:c>
      <x:c r="N709" t="str">
        <x:v>元）            60,216,851             58,687,066  2.61% 
基本每股收益（元/股） 9.51  6.92  37.43% 
稀释每股收益（元/股） 9.51  6.92  37.43% 
加权平均净资产收益率 12.08% 11.63% 0.45% 
项目 本报告期末 上年度末 本报告期末比上年度末增减 
总资产（千元） 1,138,880,789  974,827,544  16.83% 
归属于上市公司股东的净资产
（千元） 379,353,710  337,107,747  12.53% 
五、境内外会计准则下会计数据差异 
1、同时按照国际会计准则与按照中国会计准则</x:v>
      </x:c>
    </x:row>
    <x:row r="710">
      <x:c r="A710" t="str">
        <x:v>82ef3dd6-b1dc-4e94-a19c-b4f6e453b9ec</x:v>
      </x:c>
      <x:c r="B710" t="str">
        <x:v>300750</x:v>
      </x:c>
      <x:c r="C710" t="str">
        <x:v>宁德时代</x:v>
      </x:c>
      <x:c r="D710" t="str">
        <x:v>2026-06-30</x:v>
      </x:c>
      <x:c r="E710" t="str">
        <x:v>interim</x:v>
      </x:c>
      <x:c r="F710" t="str">
        <x:v>cash</x:v>
      </x:c>
      <x:c r="G710" t="n">
        <x:v>2640342</x:v>
      </x:c>
      <x:c r="H710" t="str">
        <x:v>CNY</x:v>
      </x:c>
      <x:c r="I710" t="n">
        <x:v>157</x:v>
      </x:c>
      <x:c r="J710" t="str">
        <x:v>货币资金</x:v>
      </x:c>
      <x:c r="K710" t="str">
        <x:v>candidate_pending_automated_verification</x:v>
      </x:c>
      <x:c r="L710" t="str">
        <x:v>https://static.cninfo.com.cn/finalpage/2026-07-25/1225441586.PDF</x:v>
      </x:c>
      <x:c r="M710" t="str">
        <x:v>d96b5d49ae75bec5913d032de781873565f5405bf99fd8b011eab152549862b9</x:v>
      </x:c>
      <x:c r="N710" t="str">
        <x:v>,929,741 
其中：库存现金                             1,723  435 
可随时用于支付的银行存款              344,154,483  294,503,838 
可随时用于支付的其他货币资金                2,640,342  5,425,469 
银行透支账户支取余额                    -6,210,332   
二、期末现金及现金等价物余额                  340,586,216  299,929,741 </x:v>
      </x:c>
    </x:row>
    <x:row r="711">
      <x:c r="A711" t="str">
        <x:v>eb9e5fa1-f597-47fe-abb1-7881f99c1714</x:v>
      </x:c>
      <x:c r="B711" t="str">
        <x:v>601288</x:v>
      </x:c>
      <x:c r="C711" t="str">
        <x:v>农业银行</x:v>
      </x:c>
      <x:c r="D711" t="str">
        <x:v>2026-03-31</x:v>
      </x:c>
      <x:c r="E711" t="str">
        <x:v>first_quarter</x:v>
      </x:c>
      <x:c r="F711" t="str">
        <x:v>revenue</x:v>
      </x:c>
      <x:c r="G711" t="n">
        <x:v>206255</x:v>
      </x:c>
      <x:c r="H711" t="str">
        <x:v>reported_amount</x:v>
      </x:c>
      <x:c r="I711" t="n">
        <x:v>2</x:v>
      </x:c>
      <x:c r="J711" t="str">
        <x:v>营业收入</x:v>
      </x:c>
      <x:c r="K711" t="str">
        <x:v>candidate_pending_automated_verification</x:v>
      </x:c>
      <x:c r="L711" t="str">
        <x:v>https://static.cninfo.com.cn/finalpage/2026-04-30/1225261014.PDF</x:v>
      </x:c>
      <x:c r="M711" t="str">
        <x:v>ca55196573381ff1ff9c3e616529396a18ad8d81e1b5c8d4661af04081cea7b8</x:v>
      </x:c>
      <x:c r="N711" t="str">
        <x:v>务报告所载财务数据和指标按照中国会计准则编制，除特别说明外，
为本行及子公司（统称“本集团”）合并数据，以人民币标价。
（一）主要会计数据和财务指标
除特别注明外，以人民币百万元列示
项目 本报告期 本报告期比上年同期增减
变动幅度(%)
营业收入 206,255 10.49
归属于母公司股东的净利润 75,185 4.52
归属于母公司股东的扣除非
经常性损益的净利润 74,867 3.99
经营活动产生的现金流量净
额 1,184,837 —
基本每股收益（元/股） 0.20 5.26
稀释每股收益（元/股） 0.20 5.26
加权平均净资产收益率（年
化，%） 10.59 下降 0.23 个
百分点
本报告期</x:v>
      </x:c>
    </x:row>
    <x:row r="712">
      <x:c r="A712" t="str">
        <x:v>b54eecb8-7bf2-4f2c-b190-5f5a3b9e1acd</x:v>
      </x:c>
      <x:c r="B712" t="str">
        <x:v>600519</x:v>
      </x:c>
      <x:c r="C712" t="str">
        <x:v>贵州茅台</x:v>
      </x:c>
      <x:c r="D712" t="str">
        <x:v>2026-06-30</x:v>
      </x:c>
      <x:c r="E712" t="str">
        <x:v>interim</x:v>
      </x:c>
      <x:c r="F712" t="str">
        <x:v>revenue</x:v>
      </x:c>
      <x:c r="G712" t="n">
        <x:v>90703260964.48</x:v>
      </x:c>
      <x:c r="H712" t="str">
        <x:v>reported_amount</x:v>
      </x:c>
      <x:c r="I712" t="n">
        <x:v>5</x:v>
      </x:c>
      <x:c r="J712" t="str">
        <x:v>营业收入</x:v>
      </x:c>
      <x:c r="K712" t="str">
        <x:v>candidate_pending_automated_verification</x:v>
      </x:c>
      <x:c r="L712" t="str">
        <x:v>https://static.cninfo.com.cn/finalpage/2026-08-15/1225475868.PDF</x:v>
      </x:c>
      <x:c r="M712" t="str">
        <x:v>0e10aa26be46b1cf3cd03f06e834c7fb98d5dd0d661b96f8fddd4af7e846a4f6</x:v>
      </x:c>
      <x:c r="N712" t="str">
        <x:v>贵州茅台酒股份有限公司2026年半年度报告
5 / 110
七、 公司主要会计数据和财务指标
(一) 主要会计数据
单位：元 币种：人民币
主要会计数据 本报告期
（1－6月） 上年同期
本报告期比
上年同期增
减(%)
营业收入 90,703,260,964.48 89,389,354,416.84 1.47
利润总额 61,438,419,177.29 62,778,000,766.82 -2.13
归属于上市公司股东的净利润 44,516,880,421.86 45,402,962,298.10 -1.95
归属于上市公司股东的扣除非经
常性损益的净利润 44,464,207,646.01 45,390,247,</x:v>
      </x:c>
    </x:row>
    <x:row r="713">
      <x:c r="A713" t="str">
        <x:v>b8222598-c7a1-456c-b679-e09d78641e90</x:v>
      </x:c>
      <x:c r="B713" t="str">
        <x:v>600519</x:v>
      </x:c>
      <x:c r="C713" t="str">
        <x:v>贵州茅台</x:v>
      </x:c>
      <x:c r="D713" t="str">
        <x:v>2026-06-30</x:v>
      </x:c>
      <x:c r="E713" t="str">
        <x:v>interim</x:v>
      </x:c>
      <x:c r="F713" t="str">
        <x:v>operating_cash_flow</x:v>
      </x:c>
      <x:c r="G713" t="n">
        <x:v>70690750119.06</x:v>
      </x:c>
      <x:c r="H713" t="str">
        <x:v>reported_amount</x:v>
      </x:c>
      <x:c r="I713" t="n">
        <x:v>5</x:v>
      </x:c>
      <x:c r="J713" t="str">
        <x:v>经营活动产生的现金流量净额</x:v>
      </x:c>
      <x:c r="K713" t="str">
        <x:v>candidate_pending_automated_verification</x:v>
      </x:c>
      <x:c r="L713" t="str">
        <x:v>https://static.cninfo.com.cn/finalpage/2026-08-15/1225475868.PDF</x:v>
      </x:c>
      <x:c r="M713" t="str">
        <x:v>0e10aa26be46b1cf3cd03f06e834c7fb98d5dd0d661b96f8fddd4af7e846a4f6</x:v>
      </x:c>
      <x:c r="N713" t="str">
        <x:v>于上市公司股东的净利润 44,516,880,421.86 45,402,962,298.10 -1.95
归属于上市公司股东的扣除非经
常性损益的净利润 44,464,207,646.01 45,390,247,623.82 -2.04
经营活动产生的现金流量净额 70,690,750,119.06 13,119,061,031.33 438.84
本报告期末 上年度末
本报告期末
比上年度末
增减(%)
归属于上市公司股东的净资产 251,253,594,419.50 244,637,811,032.18 2.70
总资产 309,050,784,569.31 303,834,844,021.44 1.72
期末总股本 1,250,081,601.0</x:v>
      </x:c>
    </x:row>
    <x:row r="714">
      <x:c r="A714" t="str">
        <x:v>4a74699d-8e3e-4801-b329-71735ddbc582</x:v>
      </x:c>
      <x:c r="B714" t="str">
        <x:v>600519</x:v>
      </x:c>
      <x:c r="C714" t="str">
        <x:v>贵州茅台</x:v>
      </x:c>
      <x:c r="D714" t="str">
        <x:v>2026-06-30</x:v>
      </x:c>
      <x:c r="E714" t="str">
        <x:v>interim</x:v>
      </x:c>
      <x:c r="F714" t="str">
        <x:v>cash</x:v>
      </x:c>
      <x:c r="G714" t="n">
        <x:v>53518798979.08</x:v>
      </x:c>
      <x:c r="H714" t="str">
        <x:v>CNY</x:v>
      </x:c>
      <x:c r="I714" t="n">
        <x:v>25</x:v>
      </x:c>
      <x:c r="J714" t="str">
        <x:v>货币资金</x:v>
      </x:c>
      <x:c r="K714" t="str">
        <x:v>candidate_pending_automated_verification</x:v>
      </x:c>
      <x:c r="L714" t="str">
        <x:v>https://static.cninfo.com.cn/finalpage/2026-08-15/1225475868.PDF</x:v>
      </x:c>
      <x:c r="M714" t="str">
        <x:v>0e10aa26be46b1cf3cd03f06e834c7fb98d5dd0d661b96f8fddd4af7e846a4f6</x:v>
      </x:c>
      <x:c r="N714" t="str">
        <x:v>审计报告
□适用 √不适用
二、财务报表
合并资产负债表
2026 年 6 月 30 日
编制单位： 贵州茅台酒股份有限公司
单位：元 币种：人民币
项目 附注 2026 年 6 月 30 日 2025 年 12 月 31 日
流动资产：
货币资金 1 53,518,798,979.08 51,690,610,946.50</x:v>
      </x:c>
    </x:row>
    <x:row r="715">
      <x:c r="A715" t="str">
        <x:v>b59ba715-dd5c-4e73-bc8f-213d03d073f5</x:v>
      </x:c>
      <x:c r="B715" t="str">
        <x:v>600519</x:v>
      </x:c>
      <x:c r="C715" t="str">
        <x:v>贵州茅台</x:v>
      </x:c>
      <x:c r="D715" t="str">
        <x:v>2026-06-30</x:v>
      </x:c>
      <x:c r="E715" t="str">
        <x:v>interim</x:v>
      </x:c>
      <x:c r="F715" t="str">
        <x:v>current_portion_long_term_debt</x:v>
      </x:c>
      <x:c r="G715" t="n">
        <x:v>56855365.72</x:v>
      </x:c>
      <x:c r="H715" t="str">
        <x:v>CNY</x:v>
      </x:c>
      <x:c r="I715" t="n">
        <x:v>27</x:v>
      </x:c>
      <x:c r="J715" t="str">
        <x:v>一年内到期的非流动负债</x:v>
      </x:c>
      <x:c r="K715" t="str">
        <x:v>candidate_pending_automated_verification</x:v>
      </x:c>
      <x:c r="L715" t="str">
        <x:v>https://static.cninfo.com.cn/finalpage/2026-08-15/1225475868.PDF</x:v>
      </x:c>
      <x:c r="M715" t="str">
        <x:v>0e10aa26be46b1cf3cd03f06e834c7fb98d5dd0d661b96f8fddd4af7e846a4f6</x:v>
      </x:c>
      <x:c r="N715" t="str">
        <x:v>交税费 30 6,923,321,600.48 7,697,169,830.69
其他应付款 31 6,791,660,124.62 5,298,261,266.22
其中：应付利息
应付股利
应付手续费及佣金
应付分保账款
持有待售负债
一年内到期的非流动负债 32 56,855,365.72 44,206,237.05
其他流动负债 33 384,394,900.26 994,959,710.24
流动负债合计 46,645,073,675.32 49,610,476,817.81
非流动负债：
保险合同准备金
长期借款
应付债券
其中：优先股
永续债
租赁负债 34 186,829,502.34 189,504,942.77
长期应付款
长期</x:v>
      </x:c>
    </x:row>
    <x:row r="716">
      <x:c r="A716" t="str">
        <x:v>79c4f88b-128d-4cb8-b150-d699cac760f4</x:v>
      </x:c>
      <x:c r="B716" t="str">
        <x:v>600519</x:v>
      </x:c>
      <x:c r="C716" t="str">
        <x:v>贵州茅台</x:v>
      </x:c>
      <x:c r="D716" t="str">
        <x:v>2026-06-30</x:v>
      </x:c>
      <x:c r="E716" t="str">
        <x:v>interim</x:v>
      </x:c>
      <x:c r="F716" t="str">
        <x:v>operating_cash_flow</x:v>
      </x:c>
      <x:c r="G716" t="n">
        <x:v>70690750119.06</x:v>
      </x:c>
      <x:c r="H716" t="str">
        <x:v>CNY</x:v>
      </x:c>
      <x:c r="I716" t="n">
        <x:v>34</x:v>
      </x:c>
      <x:c r="J716" t="str">
        <x:v>经营活动产生的现金流量净额</x:v>
      </x:c>
      <x:c r="K716" t="str">
        <x:v>candidate_pending_automated_verification</x:v>
      </x:c>
      <x:c r="L716" t="str">
        <x:v>https://static.cninfo.com.cn/finalpage/2026-08-15/1225475868.PDF</x:v>
      </x:c>
      <x:c r="M716" t="str">
        <x:v>0e10aa26be46b1cf3cd03f06e834c7fb98d5dd0d661b96f8fddd4af7e846a4f6</x:v>
      </x:c>
      <x:c r="N716" t="str">
        <x:v>41,669,889,456.55
支付其他与经营活动有关的现金 59（1） 3,770,838,567.99 4,071,846,731.30
经营活动现金流出小计 38,554,978,181.96 84,883,469,143.85
经营活动产生的现金流量净额 70,690,750,119.06 13,119,061,031.33
二、投资活动产生的现金流量：
收回投资收到的现金 40,086,116,152.45 1,345,136,000.00
取得投资收益收到的现金 129,305,876.11 37,526,953.08
处置固定资产、无形资产和其他长
期资产收回的现金净额 41,413.35 47,377.00
处置子公司及其他营业单位收</x:v>
      </x:c>
    </x:row>
    <x:row r="717">
      <x:c r="A717" t="str">
        <x:v>f698db1a-1437-4b3c-a196-077c66f026b7</x:v>
      </x:c>
      <x:c r="B717" t="str">
        <x:v>600519</x:v>
      </x:c>
      <x:c r="C717" t="str">
        <x:v>贵州茅台</x:v>
      </x:c>
      <x:c r="D717" t="str">
        <x:v>2026-06-30</x:v>
      </x:c>
      <x:c r="E717" t="str">
        <x:v>interim</x:v>
      </x:c>
      <x:c r="F717" t="str">
        <x:v>net_income</x:v>
      </x:c>
      <x:c r="G717" t="n">
        <x:v>44516880421.86</x:v>
      </x:c>
      <x:c r="H717" t="str">
        <x:v>reported_amount</x:v>
      </x:c>
      <x:c r="I717" t="n">
        <x:v>5</x:v>
      </x:c>
      <x:c r="J717" t="str">
        <x:v>归属于上市公司股东的净利润</x:v>
      </x:c>
      <x:c r="K717" t="str">
        <x:v>candidate_pending_automated_verification</x:v>
      </x:c>
      <x:c r="L717" t="str">
        <x:v>https://static.cninfo.com.cn/finalpage/2026-08-15/1225475868.PDF</x:v>
      </x:c>
      <x:c r="M717" t="str">
        <x:v>0e10aa26be46b1cf3cd03f06e834c7fb98d5dd0d661b96f8fddd4af7e846a4f6</x:v>
      </x:c>
      <x:c r="N717" t="str">
        <x:v>－6月） 上年同期
本报告期比
上年同期增
减(%)
营业收入 90,703,260,964.48 89,389,354,416.84 1.47
利润总额 61,438,419,177.29 62,778,000,766.82 -2.13
归属于上市公司股东的净利润 44,516,880,421.86 45,402,962,298.10 -1.95
归属于上市公司股东的扣除非经
常性损益的净利润 44,464,207,646.01 45,390,247,623.82 -2.04
经营活动产生的现金流量净额 70,690,750,119.06 13,119,061,031.33 438.84
本报告期末 上年度末
本报告期末
比上年度末
增减(%)
归属于</x:v>
      </x:c>
    </x:row>
    <x:row r="718">
      <x:c r="A718" t="str">
        <x:v>d7b3e70e-4dd4-4781-b146-b1e8e06a243d</x:v>
      </x:c>
      <x:c r="B718" t="str">
        <x:v>600941</x:v>
      </x:c>
      <x:c r="C718" t="str">
        <x:v>中国移动</x:v>
      </x:c>
      <x:c r="D718" t="str">
        <x:v>2026-06-30</x:v>
      </x:c>
      <x:c r="E718" t="str">
        <x:v>interim</x:v>
      </x:c>
      <x:c r="F718" t="str">
        <x:v>revenue</x:v>
      </x:c>
      <x:c r="G718" t="n">
        <x:v>538035</x:v>
      </x:c>
      <x:c r="H718" t="str">
        <x:v>reported_amount</x:v>
      </x:c>
      <x:c r="I718" t="n">
        <x:v>11</x:v>
      </x:c>
      <x:c r="J718" t="str">
        <x:v>营业收入</x:v>
      </x:c>
      <x:c r="K718" t="str">
        <x:v>candidate_pending_automated_verification</x:v>
      </x:c>
      <x:c r="L718" t="str">
        <x:v>https://static.cninfo.com.cn/finalpage/2026-08-14/1225472195.PDF</x:v>
      </x:c>
      <x:c r="M718" t="str">
        <x:v>f1f174314b3aa504dcbf726ac218fa62bb072a4bc89e90c350ec3f4841d70eb7</x:v>
      </x:c>
      <x:c r="N718" t="str">
        <x:v>力继续保持全球一流运营商领
先水平。 
公司主要会计数据和财务指标 
除特别注明外，金额单位为人民币百万元 
主要会计数据 
 2026年上半年／ 
于2026年6月30日 
2025年上半年／ 
于2025年12月31日 变化 
营业收入  538,035 543,769 -1.1% 
其中：主营业务收入 452,663 466,989 -3.1% 
其他业务收入 85,372 76,780 11.2% 
利润总额 99,084 107,073 -7.5% 
归属于母公司股东的净利润 78,934 84,235 -6.3% 
归属于母公司股东的扣除非经常性损益的净利润 69,733 78,366 -11.0%</x:v>
      </x:c>
    </x:row>
    <x:row r="719">
      <x:c r="A719" t="str">
        <x:v>4b427081-cdc2-4f54-943e-5f71e9e7d362</x:v>
      </x:c>
      <x:c r="B719" t="str">
        <x:v>600941</x:v>
      </x:c>
      <x:c r="C719" t="str">
        <x:v>中国移动</x:v>
      </x:c>
      <x:c r="D719" t="str">
        <x:v>2026-06-30</x:v>
      </x:c>
      <x:c r="E719" t="str">
        <x:v>interim</x:v>
      </x:c>
      <x:c r="F719" t="str">
        <x:v>long_term_borrowings</x:v>
      </x:c>
      <x:c r="G719" t="n">
        <x:v>342</x:v>
      </x:c>
      <x:c r="H719" t="str">
        <x:v>CNY</x:v>
      </x:c>
      <x:c r="I719" t="n">
        <x:v>148</x:v>
      </x:c>
      <x:c r="J719" t="str">
        <x:v>长期借款</x:v>
      </x:c>
      <x:c r="K719" t="str">
        <x:v>candidate_pending_automated_verification</x:v>
      </x:c>
      <x:c r="L719" t="str">
        <x:v>https://static.cninfo.com.cn/finalpage/2026-08-14/1225472195.PDF</x:v>
      </x:c>
      <x:c r="M719" t="str">
        <x:v>f1f174314b3aa504dcbf726ac218fa62bb072a4bc89e90c350ec3f4841d70eb7</x:v>
      </x:c>
      <x:c r="N719" t="str">
        <x:v>23,932 - - - 323,932
预收款项 77,865 - - - 77,865
其他应付款 73,910 - - - 73,910
租赁负债（含一年内到期部分） 47,122 31,363 8,698 7,122 94,305
长期借款 342 667 9,792 - 10,801
其他非流动负债 - 254 159 407 820
合计 541,096 32,284 18,649 7,529 599,558
2025 年12月31日
一年以内 一到三年 三到五年 五年以上 合计
应付票据 17,202 - - - 17,202
应付账款 334,099 - - - 334,099
预收款项 83</x:v>
      </x:c>
    </x:row>
    <x:row r="720">
      <x:c r="A720" t="str">
        <x:v>43dd632c-0cd6-4d88-8e29-50a5423148b1</x:v>
      </x:c>
      <x:c r="B720" t="str">
        <x:v>600941</x:v>
      </x:c>
      <x:c r="C720" t="str">
        <x:v>中国移动</x:v>
      </x:c>
      <x:c r="D720" t="str">
        <x:v>2026-06-30</x:v>
      </x:c>
      <x:c r="E720" t="str">
        <x:v>interim</x:v>
      </x:c>
      <x:c r="F720" t="str">
        <x:v>long_term_borrowings</x:v>
      </x:c>
      <x:c r="G720" t="n">
        <x:v>9748</x:v>
      </x:c>
      <x:c r="H720" t="str">
        <x:v>CNY</x:v>
      </x:c>
      <x:c r="I720" t="n">
        <x:v>128</x:v>
      </x:c>
      <x:c r="J720" t="str">
        <x:v>长期借款</x:v>
      </x:c>
      <x:c r="K720" t="str">
        <x:v>candidate_pending_automated_verification</x:v>
      </x:c>
      <x:c r="L720" t="str">
        <x:v>https://static.cninfo.com.cn/finalpage/2026-08-14/1225472195.PDF</x:v>
      </x:c>
      <x:c r="M720" t="str">
        <x:v>f1f174314b3aa504dcbf726ac218fa62bb072a4bc89e90c350ec3f4841d70eb7</x:v>
      </x:c>
      <x:c r="N720" t="str">
        <x:v>,034)
其他 (37) (491)
合计 (13,878) (18,525)
(i) 筹资活动产生的各项负债变动情况
2025 年
12月31 日
本期增加 本期减少 2026年
6 月30日现金变动 非现金变动 现金变动 非现金变动
长期借款 9,748 117 - (118) (373) 9,374
租赁负债（包括一年内到期） 91,449 - 13,994 (13,841) (2,148) 89,454
财务公司吸收存款 40,005 15,757 247 (212) - 55,797
其他 701 - 106 (173) - 634
合计 141,903 15,874 14,347 (14,344) </x:v>
      </x:c>
    </x:row>
    <x:row r="721">
      <x:c r="A721" t="str">
        <x:v>9383f183-5aac-4e0f-8e18-283d76317553</x:v>
      </x:c>
      <x:c r="B721" t="str">
        <x:v>600941</x:v>
      </x:c>
      <x:c r="C721" t="str">
        <x:v>中国移动</x:v>
      </x:c>
      <x:c r="D721" t="str">
        <x:v>2026-06-30</x:v>
      </x:c>
      <x:c r="E721" t="str">
        <x:v>interim</x:v>
      </x:c>
      <x:c r="F721" t="str">
        <x:v>cash</x:v>
      </x:c>
      <x:c r="G721" t="n">
        <x:v>44375</x:v>
      </x:c>
      <x:c r="H721" t="str">
        <x:v>CNY</x:v>
      </x:c>
      <x:c r="I721" t="n">
        <x:v>144</x:v>
      </x:c>
      <x:c r="J721" t="str">
        <x:v>货币资金</x:v>
      </x:c>
      <x:c r="K721" t="str">
        <x:v>candidate_pending_automated_verification</x:v>
      </x:c>
      <x:c r="L721" t="str">
        <x:v>https://static.cninfo.com.cn/finalpage/2026-08-14/1225472195.PDF</x:v>
      </x:c>
      <x:c r="M721" t="str">
        <x:v>f1f174314b3aa504dcbf726ac218fa62bb072a4bc89e90c350ec3f4841d70eb7</x:v>
      </x:c>
      <x:c r="N721" t="str">
        <x:v>8
预付款项 305 145
使用权资产 9,345 9,687
应付账款 22,670 23,570
其他应付款 56,103 40,279
预收款项 4 16
租赁负债 15,220 14,013
与本集团联营企业和合营企业的交易余额
货币资金 44,375 34,798
其他非流动金融资产 29,815 29,191
应收账款 1,022 655
其他应收款 2,602 62
其他流动资产 - 1,495
预付款项 60 246
使用权资产 24,151 29,843
应付票据 9,346 7,814
应付账款 26,465 25,356
其他应付款 33 85
预收款项 34 18
租赁负债 34,795 </x:v>
      </x:c>
    </x:row>
    <x:row r="722">
      <x:c r="A722" t="str">
        <x:v>52f66c1d-0937-4555-b5f0-c2078032e24a</x:v>
      </x:c>
      <x:c r="B722" t="str">
        <x:v>600941</x:v>
      </x:c>
      <x:c r="C722" t="str">
        <x:v>中国移动</x:v>
      </x:c>
      <x:c r="D722" t="str">
        <x:v>2026-06-30</x:v>
      </x:c>
      <x:c r="E722" t="str">
        <x:v>interim</x:v>
      </x:c>
      <x:c r="F722" t="str">
        <x:v>roe</x:v>
      </x:c>
      <x:c r="G722" t="n">
        <x:v>5.6</x:v>
      </x:c>
      <x:c r="H722" t="str">
        <x:v>percent</x:v>
      </x:c>
      <x:c r="I722" t="n">
        <x:v>11</x:v>
      </x:c>
      <x:c r="J722" t="str">
        <x:v>加权平均净资产收益率</x:v>
      </x:c>
      <x:c r="K722" t="str">
        <x:v>automatically_verified</x:v>
      </x:c>
      <x:c r="L722" t="str">
        <x:v>https://static.cninfo.com.cn/finalpage/2026-08-14/1225472195.PDF</x:v>
      </x:c>
      <x:c r="M722" t="str">
        <x:v>f1f174314b3aa504dcbf726ac218fa62bb072a4bc89e90c350ec3f4841d70eb7</x:v>
      </x:c>
      <x:c r="N722" t="str">
        <x:v>.4% 39.8% -1.4pp 
基本每股收益（人民币元） 3.64 3.90 -6.7% 
稀释每股收益（人民币元） 3.62 3.87 -6.5% 
扣除非经常性损益后的基本每股收益 （人民币元） 3.22 3.63 -11.3% 
加权平均净资产收益率 5.6% 6.1% -0.5pp 
扣除非经常性损益后的加权平均净资产收益率 4.9% 5.6% -0.7pp 
注 1：EBITDA 率=EBITDA/营业收入 </x:v>
      </x:c>
    </x:row>
    <x:row r="723">
      <x:c r="A723" t="str">
        <x:v>539aac39-ef81-424f-b459-2bdf67e80e7c</x:v>
      </x:c>
      <x:c r="B723" t="str">
        <x:v>600941</x:v>
      </x:c>
      <x:c r="C723" t="str">
        <x:v>中国移动</x:v>
      </x:c>
      <x:c r="D723" t="str">
        <x:v>2026-06-30</x:v>
      </x:c>
      <x:c r="E723" t="str">
        <x:v>interim</x:v>
      </x:c>
      <x:c r="F723" t="str">
        <x:v>long_term_borrowings</x:v>
      </x:c>
      <x:c r="G723" t="n">
        <x:v>2026</x:v>
      </x:c>
      <x:c r="H723" t="str">
        <x:v>CNY</x:v>
      </x:c>
      <x:c r="I723" t="n">
        <x:v>104</x:v>
      </x:c>
      <x:c r="J723" t="str">
        <x:v>长期借款</x:v>
      </x:c>
      <x:c r="K723" t="str">
        <x:v>candidate_pending_automated_verification</x:v>
      </x:c>
      <x:c r="L723" t="str">
        <x:v>https://static.cninfo.com.cn/finalpage/2026-08-14/1225472195.PDF</x:v>
      </x:c>
      <x:c r="M723" t="str">
        <x:v>f1f174314b3aa504dcbf726ac218fa62bb072a4bc89e90c350ec3f4841d70eb7</x:v>
      </x:c>
      <x:c r="N723" t="str">
        <x:v>中国移动有限公司
合并财务报表附注
截至2026 年6 月30 日止六个月期间财务报表
(除特别注明外，金额单位为人民币百万元)
四 合并财务报表项目附注（续）
103
(31) 长期借款
2026 年
6 月30 日
2025年
12 月31 日
信用借款 9,374 9,748
于2026 年6 月30 日及2025 年12 月31 日，信用借款主要包括年利率为香港银行同业拆
息加年息0.4%的借款，于2030 年或以前到期。
于2026 年6 月30 日，本集团不存在逾期长期借款。
(32) 递延收益
2025 年12 月31 日 本期增加 本期</x:v>
      </x:c>
    </x:row>
    <x:row r="724">
      <x:c r="A724" t="str">
        <x:v>0afa2da3-79c3-4a73-b0f0-9b47e3aca1d7</x:v>
      </x:c>
      <x:c r="B724" t="str">
        <x:v>600941</x:v>
      </x:c>
      <x:c r="C724" t="str">
        <x:v>中国移动</x:v>
      </x:c>
      <x:c r="D724" t="str">
        <x:v>2026-06-30</x:v>
      </x:c>
      <x:c r="E724" t="str">
        <x:v>interim</x:v>
      </x:c>
      <x:c r="F724" t="str">
        <x:v>cash</x:v>
      </x:c>
      <x:c r="G724" t="n">
        <x:v>576</x:v>
      </x:c>
      <x:c r="H724" t="str">
        <x:v>CNY</x:v>
      </x:c>
      <x:c r="I724" t="n">
        <x:v>75</x:v>
      </x:c>
      <x:c r="J724" t="str">
        <x:v>货币资金</x:v>
      </x:c>
      <x:c r="K724" t="str">
        <x:v>candidate_pending_automated_verification</x:v>
      </x:c>
      <x:c r="L724" t="str">
        <x:v>https://static.cninfo.com.cn/finalpage/2026-08-14/1225472195.PDF</x:v>
      </x:c>
      <x:c r="M724" t="str">
        <x:v>f1f174314b3aa504dcbf726ac218fa62bb072a4bc89e90c350ec3f4841d70eb7</x:v>
      </x:c>
      <x:c r="N724" t="str">
        <x:v>民币百万元)
74
四 合并财务报表项目附注
(1) 货币资金
注
2026 年
6 月30 日
2025 年
12 月31 日
3 个月及以下的银行定期存款 18,237 35,033
现金及银行活期存款 83,625 61,722
其他货币资金 576 512
现金及现金等价物小计 102,438 97,267
3 个月以上的银行定期存款 80,062 69,122
应收利息 2,576 1,700
受限制的银行存款 (a) 2,781 3,005
合计 187,857 171,094
其中：
存放在境外的款项 38,551 25,743
(a) 本集团货币资金中使用受限制的银行存款主要为客户备付金、履约</x:v>
      </x:c>
    </x:row>
    <x:row r="725">
      <x:c r="A725" t="str">
        <x:v>650c2e41-a86a-4df3-a9bc-16cf97447ed9</x:v>
      </x:c>
      <x:c r="B725" t="str">
        <x:v>600941</x:v>
      </x:c>
      <x:c r="C725" t="str">
        <x:v>中国移动</x:v>
      </x:c>
      <x:c r="D725" t="str">
        <x:v>2026-06-30</x:v>
      </x:c>
      <x:c r="E725" t="str">
        <x:v>interim</x:v>
      </x:c>
      <x:c r="F725" t="str">
        <x:v>operating_cash_flow</x:v>
      </x:c>
      <x:c r="G725" t="n">
        <x:v>114854</x:v>
      </x:c>
      <x:c r="H725" t="str">
        <x:v>reported_amount</x:v>
      </x:c>
      <x:c r="I725" t="n">
        <x:v>11</x:v>
      </x:c>
      <x:c r="J725" t="str">
        <x:v>经营活动产生的现金流量净额</x:v>
      </x:c>
      <x:c r="K725" t="str">
        <x:v>candidate_pending_automated_verification</x:v>
      </x:c>
      <x:c r="L725" t="str">
        <x:v>https://static.cninfo.com.cn/finalpage/2026-08-14/1225472195.PDF</x:v>
      </x:c>
      <x:c r="M725" t="str">
        <x:v>f1f174314b3aa504dcbf726ac218fa62bb072a4bc89e90c350ec3f4841d70eb7</x:v>
      </x:c>
      <x:c r="N725" t="str">
        <x:v> 76,780 11.2% 
利润总额 99,084 107,073 -7.5% 
归属于母公司股东的净利润 78,934 84,235 -6.3% 
归属于母公司股东的扣除非经常性损益的净利润 69,733 78,366 -11.0% 
经营活动产生的现金流量净额 114,854 83,832 37.0% 
归属于母公司股东权益 1,421,543 1,393,175 2.0% 
资产总计 2,121,504 2,092,882 1.4% 
主要财务指标 
2026年上半年 2025年上半年 变化 
EBITDA 173,626 185,958 -6.6% 
EBITDA率
注1 32.3% 34.2% -1.9pp 
EB</x:v>
      </x:c>
    </x:row>
    <x:row r="726">
      <x:c r="A726" t="str">
        <x:v>da8d69f9-e667-4f5f-9f07-f31f70e67a0c</x:v>
      </x:c>
      <x:c r="B726" t="str">
        <x:v>601998</x:v>
      </x:c>
      <x:c r="C726" t="str">
        <x:v>中信银行</x:v>
      </x:c>
      <x:c r="D726" t="str">
        <x:v>2026-06-30</x:v>
      </x:c>
      <x:c r="E726" t="str">
        <x:v>interim</x:v>
      </x:c>
      <x:c r="F726" t="str">
        <x:v>operating_cash_flow</x:v>
      </x:c>
      <x:c r="G726" t="n">
        <x:v>230988</x:v>
      </x:c>
      <x:c r="H726" t="str">
        <x:v>CNY</x:v>
      </x:c>
      <x:c r="I726" t="n">
        <x:v>243</x:v>
      </x:c>
      <x:c r="J726" t="str">
        <x:v>经营活动产生的现金流量净额</x:v>
      </x:c>
      <x:c r="K726" t="str">
        <x:v>candidate_pending_automated_verification</x:v>
      </x:c>
      <x:c r="L726" t="str">
        <x:v>https://static.cninfo.com.cn/finalpage/2026-08-27/1225512631.PDF</x:v>
      </x:c>
      <x:c r="M726" t="str">
        <x:v>e8ac0841812649ff0efb2079080a28b60b4f54acfdd0b9f36a5ee4f78b205bc5</x:v>
      </x:c>
      <x:c r="N726" t="str">
        <x:v>547  
经营性应收项目的增加 (183,052)  (228,378) (136,497)  (178,412) 
经营性应付项目的增加 336,450  180,793  287,143  110,075  
经营活动产生的现金流量净额 230,988 28,651  221,948 2,371  
   </x:v>
      </x:c>
    </x:row>
    <x:row r="727">
      <x:c r="A727" t="str">
        <x:v>0ede90d3-cb0c-4324-bf13-c8cd231e3cdd</x:v>
      </x:c>
      <x:c r="B727" t="str">
        <x:v>601998</x:v>
      </x:c>
      <x:c r="C727" t="str">
        <x:v>中信银行</x:v>
      </x:c>
      <x:c r="D727" t="str">
        <x:v>2026-06-30</x:v>
      </x:c>
      <x:c r="E727" t="str">
        <x:v>interim</x:v>
      </x:c>
      <x:c r="F727" t="str">
        <x:v>operating_cash_flow</x:v>
      </x:c>
      <x:c r="G727" t="n">
        <x:v>46</x:v>
      </x:c>
      <x:c r="H727" t="str">
        <x:v>CNY</x:v>
      </x:c>
      <x:c r="I727" t="n">
        <x:v>169</x:v>
      </x:c>
      <x:c r="J727" t="str">
        <x:v>经营活动产生的现金流量净额</x:v>
      </x:c>
      <x:c r="K727" t="str">
        <x:v>candidate_pending_automated_verification</x:v>
      </x:c>
      <x:c r="L727" t="str">
        <x:v>https://static.cninfo.com.cn/finalpage/2026-08-27/1225512631.PDF</x:v>
      </x:c>
      <x:c r="M727" t="str">
        <x:v>e8ac0841812649ff0efb2079080a28b60b4f54acfdd0b9f36a5ee4f78b205bc5</x:v>
      </x:c>
      <x:c r="N727" t="str">
        <x:v>金  (78,554)  (58,453) (46,385)  (57,516) 
经营活动现金流出小计  (627,808) (659,402)  (604,281) (601,788)  
经营活动产生的现金流量净额 46(1) 230,988 28,651  221,948 2,371  
方合英 
董事长、执行董事 
 吕天贵 
执行董事、行长 (主管财会工作负责人)、 
首席合规官 
康超 
财务会计部总经理 
 (公司盖章) 
后附财务报表附注为本财务报表的组成部分。 </x:v>
      </x:c>
    </x:row>
    <x:row r="728">
      <x:c r="A728" t="str">
        <x:v>88e73631-a456-4a21-a195-b7c8b14395db</x:v>
      </x:c>
      <x:c r="B728" t="str">
        <x:v>600000</x:v>
      </x:c>
      <x:c r="C728" t="str">
        <x:v>浦发银行</x:v>
      </x:c>
      <x:c r="D728" t="str">
        <x:v>2026-06-30</x:v>
      </x:c>
      <x:c r="E728" t="str">
        <x:v>interim</x:v>
      </x:c>
      <x:c r="F728" t="str">
        <x:v>operating_cash_flow</x:v>
      </x:c>
      <x:c r="G728" t="n">
        <x:v>404304</x:v>
      </x:c>
      <x:c r="H728" t="str">
        <x:v>CNY</x:v>
      </x:c>
      <x:c r="I728" t="n">
        <x:v>182</x:v>
      </x:c>
      <x:c r="J728" t="str">
        <x:v>经营活动产生的现金流量净额</x:v>
      </x:c>
      <x:c r="K728" t="str">
        <x:v>candidate_pending_automated_verification</x:v>
      </x:c>
      <x:c r="L728" t="str">
        <x:v>https://static.cninfo.com.cn/finalpage/2026-08-28/1225521898.PDF</x:v>
      </x:c>
      <x:c r="M728" t="str">
        <x:v>01f41e69ad9dc1b348204b3aa0acf615b2343d402ac00a0ae3895f56e7010f66</x:v>
      </x:c>
      <x:c r="N728" t="str">
        <x:v> (5) (5) - - 
经营性应收项目的增加 (300,038) (316,362) (302,087) (314,441) 
经营性应付项目的增加 652,597 298,996 654,871 301,415 
经营活动产生的现金流量净额 404,304 21,257 400,868 22,652 
(b) 现金及现金等价物净变动情况 
  本集团   本行  
自 2026 年1 月 
1 日至 2026 年 
6 月 30 日止期间 
自 2025 年1 月 
1 日至 2025 年 
6 月 30 日止期间 
自 2026 年1 月 
1 日至 2026 年 
6 月 </x:v>
      </x:c>
    </x:row>
    <x:row r="729">
      <x:c r="A729" t="str">
        <x:v>8feb363f-8816-4be5-93d4-bcdf33e887a2</x:v>
      </x:c>
      <x:c r="B729" t="str">
        <x:v>600000</x:v>
      </x:c>
      <x:c r="C729" t="str">
        <x:v>浦发银行</x:v>
      </x:c>
      <x:c r="D729" t="str">
        <x:v>2026-06-30</x:v>
      </x:c>
      <x:c r="E729" t="str">
        <x:v>interim</x:v>
      </x:c>
      <x:c r="F729" t="str">
        <x:v>roe</x:v>
      </x:c>
      <x:c r="G729" t="n">
        <x:v>3.96</x:v>
      </x:c>
      <x:c r="H729" t="str">
        <x:v>percent</x:v>
      </x:c>
      <x:c r="I729" t="n">
        <x:v>7</x:v>
      </x:c>
      <x:c r="J729" t="str">
        <x:v>加权平均净资产收益率</x:v>
      </x:c>
      <x:c r="K729" t="str">
        <x:v>candidate_pending_automated_verification</x:v>
      </x:c>
      <x:c r="L729" t="str">
        <x:v>https://static.cninfo.com.cn/finalpage/2026-08-28/1225521898.PDF</x:v>
      </x:c>
      <x:c r="M729" t="str">
        <x:v>01f41e69ad9dc1b348204b3aa0acf615b2343d402ac00a0ae3895f56e7010f66</x:v>
      </x:c>
      <x:c r="N729" t="str">
        <x:v>.89 0.90 -1.11 0.82 
扣除非经常性损益后的基本每股收益 0.89 1.00 -11.00 0.89 
每股经营活动产生的现金流量净额 12.14 0.70 1,634.29 -13.04 
盈利能力指标（%）     
加权平均净资产收益率 3.96 4.33 下降 0.37 个百分点 4.17 
扣除非经常性损益后的加权平均净资
产收益率 
3.96 4.37 下降 0.41 个百分点 4.14 
平均总资产收益率 0.31 0.31 持平 0.30 
全面摊薄净资产收益率 3.95 4.25 下降 0.30 个百分点 4.13 
扣除非经常性损益后全面摊薄净资产
收益率 
3.95 4.28 下降 </x:v>
      </x:c>
    </x:row>
    <x:row r="730">
      <x:c r="A730" t="str">
        <x:v>3e6a6ecb-2120-47dc-93f0-dfc7d103af93</x:v>
      </x:c>
      <x:c r="B730" t="str">
        <x:v>600000</x:v>
      </x:c>
      <x:c r="C730" t="str">
        <x:v>浦发银行</x:v>
      </x:c>
      <x:c r="D730" t="str">
        <x:v>2026-06-30</x:v>
      </x:c>
      <x:c r="E730" t="str">
        <x:v>interim</x:v>
      </x:c>
      <x:c r="F730" t="str">
        <x:v>eps_annual</x:v>
      </x:c>
      <x:c r="G730" t="n">
        <x:v>0.89</x:v>
      </x:c>
      <x:c r="H730" t="str">
        <x:v>CNY/share</x:v>
      </x:c>
      <x:c r="I730" t="n">
        <x:v>7</x:v>
      </x:c>
      <x:c r="J730" t="str">
        <x:v>基本每股收益</x:v>
      </x:c>
      <x:c r="K730" t="str">
        <x:v>candidate_pending_automated_verification</x:v>
      </x:c>
      <x:c r="L730" t="str">
        <x:v>https://static.cninfo.com.cn/finalpage/2026-08-28/1225521898.PDF</x:v>
      </x:c>
      <x:c r="M730" t="str">
        <x:v>01f41e69ad9dc1b348204b3aa0acf615b2343d402ac00a0ae3895f56e7010f66</x:v>
      </x:c>
      <x:c r="N730" t="str">
        <x:v>,988 
归属于母公司股东的扣除非经常性损
益的净利润 
30,971 29,984 3.29 26,806 
经营活动产生的现金流量净额 404,304 21,257 1,801.98 -382,642 
主要财务指标（元）     
基本每股收益 0.89 0.99 -10.10 0.89 
稀释每股收益 0.89 0.90 -1.11 0.82 
扣除非经常性损益后的基本每股收益 0.89 1.00 -11.00 0.89 
每股经营活动产生的现金流量净额 12.14 0.70 1,634.29 -13.04 
盈利能力指标（%）     
加权平均净资产收益率 3.96 4.33 下降 0.37 个百分点</x:v>
      </x:c>
    </x:row>
    <x:row r="731">
      <x:c r="A731" t="str">
        <x:v>4ba97c6d-7229-4d64-8875-5961f7065503</x:v>
      </x:c>
      <x:c r="B731" t="str">
        <x:v>600000</x:v>
      </x:c>
      <x:c r="C731" t="str">
        <x:v>浦发银行</x:v>
      </x:c>
      <x:c r="D731" t="str">
        <x:v>2026-06-30</x:v>
      </x:c>
      <x:c r="E731" t="str">
        <x:v>interim</x:v>
      </x:c>
      <x:c r="F731" t="str">
        <x:v>operating_cash_flow</x:v>
      </x:c>
      <x:c r="G731" t="n">
        <x:v>404304</x:v>
      </x:c>
      <x:c r="H731" t="str">
        <x:v>reported_amount</x:v>
      </x:c>
      <x:c r="I731" t="n">
        <x:v>7</x:v>
      </x:c>
      <x:c r="J731" t="str">
        <x:v>经营活动产生的现金流量净额</x:v>
      </x:c>
      <x:c r="K731" t="str">
        <x:v>candidate_pending_automated_verification</x:v>
      </x:c>
      <x:c r="L731" t="str">
        <x:v>https://static.cninfo.com.cn/finalpage/2026-08-28/1225521898.PDF</x:v>
      </x:c>
      <x:c r="M731" t="str">
        <x:v>01f41e69ad9dc1b348204b3aa0acf615b2343d402ac00a0ae3895f56e7010f66</x:v>
      </x:c>
      <x:c r="N731" t="str">
        <x:v>额 36,446 33,138 9.98 30,170 
归属于母公司股东的净利润 30,951 29,737 4.08 26,988 
归属于母公司股东的扣除非经常性损
益的净利润 
30,971 29,984 3.29 26,806 
经营活动产生的现金流量净额 404,304 21,257 1,801.98 -382,642 
主要财务指标（元）     
基本每股收益 0.89 0.99 -10.10 0.89 
稀释每股收益 0.89 0.90 -1.11 0.82 
扣除非经常性损益后的基本每股收益 0.89 1.00 -11.00 0.89 
每股经营活动产生的现金流量净额 12.14 0.70 1,634.29 -13</x:v>
      </x:c>
    </x:row>
    <x:row r="732">
      <x:c r="A732" t="str">
        <x:v>24e42f75-826e-4220-97c3-306932a11df2</x:v>
      </x:c>
      <x:c r="B732" t="str">
        <x:v>600000</x:v>
      </x:c>
      <x:c r="C732" t="str">
        <x:v>浦发银行</x:v>
      </x:c>
      <x:c r="D732" t="str">
        <x:v>2026-06-30</x:v>
      </x:c>
      <x:c r="E732" t="str">
        <x:v>interim</x:v>
      </x:c>
      <x:c r="F732" t="str">
        <x:v>revenue</x:v>
      </x:c>
      <x:c r="G732" t="n">
        <x:v>93777</x:v>
      </x:c>
      <x:c r="H732" t="str">
        <x:v>reported_amount</x:v>
      </x:c>
      <x:c r="I732" t="n">
        <x:v>7</x:v>
      </x:c>
      <x:c r="J732" t="str">
        <x:v>营业收入</x:v>
      </x:c>
      <x:c r="K732" t="str">
        <x:v>candidate_pending_automated_verification</x:v>
      </x:c>
      <x:c r="L732" t="str">
        <x:v>https://static.cninfo.com.cn/finalpage/2026-08-28/1225521898.PDF</x:v>
      </x:c>
      <x:c r="M732" t="str">
        <x:v>01f41e69ad9dc1b348204b3aa0acf615b2343d402ac00a0ae3895f56e7010f66</x:v>
      </x:c>
      <x:c r="N732" t="str">
        <x:v>上海浦东发展银行股份有限公司 
6 
2.6 主要会计数据和财务指标 
单位：人民币百万元 
本报告期 
(1-6 月) 
上年同期 
本报告期比上年同
期增减(%) 
2024 年 
1-6 月 
主要会计数据     
营业收入 93,777 90,559 3.55 88,248 
利润总额 36,446 33,138 9.98 30,170 
归属于母公司股东的净利润 30,951 29,737 4.08 26,988 
归属于母公司股东的扣除非经常性损
益的净利润 
30,971 29,984 3.29 26,806 
经营活动产生的现金流量净额 404,304 21,257 1,801.9</x:v>
      </x:c>
    </x:row>
    <x:row r="733">
      <x:c r="A733" t="str">
        <x:v>bba29f07-15e2-4cbe-9883-3b6024901571</x:v>
      </x:c>
      <x:c r="B733" t="str">
        <x:v>601601</x:v>
      </x:c>
      <x:c r="C733" t="str">
        <x:v>中国太保</x:v>
      </x:c>
      <x:c r="D733" t="str">
        <x:v>2026-06-30</x:v>
      </x:c>
      <x:c r="E733" t="str">
        <x:v>interim</x:v>
      </x:c>
      <x:c r="F733" t="str">
        <x:v>cash</x:v>
      </x:c>
      <x:c r="G733" t="n">
        <x:v>58708</x:v>
      </x:c>
      <x:c r="H733" t="str">
        <x:v>CNY</x:v>
      </x:c>
      <x:c r="I733" t="n">
        <x:v>138</x:v>
      </x:c>
      <x:c r="J733" t="str">
        <x:v>货币资金</x:v>
      </x:c>
      <x:c r="K733" t="str">
        <x:v>candidate_pending_automated_verification</x:v>
      </x:c>
      <x:c r="L733" t="str">
        <x:v>https://static.cninfo.com.cn/finalpage/2026-08-28/1225518250.PDF</x:v>
      </x:c>
      <x:c r="M733" t="str">
        <x:v>b85cf2a80bb8f6464c16849d363f1ca75e4cff995e7f64cb13f6b118e6763562</x:v>
      </x:c>
      <x:c r="N733" t="str">
        <x:v>（续）
下表概括了主要金融资产和金融负债按未折现的合同现金流量及预期现金流量的剩余到期日所作的到期期限分
析：（续）
2025 年 12 月 31 日
即期 / 已逾期 1 年以内 1 至 5 年 5 年以上 无期限 合计
金融资产：
货币资金 58,708 4,081 – – – 62,789
衍生金融资产 – 5 – – – 5
买入返售金融资产 – 24,516 – – – 24,516
定期存款 – 45,131 153,587 – – 198,718
金融投资：
 交易性金融资产 388 28,880 90,239 317,599 399,340 836,446
 债权投资 – 9,292 24,02</x:v>
      </x:c>
    </x:row>
    <x:row r="734">
      <x:c r="A734" t="str">
        <x:v>41ccdf22-2dd5-4470-8b39-c1a3d4e5ec53</x:v>
      </x:c>
      <x:c r="B734" t="str">
        <x:v>601601</x:v>
      </x:c>
      <x:c r="C734" t="str">
        <x:v>中国太保</x:v>
      </x:c>
      <x:c r="D734" t="str">
        <x:v>2026-06-30</x:v>
      </x:c>
      <x:c r="E734" t="str">
        <x:v>interim</x:v>
      </x:c>
      <x:c r="F734" t="str">
        <x:v>bonds_payable</x:v>
      </x:c>
      <x:c r="G734" t="n">
        <x:v>22178</x:v>
      </x:c>
      <x:c r="H734" t="str">
        <x:v>CNY</x:v>
      </x:c>
      <x:c r="I734" t="n">
        <x:v>140</x:v>
      </x:c>
      <x:c r="J734" t="str">
        <x:v>应付债券</x:v>
      </x:c>
      <x:c r="K734" t="str">
        <x:v>candidate_pending_automated_verification</x:v>
      </x:c>
      <x:c r="L734" t="str">
        <x:v>https://static.cninfo.com.cn/finalpage/2026-08-28/1225518250.PDF</x:v>
      </x:c>
      <x:c r="M734" t="str">
        <x:v>b85cf2a80bb8f6464c16849d363f1ca75e4cff995e7f64cb13f6b118e6763562</x:v>
      </x:c>
      <x:c r="N734" t="str">
        <x:v>26 年 6 月 30 日 2025 年 12 月 31 日
账面价值 公允价值 账面价值 公允价值
金融资产：
 债权投资 46,640 51,137 52,601 56,812
金融负债：
 长期借款 123 123 154 154
 应付债券 22,178 22,591 22,678 23,103
其他金融资产和金融负债的账面金额接近其公允价值。</x:v>
      </x:c>
    </x:row>
    <x:row r="735">
      <x:c r="A735" t="str">
        <x:v>156730c7-a63d-4731-8b51-8b3ddd46fa5b</x:v>
      </x:c>
      <x:c r="B735" t="str">
        <x:v>601601</x:v>
      </x:c>
      <x:c r="C735" t="str">
        <x:v>中国太保</x:v>
      </x:c>
      <x:c r="D735" t="str">
        <x:v>2026-06-30</x:v>
      </x:c>
      <x:c r="E735" t="str">
        <x:v>interim</x:v>
      </x:c>
      <x:c r="F735" t="str">
        <x:v>long_term_borrowings</x:v>
      </x:c>
      <x:c r="G735" t="n">
        <x:v>123</x:v>
      </x:c>
      <x:c r="H735" t="str">
        <x:v>CNY</x:v>
      </x:c>
      <x:c r="I735" t="n">
        <x:v>140</x:v>
      </x:c>
      <x:c r="J735" t="str">
        <x:v>长期借款</x:v>
      </x:c>
      <x:c r="K735" t="str">
        <x:v>candidate_pending_automated_verification</x:v>
      </x:c>
      <x:c r="L735" t="str">
        <x:v>https://static.cninfo.com.cn/finalpage/2026-08-28/1225518250.PDF</x:v>
      </x:c>
      <x:c r="M735" t="str">
        <x:v>b85cf2a80bb8f6464c16849d363f1ca75e4cff995e7f64cb13f6b118e6763562</x:v>
      </x:c>
      <x:c r="N735" t="str">
        <x:v>的账面价值及其公允
价值估计。
2026 年 6 月 30 日 2025 年 12 月 31 日
账面价值 公允价值 账面价值 公允价值
金融资产：
 债权投资 46,640 51,137 52,601 56,812
金融负债：
 长期借款 123 123 154 154
 应付债券 22,178 22,591 22,678 23,103
其他金融资产和金融负债的账面金额接近其公允价值。</x:v>
      </x:c>
    </x:row>
    <x:row r="736">
      <x:c r="A736" t="str">
        <x:v>d751ad4a-65e9-4b04-9b88-2ed01e383700</x:v>
      </x:c>
      <x:c r="B736" t="str">
        <x:v>601601</x:v>
      </x:c>
      <x:c r="C736" t="str">
        <x:v>中国太保</x:v>
      </x:c>
      <x:c r="D736" t="str">
        <x:v>2026-06-30</x:v>
      </x:c>
      <x:c r="E736" t="str">
        <x:v>interim</x:v>
      </x:c>
      <x:c r="F736" t="str">
        <x:v>cash</x:v>
      </x:c>
      <x:c r="G736" t="n">
        <x:v>55725</x:v>
      </x:c>
      <x:c r="H736" t="str">
        <x:v>CNY</x:v>
      </x:c>
      <x:c r="I736" t="n">
        <x:v>137</x:v>
      </x:c>
      <x:c r="J736" t="str">
        <x:v>货币资金</x:v>
      </x:c>
      <x:c r="K736" t="str">
        <x:v>candidate_pending_automated_verification</x:v>
      </x:c>
      <x:c r="L736" t="str">
        <x:v>https://static.cninfo.com.cn/finalpage/2026-08-28/1225518250.PDF</x:v>
      </x:c>
      <x:c r="M736" t="str">
        <x:v>b85cf2a80bb8f6464c16849d363f1ca75e4cff995e7f64cb13f6b118e6763562</x:v>
      </x:c>
      <x:c r="N736" t="str">
        <x:v>动该计
划。
下表概括了主要金融资产和金融负债按未折现的合同现金流量及预期现金流量的剩余到期日所作的到期期限分
析：
2026 年 6 月 30 日
即期 / 已逾期 1 年以内 1 至 5 年 5 年以上 无期限 合计
金融资产：
货币资金 55,725 3,731 – – – 59,456
衍生金融资产 – 14 – – – 14
买入返售金融资产 – 47,453 – – – 47,453
定期存款 – 53,096 159,876 – – 212,972
金融投资：
 交易性金融资产 435 23,362 163,589 186,791 430,909 805,086
 债权投资 – 5,180 25</x:v>
      </x:c>
    </x:row>
    <x:row r="737">
      <x:c r="A737" t="str">
        <x:v>08d46d68-9d9d-4490-af6a-0d0c7a810c1d</x:v>
      </x:c>
      <x:c r="B737" t="str">
        <x:v>601601</x:v>
      </x:c>
      <x:c r="C737" t="str">
        <x:v>中国太保</x:v>
      </x:c>
      <x:c r="D737" t="str">
        <x:v>2026-06-30</x:v>
      </x:c>
      <x:c r="E737" t="str">
        <x:v>interim</x:v>
      </x:c>
      <x:c r="F737" t="str">
        <x:v>cash</x:v>
      </x:c>
      <x:c r="G737" t="n">
        <x:v>59450</x:v>
      </x:c>
      <x:c r="H737" t="str">
        <x:v>CNY</x:v>
      </x:c>
      <x:c r="I737" t="n">
        <x:v>136</x:v>
      </x:c>
      <x:c r="J737" t="str">
        <x:v>货币资金</x:v>
      </x:c>
      <x:c r="K737" t="str">
        <x:v>candidate_pending_automated_verification</x:v>
      </x:c>
      <x:c r="L737" t="str">
        <x:v>https://static.cninfo.com.cn/finalpage/2026-08-28/1225518250.PDF</x:v>
      </x:c>
      <x:c r="M737" t="str">
        <x:v>b85cf2a80bb8f6464c16849d363f1ca75e4cff995e7f64cb13f6b118e6763562</x:v>
      </x:c>
      <x:c r="N737" t="str">
        <x:v>法的影响下，本集团资产负债表中的金融资产账面价值反映其在资产负债表日
的最大信用风险敞口。
下表对纳入预期信用损失评估范围的金融工具的信用风险敞口进行了列示：
2026 年 6 月 30 日
第一阶段 第二阶段 第三阶段 最大信用风险敞口
货币资金 59,450 – – 59,450
买入返售金融资产 47,450 – – 47,450
定期存款 195,803 6,250 – 202,053
金融投资： 1,872,491 5,756 2,070 1,880,317
 债权投资 45,287 709 644 46,640
 其他债权投资 1,827,204 5,047 1,426 1,833,677
存出资本保证</x:v>
      </x:c>
    </x:row>
    <x:row r="738">
      <x:c r="A738" t="str">
        <x:v>311da0f5-6f2a-4bc0-b210-3a604bd7acc9</x:v>
      </x:c>
      <x:c r="B738" t="str">
        <x:v>601601</x:v>
      </x:c>
      <x:c r="C738" t="str">
        <x:v>中国太保</x:v>
      </x:c>
      <x:c r="D738" t="str">
        <x:v>2026-06-30</x:v>
      </x:c>
      <x:c r="E738" t="str">
        <x:v>interim</x:v>
      </x:c>
      <x:c r="F738" t="str">
        <x:v>cash</x:v>
      </x:c>
      <x:c r="G738" t="n">
        <x:v>1690</x:v>
      </x:c>
      <x:c r="H738" t="str">
        <x:v>CNY</x:v>
      </x:c>
      <x:c r="I738" t="n">
        <x:v>121</x:v>
      </x:c>
      <x:c r="J738" t="str">
        <x:v>货币资金</x:v>
      </x:c>
      <x:c r="K738" t="str">
        <x:v>candidate_pending_automated_verification</x:v>
      </x:c>
      <x:c r="L738" t="str">
        <x:v>https://static.cninfo.com.cn/finalpage/2026-08-28/1225518250.PDF</x:v>
      </x:c>
      <x:c r="M738" t="str">
        <x:v>b85cf2a80bb8f6464c16849d363f1ca75e4cff995e7f64cb13f6b118e6763562</x:v>
      </x:c>
      <x:c r="N738" t="str">
        <x:v>稀释每股收益（人民币元） 2.95 2.90
33. 现金和现金等价物
2026 年 6 月 30 日 2025 年 12 月 31 日
现金：
 可随时用于支付的银行存款 57,419 60,824
 可随时用于支付的其他货币资金 1,690 1,674
现金等价物：
 原期限不超过三个月的投资 47,446 24,508
合计 106,555 87,006
六、分部报告
分部信息按照本集团的主要经营分部列报。
本集团的经营业务根据业务的性质以及所提供的产品和劳务分开组织和管理。本集团的每个经营分部提供面临
不同于其他经营分部的风险并取得不同于其他经营分部的报酬的产品和服务。
以下是对经营分部详</x:v>
      </x:c>
    </x:row>
    <x:row r="739">
      <x:c r="A739" t="str">
        <x:v>4b6a508f-dee2-4bfa-8bb7-f6dfbc03994e</x:v>
      </x:c>
      <x:c r="B739" t="str">
        <x:v>601601</x:v>
      </x:c>
      <x:c r="C739" t="str">
        <x:v>中国太保</x:v>
      </x:c>
      <x:c r="D739" t="str">
        <x:v>2026-06-30</x:v>
      </x:c>
      <x:c r="E739" t="str">
        <x:v>interim</x:v>
      </x:c>
      <x:c r="F739" t="str">
        <x:v>operating_cash_flow</x:v>
      </x:c>
      <x:c r="G739" t="n">
        <x:v>115080</x:v>
      </x:c>
      <x:c r="H739" t="str">
        <x:v>CNY</x:v>
      </x:c>
      <x:c r="I739" t="n">
        <x:v>91</x:v>
      </x:c>
      <x:c r="J739" t="str">
        <x:v>经营活动产生的现金流量净额</x:v>
      </x:c>
      <x:c r="K739" t="str">
        <x:v>candidate_pending_automated_verification</x:v>
      </x:c>
      <x:c r="L739" t="str">
        <x:v>https://static.cninfo.com.cn/finalpage/2026-08-28/1225518250.PDF</x:v>
      </x:c>
      <x:c r="M739" t="str">
        <x:v>b85cf2a80bb8f6464c16849d363f1ca75e4cff995e7f64cb13f6b118e6763562</x:v>
      </x:c>
      <x:c r="N739" t="str">
        <x:v>给职工以及为职工支付的现金 (15,049) (14,600)
支付的各项税费 (6,404) (5,076)
支付其他与经营活动有关的现金 (37,136) (33,715)
经营活动现金流出小计 (167,666) (164,647)
经营活动产生的现金流量净额 115,080 120,503
二、投资活动产生的现金流量
收回投资收到的现金 332,939 369,732
取得投资收益和利息收入收到的现金 41,272 34,954
处置子公司及其他营业单位收到的现金净额 26 133
处置固定资产、无形资产和其他长期资产收到的现金净额 34 52
收到的其他与投资活动有关的现金 – 112
投资活动现金流入小计 374,271 </x:v>
      </x:c>
    </x:row>
    <x:row r="740">
      <x:c r="A740" t="str">
        <x:v>530009c7-45eb-40bf-86b4-3a7918c75f0a</x:v>
      </x:c>
      <x:c r="B740" t="str">
        <x:v>601601</x:v>
      </x:c>
      <x:c r="C740" t="str">
        <x:v>中国太保</x:v>
      </x:c>
      <x:c r="D740" t="str">
        <x:v>2026-06-30</x:v>
      </x:c>
      <x:c r="E740" t="str">
        <x:v>interim</x:v>
      </x:c>
      <x:c r="F740" t="str">
        <x:v>bonds_payable</x:v>
      </x:c>
      <x:c r="G740" t="n">
        <x:v>22178</x:v>
      </x:c>
      <x:c r="H740" t="str">
        <x:v>CNY</x:v>
      </x:c>
      <x:c r="I740" t="n">
        <x:v>87</x:v>
      </x:c>
      <x:c r="J740" t="str">
        <x:v>应付债券</x:v>
      </x:c>
      <x:c r="K740" t="str">
        <x:v>candidate_pending_automated_verification</x:v>
      </x:c>
      <x:c r="L740" t="str">
        <x:v>https://static.cninfo.com.cn/finalpage/2026-08-28/1225518250.PDF</x:v>
      </x:c>
      <x:c r="M740" t="str">
        <x:v>b85cf2a80bb8f6464c16849d363f1ca75e4cff995e7f64cb13f6b118e6763562</x:v>
      </x:c>
      <x:c r="N740" t="str">
        <x:v>2 月 31 日
( 经审计 )
衍生金融负债 1,064 2,372
卖出回购金融资产款 11 170,095 218,930
预收保费 6,171 20,237
应付职工薪酬 8,490 11,116
应交税费 5,115 3,722
应付债券 12 22,178 22,678
保险合同负债 13 2,631,251 2,466,607
应付手续费及佣金 6,888 5,835
保费准备金 753 201
租赁负债 1,440 1,571
递延所得税负债 4,659 4,517
长期借款 123 154
其他负债 70,318 52,603
负债合计 2,928,545 2,810,543
股本 15 9,620 9</x:v>
      </x:c>
    </x:row>
    <x:row r="741">
      <x:c r="A741" t="str">
        <x:v>7f82b52e-a829-40d3-b73f-d3a1ab965bca</x:v>
      </x:c>
      <x:c r="B741" t="str">
        <x:v>601601</x:v>
      </x:c>
      <x:c r="C741" t="str">
        <x:v>中国太保</x:v>
      </x:c>
      <x:c r="D741" t="str">
        <x:v>2026-06-30</x:v>
      </x:c>
      <x:c r="E741" t="str">
        <x:v>interim</x:v>
      </x:c>
      <x:c r="F741" t="str">
        <x:v>long_term_borrowings</x:v>
      </x:c>
      <x:c r="G741" t="n">
        <x:v>123</x:v>
      </x:c>
      <x:c r="H741" t="str">
        <x:v>CNY</x:v>
      </x:c>
      <x:c r="I741" t="n">
        <x:v>87</x:v>
      </x:c>
      <x:c r="J741" t="str">
        <x:v>长期借款</x:v>
      </x:c>
      <x:c r="K741" t="str">
        <x:v>candidate_pending_automated_verification</x:v>
      </x:c>
      <x:c r="L741" t="str">
        <x:v>https://static.cninfo.com.cn/finalpage/2026-08-28/1225518250.PDF</x:v>
      </x:c>
      <x:c r="M741" t="str">
        <x:v>b85cf2a80bb8f6464c16849d363f1ca75e4cff995e7f64cb13f6b118e6763562</x:v>
      </x:c>
      <x:c r="N741" t="str">
        <x:v> 12 22,178 22,678
保险合同负债 13 2,631,251 2,466,607
应付手续费及佣金 6,888 5,835
保费准备金 753 201
租赁负债 1,440 1,571
递延所得税负债 4,659 4,517
长期借款 123 154
其他负债 70,318 52,603
负债合计 2,928,545 2,810,543
股本 15 9,620 9,620
资本公积 16 79,913 79,932
其他综合损益 31 (20,970) (17,390)
盈余公积 17 5,114 5,114
一般风险准备 18 35,503 35,420
未分配利润 19 210,016 18</x:v>
      </x:c>
    </x:row>
    <x:row r="742">
      <x:c r="A742" t="str">
        <x:v>c37d5755-03f4-4ec8-b34f-f6f8b88b1b5b</x:v>
      </x:c>
      <x:c r="B742" t="str">
        <x:v>601601</x:v>
      </x:c>
      <x:c r="C742" t="str">
        <x:v>中国太保</x:v>
      </x:c>
      <x:c r="D742" t="str">
        <x:v>2026-06-30</x:v>
      </x:c>
      <x:c r="E742" t="str">
        <x:v>interim</x:v>
      </x:c>
      <x:c r="F742" t="str">
        <x:v>cash</x:v>
      </x:c>
      <x:c r="G742" t="n">
        <x:v>59450</x:v>
      </x:c>
      <x:c r="H742" t="str">
        <x:v>CNY</x:v>
      </x:c>
      <x:c r="I742" t="n">
        <x:v>86</x:v>
      </x:c>
      <x:c r="J742" t="str">
        <x:v>货币资金</x:v>
      </x:c>
      <x:c r="K742" t="str">
        <x:v>candidate_pending_automated_verification</x:v>
      </x:c>
      <x:c r="L742" t="str">
        <x:v>https://static.cninfo.com.cn/finalpage/2026-08-28/1225518250.PDF</x:v>
      </x:c>
      <x:c r="M742" t="str">
        <x:v>b85cf2a80bb8f6464c16849d363f1ca75e4cff995e7f64cb13f6b118e6763562</x:v>
      </x:c>
      <x:c r="N742" t="str">
        <x:v>人民币百万元）
2
2026 年半年度报告
中期合并资产负债表
2026 年 6 月 30 日
财务报告
中期合并资产负债表
资产 附注五 2026 年 6 月 30 日
( 未经审计 )
2025 年 12 月 31 日
( 经审计 )
货币资金 1 59,450 62,789
衍生金融资产 14 5
买入返售金融资产 2 47,450 24,512
定期存款 3 202,053 187,310
金融投资： 2,814,713 2,715,708
 交易性金融资产 4 755,936 714,868
 债权投资 5 46,640 52,601
 其他债权投资 6 1,833,677 1,772,078
 其他权益工具</x:v>
      </x:c>
    </x:row>
    <x:row r="743">
      <x:c r="A743" t="str">
        <x:v>d7947611-bcec-4002-8733-5cf57e7465ba</x:v>
      </x:c>
      <x:c r="B743" t="str">
        <x:v>601601</x:v>
      </x:c>
      <x:c r="C743" t="str">
        <x:v>中国太保</x:v>
      </x:c>
      <x:c r="D743" t="str">
        <x:v>2026-06-30</x:v>
      </x:c>
      <x:c r="E743" t="str">
        <x:v>interim</x:v>
      </x:c>
      <x:c r="F743" t="str">
        <x:v>revenue</x:v>
      </x:c>
      <x:c r="G743" t="n">
        <x:v>212136</x:v>
      </x:c>
      <x:c r="H743" t="str">
        <x:v>reported_amount</x:v>
      </x:c>
      <x:c r="I743" t="n">
        <x:v>17</x:v>
      </x:c>
      <x:c r="J743" t="str">
        <x:v>营业收入</x:v>
      </x:c>
      <x:c r="K743" t="str">
        <x:v>candidate_pending_automated_verification</x:v>
      </x:c>
      <x:c r="L743" t="str">
        <x:v>https://static.cninfo.com.cn/finalpage/2026-08-28/1225518250.PDF</x:v>
      </x:c>
      <x:c r="M743" t="str">
        <x:v>b85cf2a80bb8f6464c16849d363f1ca75e4cff995e7f64cb13f6b118e6763562</x:v>
      </x:c>
      <x:c r="N743" t="str">
        <x:v>16
中国太平洋保险（集团）股份有限公司
经营业绩
会计数据和业务数据摘要
单位：人民币百万元
主要会计数据 2026 年
1-6 月
2025 年
1-6 月
本报告期比上年
同期增减 (%)
营业收入 212,136 200,496 5.8
利润总额 34,653 32,259 7.4
净利润注 30,775 27,885 10.4
扣除非经常性损
 益的净利润注 29,784 26,224 13.6
经营活动产生的
 现金流量净额 115,080 120,503 (4.5)
2026 年
6 月 30 日
2025 年
12 月 31 日
本期末比上年末
增减 (%)</x:v>
      </x:c>
    </x:row>
    <x:row r="744">
      <x:c r="A744" t="str">
        <x:v>c29ce6d0-fb34-4bc5-bf26-647350adf097</x:v>
      </x:c>
      <x:c r="B744" t="str">
        <x:v>601229</x:v>
      </x:c>
      <x:c r="C744" t="str">
        <x:v>上海银行</x:v>
      </x:c>
      <x:c r="D744" t="str">
        <x:v>2026-06-30</x:v>
      </x:c>
      <x:c r="E744" t="str">
        <x:v>interim</x:v>
      </x:c>
      <x:c r="F744" t="str">
        <x:v>revenue</x:v>
      </x:c>
      <x:c r="G744" t="n">
        <x:v>28842209</x:v>
      </x:c>
      <x:c r="H744" t="str">
        <x:v>reported_amount</x:v>
      </x:c>
      <x:c r="I744" t="n">
        <x:v>10</x:v>
      </x:c>
      <x:c r="J744" t="str">
        <x:v>营业收入</x:v>
      </x:c>
      <x:c r="K744" t="str">
        <x:v>candidate_pending_automated_verification</x:v>
      </x:c>
      <x:c r="L744" t="str">
        <x:v>https://static.cninfo.com.cn/finalpage/2026-08-28/1225520748.PDF</x:v>
      </x:c>
      <x:c r="M744" t="str">
        <x:v>fc0bba7e9ac8e64a7688ed56350226ee1daf2e00eaea64a87f74ffd2f31ecd94</x:v>
      </x:c>
      <x:c r="N744" t="str">
        <x:v>6,452,739 7.37% 16,175,052
手续费及佣金净收入 1,849,827 2,059,983 -10.20% 2,190,626
其他非利息净收入 9,327,219 8,831,149 5.62% 7,881,388
营业收入 28,842,209 27,343,871 5.48% 26,247,066
业务及管理费 6,182,256 6,011,985 2.83% 6,047,262
信用减值损失 6,027,954 4,990,870 20.78% 4,546,424
营业利润 16,289,563 16,024,075 1.66% 15,337,826
利润总额 16,259,782 15,9</x:v>
      </x:c>
    </x:row>
    <x:row r="745">
      <x:c r="A745" t="str">
        <x:v>c40b6c46-773d-4094-a70e-1edb43b763b5</x:v>
      </x:c>
      <x:c r="B745" t="str">
        <x:v>601229</x:v>
      </x:c>
      <x:c r="C745" t="str">
        <x:v>上海银行</x:v>
      </x:c>
      <x:c r="D745" t="str">
        <x:v>2026-06-30</x:v>
      </x:c>
      <x:c r="E745" t="str">
        <x:v>interim</x:v>
      </x:c>
      <x:c r="F745" t="str">
        <x:v>bonds_payable</x:v>
      </x:c>
      <x:c r="G745" t="n">
        <x:v>523775991</x:v>
      </x:c>
      <x:c r="H745" t="str">
        <x:v>CNY</x:v>
      </x:c>
      <x:c r="I745" t="n">
        <x:v>49</x:v>
      </x:c>
      <x:c r="J745" t="str">
        <x:v>应付债券</x:v>
      </x:c>
      <x:c r="K745" t="str">
        <x:v>candidate_pending_automated_verification</x:v>
      </x:c>
      <x:c r="L745" t="str">
        <x:v>https://static.cninfo.com.cn/finalpage/2026-08-28/1225520748.PDF</x:v>
      </x:c>
      <x:c r="M745" t="str">
        <x:v>fc0bba7e9ac8e64a7688ed56350226ee1daf2e00eaea64a87f74ffd2f31ecd94</x:v>
      </x:c>
      <x:c r="N745" t="str">
        <x:v>.86%
交易性金融负债 366,840 0.01% 620,776 0.02% 1,198,685 0.04%
卖出回购金融资产款 44,239,743 1.40% 122,607,430 4.02% 180,156,606 6.06%
应付债券 523,775,991 16.62% 554,554,188 18.17% 463,665,944 15.60%
其他
注 1
30,146,537 0.96% 31,344,132 1.03% 43,468,800 1.46%
负债总额 3,150,705,733 100.00% 3,052,226,092 100.00% 2,971,998,867 100.00%
注：
1、</x:v>
      </x:c>
    </x:row>
    <x:row r="746">
      <x:c r="A746" t="str">
        <x:v>18a79c9d-a8e8-4f2c-81fd-64af00d631ec</x:v>
      </x:c>
      <x:c r="B746" t="str">
        <x:v>601229</x:v>
      </x:c>
      <x:c r="C746" t="str">
        <x:v>上海银行</x:v>
      </x:c>
      <x:c r="D746" t="str">
        <x:v>2026-06-30</x:v>
      </x:c>
      <x:c r="E746" t="str">
        <x:v>interim</x:v>
      </x:c>
      <x:c r="F746" t="str">
        <x:v>eps_annual</x:v>
      </x:c>
      <x:c r="G746" t="n">
        <x:v>0.94</x:v>
      </x:c>
      <x:c r="H746" t="str">
        <x:v>CNY/share</x:v>
      </x:c>
      <x:c r="I746" t="n">
        <x:v>10</x:v>
      </x:c>
      <x:c r="J746" t="str">
        <x:v>基本每股收益</x:v>
      </x:c>
      <x:c r="K746" t="str">
        <x:v>candidate_pending_automated_verification</x:v>
      </x:c>
      <x:c r="L746" t="str">
        <x:v>https://static.cninfo.com.cn/finalpage/2026-08-28/1225520748.PDF</x:v>
      </x:c>
      <x:c r="M746" t="str">
        <x:v>fc0bba7e9ac8e64a7688ed56350226ee1daf2e00eaea64a87f74ffd2f31ecd94</x:v>
      </x:c>
      <x:c r="N746" t="str">
        <x:v>的扣除非经常性损益的
净利润 13,333,376 13,243,805 0.68% 12,855,603
经营活动产生的现金流量净额 -434,193 -130,782,033 99.67% -3,770,521
每股计（人民币元/股）
基本每股收益 0.94 0.93 1.08% 0.91
稀释每股收益 0.82 0.82 - 0.82
扣除非经常性损益后的基本每股收益 0.94 0.93 1.08% 0.90
每股经营活动产生的现金流量净额 -0.03 -9.20 99.67% -0.27
资产负债 2026年
6月 30 日
2025年
12月 31日 变化 2024年
12月 31日
资产总额 3,418</x:v>
      </x:c>
    </x:row>
    <x:row r="747">
      <x:c r="A747" t="str">
        <x:v>1b4dc33e-53db-4ff9-9d2f-ff92b85814e7</x:v>
      </x:c>
      <x:c r="B747" t="str">
        <x:v>601229</x:v>
      </x:c>
      <x:c r="C747" t="str">
        <x:v>上海银行</x:v>
      </x:c>
      <x:c r="D747" t="str">
        <x:v>2026-06-30</x:v>
      </x:c>
      <x:c r="E747" t="str">
        <x:v>interim</x:v>
      </x:c>
      <x:c r="F747" t="str">
        <x:v>operating_cash_flow</x:v>
      </x:c>
      <x:c r="G747" t="n">
        <x:v>-434193</x:v>
      </x:c>
      <x:c r="H747" t="str">
        <x:v>reported_amount</x:v>
      </x:c>
      <x:c r="I747" t="n">
        <x:v>10</x:v>
      </x:c>
      <x:c r="J747" t="str">
        <x:v>经营活动产生的现金流量净额</x:v>
      </x:c>
      <x:c r="K747" t="str">
        <x:v>candidate_pending_automated_verification</x:v>
      </x:c>
      <x:c r="L747" t="str">
        <x:v>https://static.cninfo.com.cn/finalpage/2026-08-28/1225520748.PDF</x:v>
      </x:c>
      <x:c r="M747" t="str">
        <x:v>fc0bba7e9ac8e64a7688ed56350226ee1daf2e00eaea64a87f74ffd2f31ecd94</x:v>
      </x:c>
      <x:c r="N747" t="str">
        <x:v>7,880
归属于母公司股东的净利润 13,298,558 13,230,678 0.51% 12,968,729
归属于母公司股东的扣除非经常性损益的
净利润 13,333,376 13,243,805 0.68% 12,855,603
经营活动产生的现金流量净额 -434,193 -130,782,033 99.67% -3,770,521
每股计（人民币元/股）
基本每股收益 0.94 0.93 1.08% 0.91
稀释每股收益 0.82 0.82 - 0.82
扣除非经常性损益后的基本每股收益 0.94 0.93 1.08% 0.90
每股经营活动产生的现金流量净额 -0.03 -9.20 99.67% -0.27
资产负债 </x:v>
      </x:c>
    </x:row>
    <x:row r="748">
      <x:c r="A748" t="str">
        <x:v>eddb46bc-8103-4dc6-b579-c2dea3c79afc</x:v>
      </x:c>
      <x:c r="B748" t="str">
        <x:v>600887</x:v>
      </x:c>
      <x:c r="C748" t="str">
        <x:v>伊利股份</x:v>
      </x:c>
      <x:c r="D748" t="str">
        <x:v>2026-06-30</x:v>
      </x:c>
      <x:c r="E748" t="str">
        <x:v>interim</x:v>
      </x:c>
      <x:c r="F748" t="str">
        <x:v>current_portion_long_term_debt</x:v>
      </x:c>
      <x:c r="G748" t="n">
        <x:v>208575822.51</x:v>
      </x:c>
      <x:c r="H748" t="str">
        <x:v>CNY</x:v>
      </x:c>
      <x:c r="I748" t="n">
        <x:v>190</x:v>
      </x:c>
      <x:c r="J748" t="str">
        <x:v>一年内到期的非流动负债</x:v>
      </x:c>
      <x:c r="K748" t="str">
        <x:v>candidate_pending_automated_verification</x:v>
      </x:c>
      <x:c r="L748" t="str">
        <x:v>https://static.cninfo.com.cn/finalpage/2026-08-27/1225511409.PDF</x:v>
      </x:c>
      <x:c r="M748" t="str">
        <x:v>423af4d63f2b620a03ed9d0080adbb063f3ef14d874abeca8097d0e0d1441ac2</x:v>
      </x:c>
      <x:c r="N748" t="str">
        <x:v>应付票据 5,797,854,098.51 5,797,854,098.51
应付账款 13,253,349,365.84 13,253,349,365.84
其他应付款 2,778,035,270.45 2,778,035,270.45
一年内到期的非流动负债 208,575,822.51 208,575,822.51
其他非流动负债 6,678,223.98 6,603,823.61 74,400.37
长期借款 213,260,012.43 212,971,012.43 289,000.00
租赁负债 296,104,097.38 113,908,287.21 95,618,056.82 86,577,753.35
小计 87,432,8</x:v>
      </x:c>
    </x:row>
    <x:row r="749">
      <x:c r="A749" t="str">
        <x:v>a773dc63-f586-476b-9e9b-84d464d99455</x:v>
      </x:c>
      <x:c r="B749" t="str">
        <x:v>600887</x:v>
      </x:c>
      <x:c r="C749" t="str">
        <x:v>伊利股份</x:v>
      </x:c>
      <x:c r="D749" t="str">
        <x:v>2026-06-30</x:v>
      </x:c>
      <x:c r="E749" t="str">
        <x:v>interim</x:v>
      </x:c>
      <x:c r="F749" t="str">
        <x:v>operating_cash_flow</x:v>
      </x:c>
      <x:c r="G749" t="n">
        <x:v>9759147483.18</x:v>
      </x:c>
      <x:c r="H749" t="str">
        <x:v>reported_amount</x:v>
      </x:c>
      <x:c r="I749" t="n">
        <x:v>6</x:v>
      </x:c>
      <x:c r="J749" t="str">
        <x:v>经营活动产生的现金流量净额</x:v>
      </x:c>
      <x:c r="K749" t="str">
        <x:v>candidate_pending_automated_verification</x:v>
      </x:c>
      <x:c r="L749" t="str">
        <x:v>https://static.cninfo.com.cn/finalpage/2026-08-27/1225511409.PDF</x:v>
      </x:c>
      <x:c r="M749" t="str">
        <x:v>423af4d63f2b620a03ed9d0080adbb063f3ef14d874abeca8097d0e0d1441ac2</x:v>
      </x:c>
      <x:c r="N749" t="str">
        <x:v>
归属于上市公司股东的净利润 5,758,628,097.79 7,200,477,611.91 -20.02
归属于上市公司股东的扣除非经常性损益的净利润 5,595,762,517.76 7,016,349,502.87 -20.25
经营活动产生的现金流量净额 9,759,147,483.18 2,964,215,363.27 229.23
本报告期末 上年度末 本报告期末比上年
度末增减(%)
归属于上市公司股东的净资产 53,711,364,981.99 54,655,690,475.89 -1.73
总资产 157,165,308,525.12 152,098,516,632.34 3.33
(二)主要财务指标
主要财务指标 本报告期（1－</x:v>
      </x:c>
    </x:row>
    <x:row r="750">
      <x:c r="A750" t="str">
        <x:v>ddade82c-5f9d-4dd1-af67-c15ee47785be</x:v>
      </x:c>
      <x:c r="B750" t="str">
        <x:v>600887</x:v>
      </x:c>
      <x:c r="C750" t="str">
        <x:v>伊利股份</x:v>
      </x:c>
      <x:c r="D750" t="str">
        <x:v>2026-06-30</x:v>
      </x:c>
      <x:c r="E750" t="str">
        <x:v>interim</x:v>
      </x:c>
      <x:c r="F750" t="str">
        <x:v>net_income</x:v>
      </x:c>
      <x:c r="G750" t="n">
        <x:v>5758628097.79</x:v>
      </x:c>
      <x:c r="H750" t="str">
        <x:v>reported_amount</x:v>
      </x:c>
      <x:c r="I750" t="n">
        <x:v>6</x:v>
      </x:c>
      <x:c r="J750" t="str">
        <x:v>归属于上市公司股东的净利润</x:v>
      </x:c>
      <x:c r="K750" t="str">
        <x:v>candidate_pending_automated_verification</x:v>
      </x:c>
      <x:c r="L750" t="str">
        <x:v>https://static.cninfo.com.cn/finalpage/2026-08-27/1225511409.PDF</x:v>
      </x:c>
      <x:c r="M750" t="str">
        <x:v>423af4d63f2b620a03ed9d0080adbb063f3ef14d874abeca8097d0e0d1441ac2</x:v>
      </x:c>
      <x:c r="N750" t="str">
        <x:v>（1－6月） 上年同期 本报告期比上年同
期增减(%)
营业收入 64,330,936,547.38 61,776,746,682.68 4.13
利润总额 7,314,474,445.37 8,274,286,309.15 -11.60
归属于上市公司股东的净利润 5,758,628,097.79 7,200,477,611.91 -20.02
归属于上市公司股东的扣除非经常性损益的净利润 5,595,762,517.76 7,016,349,502.87 -20.25
经营活动产生的现金流量净额 9,759,147,483.18 2,964,215,363.27 229.23
本报告期末 上年度末 本报告期末比上年
度末增减(%)
归属于上市公司股</x:v>
      </x:c>
    </x:row>
    <x:row r="751">
      <x:c r="A751" t="str">
        <x:v>ee3a8493-97a9-4777-8482-4d7ecdc7947b</x:v>
      </x:c>
      <x:c r="B751" t="str">
        <x:v>600887</x:v>
      </x:c>
      <x:c r="C751" t="str">
        <x:v>伊利股份</x:v>
      </x:c>
      <x:c r="D751" t="str">
        <x:v>2026-06-30</x:v>
      </x:c>
      <x:c r="E751" t="str">
        <x:v>interim</x:v>
      </x:c>
      <x:c r="F751" t="str">
        <x:v>revenue</x:v>
      </x:c>
      <x:c r="G751" t="n">
        <x:v>64330936547.38</x:v>
      </x:c>
      <x:c r="H751" t="str">
        <x:v>reported_amount</x:v>
      </x:c>
      <x:c r="I751" t="n">
        <x:v>6</x:v>
      </x:c>
      <x:c r="J751" t="str">
        <x:v>营业收入</x:v>
      </x:c>
      <x:c r="K751" t="str">
        <x:v>candidate_pending_automated_verification</x:v>
      </x:c>
      <x:c r="L751" t="str">
        <x:v>https://static.cninfo.com.cn/finalpage/2026-08-27/1225511409.PDF</x:v>
      </x:c>
      <x:c r="M751" t="str">
        <x:v>423af4d63f2b620a03ed9d0080adbb063f3ef14d874abeca8097d0e0d1441ac2</x:v>
      </x:c>
      <x:c r="N751" t="str">
        <x:v>A股 上海证券交易所 伊利股份 600887 /
六、其他有关资料
□适用 √不适用
七、公司主要会计数据和财务指标
(一)主要会计数据
单位：元 币种：人民币
主要会计数据 本报告期（1－6月） 上年同期 本报告期比上年同
期增减(%)
营业收入 64,330,936,547.38 61,776,746,682.68 4.13
利润总额 7,314,474,445.37 8,274,286,309.15 -11.60
归属于上市公司股东的净利润 5,758,628,097.79 7,200,477,611.91 -20.02
归属于上市公司股东的扣除非经常性损益的净利润 5,595,762,517.76 7,016,349,502.8</x:v>
      </x:c>
    </x:row>
    <x:row r="752">
      <x:c r="A752" t="str">
        <x:v>33d5779b-475a-4e37-9d2f-ff59a0a16675</x:v>
      </x:c>
      <x:c r="B752" t="str">
        <x:v>600887</x:v>
      </x:c>
      <x:c r="C752" t="str">
        <x:v>伊利股份</x:v>
      </x:c>
      <x:c r="D752" t="str">
        <x:v>2026-06-30</x:v>
      </x:c>
      <x:c r="E752" t="str">
        <x:v>interim</x:v>
      </x:c>
      <x:c r="F752" t="str">
        <x:v>bonds_payable</x:v>
      </x:c>
      <x:c r="G752" t="n">
        <x:v>9043394520.53</x:v>
      </x:c>
      <x:c r="H752" t="str">
        <x:v>CNY</x:v>
      </x:c>
      <x:c r="I752" t="n">
        <x:v>172</x:v>
      </x:c>
      <x:c r="J752" t="str">
        <x:v>应付债券</x:v>
      </x:c>
      <x:c r="K752" t="str">
        <x:v>candidate_pending_automated_verification</x:v>
      </x:c>
      <x:c r="L752" t="str">
        <x:v>https://static.cninfo.com.cn/finalpage/2026-08-27/1225511409.PDF</x:v>
      </x:c>
      <x:c r="M752" t="str">
        <x:v>423af4d63f2b620a03ed9d0080adbb063f3ef14d874abeca8097d0e0d1441ac2</x:v>
      </x:c>
      <x:c r="N752" t="str">
        <x:v>现金变动 非现金变动
短期借款 45,630,626,027.83 51,116,563,513.84 213,873,795.56 32,128,630,172.63 155,240,130.45 64,677,193,034.15
短期应付债券 9,043,394,520.53 89,997,978,888.88 291,037,275.53 99,332,410,684.94
长期借款以及一年
内到期的长期借款 4,735,556,312.05 5,641,340.39 22,564,703.47 4,526,854,645.41 1,464,682.18 235,443,028.32
租赁负债 440,150,845.69 1</x:v>
      </x:c>
    </x:row>
    <x:row r="753">
      <x:c r="A753" t="str">
        <x:v>91d410f2-64d5-4a23-9f12-86aa204ae4b1</x:v>
      </x:c>
      <x:c r="B753" t="str">
        <x:v>600887</x:v>
      </x:c>
      <x:c r="C753" t="str">
        <x:v>伊利股份</x:v>
      </x:c>
      <x:c r="D753" t="str">
        <x:v>2026-06-30</x:v>
      </x:c>
      <x:c r="E753" t="str">
        <x:v>interim</x:v>
      </x:c>
      <x:c r="F753" t="str">
        <x:v>long_term_borrowings</x:v>
      </x:c>
      <x:c r="G753" t="n">
        <x:v>4735556312.05</x:v>
      </x:c>
      <x:c r="H753" t="str">
        <x:v>CNY</x:v>
      </x:c>
      <x:c r="I753" t="n">
        <x:v>172</x:v>
      </x:c>
      <x:c r="J753" t="str">
        <x:v>长期借款</x:v>
      </x:c>
      <x:c r="K753" t="str">
        <x:v>candidate_pending_automated_verification</x:v>
      </x:c>
      <x:c r="L753" t="str">
        <x:v>https://static.cninfo.com.cn/finalpage/2026-08-27/1225511409.PDF</x:v>
      </x:c>
      <x:c r="M753" t="str">
        <x:v>423af4d63f2b620a03ed9d0080adbb063f3ef14d874abeca8097d0e0d1441ac2</x:v>
      </x:c>
      <x:c r="N753" t="str">
        <x:v>55,240,130.45 64,677,193,034.15
短期应付债券 9,043,394,520.53 89,997,978,888.88 291,037,275.53 99,332,410,684.94
长期借款以及一年
内到期的长期借款 4,735,556,312.05 5,641,340.39 22,564,703.47 4,526,854,645.41 1,464,682.18 235,443,028.32
租赁负债 440,150,845.69 119,718,737.67 110,065,376.49 19,650,987.64 430,153,219.23
其他应付款 1,227,387,594.23 433,8</x:v>
      </x:c>
    </x:row>
    <x:row r="754">
      <x:c r="A754" t="str">
        <x:v>ef9345f5-49de-42bc-b8e7-f598bf94ee95</x:v>
      </x:c>
      <x:c r="B754" t="str">
        <x:v>600887</x:v>
      </x:c>
      <x:c r="C754" t="str">
        <x:v>伊利股份</x:v>
      </x:c>
      <x:c r="D754" t="str">
        <x:v>2026-06-30</x:v>
      </x:c>
      <x:c r="E754" t="str">
        <x:v>interim</x:v>
      </x:c>
      <x:c r="F754" t="str">
        <x:v>short_term_borrowings</x:v>
      </x:c>
      <x:c r="G754" t="n">
        <x:v>45630626027.83</x:v>
      </x:c>
      <x:c r="H754" t="str">
        <x:v>CNY</x:v>
      </x:c>
      <x:c r="I754" t="n">
        <x:v>172</x:v>
      </x:c>
      <x:c r="J754" t="str">
        <x:v>短期借款</x:v>
      </x:c>
      <x:c r="K754" t="str">
        <x:v>candidate_pending_automated_verification</x:v>
      </x:c>
      <x:c r="L754" t="str">
        <x:v>https://static.cninfo.com.cn/finalpage/2026-08-27/1225511409.PDF</x:v>
      </x:c>
      <x:c r="M754" t="str">
        <x:v>423af4d63f2b620a03ed9d0080adbb063f3ef14d874abeca8097d0e0d1441ac2</x:v>
      </x:c>
      <x:c r="N754" t="str">
        <x:v>49,816,202.26
支付的其他与筹资活动有关的现金说明：
不适用。
筹资活动产生的各项负债变动情况
√适用 □不适用
单位：元 币种：人民币
项目 期初余额
本期增加 本期减少
期末余额
现金变动 非现金变动 现金变动 非现金变动
短期借款 45,630,626,027.83 51,116,563,513.84 213,873,795.56 32,128,630,172.63 155,240,130.45 64,677,193,034.15
短期应付债券 9,043,394,520.53 89,997,978,888.88 291,037,275.53 99,332,410,684.94
长期借款以及一年
内到期的长期借款 4,</x:v>
      </x:c>
    </x:row>
    <x:row r="755">
      <x:c r="A755" t="str">
        <x:v>446d23a6-fd4d-496d-b54b-85990d64b8a9</x:v>
      </x:c>
      <x:c r="B755" t="str">
        <x:v>600887</x:v>
      </x:c>
      <x:c r="C755" t="str">
        <x:v>伊利股份</x:v>
      </x:c>
      <x:c r="D755" t="str">
        <x:v>2026-06-30</x:v>
      </x:c>
      <x:c r="E755" t="str">
        <x:v>interim</x:v>
      </x:c>
      <x:c r="F755" t="str">
        <x:v>short_term_borrowings</x:v>
      </x:c>
      <x:c r="G755" t="n">
        <x:v>64776847168.89</x:v>
      </x:c>
      <x:c r="H755" t="str">
        <x:v>CNY</x:v>
      </x:c>
      <x:c r="I755" t="n">
        <x:v>190</x:v>
      </x:c>
      <x:c r="J755" t="str">
        <x:v>短期借款</x:v>
      </x:c>
      <x:c r="K755" t="str">
        <x:v>candidate_pending_automated_verification</x:v>
      </x:c>
      <x:c r="L755" t="str">
        <x:v>https://static.cninfo.com.cn/finalpage/2026-08-27/1225511409.PDF</x:v>
      </x:c>
      <x:c r="M755" t="str">
        <x:v>423af4d63f2b620a03ed9d0080adbb063f3ef14d874abeca8097d0e0d1441ac2</x:v>
      </x:c>
      <x:c r="N755" t="str">
        <x:v>内蒙古伊利实业集团股份有限公司2026年半年度报告
187 / 215
项目
2026 年 6月 30日
未折现合同金额合计 1 年以内 1-2 年 2-5 年 5年以上
短期借款 64,776,847,168.89 64,776,847,168.89
衍生金融负债 102,183,764.90 102,183,764.90
应付票据 5,797,854,098.51 5,797,854,098.51
应付账款 13,253,349,365.84 13,253,349,365.84
其他应付款 2,778,035,270.45 2,778,035,270.45
一年内到</x:v>
      </x:c>
    </x:row>
    <x:row r="756">
      <x:c r="A756" t="str">
        <x:v>3dfac1f4-3b8e-4ddb-b608-de8d197beba6</x:v>
      </x:c>
      <x:c r="B756" t="str">
        <x:v>600887</x:v>
      </x:c>
      <x:c r="C756" t="str">
        <x:v>伊利股份</x:v>
      </x:c>
      <x:c r="D756" t="str">
        <x:v>2026-06-30</x:v>
      </x:c>
      <x:c r="E756" t="str">
        <x:v>interim</x:v>
      </x:c>
      <x:c r="F756" t="str">
        <x:v>bonds_payable</x:v>
      </x:c>
      <x:c r="G756" t="n">
        <x:v>9043394520.53</x:v>
      </x:c>
      <x:c r="H756" t="str">
        <x:v>CNY</x:v>
      </x:c>
      <x:c r="I756" t="n">
        <x:v>153</x:v>
      </x:c>
      <x:c r="J756" t="str">
        <x:v>应付债券</x:v>
      </x:c>
      <x:c r="K756" t="str">
        <x:v>candidate_pending_automated_verification</x:v>
      </x:c>
      <x:c r="L756" t="str">
        <x:v>https://static.cninfo.com.cn/finalpage/2026-08-27/1225511409.PDF</x:v>
      </x:c>
      <x:c r="M756" t="str">
        <x:v>423af4d63f2b620a03ed9d0080adbb063f3ef14d874abeca8097d0e0d1441ac2</x:v>
      </x:c>
      <x:c r="N756" t="str">
        <x:v>198,403,015.33 4,414,707,476.52
其他说明：
一年内到期的非流动负债减少主要原因：本期偿还一年内到期的长期借款所致。
44、其他流动负债
√适用 □不适用
单位：元 币种：人民币
项目 期末余额 期初余额
短期应付债券 9,043,394,520.53
应付退货款 42,138,454.44 30,328,690.93
未到期责任准备金 14,795,648.43 17,944,237.20
担保赔偿准备金 154,851,142.62 167,343,860.35
待转销项税 566,943,657.74 1,186,797,761.13
合计 778,728,903.23 10,445,809,070</x:v>
      </x:c>
    </x:row>
    <x:row r="757">
      <x:c r="A757" t="str">
        <x:v>d6b974f2-b2f9-4baa-a23b-f8cb0d69fbae</x:v>
      </x:c>
      <x:c r="B757" t="str">
        <x:v>600887</x:v>
      </x:c>
      <x:c r="C757" t="str">
        <x:v>伊利股份</x:v>
      </x:c>
      <x:c r="D757" t="str">
        <x:v>2026-06-30</x:v>
      </x:c>
      <x:c r="E757" t="str">
        <x:v>interim</x:v>
      </x:c>
      <x:c r="F757" t="str">
        <x:v>long_term_borrowings</x:v>
      </x:c>
      <x:c r="G757" t="n">
        <x:v>37735339.08</x:v>
      </x:c>
      <x:c r="H757" t="str">
        <x:v>CNY</x:v>
      </x:c>
      <x:c r="I757" t="n">
        <x:v>153</x:v>
      </x:c>
      <x:c r="J757" t="str">
        <x:v>长期借款</x:v>
      </x:c>
      <x:c r="K757" t="str">
        <x:v>candidate_pending_automated_verification</x:v>
      </x:c>
      <x:c r="L757" t="str">
        <x:v>https://static.cninfo.com.cn/finalpage/2026-08-27/1225511409.PDF</x:v>
      </x:c>
      <x:c r="M757" t="str">
        <x:v>423af4d63f2b620a03ed9d0080adbb063f3ef14d874abeca8097d0e0d1441ac2</x:v>
      </x:c>
      <x:c r="N757" t="str">
        <x:v>内蒙古伊利实业集团股份有限公司2026年半年度报告
150 / 215
42、持有待售负债
□适用 √不适用
43、一年内到期的非流动负债
√适用 □不适用
单位：元 币种：人民币
项目 期末余额 期初余额
一年内到期的长期借款 37,735,339.08 4,263,076,679.33
一年内到期的应付债券
一年内到期的长期应付款
一年内到期的租赁负债 160,667,676.25 151,630,797.19
合计 198,403,015.33 4,414,707,476.52
其他说明：
一年内到期的非流动负债减少主要原因：本期偿还一年内到期的长期借款所致。
44、其他流动负债
√适用 □不适用
单位</x:v>
      </x:c>
    </x:row>
    <x:row r="758">
      <x:c r="A758" t="str">
        <x:v>1a174bb7-d5cc-4dab-8cb2-406675a5393b</x:v>
      </x:c>
      <x:c r="B758" t="str">
        <x:v>600887</x:v>
      </x:c>
      <x:c r="C758" t="str">
        <x:v>伊利股份</x:v>
      </x:c>
      <x:c r="D758" t="str">
        <x:v>2026-06-30</x:v>
      </x:c>
      <x:c r="E758" t="str">
        <x:v>interim</x:v>
      </x:c>
      <x:c r="F758" t="str">
        <x:v>cash</x:v>
      </x:c>
      <x:c r="G758" t="n">
        <x:v>3538890.48</x:v>
      </x:c>
      <x:c r="H758" t="str">
        <x:v>CNY</x:v>
      </x:c>
      <x:c r="I758" t="n">
        <x:v>174</x:v>
      </x:c>
      <x:c r="J758" t="str">
        <x:v>货币资金</x:v>
      </x:c>
      <x:c r="K758" t="str">
        <x:v>candidate_pending_automated_verification</x:v>
      </x:c>
      <x:c r="L758" t="str">
        <x:v>https://static.cninfo.com.cn/finalpage/2026-08-27/1225511409.PDF</x:v>
      </x:c>
      <x:c r="M758" t="str">
        <x:v>423af4d63f2b620a03ed9d0080adbb063f3ef14d874abeca8097d0e0d1441ac2</x:v>
      </x:c>
      <x:c r="N758" t="str">
        <x:v>914,277,571.64 17,677,587,920.54
其中：库存现金 38,145.46 72,906.60
可随时用于支付的银行存款 10,838,069,789.02 13,561,783,492.82
可随时用于支付的其他货币资金 3,538,890.48 5,553,335.37
可用于支付的存放中央银行款项
存放同业款项 3,072,630,746.68 4,110,178,185.75
拆放同业款项
二、现金等价物
其中：三个月内到期的债券投资
三、期末现金及现金等价物余额 13,914,277,571.64 17,677,587,920.54
其中：母公司或集团内子公司使用受限制的现金和现金等价物
(</x:v>
      </x:c>
    </x:row>
    <x:row r="759">
      <x:c r="A759" t="str">
        <x:v>a8f9679a-4c92-4e8e-98ac-c5d3ed448d3e</x:v>
      </x:c>
      <x:c r="B759" t="str">
        <x:v>600887</x:v>
      </x:c>
      <x:c r="C759" t="str">
        <x:v>伊利股份</x:v>
      </x:c>
      <x:c r="D759" t="str">
        <x:v>2026-06-30</x:v>
      </x:c>
      <x:c r="E759" t="str">
        <x:v>interim</x:v>
      </x:c>
      <x:c r="F759" t="str">
        <x:v>cash</x:v>
      </x:c>
      <x:c r="G759" t="n">
        <x:v>2695611403.2</x:v>
      </x:c>
      <x:c r="H759" t="str">
        <x:v>CNY</x:v>
      </x:c>
      <x:c r="I759" t="n">
        <x:v>110</x:v>
      </x:c>
      <x:c r="J759" t="str">
        <x:v>货币资金</x:v>
      </x:c>
      <x:c r="K759" t="str">
        <x:v>candidate_pending_automated_verification</x:v>
      </x:c>
      <x:c r="L759" t="str">
        <x:v>https://static.cninfo.com.cn/finalpage/2026-08-27/1225511409.PDF</x:v>
      </x:c>
      <x:c r="M759" t="str">
        <x:v>423af4d63f2b620a03ed9d0080adbb063f3ef14d874abeca8097d0e0d1441ac2</x:v>
      </x:c>
      <x:c r="N759" t="str">
        <x:v>币
项目 期末余额 期初余额
库存现金 38,145.46 72,906.60
银行存款 13,921,092,741.67 17,688,113,390.25
其中：未到期应收利息 5,980,590.31 6,488,935.61
其他货币资金 2,695,611,403.20 1,806,734,061.15
合计 16,616,742,290.33 19,494,920,358.00
其中：存放在境外的款项总额 1,032,916,504.70 1,054,334,932.18
其他说明
其他货币资金明细如下：
单位：元 币种：人民币
项目 期末余额 期初余额
在途资金 2,293,137.09 5,223,410.33</x:v>
      </x:c>
    </x:row>
    <x:row r="760">
      <x:c r="A760" t="str">
        <x:v>b279a513-ea61-48b8-949c-63e6eb05eb0f</x:v>
      </x:c>
      <x:c r="B760" t="str">
        <x:v>600887</x:v>
      </x:c>
      <x:c r="C760" t="str">
        <x:v>伊利股份</x:v>
      </x:c>
      <x:c r="D760" t="str">
        <x:v>2026-06-30</x:v>
      </x:c>
      <x:c r="E760" t="str">
        <x:v>interim</x:v>
      </x:c>
      <x:c r="F760" t="str">
        <x:v>operating_cash_flow</x:v>
      </x:c>
      <x:c r="G760" t="n">
        <x:v>9759147483.18</x:v>
      </x:c>
      <x:c r="H760" t="str">
        <x:v>CNY</x:v>
      </x:c>
      <x:c r="I760" t="n">
        <x:v>55</x:v>
      </x:c>
      <x:c r="J760" t="str">
        <x:v>经营活动产生的现金流量净额</x:v>
      </x:c>
      <x:c r="K760" t="str">
        <x:v>candidate_pending_automated_verification</x:v>
      </x:c>
      <x:c r="L760" t="str">
        <x:v>https://static.cninfo.com.cn/finalpage/2026-08-27/1225511409.PDF</x:v>
      </x:c>
      <x:c r="M760" t="str">
        <x:v>423af4d63f2b620a03ed9d0080adbb063f3ef14d874abeca8097d0e0d1441ac2</x:v>
      </x:c>
      <x:c r="N760" t="str">
        <x:v>5 4,253,644,261.01
支付其他与经营活动有关的现金 七（79）1 894,827,231.33 1,073,729,531.50
经营活动现金流出小计 55,677,783,712.19 58,595,698,336.52
经营活动产生的现金流量净额 9,759,147,483.18 2,964,215,363.27</x:v>
      </x:c>
    </x:row>
    <x:row r="761">
      <x:c r="A761" t="str">
        <x:v>ef2eea6d-afd2-455c-a9b3-49f39ee7511a</x:v>
      </x:c>
      <x:c r="B761" t="str">
        <x:v>600887</x:v>
      </x:c>
      <x:c r="C761" t="str">
        <x:v>伊利股份</x:v>
      </x:c>
      <x:c r="D761" t="str">
        <x:v>2026-06-30</x:v>
      </x:c>
      <x:c r="E761" t="str">
        <x:v>interim</x:v>
      </x:c>
      <x:c r="F761" t="str">
        <x:v>long_term_borrowings</x:v>
      </x:c>
      <x:c r="G761" t="n">
        <x:v>213260012.43</x:v>
      </x:c>
      <x:c r="H761" t="str">
        <x:v>CNY</x:v>
      </x:c>
      <x:c r="I761" t="n">
        <x:v>190</x:v>
      </x:c>
      <x:c r="J761" t="str">
        <x:v>长期借款</x:v>
      </x:c>
      <x:c r="K761" t="str">
        <x:v>candidate_pending_automated_verification</x:v>
      </x:c>
      <x:c r="L761" t="str">
        <x:v>https://static.cninfo.com.cn/finalpage/2026-08-27/1225511409.PDF</x:v>
      </x:c>
      <x:c r="M761" t="str">
        <x:v>423af4d63f2b620a03ed9d0080adbb063f3ef14d874abeca8097d0e0d1441ac2</x:v>
      </x:c>
      <x:c r="N761" t="str">
        <x:v>2,778,035,270.45 2,778,035,270.45
一年内到期的非流动负债 208,575,822.51 208,575,822.51
其他非流动负债 6,678,223.98 6,603,823.61 74,400.37
长期借款 213,260,012.43 212,971,012.43 289,000.00
租赁负债 296,104,097.38 113,908,287.21 95,618,056.82 86,577,753.35
小计 87,432,887,824.89 86,916,845,491.10 120,512,110.82 308,589,069.25 86,941,153.72
续：
单位：元</x:v>
      </x:c>
    </x:row>
    <x:row r="762">
      <x:c r="A762" t="str">
        <x:v>26882eed-8436-4dac-a830-6d3d1e5f1122</x:v>
      </x:c>
      <x:c r="B762" t="str">
        <x:v>601166</x:v>
      </x:c>
      <x:c r="C762" t="str">
        <x:v>兴业银行</x:v>
      </x:c>
      <x:c r="D762" t="str">
        <x:v>2026-06-30</x:v>
      </x:c>
      <x:c r="E762" t="str">
        <x:v>interim</x:v>
      </x:c>
      <x:c r="F762" t="str">
        <x:v>bonds_payable</x:v>
      </x:c>
      <x:c r="G762" t="n">
        <x:v>935254</x:v>
      </x:c>
      <x:c r="H762" t="str">
        <x:v>CNY</x:v>
      </x:c>
      <x:c r="I762" t="n">
        <x:v>128</x:v>
      </x:c>
      <x:c r="J762" t="str">
        <x:v>应付债券</x:v>
      </x:c>
      <x:c r="K762" t="str">
        <x:v>candidate_pending_automated_verification</x:v>
      </x:c>
      <x:c r="L762" t="str">
        <x:v>https://static.cninfo.com.cn/finalpage/2026-08-28/1225518025.PDF</x:v>
      </x:c>
      <x:c r="M762" t="str">
        <x:v>afe49e38cec7f11a903bc62a538b8babd86547ac7eb6847838505aaf9318fc5c</x:v>
      </x:c>
      <x:c r="N762" t="str">
        <x:v>工薪酬 18 39,619   39,534   37,502   37,221 
应交税费 19 5,347   6,659   4,520   4,526 
预计负债 20 8,201   7,588   8,187   7,574 
应付债券 21 935,254   937,816   902,853   909,219 
租赁负债   8,254   8,702   7,443   8,591 
递延所得税负债 11 316   204   191   80 
其他负债 22 60,909   41,542   32,878   19,595 
负债合计   10,500,1</x:v>
      </x:c>
    </x:row>
    <x:row r="763">
      <x:c r="A763" t="str">
        <x:v>9b350083-5ab5-468c-9362-b150cc692b40</x:v>
      </x:c>
      <x:c r="B763" t="str">
        <x:v>601166</x:v>
      </x:c>
      <x:c r="C763" t="str">
        <x:v>兴业银行</x:v>
      </x:c>
      <x:c r="D763" t="str">
        <x:v>2026-06-30</x:v>
      </x:c>
      <x:c r="E763" t="str">
        <x:v>interim</x:v>
      </x:c>
      <x:c r="F763" t="str">
        <x:v>bonds_payable</x:v>
      </x:c>
      <x:c r="G763" t="n">
        <x:v>935254</x:v>
      </x:c>
      <x:c r="H763" t="str">
        <x:v>CNY</x:v>
      </x:c>
      <x:c r="I763" t="n">
        <x:v>264</x:v>
      </x:c>
      <x:c r="J763" t="str">
        <x:v>应付债券</x:v>
      </x:c>
      <x:c r="K763" t="str">
        <x:v>candidate_pending_automated_verification</x:v>
      </x:c>
      <x:c r="L763" t="str">
        <x:v>https://static.cninfo.com.cn/finalpage/2026-08-28/1225518025.PDF</x:v>
      </x:c>
      <x:c r="M763" t="str">
        <x:v>afe49e38cec7f11a903bc62a538b8babd86547ac7eb6847838505aaf9318fc5c</x:v>
      </x:c>
      <x:c r="N763" t="str">
        <x:v>                 
金融资产合计 1,748,030   1,804,969   -   1,346,861   458,108 
金融负债：                   
应付债券 935,254   907,568   -   907,568   - 
金融负债合计 935,254   907,568   -   907,568   - 
  2025 年 12 月 31 日 
  账面价值   公允价值   第一层次   第二层次   第三层次 
       </x:v>
      </x:c>
    </x:row>
    <x:row r="764">
      <x:c r="A764" t="str">
        <x:v>e326ceb4-6a9a-4fd6-b807-4b8f22890a02</x:v>
      </x:c>
      <x:c r="B764" t="str">
        <x:v>601166</x:v>
      </x:c>
      <x:c r="C764" t="str">
        <x:v>兴业银行</x:v>
      </x:c>
      <x:c r="D764" t="str">
        <x:v>2026-06-30</x:v>
      </x:c>
      <x:c r="E764" t="str">
        <x:v>interim</x:v>
      </x:c>
      <x:c r="F764" t="str">
        <x:v>bonds_payable</x:v>
      </x:c>
      <x:c r="G764" t="n">
        <x:v>926947</x:v>
      </x:c>
      <x:c r="H764" t="str">
        <x:v>CNY</x:v>
      </x:c>
      <x:c r="I764" t="n">
        <x:v>253</x:v>
      </x:c>
      <x:c r="J764" t="str">
        <x:v>应付债券</x:v>
      </x:c>
      <x:c r="K764" t="str">
        <x:v>candidate_pending_automated_verification</x:v>
      </x:c>
      <x:c r="L764" t="str">
        <x:v>https://static.cninfo.com.cn/finalpage/2026-08-28/1225518025.PDF</x:v>
      </x:c>
      <x:c r="M764" t="str">
        <x:v>afe49e38cec7f11a903bc62a538b8babd86547ac7eb6847838505aaf9318fc5c</x:v>
      </x:c>
      <x:c r="N764" t="str">
        <x:v>30,951   7,167   155   38,273 
卖出回购金融资产款 358,198   5,501   -   363,699 
吸收存款 5,722,161   188,690   109,955   6,020,806 
应付债券 926,947   10,459   410   937,816 
租赁负债 8,285   274   143   8,702 
其他负债 31,245   969   216   32,430 
金融负债合计 9,518,910   458,642   139,961   10,117,513 
金融</x:v>
      </x:c>
    </x:row>
    <x:row r="765">
      <x:c r="A765" t="str">
        <x:v>73a17e1b-60ea-49b1-b11e-9964bbc8ae4c</x:v>
      </x:c>
      <x:c r="B765" t="str">
        <x:v>601166</x:v>
      </x:c>
      <x:c r="C765" t="str">
        <x:v>兴业银行</x:v>
      </x:c>
      <x:c r="D765" t="str">
        <x:v>2026-06-30</x:v>
      </x:c>
      <x:c r="E765" t="str">
        <x:v>interim</x:v>
      </x:c>
      <x:c r="F765" t="str">
        <x:v>bonds_payable</x:v>
      </x:c>
      <x:c r="G765" t="n">
        <x:v>914953</x:v>
      </x:c>
      <x:c r="H765" t="str">
        <x:v>CNY</x:v>
      </x:c>
      <x:c r="I765" t="n">
        <x:v>252</x:v>
      </x:c>
      <x:c r="J765" t="str">
        <x:v>应付债券</x:v>
      </x:c>
      <x:c r="K765" t="str">
        <x:v>candidate_pending_automated_verification</x:v>
      </x:c>
      <x:c r="L765" t="str">
        <x:v>https://static.cninfo.com.cn/finalpage/2026-08-28/1225518025.PDF</x:v>
      </x:c>
      <x:c r="M765" t="str">
        <x:v>afe49e38cec7f11a903bc62a538b8babd86547ac7eb6847838505aaf9318fc5c</x:v>
      </x:c>
      <x:c r="N765" t="str">
        <x:v>1   6,743   281   49,975 
卖出回购金融资产款 265,095   15,234   9,667   289,996 
吸收存款 5,998,352   178,949   136,477   6,313,778 
应付债券 914,953   15,874   4,427   935,254 
租赁负债 7,904   246   104   8,254 
其他负债 48,630   1,416   132   50,178 
金融负债合计 9,801,332   463,851   170,720   10,435,903 
               </x:v>
      </x:c>
    </x:row>
    <x:row r="766">
      <x:c r="A766" t="str">
        <x:v>85421123-8398-497d-a9e6-b6d1aecccf52</x:v>
      </x:c>
      <x:c r="B766" t="str">
        <x:v>601166</x:v>
      </x:c>
      <x:c r="C766" t="str">
        <x:v>兴业银行</x:v>
      </x:c>
      <x:c r="D766" t="str">
        <x:v>2026-06-30</x:v>
      </x:c>
      <x:c r="E766" t="str">
        <x:v>interim</x:v>
      </x:c>
      <x:c r="F766" t="str">
        <x:v>bonds_payable</x:v>
      </x:c>
      <x:c r="G766" t="n">
        <x:v>292980</x:v>
      </x:c>
      <x:c r="H766" t="str">
        <x:v>CNY</x:v>
      </x:c>
      <x:c r="I766" t="n">
        <x:v>250</x:v>
      </x:c>
      <x:c r="J766" t="str">
        <x:v>应付债券</x:v>
      </x:c>
      <x:c r="K766" t="str">
        <x:v>candidate_pending_automated_verification</x:v>
      </x:c>
      <x:c r="L766" t="str">
        <x:v>https://static.cninfo.com.cn/finalpage/2026-08-28/1225518025.PDF</x:v>
      </x:c>
      <x:c r="M766" t="str">
        <x:v>afe49e38cec7f11a903bc62a538b8babd86547ac7eb6847838505aaf9318fc5c</x:v>
      </x:c>
      <x:c r="N766" t="str">
        <x:v>38,273 
卖出回购金融资产款 344,576   19,123   -   -   -   363,699 
吸收存款 3,213,377   1,164,596   1,642,517   9   307   6,020,806 
应付债券 292,980   412,384   227,435   5,017   -   937,816 
租赁负债 672   1,765   5,233   1,026   6   8,702 
其他负债 2,901   138   -   -   29,391   32,430 
金融负债合计 5,536,823   2,</x:v>
      </x:c>
    </x:row>
    <x:row r="767">
      <x:c r="A767" t="str">
        <x:v>bac47bae-5bb5-400c-9d86-8623fa073cf2</x:v>
      </x:c>
      <x:c r="B767" t="str">
        <x:v>601166</x:v>
      </x:c>
      <x:c r="C767" t="str">
        <x:v>兴业银行</x:v>
      </x:c>
      <x:c r="D767" t="str">
        <x:v>2026-06-30</x:v>
      </x:c>
      <x:c r="E767" t="str">
        <x:v>interim</x:v>
      </x:c>
      <x:c r="F767" t="str">
        <x:v>bonds_payable</x:v>
      </x:c>
      <x:c r="G767" t="n">
        <x:v>243377</x:v>
      </x:c>
      <x:c r="H767" t="str">
        <x:v>CNY</x:v>
      </x:c>
      <x:c r="I767" t="n">
        <x:v>249</x:v>
      </x:c>
      <x:c r="J767" t="str">
        <x:v>应付债券</x:v>
      </x:c>
      <x:c r="K767" t="str">
        <x:v>candidate_pending_automated_verification</x:v>
      </x:c>
      <x:c r="L767" t="str">
        <x:v>https://static.cninfo.com.cn/finalpage/2026-08-28/1225518025.PDF</x:v>
      </x:c>
      <x:c r="M767" t="str">
        <x:v>afe49e38cec7f11a903bc62a538b8babd86547ac7eb6847838505aaf9318fc5c</x:v>
      </x:c>
      <x:c r="N767" t="str">
        <x:v>,975 
卖出回购金融资产款 257,435   32,561   -   -   -   289,996 
吸收存款 3,346,082   1,297,353   1,668,051   9   2,283   6,313,778 
应付债券 243,377   412,135   274,481   5,261   -   935,254 
租赁负债 630   1,747   5,152   719   6   8,254 
其他负债 3,913   212   -   -   46,053   50,178 
金融负债合计 5,757,184   2,58</x:v>
      </x:c>
    </x:row>
    <x:row r="768">
      <x:c r="A768" t="str">
        <x:v>adb0452f-8653-4995-9e63-29e5f6c9ad03</x:v>
      </x:c>
      <x:c r="B768" t="str">
        <x:v>601166</x:v>
      </x:c>
      <x:c r="C768" t="str">
        <x:v>兴业银行</x:v>
      </x:c>
      <x:c r="D768" t="str">
        <x:v>2026-06-30</x:v>
      </x:c>
      <x:c r="E768" t="str">
        <x:v>interim</x:v>
      </x:c>
      <x:c r="F768" t="str">
        <x:v>roe</x:v>
      </x:c>
      <x:c r="G768" t="n">
        <x:v>4.79</x:v>
      </x:c>
      <x:c r="H768" t="str">
        <x:v>percent</x:v>
      </x:c>
      <x:c r="I768" t="n">
        <x:v>11</x:v>
      </x:c>
      <x:c r="J768" t="str">
        <x:v>加权平均净资产收益率</x:v>
      </x:c>
      <x:c r="K768" t="str">
        <x:v>candidate_pending_automated_verification</x:v>
      </x:c>
      <x:c r="L768" t="str">
        <x:v>https://static.cninfo.com.cn/finalpage/2026-08-28/1225518025.PDF</x:v>
      </x:c>
      <x:c r="M768" t="str">
        <x:v>afe49e38cec7f11a903bc62a538b8babd86547ac7eb6847838505aaf9318fc5c</x:v>
      </x:c>
      <x:c r="N768" t="str">
        <x:v>基本每股收益
1.86 1.90 (2.11) 1.92
每股经营活动产生的现
金流量净额
(0.35) (3.74) 上年同期为负 (13.88)
盈利能力指标（%）
总资产收益率 0.37 0.41 下降 0.04 个百分点 0.42
加权平均净资产收益率 4.79 5.06 下降 0.27 个百分点 5.50
扣除非经常性损益后的
加权平均净资产收益率
4.75 5.02 下降 0.27 个百分点 5.46
净利差 1.41 1.51 下降 10BP 1.59
净息差 1.60 1.75 下降 15BP 1.86
成本收入比 25.60 25.89 下降 0.29 个百分点 25.41
注：基本每股收益、稀释每股收益</x:v>
      </x:c>
    </x:row>
    <x:row r="769">
      <x:c r="A769" t="str">
        <x:v>887b8a87-ab60-457a-beab-5de150eeae49</x:v>
      </x:c>
      <x:c r="B769" t="str">
        <x:v>601166</x:v>
      </x:c>
      <x:c r="C769" t="str">
        <x:v>兴业银行</x:v>
      </x:c>
      <x:c r="D769" t="str">
        <x:v>2026-06-30</x:v>
      </x:c>
      <x:c r="E769" t="str">
        <x:v>interim</x:v>
      </x:c>
      <x:c r="F769" t="str">
        <x:v>eps_annual</x:v>
      </x:c>
      <x:c r="G769" t="n">
        <x:v>1.88</x:v>
      </x:c>
      <x:c r="H769" t="str">
        <x:v>CNY/share</x:v>
      </x:c>
      <x:c r="I769" t="n">
        <x:v>11</x:v>
      </x:c>
      <x:c r="J769" t="str">
        <x:v>基本每股收益</x:v>
      </x:c>
      <x:c r="K769" t="str">
        <x:v>candidate_pending_automated_verification</x:v>
      </x:c>
      <x:c r="L769" t="str">
        <x:v>https://static.cninfo.com.cn/finalpage/2026-08-28/1225518025.PDF</x:v>
      </x:c>
      <x:c r="M769" t="str">
        <x:v>afe49e38cec7f11a903bc62a538b8babd86547ac7eb6847838505aaf9318fc5c</x:v>
      </x:c>
      <x:c r="N769" t="str">
        <x:v>66) 43,049
归属于母公司股东扣除
非经常性损益的净利润
40,780 42,840 (4.81) 42,768
经营活动产生的现金流
量净额
(7,309) (77,951) 上年同期为负 (288,440)
每股计（人民币元）
基本每股收益 1.88 1.91 (1.57) 1.94
稀释每股收益 1.75 1.76 (0.57) 1.78
扣除非经常性损益后的
基本每股收益
1.86 1.90 (2.11) 1.92
每股经营活动产生的现
金流量净额
(0.35) (3.74) 上年同期为负 (13.88)
盈利能力指标（%）
总资产收益率 0.37 0.41 下降 0.04 个百分点 0.42
加权</x:v>
      </x:c>
    </x:row>
    <x:row r="770">
      <x:c r="A770" t="str">
        <x:v>ebd55dd5-8b84-48b5-8378-1b28d4049e65</x:v>
      </x:c>
      <x:c r="B770" t="str">
        <x:v>601166</x:v>
      </x:c>
      <x:c r="C770" t="str">
        <x:v>兴业银行</x:v>
      </x:c>
      <x:c r="D770" t="str">
        <x:v>2026-06-30</x:v>
      </x:c>
      <x:c r="E770" t="str">
        <x:v>interim</x:v>
      </x:c>
      <x:c r="F770" t="str">
        <x:v>revenue</x:v>
      </x:c>
      <x:c r="G770" t="n">
        <x:v>110177</x:v>
      </x:c>
      <x:c r="H770" t="str">
        <x:v>reported_amount</x:v>
      </x:c>
      <x:c r="I770" t="n">
        <x:v>11</x:v>
      </x:c>
      <x:c r="J770" t="str">
        <x:v>营业收入</x:v>
      </x:c>
      <x:c r="K770" t="str">
        <x:v>candidate_pending_automated_verification</x:v>
      </x:c>
      <x:c r="L770" t="str">
        <x:v>https://static.cninfo.com.cn/finalpage/2026-08-28/1225518025.PDF</x:v>
      </x:c>
      <x:c r="M770" t="str">
        <x:v>afe49e38cec7f11a903bc62a538b8babd86547ac7eb6847838505aaf9318fc5c</x:v>
      </x:c>
      <x:c r="N770" t="str">
        <x:v>兴业银行 2026年半年度报告 | 财务摘要
10
第二章 财务摘要
2.1 主要会计数据和财务指标
单位：人民币百万元
项目
2026 年
1-6月
2025 年
1-6月
本期较上年同期增减
(%)
2024 年
1-6月
经营业绩
营业收入 110,177 110,458 (0.25) 113,043
利息净收入 72,804 73,755 (1.29) 74,891
非利息净收入 37,373 36,703 1.83 38,152
营业利润 48,315 50,502 (4.33) 48,864
利润总额 48,372 50,558 (4.32) 48,942
归属于母公司股东的净
利润
41,131 43</x:v>
      </x:c>
    </x:row>
    <x:row r="771">
      <x:c r="A771" t="str">
        <x:v>f4669950-d8cf-4b9b-b22a-8bc4f69387d8</x:v>
      </x:c>
      <x:c r="B771" t="str">
        <x:v>601628</x:v>
      </x:c>
      <x:c r="C771" t="str">
        <x:v>中国人寿</x:v>
      </x:c>
      <x:c r="D771" t="str">
        <x:v>2026-06-30</x:v>
      </x:c>
      <x:c r="E771" t="str">
        <x:v>interim</x:v>
      </x:c>
      <x:c r="F771" t="str">
        <x:v>bonds_payable</x:v>
      </x:c>
      <x:c r="G771" t="n">
        <x:v>35569</x:v>
      </x:c>
      <x:c r="H771" t="str">
        <x:v>CNY</x:v>
      </x:c>
      <x:c r="I771" t="n">
        <x:v>46</x:v>
      </x:c>
      <x:c r="J771" t="str">
        <x:v>应付债券</x:v>
      </x:c>
      <x:c r="K771" t="str">
        <x:v>candidate_pending_automated_verification</x:v>
      </x:c>
      <x:c r="L771" t="str">
        <x:v>https://static.cninfo.com.cn/finalpage/2026-08-28/1225516873.PDF</x:v>
      </x:c>
      <x:c r="M771" t="str">
        <x:v>b094bf337309e30564dda86ff4b3c4d66aeeb37ce0357a3568e246569f0e2943</x:v>
      </x:c>
      <x:c r="N771" t="str">
        <x:v>债及股东权益 附注八 （未经审计） （经审计）
负债：
 卖出回购金融资产款 211,071 311,657
 预收保费 2,532 48,227
 应付职工薪酬 10,906 12,082
 应交税费 1,214 1,651
 应付债券 35,569 35,195
 保险合同负债 6,910,741 6,376,114
 分出再保险合同负债 186 312
 租赁负债 1,071 1,261
 其他负债 46,199 25,385
负债合计 7,219,489 6,811,884
股东权益：
 股本 28,265 28,265
 资本公积 53,135 53,124
 其他综合收益 9 (2</x:v>
      </x:c>
    </x:row>
    <x:row r="772">
      <x:c r="A772" t="str">
        <x:v>97cac298-867b-4ce0-9eab-7be522cffa3d</x:v>
      </x:c>
      <x:c r="B772" t="str">
        <x:v>601628</x:v>
      </x:c>
      <x:c r="C772" t="str">
        <x:v>中国人寿</x:v>
      </x:c>
      <x:c r="D772" t="str">
        <x:v>2026-06-30</x:v>
      </x:c>
      <x:c r="E772" t="str">
        <x:v>interim</x:v>
      </x:c>
      <x:c r="F772" t="str">
        <x:v>cash</x:v>
      </x:c>
      <x:c r="G772" t="n">
        <x:v>135906</x:v>
      </x:c>
      <x:c r="H772" t="str">
        <x:v>CNY</x:v>
      </x:c>
      <x:c r="I772" t="n">
        <x:v>45</x:v>
      </x:c>
      <x:c r="J772" t="str">
        <x:v>货币资金</x:v>
      </x:c>
      <x:c r="K772" t="str">
        <x:v>candidate_pending_automated_verification</x:v>
      </x:c>
      <x:c r="L772" t="str">
        <x:v>https://static.cninfo.com.cn/finalpage/2026-08-28/1225516873.PDF</x:v>
      </x:c>
      <x:c r="M772" t="str">
        <x:v>b094bf337309e30564dda86ff4b3c4d66aeeb37ce0357a3568e246569f0e2943</x:v>
      </x:c>
      <x:c r="N772" t="str">
        <x:v>2026年6月30日公司资产负债表
（除特别注明外，金额单位为人民币百万元）
二零二六年半年度报告 | 财务报告
43
2026年6月30日 2025年12月31日
资产 附注八 （未经审计） （经审计）
资产：
 货币资金 1 135,906 135,927
 买入返售金融资产 2 7,066 48,215
 定期存款 3 399,130 372,258
 交易性金融资产 4 1,795,956 1,772,784
 其他债权投资 5 4,366,645 4,070,567
 其他权益工具投资 6 449,476 296,439
 分出再保险合同资产 29,233 30,014
 长期股权投资 </x:v>
      </x:c>
    </x:row>
    <x:row r="773">
      <x:c r="A773" t="str">
        <x:v>ff223d9e-b514-432b-8f66-fceb52f3c0c2</x:v>
      </x:c>
      <x:c r="B773" t="str">
        <x:v>601628</x:v>
      </x:c>
      <x:c r="C773" t="str">
        <x:v>中国人寿</x:v>
      </x:c>
      <x:c r="D773" t="str">
        <x:v>2026-06-30</x:v>
      </x:c>
      <x:c r="E773" t="str">
        <x:v>interim</x:v>
      </x:c>
      <x:c r="F773" t="str">
        <x:v>bonds_payable</x:v>
      </x:c>
      <x:c r="G773" t="n">
        <x:v>35569</x:v>
      </x:c>
      <x:c r="H773" t="str">
        <x:v>CNY</x:v>
      </x:c>
      <x:c r="I773" t="n">
        <x:v>44</x:v>
      </x:c>
      <x:c r="J773" t="str">
        <x:v>应付债券</x:v>
      </x:c>
      <x:c r="K773" t="str">
        <x:v>candidate_pending_automated_verification</x:v>
      </x:c>
      <x:c r="L773" t="str">
        <x:v>https://static.cninfo.com.cn/finalpage/2026-08-28/1225516873.PDF</x:v>
      </x:c>
      <x:c r="M773" t="str">
        <x:v>b094bf337309e30564dda86ff4b3c4d66aeeb37ce0357a3568e246569f0e2943</x:v>
      </x:c>
      <x:c r="N773" t="str">
        <x:v>负债 97,729 82,010
 卖出回购金融资产款 11 223,880 331,863
 预收保费 2,532 48,227
 应付职工薪酬 12,926 13,643
 应交税费 2,171 2,625
 长期借款 121 50
 应付债券 35,569 35,195
 保险合同负债 12 6,910,741 6,376,114
 分出再保险合同负债 186 312
 租赁负债 1,411 1,539
 递延所得税负债 10 2,186 1,480
 其他负债 123,358 89,547
负债合计 7,412,816 6,982,611
股东权益：
 股本 13 28,265 28,265
 </x:v>
      </x:c>
    </x:row>
    <x:row r="774">
      <x:c r="A774" t="str">
        <x:v>a0e684c0-dc04-4844-a6ff-42e1e972b3cc</x:v>
      </x:c>
      <x:c r="B774" t="str">
        <x:v>601628</x:v>
      </x:c>
      <x:c r="C774" t="str">
        <x:v>中国人寿</x:v>
      </x:c>
      <x:c r="D774" t="str">
        <x:v>2026-06-30</x:v>
      </x:c>
      <x:c r="E774" t="str">
        <x:v>interim</x:v>
      </x:c>
      <x:c r="F774" t="str">
        <x:v>long_term_borrowings</x:v>
      </x:c>
      <x:c r="G774" t="n">
        <x:v>121</x:v>
      </x:c>
      <x:c r="H774" t="str">
        <x:v>CNY</x:v>
      </x:c>
      <x:c r="I774" t="n">
        <x:v>44</x:v>
      </x:c>
      <x:c r="J774" t="str">
        <x:v>长期借款</x:v>
      </x:c>
      <x:c r="K774" t="str">
        <x:v>candidate_pending_automated_verification</x:v>
      </x:c>
      <x:c r="L774" t="str">
        <x:v>https://static.cninfo.com.cn/finalpage/2026-08-28/1225516873.PDF</x:v>
      </x:c>
      <x:c r="M774" t="str">
        <x:v>b094bf337309e30564dda86ff4b3c4d66aeeb37ce0357a3568e246569f0e2943</x:v>
      </x:c>
      <x:c r="N774" t="str">
        <x:v>借款 6 6
 交易性金融负债 97,729 82,010
 卖出回购金融资产款 11 223,880 331,863
 预收保费 2,532 48,227
 应付职工薪酬 12,926 13,643
 应交税费 2,171 2,625
 长期借款 121 50
 应付债券 35,569 35,195
 保险合同负债 12 6,910,741 6,376,114
 分出再保险合同负债 186 312
 租赁负债 1,411 1,539
 递延所得税负债 10 2,186 1,480
 其他负债 123,358 89,547
负债合计 7,412,816 6,982,611
股东权益：
 股本 13</x:v>
      </x:c>
    </x:row>
    <x:row r="775">
      <x:c r="A775" t="str">
        <x:v>04a57c7e-20e7-4093-acfb-f8c824610564</x:v>
      </x:c>
      <x:c r="B775" t="str">
        <x:v>601628</x:v>
      </x:c>
      <x:c r="C775" t="str">
        <x:v>中国人寿</x:v>
      </x:c>
      <x:c r="D775" t="str">
        <x:v>2026-06-30</x:v>
      </x:c>
      <x:c r="E775" t="str">
        <x:v>interim</x:v>
      </x:c>
      <x:c r="F775" t="str">
        <x:v>short_term_borrowings</x:v>
      </x:c>
      <x:c r="G775" t="n">
        <x:v>6</x:v>
      </x:c>
      <x:c r="H775" t="str">
        <x:v>CNY</x:v>
      </x:c>
      <x:c r="I775" t="n">
        <x:v>44</x:v>
      </x:c>
      <x:c r="J775" t="str">
        <x:v>短期借款</x:v>
      </x:c>
      <x:c r="K775" t="str">
        <x:v>candidate_pending_automated_verification</x:v>
      </x:c>
      <x:c r="L775" t="str">
        <x:v>https://static.cninfo.com.cn/finalpage/2026-08-28/1225516873.PDF</x:v>
      </x:c>
      <x:c r="M775" t="str">
        <x:v>b094bf337309e30564dda86ff4b3c4d66aeeb37ce0357a3568e246569f0e2943</x:v>
      </x:c>
      <x:c r="N775" t="str">
        <x:v>外，金额单位为人民币百万元）
二零二六年半年度报告 | 财务报告
42
2026年6月30日合并资产负债表（续）
2026年6月30日 2025年12月31日
负债及股东权益 附注七 （未经审计） （经审计）
负债：
 短期借款 6 6
 交易性金融负债 97,729 82,010
 卖出回购金融资产款 11 223,880 331,863
 预收保费 2,532 48,227
 应付职工薪酬 12,926 13,643
 应交税费 2,171 2,625
 长期借款 121 50
 应付债券 35,569 35,195
 保险合同负债 12 6,910,741 6,376,114
 分出</x:v>
      </x:c>
    </x:row>
    <x:row r="776">
      <x:c r="A776" t="str">
        <x:v>be6f14c1-4b58-4ae0-bd3f-bdded84e988e</x:v>
      </x:c>
      <x:c r="B776" t="str">
        <x:v>601628</x:v>
      </x:c>
      <x:c r="C776" t="str">
        <x:v>中国人寿</x:v>
      </x:c>
      <x:c r="D776" t="str">
        <x:v>2026-06-30</x:v>
      </x:c>
      <x:c r="E776" t="str">
        <x:v>interim</x:v>
      </x:c>
      <x:c r="F776" t="str">
        <x:v>cash</x:v>
      </x:c>
      <x:c r="G776" t="n">
        <x:v>149031</x:v>
      </x:c>
      <x:c r="H776" t="str">
        <x:v>CNY</x:v>
      </x:c>
      <x:c r="I776" t="n">
        <x:v>43</x:v>
      </x:c>
      <x:c r="J776" t="str">
        <x:v>货币资金</x:v>
      </x:c>
      <x:c r="K776" t="str">
        <x:v>candidate_pending_automated_verification</x:v>
      </x:c>
      <x:c r="L776" t="str">
        <x:v>https://static.cninfo.com.cn/finalpage/2026-08-28/1225516873.PDF</x:v>
      </x:c>
      <x:c r="M776" t="str">
        <x:v>b094bf337309e30564dda86ff4b3c4d66aeeb37ce0357a3568e246569f0e2943</x:v>
      </x:c>
      <x:c r="N776" t="str">
        <x:v>2026年6月30日合并资产负债表
（除特别注明外，金额单位为人民币百万元）
二零二六年半年度报告 | 财务报告
41
2026年6月30日 2025年12月31日
资产 附注七 （未经审计） （经审计）
资产：
 货币资金 1 149,031 143,319
 买入返售金融资产 2 11,912 50,879
 定期存款 3 445,746 418,688
 交易性金融资产 4 2,126,518 2,067,288
 债权投资 5 161,911 173,992
 其他债权投资 6 4,237,692 3,926,042
 其他权益工具投资 7 471,715 317,876
 分出再保险合同</x:v>
      </x:c>
    </x:row>
    <x:row r="777">
      <x:c r="A777" t="str">
        <x:v>686b6199-7c93-48d9-826f-d8498d2a7a1c</x:v>
      </x:c>
      <x:c r="B777" t="str">
        <x:v>601628</x:v>
      </x:c>
      <x:c r="C777" t="str">
        <x:v>中国人寿</x:v>
      </x:c>
      <x:c r="D777" t="str">
        <x:v>2026-06-30</x:v>
      </x:c>
      <x:c r="E777" t="str">
        <x:v>interim</x:v>
      </x:c>
      <x:c r="F777" t="str">
        <x:v>operating_cash_flow</x:v>
      </x:c>
      <x:c r="G777" t="n">
        <x:v>282879</x:v>
      </x:c>
      <x:c r="H777" t="str">
        <x:v>CNY</x:v>
      </x:c>
      <x:c r="I777" t="n">
        <x:v>53</x:v>
      </x:c>
      <x:c r="J777" t="str">
        <x:v>经营活动产生的现金流量净额</x:v>
      </x:c>
      <x:c r="K777" t="str">
        <x:v>candidate_pending_automated_verification</x:v>
      </x:c>
      <x:c r="L777" t="str">
        <x:v>https://static.cninfo.com.cn/finalpage/2026-08-28/1225516873.PDF</x:v>
      </x:c>
      <x:c r="M777" t="str">
        <x:v>b094bf337309e30564dda86ff4b3c4d66aeeb37ce0357a3568e246569f0e2943</x:v>
      </x:c>
      <x:c r="N777" t="str">
        <x:v>及为职工支付的现金 (13,254) (11,763)
支付的各项税费 (7,102) (4,982)
支付其他与经营活动有关的现金 (9,197) (8,328)
经营活动现金流出小计 (347,136) (291,218)
经营活动产生的现金流量净额 282,879 300,442
二、投资活动产生的现金流量
收回投资收到的现金 1,489,158 991,718
取得投资收益和利息收入收到的现金 93,104 93,194
处置固定资产、无形资产和其他长期资产收回的现金净额 126 187
收到买入返售金融资产现金净额 41,688 22,273
处置子公司及其他营业单位收到的现金净额 9,396 807
  </x:v>
      </x:c>
    </x:row>
    <x:row r="778">
      <x:c r="A778" t="str">
        <x:v>34eafbe1-2809-4c7e-9bc9-9289b4ef73fb</x:v>
      </x:c>
      <x:c r="B778" t="str">
        <x:v>601628</x:v>
      </x:c>
      <x:c r="C778" t="str">
        <x:v>中国人寿</x:v>
      </x:c>
      <x:c r="D778" t="str">
        <x:v>2026-06-30</x:v>
      </x:c>
      <x:c r="E778" t="str">
        <x:v>interim</x:v>
      </x:c>
      <x:c r="F778" t="str">
        <x:v>operating_cash_flow</x:v>
      </x:c>
      <x:c r="G778" t="n">
        <x:v>284246</x:v>
      </x:c>
      <x:c r="H778" t="str">
        <x:v>CNY</x:v>
      </x:c>
      <x:c r="I778" t="n">
        <x:v>55</x:v>
      </x:c>
      <x:c r="J778" t="str">
        <x:v>经营活动产生的现金流量净额</x:v>
      </x:c>
      <x:c r="K778" t="str">
        <x:v>candidate_pending_automated_verification</x:v>
      </x:c>
      <x:c r="L778" t="str">
        <x:v>https://static.cninfo.com.cn/finalpage/2026-08-28/1225516873.PDF</x:v>
      </x:c>
      <x:c r="M778" t="str">
        <x:v>b094bf337309e30564dda86ff4b3c4d66aeeb37ce0357a3568e246569f0e2943</x:v>
      </x:c>
      <x:c r="N778" t="str">
        <x:v>为职工支付的现金 (12,477) (11,038)
支付的各项税费 (5,267) (3,538)
支付其他与经营活动有关的现金 (9,877) (10,382)
经营活动现金流出小计 (345,120) (291,035)
经营活动产生的现金流量净额 284,246 298,210
二、投资活动产生的现金流量
收回投资收到的现金 1,412,195 924,545
取得投资收益和利息收入收到的现金 92,493 91,111
处置固定资产、无形资产和其他长期资产收回的现金净额 28 16
收到买入返售金融资产现金净额 41,147 21,985
处置子公司及其他营业单位收到的现金净额 9,226 1,197
  </x:v>
      </x:c>
    </x:row>
    <x:row r="779">
      <x:c r="A779" t="str">
        <x:v>4a9e96db-2779-4325-899d-89383584e41d</x:v>
      </x:c>
      <x:c r="B779" t="str">
        <x:v>601628</x:v>
      </x:c>
      <x:c r="C779" t="str">
        <x:v>中国人寿</x:v>
      </x:c>
      <x:c r="D779" t="str">
        <x:v>2026-06-30</x:v>
      </x:c>
      <x:c r="E779" t="str">
        <x:v>interim</x:v>
      </x:c>
      <x:c r="F779" t="str">
        <x:v>cash</x:v>
      </x:c>
      <x:c r="G779" t="n">
        <x:v>149031</x:v>
      </x:c>
      <x:c r="H779" t="str">
        <x:v>CNY</x:v>
      </x:c>
      <x:c r="I779" t="n">
        <x:v>63</x:v>
      </x:c>
      <x:c r="J779" t="str">
        <x:v>货币资金</x:v>
      </x:c>
      <x:c r="K779" t="str">
        <x:v>candidate_pending_automated_verification</x:v>
      </x:c>
      <x:c r="L779" t="str">
        <x:v>https://static.cninfo.com.cn/finalpage/2026-08-28/1225516873.PDF</x:v>
      </x:c>
      <x:c r="M779" t="str">
        <x:v>b094bf337309e30564dda86ff4b3c4d66aeeb37ce0357a3568e246569f0e2943</x:v>
      </x:c>
      <x:c r="N779" t="str">
        <x:v>) 信用风险（续）
(c) 预期信用损失计量（续）
下表对纳入预期信用损失评估范围的金融工具的信用风险敞口进行了列示：
2026年6月30日 （未经审计）
账面余额 第一阶段 第二阶段 第三阶段
最大信用 
风险敞口
货币资金 149,031 – – 149,031
买入返售金融资产 11,912 – – 11,912
定期存款 445,746 – – 445,746
债权投资 159,226 2,685 – 161,911
其他债权投资 4,233,840 3,852 – 4,237,692
存出资本保证金 6,703 – – 6,703
其他资产 13,242 – 322 13,564
  </x:v>
      </x:c>
    </x:row>
    <x:row r="780">
      <x:c r="A780" t="str">
        <x:v>e28acfcf-465c-405c-88a3-5ba8a04dec6c</x:v>
      </x:c>
      <x:c r="B780" t="str">
        <x:v>601628</x:v>
      </x:c>
      <x:c r="C780" t="str">
        <x:v>中国人寿</x:v>
      </x:c>
      <x:c r="D780" t="str">
        <x:v>2026-06-30</x:v>
      </x:c>
      <x:c r="E780" t="str">
        <x:v>interim</x:v>
      </x:c>
      <x:c r="F780" t="str">
        <x:v>cash</x:v>
      </x:c>
      <x:c r="G780" t="n">
        <x:v>2026</x:v>
      </x:c>
      <x:c r="H780" t="str">
        <x:v>CNY</x:v>
      </x:c>
      <x:c r="I780" t="n">
        <x:v>78</x:v>
      </x:c>
      <x:c r="J780" t="str">
        <x:v>货币资金</x:v>
      </x:c>
      <x:c r="K780" t="str">
        <x:v>candidate_pending_automated_verification</x:v>
      </x:c>
      <x:c r="L780" t="str">
        <x:v>https://static.cninfo.com.cn/finalpage/2026-08-28/1225516873.PDF</x:v>
      </x:c>
      <x:c r="M780" t="str">
        <x:v>b094bf337309e30564dda86ff4b3c4d66aeeb37ce0357a3568e246569f0e2943</x:v>
      </x:c>
      <x:c r="N780" t="str">
        <x:v>（除特别注明外，金额单位为人民币百万元）
二零二六年半年度报告 | 财务报告
76
截至2026年6月30日止6个月期间财务报表附注（续）
七、合并财务报表项目附注
1. 货币资金
2026年6月30日 2025年12月31日
存款 141,894 134,662
结算备付金 7,137 8,657
合计 149,031 143,319
于2026年6月30日，本集团因特定用途资金等造成使用受限制的活期存款合计人民币1,181 百万元 （2025年12月31日：人民币
912百万元） 。
于2026年6月30日，本集团存放</x:v>
      </x:c>
    </x:row>
    <x:row r="781">
      <x:c r="A781" t="str">
        <x:v>dff52fb6-c3df-40b7-b603-3b506a86a908</x:v>
      </x:c>
      <x:c r="B781" t="str">
        <x:v>601628</x:v>
      </x:c>
      <x:c r="C781" t="str">
        <x:v>中国人寿</x:v>
      </x:c>
      <x:c r="D781" t="str">
        <x:v>2026-06-30</x:v>
      </x:c>
      <x:c r="E781" t="str">
        <x:v>interim</x:v>
      </x:c>
      <x:c r="F781" t="str">
        <x:v>cash</x:v>
      </x:c>
      <x:c r="G781" t="n">
        <x:v>2026</x:v>
      </x:c>
      <x:c r="H781" t="str">
        <x:v>CNY</x:v>
      </x:c>
      <x:c r="I781" t="n">
        <x:v>93</x:v>
      </x:c>
      <x:c r="J781" t="str">
        <x:v>货币资金</x:v>
      </x:c>
      <x:c r="K781" t="str">
        <x:v>candidate_pending_automated_verification</x:v>
      </x:c>
      <x:c r="L781" t="str">
        <x:v>https://static.cninfo.com.cn/finalpage/2026-08-28/1225516873.PDF</x:v>
      </x:c>
      <x:c r="M781" t="str">
        <x:v>b094bf337309e30564dda86ff4b3c4d66aeeb37ce0357a3568e246569f0e2943</x:v>
      </x:c>
      <x:c r="N781" t="str">
        <x:v>（除特别注明外，金额单位为人民币百万元）
二零二六年半年度报告 | 财务报告
91
截至2026年6月30日止6个月期间财务报表附注（续）
八、公司财务报表主要项目注释
1. 货币资金
2026年6月30日 2025年12月31日
存款 129,289 127,775
结算备付金 6,617 8,152
合计 135,906 135,927
2. 买入返售金融资产
到期期限 2026年6月30日 2025年12月31日
30天以内 （含30天） 7,066 48,215
合计 7,066 48,215
 </x:v>
      </x:c>
    </x:row>
    <x:row r="782">
      <x:c r="A782" t="str">
        <x:v>6d5711aa-3eed-4614-994c-a25bff13f65d</x:v>
      </x:c>
      <x:c r="B782" t="str">
        <x:v>600015</x:v>
      </x:c>
      <x:c r="C782" t="str">
        <x:v>华夏银行</x:v>
      </x:c>
      <x:c r="D782" t="str">
        <x:v>2026-06-30</x:v>
      </x:c>
      <x:c r="E782" t="str">
        <x:v>interim</x:v>
      </x:c>
      <x:c r="F782" t="str">
        <x:v>revenue</x:v>
      </x:c>
      <x:c r="G782" t="n">
        <x:v>51308</x:v>
      </x:c>
      <x:c r="H782" t="str">
        <x:v>reported_amount</x:v>
      </x:c>
      <x:c r="I782" t="n">
        <x:v>6</x:v>
      </x:c>
      <x:c r="J782" t="str">
        <x:v>营业收入</x:v>
      </x:c>
      <x:c r="K782" t="str">
        <x:v>candidate_pending_automated_verification</x:v>
      </x:c>
      <x:c r="L782" t="str">
        <x:v>https://static.cninfo.com.cn/finalpage/2026-08-29/1225529191.PDF</x:v>
      </x:c>
      <x:c r="M782" t="str">
        <x:v>37c1d41a92e72a0bf8ce853adfdaf9b842cd2ed7b6e8fe8ff7ca7eeb6b7f2416</x:v>
      </x:c>
      <x:c r="N782" t="str">
        <x:v>5
2.2主要会计数据和财务指标
（单位：百万元）
项目 2026 年 1-6 月 2025 年 1-6 月 本期比上年同期增减
（%） 2024 年 1-6 月
主要会计数据
营业收入 51,308 45,522 12.71 48,354
营业利润 12,546 15,467 -18.89 16,796
利润总额 12,525 15,485 -19.12 16,835
归属于上市公司股东的净利润 9,365 11,470 -18.35 12,460
归属于上市公司股东的扣除非
经常性损益的净利润 9,354 11,297 -17.20 12,421
经</x:v>
      </x:c>
    </x:row>
    <x:row r="783">
      <x:c r="A783" t="str">
        <x:v>667edde1-2941-4e7f-903e-00c6fbce252a</x:v>
      </x:c>
      <x:c r="B783" t="str">
        <x:v>600015</x:v>
      </x:c>
      <x:c r="C783" t="str">
        <x:v>华夏银行</x:v>
      </x:c>
      <x:c r="D783" t="str">
        <x:v>2026-06-30</x:v>
      </x:c>
      <x:c r="E783" t="str">
        <x:v>interim</x:v>
      </x:c>
      <x:c r="F783" t="str">
        <x:v>operating_cash_flow</x:v>
      </x:c>
      <x:c r="G783" t="n">
        <x:v>99148</x:v>
      </x:c>
      <x:c r="H783" t="str">
        <x:v>CNY</x:v>
      </x:c>
      <x:c r="I783" t="n">
        <x:v>149</x:v>
      </x:c>
      <x:c r="J783" t="str">
        <x:v>经营活动产生的现金流量净额</x:v>
      </x:c>
      <x:c r="K783" t="str">
        <x:v>candidate_pending_automated_verification</x:v>
      </x:c>
      <x:c r="L783" t="str">
        <x:v>https://static.cninfo.com.cn/finalpage/2026-08-29/1225529191.PDF</x:v>
      </x:c>
      <x:c r="M783" t="str">
        <x:v>37c1d41a92e72a0bf8ce853adfdaf9b842cd2ed7b6e8fe8ff7ca7eeb6b7f2416</x:v>
      </x:c>
      <x:c r="N783" t="str">
        <x:v> 89  
经营性应收项目的增加 (222,270 ) (78,295 ) (220,128 ) (79,730 ) 
经营性应付项目的增加 306,118   202,397  297,688   198,924  
经营活动产生的现金流量净额 99,148  131,878  88,705  123,420  
现金及现金等价物净变动情况：         
现金及现金等价物的期末余额 205,414  174,329  190,356  167,702  
减：现金及现金等价物的期初余额 (172,383 ) (98,623 ) (168,711 ) (86,207 ) 
       </x:v>
      </x:c>
    </x:row>
    <x:row r="784">
      <x:c r="A784" t="str">
        <x:v>ea584886-32da-4c47-bd22-6f0619106c38</x:v>
      </x:c>
      <x:c r="B784" t="str">
        <x:v>600015</x:v>
      </x:c>
      <x:c r="C784" t="str">
        <x:v>华夏银行</x:v>
      </x:c>
      <x:c r="D784" t="str">
        <x:v>2026-06-30</x:v>
      </x:c>
      <x:c r="E784" t="str">
        <x:v>interim</x:v>
      </x:c>
      <x:c r="F784" t="str">
        <x:v>operating_cash_flow</x:v>
      </x:c>
      <x:c r="G784" t="n">
        <x:v>99148</x:v>
      </x:c>
      <x:c r="H784" t="str">
        <x:v>CNY</x:v>
      </x:c>
      <x:c r="I784" t="n">
        <x:v>81</x:v>
      </x:c>
      <x:c r="J784" t="str">
        <x:v>经营活动产生的现金流量净额</x:v>
      </x:c>
      <x:c r="K784" t="str">
        <x:v>candidate_pending_automated_verification</x:v>
      </x:c>
      <x:c r="L784" t="str">
        <x:v>https://static.cninfo.com.cn/finalpage/2026-08-29/1225529191.PDF</x:v>
      </x:c>
      <x:c r="M784" t="str">
        <x:v>37c1d41a92e72a0bf8ce853adfdaf9b842cd2ed7b6e8fe8ff7ca7eeb6b7f2416</x:v>
      </x:c>
      <x:c r="N784" t="str">
        <x:v>现金  (6,939 ) (4,496 ) (4,975 ) (6,093 ) 
经营活动现金流出小计  (279,062 ) (169,112 ) (273,040 ) (168,951 ) 
经营活动产生的现金流量净额 48 99,148  131,878  88,705  123,420  
投资活动产生的现金流量          
收回投资收到的现金  1,903,325  1,840,719   1,890,765   1,804,087   
取得投资收益收到的现金  22,170  27,021   21,313   26,164   
处置固定资产、无形资</x:v>
      </x:c>
    </x:row>
    <x:row r="785">
      <x:c r="A785" t="str">
        <x:v>2ebf22de-e152-41cd-a4d9-1116c83c0296</x:v>
      </x:c>
      <x:c r="B785" t="str">
        <x:v>600015</x:v>
      </x:c>
      <x:c r="C785" t="str">
        <x:v>华夏银行</x:v>
      </x:c>
      <x:c r="D785" t="str">
        <x:v>2026-06-30</x:v>
      </x:c>
      <x:c r="E785" t="str">
        <x:v>interim</x:v>
      </x:c>
      <x:c r="F785" t="str">
        <x:v>roe</x:v>
      </x:c>
      <x:c r="G785" t="n">
        <x:v>2.61</x:v>
      </x:c>
      <x:c r="H785" t="str">
        <x:v>percent</x:v>
      </x:c>
      <x:c r="I785" t="n">
        <x:v>6</x:v>
      </x:c>
      <x:c r="J785" t="str">
        <x:v>加权平均净资产收益率</x:v>
      </x:c>
      <x:c r="K785" t="str">
        <x:v>candidate_pending_automated_verification</x:v>
      </x:c>
      <x:c r="L785" t="str">
        <x:v>https://static.cninfo.com.cn/finalpage/2026-08-29/1225529191.PDF</x:v>
      </x:c>
      <x:c r="M785" t="str">
        <x:v>37c1d41a92e72a0bf8ce853adfdaf9b842cd2ed7b6e8fe8ff7ca7eeb6b7f2416</x:v>
      </x:c>
      <x:c r="N785" t="str">
        <x:v>.53 0.66 -19.70 0.66
扣除非经常性损益后的基本每
股收益（元/股） 0.53 0.65 -18.46 0.66
每股经营活动产生的现金流量
净额（元/股） 6.23 8.29 -24.85 0.15
盈利能力指标（%）
加权平均净资产收益率 2.61 3.42 下降 0.81个百分点 3.69
扣除非经常性损益后的加权平
均净资产收益率 2.61 3.37 下降 0.76个百分点 3.67
资产利润率 0.20 0.26 下降 0.06个百分点 0.30
资本利润率 2.41 3.20 下降 0.79个百分点 3.91
净利差 1.62 1.59 上升 0.03个百分点 1.61
净息差 1.59 1.</x:v>
      </x:c>
    </x:row>
    <x:row r="786">
      <x:c r="A786" t="str">
        <x:v>10868582-e802-48af-90c5-dfd9437b5b8b</x:v>
      </x:c>
      <x:c r="B786" t="str">
        <x:v>600015</x:v>
      </x:c>
      <x:c r="C786" t="str">
        <x:v>华夏银行</x:v>
      </x:c>
      <x:c r="D786" t="str">
        <x:v>2026-06-30</x:v>
      </x:c>
      <x:c r="E786" t="str">
        <x:v>interim</x:v>
      </x:c>
      <x:c r="F786" t="str">
        <x:v>operating_cash_flow</x:v>
      </x:c>
      <x:c r="G786" t="n">
        <x:v>99148</x:v>
      </x:c>
      <x:c r="H786" t="str">
        <x:v>reported_amount</x:v>
      </x:c>
      <x:c r="I786" t="n">
        <x:v>6</x:v>
      </x:c>
      <x:c r="J786" t="str">
        <x:v>经营活动产生的现金流量净额</x:v>
      </x:c>
      <x:c r="K786" t="str">
        <x:v>candidate_pending_automated_verification</x:v>
      </x:c>
      <x:c r="L786" t="str">
        <x:v>https://static.cninfo.com.cn/finalpage/2026-08-29/1225529191.PDF</x:v>
      </x:c>
      <x:c r="M786" t="str">
        <x:v>37c1d41a92e72a0bf8ce853adfdaf9b842cd2ed7b6e8fe8ff7ca7eeb6b7f2416</x:v>
      </x:c>
      <x:c r="N786" t="str">
        <x:v>12,525 15,485 -19.12 16,835
归属于上市公司股东的净利润 9,365 11,470 -18.35 12,460
归属于上市公司股东的扣除非
经常性损益的净利润 9,354 11,297 -17.20 12,421
经营活动产生的现金流量净额 99,148 131,878 -24.82 2,338
主要财务指标
基本每股收益（元/股） 0.53 0.66 -19.70 0.66
稀释每股收益（元/股） 0.53 0.66 -19.70 0.66
扣除非经常性损益后的基本每
股收益（元/股） 0.53 0.65 -18.46 0.66
每股经营活动产生的现金流量
净额（元/股） 6.23 8.29 -24.85</x:v>
      </x:c>
    </x:row>
    <x:row r="787">
      <x:c r="A787" t="str">
        <x:v>9250efe9-206b-4c8c-9397-037e478d4f4b</x:v>
      </x:c>
      <x:c r="B787" t="str">
        <x:v>600015</x:v>
      </x:c>
      <x:c r="C787" t="str">
        <x:v>华夏银行</x:v>
      </x:c>
      <x:c r="D787" t="str">
        <x:v>2026-06-30</x:v>
      </x:c>
      <x:c r="E787" t="str">
        <x:v>interim</x:v>
      </x:c>
      <x:c r="F787" t="str">
        <x:v>net_income</x:v>
      </x:c>
      <x:c r="G787" t="n">
        <x:v>9365</x:v>
      </x:c>
      <x:c r="H787" t="str">
        <x:v>reported_amount</x:v>
      </x:c>
      <x:c r="I787" t="n">
        <x:v>6</x:v>
      </x:c>
      <x:c r="J787" t="str">
        <x:v>归属于上市公司股东的净利润</x:v>
      </x:c>
      <x:c r="K787" t="str">
        <x:v>candidate_pending_automated_verification</x:v>
      </x:c>
      <x:c r="L787" t="str">
        <x:v>https://static.cninfo.com.cn/finalpage/2026-08-29/1225529191.PDF</x:v>
      </x:c>
      <x:c r="M787" t="str">
        <x:v>37c1d41a92e72a0bf8ce853adfdaf9b842cd2ed7b6e8fe8ff7ca7eeb6b7f2416</x:v>
      </x:c>
      <x:c r="N787" t="str">
        <x:v>） 2024 年 1-6 月
主要会计数据
营业收入 51,308 45,522 12.71 48,354
营业利润 12,546 15,467 -18.89 16,796
利润总额 12,525 15,485 -19.12 16,835
归属于上市公司股东的净利润 9,365 11,470 -18.35 12,460
归属于上市公司股东的扣除非
经常性损益的净利润 9,354 11,297 -17.20 12,421
经营活动产生的现金流量净额 99,148 131,878 -24.82 2,338
主要财务指标
基本每股收益（元/股） 0.53 0.66 -19.70 0.66
稀释每股收益（元/股） 0.53 0.66 -1</x:v>
      </x:c>
    </x:row>
    <x:row r="788">
      <x:c r="A788" t="str">
        <x:v>77d45579-f4e4-4e23-af1e-47f07f877493</x:v>
      </x:c>
      <x:c r="B788" t="str">
        <x:v>600690</x:v>
      </x:c>
      <x:c r="C788" t="str">
        <x:v>海尔智家</x:v>
      </x:c>
      <x:c r="D788" t="str">
        <x:v>2026-06-30</x:v>
      </x:c>
      <x:c r="E788" t="str">
        <x:v>interim</x:v>
      </x:c>
      <x:c r="F788" t="str">
        <x:v>short_term_borrowings</x:v>
      </x:c>
      <x:c r="G788" t="n">
        <x:v>116715347.93</x:v>
      </x:c>
      <x:c r="H788" t="str">
        <x:v>CNY</x:v>
      </x:c>
      <x:c r="I788" t="n">
        <x:v>158</x:v>
      </x:c>
      <x:c r="J788" t="str">
        <x:v>短期借款</x:v>
      </x:c>
      <x:c r="K788" t="str">
        <x:v>candidate_pending_automated_verification</x:v>
      </x:c>
      <x:c r="L788" t="str">
        <x:v>https://static.cninfo.com.cn/finalpage/2026-08-28/1225522691.PDF</x:v>
      </x:c>
      <x:c r="M788" t="str">
        <x:v>fe5814830fac441f9f71b77472c1090ee451d2cf411ad3ce0da469ffb898ed97</x:v>
      </x:c>
      <x:c r="N788" t="str">
        <x:v>公司的子公司将在约定的付款到期日偿还全额发票款项，并且不承担向
金融机构支付利息或其他费用。由于该安排并未延长原付款期，本公司的子公司对金融机构的欠
款归类为应付账款。
2）属于供应商融资安排的金融负债的有关信息
项目 期末余额 期初余额
短期借款 116,715,347.93 151,089,188.11
其中:供应商已从融资提供方收到的款项 116,715,347.93 151,089,188.11</x:v>
      </x:c>
    </x:row>
    <x:row r="789">
      <x:c r="A789" t="str">
        <x:v>d014836d-39cc-4514-ab8b-fc1666ae0055</x:v>
      </x:c>
      <x:c r="B789" t="str">
        <x:v>600690</x:v>
      </x:c>
      <x:c r="C789" t="str">
        <x:v>海尔智家</x:v>
      </x:c>
      <x:c r="D789" t="str">
        <x:v>2026-06-30</x:v>
      </x:c>
      <x:c r="E789" t="str">
        <x:v>interim</x:v>
      </x:c>
      <x:c r="F789" t="str">
        <x:v>bonds_payable</x:v>
      </x:c>
      <x:c r="G789" t="n">
        <x:v>3500000000</x:v>
      </x:c>
      <x:c r="H789" t="str">
        <x:v>CNY</x:v>
      </x:c>
      <x:c r="I789" t="n">
        <x:v>185</x:v>
      </x:c>
      <x:c r="J789" t="str">
        <x:v>应付债券</x:v>
      </x:c>
      <x:c r="K789" t="str">
        <x:v>candidate_pending_automated_verification</x:v>
      </x:c>
      <x:c r="L789" t="str">
        <x:v>https://static.cninfo.com.cn/finalpage/2026-08-28/1225522691.PDF</x:v>
      </x:c>
      <x:c r="M789" t="str">
        <x:v>fe5814830fac441f9f71b77472c1090ee451d2cf411ad3ce0da469ffb898ed97</x:v>
      </x:c>
      <x:c r="N789" t="str">
        <x:v>07,179,628.54 28,307,179,628.54
一年内到期的非流动
负债 1,045,231,250.00 1,045,231,250.00
长期借款 12,096,041,519.66 12,096,041,519.66
应付债券 3,500,000,000.00 3,500,000,000.00
长期应付款 159,812,218.64 159,812,218.64
金融负债（续）
项目
期初余额
以公允价值计量的金
融负债
以摊余成本计量的金
融负债 合计
短期借款 17,420,784,420.86 17,420,784,420.86
衍生金融负债 190,868,603.05 190,868,603.05
应</x:v>
      </x:c>
    </x:row>
    <x:row r="790">
      <x:c r="A790" t="str">
        <x:v>f3effbe2-03e6-4407-ba1e-59a3194bee52</x:v>
      </x:c>
      <x:c r="B790" t="str">
        <x:v>600690</x:v>
      </x:c>
      <x:c r="C790" t="str">
        <x:v>海尔智家</x:v>
      </x:c>
      <x:c r="D790" t="str">
        <x:v>2026-06-30</x:v>
      </x:c>
      <x:c r="E790" t="str">
        <x:v>interim</x:v>
      </x:c>
      <x:c r="F790" t="str">
        <x:v>long_term_borrowings</x:v>
      </x:c>
      <x:c r="G790" t="n">
        <x:v>12096041519.66</x:v>
      </x:c>
      <x:c r="H790" t="str">
        <x:v>CNY</x:v>
      </x:c>
      <x:c r="I790" t="n">
        <x:v>185</x:v>
      </x:c>
      <x:c r="J790" t="str">
        <x:v>长期借款</x:v>
      </x:c>
      <x:c r="K790" t="str">
        <x:v>candidate_pending_automated_verification</x:v>
      </x:c>
      <x:c r="L790" t="str">
        <x:v>https://static.cninfo.com.cn/finalpage/2026-08-28/1225522691.PDF</x:v>
      </x:c>
      <x:c r="M790" t="str">
        <x:v>fe5814830fac441f9f71b77472c1090ee451d2cf411ad3ce0da469ffb898ed97</x:v>
      </x:c>
      <x:c r="N790" t="str">
        <x:v>1,128,880.05 55,751,128,880.05
其他应付款 28,307,179,628.54 28,307,179,628.54
一年内到期的非流动
负债 1,045,231,250.00 1,045,231,250.00
长期借款 12,096,041,519.66 12,096,041,519.66
应付债券 3,500,000,000.00 3,500,000,000.00
长期应付款 159,812,218.64 159,812,218.64
金融负债（续）
项目
期初余额
以公允价值计量的金
融负债
以摊余成本计量的金
融负债 合计
短期借款 17,420,784,420.86 17,420,784,420.8</x:v>
      </x:c>
    </x:row>
    <x:row r="791">
      <x:c r="A791" t="str">
        <x:v>cbc1b638-7013-474b-9b7e-30660697a9dd</x:v>
      </x:c>
      <x:c r="B791" t="str">
        <x:v>600690</x:v>
      </x:c>
      <x:c r="C791" t="str">
        <x:v>海尔智家</x:v>
      </x:c>
      <x:c r="D791" t="str">
        <x:v>2026-06-30</x:v>
      </x:c>
      <x:c r="E791" t="str">
        <x:v>interim</x:v>
      </x:c>
      <x:c r="F791" t="str">
        <x:v>short_term_borrowings</x:v>
      </x:c>
      <x:c r="G791" t="n">
        <x:v>21678038269.11</x:v>
      </x:c>
      <x:c r="H791" t="str">
        <x:v>CNY</x:v>
      </x:c>
      <x:c r="I791" t="n">
        <x:v>185</x:v>
      </x:c>
      <x:c r="J791" t="str">
        <x:v>短期借款</x:v>
      </x:c>
      <x:c r="K791" t="str">
        <x:v>candidate_pending_automated_verification</x:v>
      </x:c>
      <x:c r="L791" t="str">
        <x:v>https://static.cninfo.com.cn/finalpage/2026-08-28/1225522691.PDF</x:v>
      </x:c>
      <x:c r="M791" t="str">
        <x:v>fe5814830fac441f9f71b77472c1090ee451d2cf411ad3ce0da469ffb898ed97</x:v>
      </x:c>
      <x:c r="N791" t="str">
        <x:v>期应收款 134,840,798.60 134,840,798.60
其他权益工具 5,405,101,489.33 5,405,101,489.33
金融负债
项目
期末余额
以公允价值计量的金
融负债
以摊余成本计量的金
融负债 合计
短期借款 21,678,038,269.11 21,678,038,269.11
衍生金融负债 66,787,912.41 66,787,912.41
应付票据 28,496,924,125.43 28,496,924,125.43
应付账款 55,751,128,880.05 55,751,128,880.05
其他应付款 28,307,179,628.54 28,307,179,628.54
一年</x:v>
      </x:c>
    </x:row>
    <x:row r="792">
      <x:c r="A792" t="str">
        <x:v>20f1d8b7-b8f0-4380-8381-c375f234a2a1</x:v>
      </x:c>
      <x:c r="B792" t="str">
        <x:v>600690</x:v>
      </x:c>
      <x:c r="C792" t="str">
        <x:v>海尔智家</x:v>
      </x:c>
      <x:c r="D792" t="str">
        <x:v>2026-06-30</x:v>
      </x:c>
      <x:c r="E792" t="str">
        <x:v>interim</x:v>
      </x:c>
      <x:c r="F792" t="str">
        <x:v>cash</x:v>
      </x:c>
      <x:c r="G792" t="n">
        <x:v>50859093158.21</x:v>
      </x:c>
      <x:c r="H792" t="str">
        <x:v>CNY</x:v>
      </x:c>
      <x:c r="I792" t="n">
        <x:v>184</x:v>
      </x:c>
      <x:c r="J792" t="str">
        <x:v>货币资金</x:v>
      </x:c>
      <x:c r="K792" t="str">
        <x:v>candidate_pending_automated_verification</x:v>
      </x:c>
      <x:c r="L792" t="str">
        <x:v>https://static.cninfo.com.cn/finalpage/2026-08-28/1225522691.PDF</x:v>
      </x:c>
      <x:c r="M792" t="str">
        <x:v>fe5814830fac441f9f71b77472c1090ee451d2cf411ad3ce0da469ffb898ed97</x:v>
      </x:c>
      <x:c r="N792" t="str">
        <x:v>与金融工具相关的风险
√适用 □不适用
资产负债表日的各类金融工具的账面价值如下：
金融资产
项目
期末余额
以公允价值计量
且其变动计入当
期损益的金融资
产
以摊余成本计量
以公允价值计量
且其变动计入其
他综合收益的金
融资产
合计
货币资金 50,859,093,158.21 50,859,093,158.21
交易性金融资产 7,749,691,157.61 7,749,691,157.61
衍生金融资产 399,827,749.92 399,827,749.92
应收票据 9,633,287,181.99 9,633,287,181.99
应收账款 32,955,141,174.95 32,955,141,174.95
应收</x:v>
      </x:c>
    </x:row>
    <x:row r="793">
      <x:c r="A793" t="str">
        <x:v>04945b26-b4c6-4109-ac04-e2bd57924765</x:v>
      </x:c>
      <x:c r="B793" t="str">
        <x:v>600690</x:v>
      </x:c>
      <x:c r="C793" t="str">
        <x:v>海尔智家</x:v>
      </x:c>
      <x:c r="D793" t="str">
        <x:v>2026-06-30</x:v>
      </x:c>
      <x:c r="E793" t="str">
        <x:v>interim</x:v>
      </x:c>
      <x:c r="F793" t="str">
        <x:v>cash</x:v>
      </x:c>
      <x:c r="G793" t="n">
        <x:v>10682105449.3</x:v>
      </x:c>
      <x:c r="H793" t="str">
        <x:v>CNY</x:v>
      </x:c>
      <x:c r="I793" t="n">
        <x:v>180</x:v>
      </x:c>
      <x:c r="J793" t="str">
        <x:v>货币资金</x:v>
      </x:c>
      <x:c r="K793" t="str">
        <x:v>candidate_pending_automated_verification</x:v>
      </x:c>
      <x:c r="L793" t="str">
        <x:v>https://static.cninfo.com.cn/finalpage/2026-08-28/1225522691.PDF</x:v>
      </x:c>
      <x:c r="M793" t="str">
        <x:v>fe5814830fac441f9f71b77472c1090ee451d2cf411ad3ce0da469ffb898ed97</x:v>
      </x:c>
      <x:c r="N793" t="str">
        <x:v>股东大会审议通过了《海尔智家股份有限公司关于
与海尔集团公司续签&lt;金融服务框架协议&gt;暨预计关联交易额度的议案》，《金融服务框架协议》
自审议通过之时起生效。
本公司与财务公司发生的各项往来余额如下：
项目 期末余额 期初余额
存放财务公司的货币资金 10,682,105,449.30 11,330,984,136.12
存放财务公司的债权投资 10,918,000,000.00 13,899,000,000.00
存放财务公司的其他流动资产 1,062,950,000.00 1,312,950,000.00
存放财务公司的一年内到期的
债权投资 11,312,500,000.00 7,431,500,000.00
财务公司的借款 3,7</x:v>
      </x:c>
    </x:row>
    <x:row r="794">
      <x:c r="A794" t="str">
        <x:v>da896659-e2e5-4adc-b4eb-31c2f31ef78b</x:v>
      </x:c>
      <x:c r="B794" t="str">
        <x:v>600690</x:v>
      </x:c>
      <x:c r="C794" t="str">
        <x:v>海尔智家</x:v>
      </x:c>
      <x:c r="D794" t="str">
        <x:v>2026-06-30</x:v>
      </x:c>
      <x:c r="E794" t="str">
        <x:v>interim</x:v>
      </x:c>
      <x:c r="F794" t="str">
        <x:v>cash</x:v>
      </x:c>
      <x:c r="G794" t="n">
        <x:v>1096015360.27</x:v>
      </x:c>
      <x:c r="H794" t="str">
        <x:v>CNY</x:v>
      </x:c>
      <x:c r="I794" t="n">
        <x:v>158</x:v>
      </x:c>
      <x:c r="J794" t="str">
        <x:v>货币资金</x:v>
      </x:c>
      <x:c r="K794" t="str">
        <x:v>candidate_pending_automated_verification</x:v>
      </x:c>
      <x:c r="L794" t="str">
        <x:v>https://static.cninfo.com.cn/finalpage/2026-08-28/1225522691.PDF</x:v>
      </x:c>
      <x:c r="M794" t="str">
        <x:v>fe5814830fac441f9f71b77472c1090ee451d2cf411ad3ce0da469ffb898ed97</x:v>
      </x:c>
      <x:c r="N794" t="str">
        <x:v>3,132.61 46,267,687,864.46
其中：库存现金 4,323,305.44 2,361,449.23
可随时用于支付的银行存款 48,772,174,466.90 45,475,152,052.12
可随时用于支付的其他货币资金 1,096,015,360.27 790,174,363.11
二、现金等价物
其中：三个月内到期的债券投资
三、期末现金及现金等价物余额 49,872,513,132.61 46,267,687,864.46
其中：母公司或集团内子公司使用受限制的现金
和现金等价物
(3) 不属于现金及现金等价物的货币资金
√适用 □不适用
单位：元 币种：人民币
项目 期末余额 期初余额 理由
保证金</x:v>
      </x:c>
    </x:row>
    <x:row r="795">
      <x:c r="A795" t="str">
        <x:v>c4d8ea73-99ac-4f56-b975-eaeeab87f74a</x:v>
      </x:c>
      <x:c r="B795" t="str">
        <x:v>600690</x:v>
      </x:c>
      <x:c r="C795" t="str">
        <x:v>海尔智家</x:v>
      </x:c>
      <x:c r="D795" t="str">
        <x:v>2026-06-30</x:v>
      </x:c>
      <x:c r="E795" t="str">
        <x:v>interim</x:v>
      </x:c>
      <x:c r="F795" t="str">
        <x:v>short_term_borrowings</x:v>
      </x:c>
      <x:c r="G795" t="n">
        <x:v>17420784420.86</x:v>
      </x:c>
      <x:c r="H795" t="str">
        <x:v>CNY</x:v>
      </x:c>
      <x:c r="I795" t="n">
        <x:v>156</x:v>
      </x:c>
      <x:c r="J795" t="str">
        <x:v>短期借款</x:v>
      </x:c>
      <x:c r="K795" t="str">
        <x:v>candidate_pending_automated_verification</x:v>
      </x:c>
      <x:c r="L795" t="str">
        <x:v>https://static.cninfo.com.cn/finalpage/2026-08-28/1225522691.PDF</x:v>
      </x:c>
      <x:c r="M795" t="str">
        <x:v>fe5814830fac441f9f71b77472c1090ee451d2cf411ad3ce0da469ffb898ed97</x:v>
      </x:c>
      <x:c r="N795" t="str">
        <x:v>12
其他 2,366,848.25
合计 2,534,886,848.31
筹资活动产生的各项负债变动情况
√适用 □不适用
单位：元 币种：人民币
项目 期初余额 本期增加 本期减少 期末余额现金变动 非现金变动 现金变动 非现金变动
短期借款 17,420,784,420.86 16,232,474,282.18 85,759,611.80 11,748,711,624.23 312,268,421.50 21,678,038,269.11
长期借款
（含一年内
到期）
15,523,085,408.37 2,472,145,883.68 4,538,553,398.90 326,876,373.49 13,129,801,519</x:v>
      </x:c>
    </x:row>
    <x:row r="796">
      <x:c r="A796" t="str">
        <x:v>56f29f9b-231e-4ef8-be0a-c96c2b7b9c29</x:v>
      </x:c>
      <x:c r="B796" t="str">
        <x:v>600690</x:v>
      </x:c>
      <x:c r="C796" t="str">
        <x:v>海尔智家</x:v>
      </x:c>
      <x:c r="D796" t="str">
        <x:v>2026-06-30</x:v>
      </x:c>
      <x:c r="E796" t="str">
        <x:v>interim</x:v>
      </x:c>
      <x:c r="F796" t="str">
        <x:v>long_term_borrowings</x:v>
      </x:c>
      <x:c r="G796" t="n">
        <x:v>1033760000</x:v>
      </x:c>
      <x:c r="H796" t="str">
        <x:v>CNY</x:v>
      </x:c>
      <x:c r="I796" t="n">
        <x:v>144</x:v>
      </x:c>
      <x:c r="J796" t="str">
        <x:v>长期借款</x:v>
      </x:c>
      <x:c r="K796" t="str">
        <x:v>candidate_pending_automated_verification</x:v>
      </x:c>
      <x:c r="L796" t="str">
        <x:v>https://static.cninfo.com.cn/finalpage/2026-08-28/1225522691.PDF</x:v>
      </x:c>
      <x:c r="M796" t="str">
        <x:v>fe5814830fac441f9f71b77472c1090ee451d2cf411ad3ce0da469ffb898ed97</x:v>
      </x:c>
      <x:c r="N796" t="str">
        <x:v>.71 19,438,745,515.16
期末账面余额主要包含已发生尚未支付的费用。期末无账龄超过 1 年的重要其他应付款。
33、 一年内到期的非流动负债
√适用 □不适用
单位：元 币种：人民币
项目 期末余额 期初余额
一年内到期的长期借款 1,033,760,000.00 4,356,450,000.00
一年内到期的长期应付款 372,495.31 749,239.28
一年内到期的租赁负债 1,624,391,835.86 1,631,251,739.94
一年内到期的预计负债 2,527,727,358.28 2,638,189,200.59
一年内到期的其他非流动负债 7,328,146.18 8,560,477.6</x:v>
      </x:c>
    </x:row>
    <x:row r="797">
      <x:c r="A797" t="str">
        <x:v>55648021-d2a7-4148-ad1c-af4dcaefa12a</x:v>
      </x:c>
      <x:c r="B797" t="str">
        <x:v>600690</x:v>
      </x:c>
      <x:c r="C797" t="str">
        <x:v>海尔智家</x:v>
      </x:c>
      <x:c r="D797" t="str">
        <x:v>2026-06-30</x:v>
      </x:c>
      <x:c r="E797" t="str">
        <x:v>interim</x:v>
      </x:c>
      <x:c r="F797" t="str">
        <x:v>cash</x:v>
      </x:c>
      <x:c r="G797" t="n">
        <x:v>2082595385.87</x:v>
      </x:c>
      <x:c r="H797" t="str">
        <x:v>CNY</x:v>
      </x:c>
      <x:c r="I797" t="n">
        <x:v>116</x:v>
      </x:c>
      <x:c r="J797" t="str">
        <x:v>货币资金</x:v>
      </x:c>
      <x:c r="K797" t="str">
        <x:v>candidate_pending_automated_verification</x:v>
      </x:c>
      <x:c r="L797" t="str">
        <x:v>https://static.cninfo.com.cn/finalpage/2026-08-28/1225522691.PDF</x:v>
      </x:c>
      <x:c r="M797" t="str">
        <x:v>fe5814830fac441f9f71b77472c1090ee451d2cf411ad3ce0da469ffb898ed97</x:v>
      </x:c>
      <x:c r="N797" t="str">
        <x:v>生额。
1、 货币资金
√适用 □不适用
单位：元 币种：人民币
项目 期末余额 期初余额
库存现金 4,323,305.44 2,361,449.23
银行存款 48,772,174,466.90 45,475,152,052.12
其他货币资金 2,082,595,385.87 2,144,143,939.95
合计 50,859,093,158.21 47,621,657,441.30
其中：存放在境外的款项总额 25,455,217,627.67 23,587,103,117.58
存放财务公司存款 10,682,105,449.30 11,330,984,136.12
其他货币资金主要为存出投资款、第三方支付平台存款、保证金</x:v>
      </x:c>
    </x:row>
    <x:row r="798">
      <x:c r="A798" t="str">
        <x:v>3861c922-99e6-484c-851c-8bc9910c2254</x:v>
      </x:c>
      <x:c r="B798" t="str">
        <x:v>600690</x:v>
      </x:c>
      <x:c r="C798" t="str">
        <x:v>海尔智家</x:v>
      </x:c>
      <x:c r="D798" t="str">
        <x:v>2026-06-30</x:v>
      </x:c>
      <x:c r="E798" t="str">
        <x:v>interim</x:v>
      </x:c>
      <x:c r="F798" t="str">
        <x:v>operating_cash_flow</x:v>
      </x:c>
      <x:c r="G798" t="n">
        <x:v>9752033977.71</x:v>
      </x:c>
      <x:c r="H798" t="str">
        <x:v>reported_amount</x:v>
      </x:c>
      <x:c r="I798" t="n">
        <x:v>6</x:v>
      </x:c>
      <x:c r="J798" t="str">
        <x:v>经营活动产生的现金流量净额</x:v>
      </x:c>
      <x:c r="K798" t="str">
        <x:v>candidate_pending_automated_verification</x:v>
      </x:c>
      <x:c r="L798" t="str">
        <x:v>https://static.cninfo.com.cn/finalpage/2026-08-28/1225522691.PDF</x:v>
      </x:c>
      <x:c r="M798" t="str">
        <x:v>fe5814830fac441f9f71b77472c1090ee451d2cf411ad3ce0da469ffb898ed97</x:v>
      </x:c>
      <x:c r="N798" t="str">
        <x:v>上市公司股东的净利润 10,316,254,946.26 12,032,995,820.27 -14.27
归属于上市公司股东的扣除非经
常性损益的净利润 9,298,750,602.78 11,702,408,556.70 -20.54
经营活动产生的现金流量净额 9,752,033,977.71 11,139,045,781.34 -12.45
本报告期末 上年度末
本报告期末
比上年度末
增减(%)
归属于上市公司股东的净资产 119,678,355,042.24 118,698,401,416.58 0.83
总资产 311,911,862,184.62 295,795,068,591.57 5.45
(二) 主要财务指标
主要财务指标 本报告</x:v>
      </x:c>
    </x:row>
    <x:row r="799">
      <x:c r="A799" t="str">
        <x:v>230da1e3-b2bd-4eb5-8dbd-8a3ca40100f9</x:v>
      </x:c>
      <x:c r="B799" t="str">
        <x:v>600690</x:v>
      </x:c>
      <x:c r="C799" t="str">
        <x:v>海尔智家</x:v>
      </x:c>
      <x:c r="D799" t="str">
        <x:v>2026-06-30</x:v>
      </x:c>
      <x:c r="E799" t="str">
        <x:v>interim</x:v>
      </x:c>
      <x:c r="F799" t="str">
        <x:v>net_income</x:v>
      </x:c>
      <x:c r="G799" t="n">
        <x:v>10316254946.26</x:v>
      </x:c>
      <x:c r="H799" t="str">
        <x:v>reported_amount</x:v>
      </x:c>
      <x:c r="I799" t="n">
        <x:v>6</x:v>
      </x:c>
      <x:c r="J799" t="str">
        <x:v>归属于上市公司股东的净利润</x:v>
      </x:c>
      <x:c r="K799" t="str">
        <x:v>candidate_pending_automated_verification</x:v>
      </x:c>
      <x:c r="L799" t="str">
        <x:v>https://static.cninfo.com.cn/finalpage/2026-08-28/1225522691.PDF</x:v>
      </x:c>
      <x:c r="M799" t="str">
        <x:v>fe5814830fac441f9f71b77472c1090ee451d2cf411ad3ce0da469ffb898ed97</x:v>
      </x:c>
      <x:c r="N799" t="str">
        <x:v> 上年同期
本报告期比
上年同期增
减(%)
营业收入 152,115,050,237.63 156,494,034,448.85 -2.80
利润总额 13,071,173,672.62 14,997,056,148.11 -12.84
归属于上市公司股东的净利润 10,316,254,946.26 12,032,995,820.27 -14.27
归属于上市公司股东的扣除非经
常性损益的净利润 9,298,750,602.78 11,702,408,556.70 -20.54
经营活动产生的现金流量净额 9,752,033,977.71 11,139,045,781.34 -12.45
本报告期末 上年度末
本报告期末
比上年度末
增减(%)
归属于</x:v>
      </x:c>
    </x:row>
    <x:row r="800">
      <x:c r="A800" t="str">
        <x:v>4fdf3c30-6906-4bce-b543-581ac4d3f30e</x:v>
      </x:c>
      <x:c r="B800" t="str">
        <x:v>600690</x:v>
      </x:c>
      <x:c r="C800" t="str">
        <x:v>海尔智家</x:v>
      </x:c>
      <x:c r="D800" t="str">
        <x:v>2026-06-30</x:v>
      </x:c>
      <x:c r="E800" t="str">
        <x:v>interim</x:v>
      </x:c>
      <x:c r="F800" t="str">
        <x:v>revenue</x:v>
      </x:c>
      <x:c r="G800" t="n">
        <x:v>152115050237.63</x:v>
      </x:c>
      <x:c r="H800" t="str">
        <x:v>reported_amount</x:v>
      </x:c>
      <x:c r="I800" t="n">
        <x:v>6</x:v>
      </x:c>
      <x:c r="J800" t="str">
        <x:v>营业收入</x:v>
      </x:c>
      <x:c r="K800" t="str">
        <x:v>candidate_pending_automated_verification</x:v>
      </x:c>
      <x:c r="L800" t="str">
        <x:v>https://static.cninfo.com.cn/finalpage/2026-08-28/1225522691.PDF</x:v>
      </x:c>
      <x:c r="M800" t="str">
        <x:v>fe5814830fac441f9f71b77472c1090ee451d2cf411ad3ce0da469ffb898ed97</x:v>
      </x:c>
      <x:c r="N800" t="str">
        <x:v>股 香港联交所 海尔智家 6690 /
六、 其他有关资料
□适用 √不适用
七、 公司主要会计数据和财务指标
(一) 主要会计数据
单位：元 币种：人民币
主要会计数据 本报告期
（1－6月） 上年同期
本报告期比
上年同期增
减(%)
营业收入 152,115,050,237.63 156,494,034,448.85 -2.80
利润总额 13,071,173,672.62 14,997,056,148.11 -12.84
归属于上市公司股东的净利润 10,316,254,946.26 12,032,995,820.27 -14.27
归属于上市公司股东的扣除非经
常性损益的净利润 9,298,750,602.78 11,702,4</x:v>
      </x:c>
    </x:row>
    <x:row r="801">
      <x:c r="A801" t="str">
        <x:v>c983c057-5d2e-49a1-a8c0-ae0b9d9308fe</x:v>
      </x:c>
      <x:c r="B801" t="str">
        <x:v>601088</x:v>
      </x:c>
      <x:c r="C801" t="str">
        <x:v>中国神华</x:v>
      </x:c>
      <x:c r="D801" t="str">
        <x:v>2026-06-30</x:v>
      </x:c>
      <x:c r="E801" t="str">
        <x:v>interim</x:v>
      </x:c>
      <x:c r="F801" t="str">
        <x:v>cash</x:v>
      </x:c>
      <x:c r="G801" t="n">
        <x:v>2026</x:v>
      </x:c>
      <x:c r="H801" t="str">
        <x:v>CNY</x:v>
      </x:c>
      <x:c r="I801" t="n">
        <x:v>212</x:v>
      </x:c>
      <x:c r="J801" t="str">
        <x:v>货币资金</x:v>
      </x:c>
      <x:c r="K801" t="str">
        <x:v>candidate_pending_automated_verification</x:v>
      </x:c>
      <x:c r="L801" t="str">
        <x:v>https://static.cninfo.com.cn/finalpage/2026-08-29/1225531759.PDF</x:v>
      </x:c>
      <x:c r="M801" t="str">
        <x:v>ff4a670c7aa9e0309dc610a0e225d490970731dcc14eda234d73bb8c9b9b54f4</x:v>
      </x:c>
      <x:c r="N801" t="str">
        <x:v>将资产负
债率保持在合理的水平。于2026年6月30日，本集团的资产负债率为40.3%(2025年12月
31日（已重述）：33.2%)。 
本集团对于资本管理的方法与往年一致。 
十六、 公司财务报表主要项目注释 
1、 货币资金 
  2026 年 6 月 30 日   2025 年 12 月 31 日 
银行存款：       
人民币 47,067   41,640 
美元 1,088   2,146 
港元 -*   -* 
印尼卢比 9   21 
小计 48,164   43,807 
存放在财务公司的存款：       
人民币 5</x:v>
      </x:c>
    </x:row>
    <x:row r="802">
      <x:c r="A802" t="str">
        <x:v>0ce8da8d-5199-482c-8bda-3e43863ebafa</x:v>
      </x:c>
      <x:c r="B802" t="str">
        <x:v>601088</x:v>
      </x:c>
      <x:c r="C802" t="str">
        <x:v>中国神华</x:v>
      </x:c>
      <x:c r="D802" t="str">
        <x:v>2026-06-30</x:v>
      </x:c>
      <x:c r="E802" t="str">
        <x:v>interim</x:v>
      </x:c>
      <x:c r="F802" t="str">
        <x:v>long_term_borrowings</x:v>
      </x:c>
      <x:c r="G802" t="n">
        <x:v>45387</x:v>
      </x:c>
      <x:c r="H802" t="str">
        <x:v>CNY</x:v>
      </x:c>
      <x:c r="I802" t="n">
        <x:v>180</x:v>
      </x:c>
      <x:c r="J802" t="str">
        <x:v>长期借款</x:v>
      </x:c>
      <x:c r="K802" t="str">
        <x:v>candidate_pending_automated_verification</x:v>
      </x:c>
      <x:c r="L802" t="str">
        <x:v>https://static.cninfo.com.cn/finalpage/2026-08-29/1225531759.PDF</x:v>
      </x:c>
      <x:c r="M802" t="str">
        <x:v>ff4a670c7aa9e0309dc610a0e225d490970731dcc14eda234d73bb8c9b9b54f4</x:v>
      </x:c>
      <x:c r="N802" t="str">
        <x:v> 4,288    3,460  
应交税费  2,872    2,890  
其他应付款  13,311   14,007 
一年内到期的非流动负债  21,934    20,791  
其他流动负债  313    7,202  
长期借款  45,387    44,657  
租赁负债  172    185  
长期应付款 14,924  15,696 
预计负债 5,206  5,587 
递延所得税负债 5,960  6,002 
净资产（注） 125,932  122,286 
减：少数股东权益 21,352  19,267 
取得的净资产 104,580  103,019 
</x:v>
      </x:c>
    </x:row>
    <x:row r="803">
      <x:c r="A803" t="str">
        <x:v>b59fab13-2906-4b05-955b-6a7cb1503175</x:v>
      </x:c>
      <x:c r="B803" t="str">
        <x:v>601088</x:v>
      </x:c>
      <x:c r="C803" t="str">
        <x:v>中国神华</x:v>
      </x:c>
      <x:c r="D803" t="str">
        <x:v>2026-06-30</x:v>
      </x:c>
      <x:c r="E803" t="str">
        <x:v>interim</x:v>
      </x:c>
      <x:c r="F803" t="str">
        <x:v>cash</x:v>
      </x:c>
      <x:c r="G803" t="n">
        <x:v>70200</x:v>
      </x:c>
      <x:c r="H803" t="str">
        <x:v>CNY</x:v>
      </x:c>
      <x:c r="I803" t="n">
        <x:v>203</x:v>
      </x:c>
      <x:c r="J803" t="str">
        <x:v>货币资金</x:v>
      </x:c>
      <x:c r="K803" t="str">
        <x:v>candidate_pending_automated_verification</x:v>
      </x:c>
      <x:c r="L803" t="str">
        <x:v>https://static.cninfo.com.cn/finalpage/2026-08-29/1225531759.PDF</x:v>
      </x:c>
      <x:c r="M803" t="str">
        <x:v>ff4a670c7aa9e0309dc610a0e225d490970731dcc14eda234d73bb8c9b9b54f4</x:v>
      </x:c>
      <x:c r="N803" t="str">
        <x:v>应收应付款项 
(1) 应收项目 
本集团 
  2026 年6 月 30 日   
2025 年 12 月 31 日 
（已重述） 
  账面余额   坏账准备   账面余额   坏账准备 
货币资金 70,200  -  81,151  - 
应收票据及应收款项融资 8,094  -  6,608  - 
应收账款 4,607  (270)  3,216  (268) 
预付款项 2,080  -  1,684  - 
应收股利 228  -  337  - 
其他应收款 614  -*  963  (548) 
其他流动资产 290  -  395  - 
其他非</x:v>
      </x:c>
    </x:row>
    <x:row r="804">
      <x:c r="A804" t="str">
        <x:v>a1cf83dd-1918-4f3f-a390-5499c472c80a</x:v>
      </x:c>
      <x:c r="B804" t="str">
        <x:v>601088</x:v>
      </x:c>
      <x:c r="C804" t="str">
        <x:v>中国神华</x:v>
      </x:c>
      <x:c r="D804" t="str">
        <x:v>2026-06-30</x:v>
      </x:c>
      <x:c r="E804" t="str">
        <x:v>interim</x:v>
      </x:c>
      <x:c r="F804" t="str">
        <x:v>cash</x:v>
      </x:c>
      <x:c r="G804" t="n">
        <x:v>2026</x:v>
      </x:c>
      <x:c r="H804" t="str">
        <x:v>CNY</x:v>
      </x:c>
      <x:c r="I804" t="n">
        <x:v>175</x:v>
      </x:c>
      <x:c r="J804" t="str">
        <x:v>货币资金</x:v>
      </x:c>
      <x:c r="K804" t="str">
        <x:v>candidate_pending_automated_verification</x:v>
      </x:c>
      <x:c r="L804" t="str">
        <x:v>https://static.cninfo.com.cn/finalpage/2026-08-29/1225531759.PDF</x:v>
      </x:c>
      <x:c r="M804" t="str">
        <x:v>ff4a670c7aa9e0309dc610a0e225d490970731dcc14eda234d73bb8c9b9b54f4</x:v>
      </x:c>
      <x:c r="N804" t="str">
        <x:v> 
中国神华能源股份有限公司 2026 年半年度报告 
175 
五、 合并财务报表主要项目注释(续) 
47、 现金流量表项目注释(续) 
(4) 不属于现金及现金等价物的货币资金 
  2026 年 6 月 30 日   
2025 年 12 月 31 日 
（已重述） 
限制用途资金 18,197  20,077 
三个月以上定期存款 65,722  70,449 
合计 83,919  90,526 
48、 所有权或使用权受到限制的资产 
项目 2026 年 6 月 30 日   
2025 年 12 月 </x:v>
      </x:c>
    </x:row>
    <x:row r="805">
      <x:c r="A805" t="str">
        <x:v>31664a6c-10ef-48c6-b718-7d4480f16d55</x:v>
      </x:c>
      <x:c r="B805" t="str">
        <x:v>601088</x:v>
      </x:c>
      <x:c r="C805" t="str">
        <x:v>中国神华</x:v>
      </x:c>
      <x:c r="D805" t="str">
        <x:v>2026-06-30</x:v>
      </x:c>
      <x:c r="E805" t="str">
        <x:v>interim</x:v>
      </x:c>
      <x:c r="F805" t="str">
        <x:v>short_term_borrowings</x:v>
      </x:c>
      <x:c r="G805" t="n">
        <x:v>13118</x:v>
      </x:c>
      <x:c r="H805" t="str">
        <x:v>CNY</x:v>
      </x:c>
      <x:c r="I805" t="n">
        <x:v>174</x:v>
      </x:c>
      <x:c r="J805" t="str">
        <x:v>短期借款</x:v>
      </x:c>
      <x:c r="K805" t="str">
        <x:v>candidate_pending_automated_verification</x:v>
      </x:c>
      <x:c r="L805" t="str">
        <x:v>https://static.cninfo.com.cn/finalpage/2026-08-29/1225531759.PDF</x:v>
      </x:c>
      <x:c r="M805" t="str">
        <x:v>ff4a670c7aa9e0309dc610a0e225d490970731dcc14eda234d73bb8c9b9b54f4</x:v>
      </x:c>
      <x:c r="N805" t="str">
        <x:v>各项负债变动情况 
 2025 年12 月 31 日
（已重述） 
 本期增加  本期减少  2026 年 6 月30
日  现金变动  非现金变动  现金变动   非现金变动   
短期借款 13,118  102,603  -  (48,172)  -  67,549 
应付利息 23    -      2,721  (2,719)  -  25 
应付股利 1,881  -  22,703  (561)  -  24,023 
长期借款(含一年内到期
部分) 89,431  26,463  -  (25,461)  (354)  90,079 
应付债</x:v>
      </x:c>
    </x:row>
    <x:row r="806">
      <x:c r="A806" t="str">
        <x:v>11b8d4c1-b808-438f-bbf9-ece511fdea45</x:v>
      </x:c>
      <x:c r="B806" t="str">
        <x:v>601088</x:v>
      </x:c>
      <x:c r="C806" t="str">
        <x:v>中国神华</x:v>
      </x:c>
      <x:c r="D806" t="str">
        <x:v>2026-06-30</x:v>
      </x:c>
      <x:c r="E806" t="str">
        <x:v>interim</x:v>
      </x:c>
      <x:c r="F806" t="str">
        <x:v>long_term_borrowings</x:v>
      </x:c>
      <x:c r="G806" t="n">
        <x:v>2026</x:v>
      </x:c>
      <x:c r="H806" t="str">
        <x:v>CNY</x:v>
      </x:c>
      <x:c r="I806" t="n">
        <x:v>162</x:v>
      </x:c>
      <x:c r="J806" t="str">
        <x:v>长期借款</x:v>
      </x:c>
      <x:c r="K806" t="str">
        <x:v>candidate_pending_automated_verification</x:v>
      </x:c>
      <x:c r="L806" t="str">
        <x:v>https://static.cninfo.com.cn/finalpage/2026-08-29/1225531759.PDF</x:v>
      </x:c>
      <x:c r="M806" t="str">
        <x:v>ff4a670c7aa9e0309dc610a0e225d490970731dcc14eda234d73bb8c9b9b54f4</x:v>
      </x:c>
      <x:c r="N806" t="str">
        <x:v>   
2025 年 12 月 31 日 
（已重述） 
未终止确认的应收保理款  9,627   10,005 
待转销项税  1,668   1,012 
合计 11,295  11,017 
26、 长期借款 
  2026 年 6 月 30 日   
2025 年 12 月 31 日 
（已重述） 
信用借款 78,982  77,673 
保证借款(注 1) 5,347  5,663 
质押借款(注 2) 1,967  1,862 
抵押借款 3,783  4,233 
小计 90,079  89,431 
减：一年内到期部分   </x:v>
      </x:c>
    </x:row>
    <x:row r="807">
      <x:c r="A807" t="str">
        <x:v>dba0e58f-ed17-41a0-97e0-db8c33f3b2dc</x:v>
      </x:c>
      <x:c r="B807" t="str">
        <x:v>601088</x:v>
      </x:c>
      <x:c r="C807" t="str">
        <x:v>中国神华</x:v>
      </x:c>
      <x:c r="D807" t="str">
        <x:v>2026-06-30</x:v>
      </x:c>
      <x:c r="E807" t="str">
        <x:v>interim</x:v>
      </x:c>
      <x:c r="F807" t="str">
        <x:v>current_portion_long_term_debt</x:v>
      </x:c>
      <x:c r="G807" t="n">
        <x:v>2026</x:v>
      </x:c>
      <x:c r="H807" t="str">
        <x:v>CNY</x:v>
      </x:c>
      <x:c r="I807" t="n">
        <x:v>161</x:v>
      </x:c>
      <x:c r="J807" t="str">
        <x:v>一年内到期的非流动负债</x:v>
      </x:c>
      <x:c r="K807" t="str">
        <x:v>candidate_pending_automated_verification</x:v>
      </x:c>
      <x:c r="L807" t="str">
        <x:v>https://static.cninfo.com.cn/finalpage/2026-08-29/1225531759.PDF</x:v>
      </x:c>
      <x:c r="M807" t="str">
        <x:v>ff4a670c7aa9e0309dc610a0e225d490970731dcc14eda234d73bb8c9b9b54f4</x:v>
      </x:c>
      <x:c r="N807" t="str">
        <x:v>期股息，
金额为人民币22,340百万元（含税）。截至本报告披露日， 上述股息已完成派
发。 
于2026年6月30日，本集团除保证金及押金、代垫矿权转让款等应付关联方往来款
项外，无个别重大的账龄超过一年的其他应付款。 
24、 一年内到期的非流动负债 
  2026 年 6 月 30 日   
2025 年 12 月 31 日 
（已重述） 
一年内到期的长期借款(附注五、26) 15,156   16,506 
一年内到期的预计负债(附注五、28)  3,008    2,493 
一年内到期的长期应付款(附注五、27) 6,920   10,712 
一年内到期的租赁负债(附注五、13) 181 </x:v>
      </x:c>
    </x:row>
    <x:row r="808">
      <x:c r="A808" t="str">
        <x:v>9066eb07-f3cf-47d6-8777-ceaa3240cae8</x:v>
      </x:c>
      <x:c r="B808" t="str">
        <x:v>601088</x:v>
      </x:c>
      <x:c r="C808" t="str">
        <x:v>中国神华</x:v>
      </x:c>
      <x:c r="D808" t="str">
        <x:v>2026-06-30</x:v>
      </x:c>
      <x:c r="E808" t="str">
        <x:v>interim</x:v>
      </x:c>
      <x:c r="F808" t="str">
        <x:v>short_term_borrowings</x:v>
      </x:c>
      <x:c r="G808" t="n">
        <x:v>2026</x:v>
      </x:c>
      <x:c r="H808" t="str">
        <x:v>CNY</x:v>
      </x:c>
      <x:c r="I808" t="n">
        <x:v>157</x:v>
      </x:c>
      <x:c r="J808" t="str">
        <x:v>短期借款</x:v>
      </x:c>
      <x:c r="K808" t="str">
        <x:v>candidate_pending_automated_verification</x:v>
      </x:c>
      <x:c r="L808" t="str">
        <x:v>https://static.cninfo.com.cn/finalpage/2026-08-29/1225531759.PDF</x:v>
      </x:c>
      <x:c r="M808" t="str">
        <x:v>ff4a670c7aa9e0309dc610a0e225d490970731dcc14eda234d73bb8c9b9b54f4</x:v>
      </x:c>
      <x:c r="N808" t="str">
        <x:v>
未来保证收取的现金的现值以实际利率进行折现计算。 
注2： 于2026年6月30日，本集团其他非流动资产减值准备中所包含的商誉的减值准
备金额为人民币4,266百万元(2025年12月31日：人民币4,266百万元)。 
17、 短期借款 
  2026 年 6 月 30 日   
2025 年 12 月 31 日 
（已重述） 
信用借款 67,549   13,118 
于2026年6月30日，短期借款 年利率为从 1.80%至2.85%(2025年12月31日：2.11%至
2.90%)。 
  </x:v>
      </x:c>
    </x:row>
    <x:row r="809">
      <x:c r="A809" t="str">
        <x:v>52b4c89b-ae1f-489f-905e-12d62c9d1e04</x:v>
      </x:c>
      <x:c r="B809" t="str">
        <x:v>601088</x:v>
      </x:c>
      <x:c r="C809" t="str">
        <x:v>中国神华</x:v>
      </x:c>
      <x:c r="D809" t="str">
        <x:v>2026-06-30</x:v>
      </x:c>
      <x:c r="E809" t="str">
        <x:v>interim</x:v>
      </x:c>
      <x:c r="F809" t="str">
        <x:v>cash</x:v>
      </x:c>
      <x:c r="G809" t="n">
        <x:v>2026</x:v>
      </x:c>
      <x:c r="H809" t="str">
        <x:v>CNY</x:v>
      </x:c>
      <x:c r="I809" t="n">
        <x:v>138</x:v>
      </x:c>
      <x:c r="J809" t="str">
        <x:v>货币资金</x:v>
      </x:c>
      <x:c r="K809" t="str">
        <x:v>candidate_pending_automated_verification</x:v>
      </x:c>
      <x:c r="L809" t="str">
        <x:v>https://static.cninfo.com.cn/finalpage/2026-08-29/1225531759.PDF</x:v>
      </x:c>
      <x:c r="M809" t="str">
        <x:v>ff4a670c7aa9e0309dc610a0e225d490970731dcc14eda234d73bb8c9b9b54f4</x:v>
      </x:c>
      <x:c r="N809" t="str">
        <x:v>定，按照《高新技术企业认定管理办法》以及《高新技
术企业认定管理工作指引》认定合格的高新技术企业，自认定批准的有效期当年
开始，可享受企业所得税优惠，即减按15%的税率征收企业所得税。 
五、 合并财务报表主要项目注释 
1、 货币资金 
  2026 年6 月 30 日   
2025 年 12 月 31 日 
（已重述） 
银行存款：       
人民币 59,435  52,649 
美元 5,038  6,039 
港币 3  3 
澳元 255  245 
印尼卢比 661  926 
日元 -*  -* 
图格里克 -*  - 
小计 65,392  59,862 
   </x:v>
      </x:c>
    </x:row>
    <x:row r="810">
      <x:c r="A810" t="str">
        <x:v>eafcb837-c7d5-41d0-ba3a-5f46d2660665</x:v>
      </x:c>
      <x:c r="B810" t="str">
        <x:v>601088</x:v>
      </x:c>
      <x:c r="C810" t="str">
        <x:v>中国神华</x:v>
      </x:c>
      <x:c r="D810" t="str">
        <x:v>2026-06-30</x:v>
      </x:c>
      <x:c r="E810" t="str">
        <x:v>interim</x:v>
      </x:c>
      <x:c r="F810" t="str">
        <x:v>short_term_borrowings</x:v>
      </x:c>
      <x:c r="G810" t="n">
        <x:v>67549</x:v>
      </x:c>
      <x:c r="H810" t="str">
        <x:v>CNY</x:v>
      </x:c>
      <x:c r="I810" t="n">
        <x:v>19</x:v>
      </x:c>
      <x:c r="J810" t="str">
        <x:v>短期借款</x:v>
      </x:c>
      <x:c r="K810" t="str">
        <x:v>candidate_pending_automated_verification</x:v>
      </x:c>
      <x:c r="L810" t="str">
        <x:v>https://static.cninfo.com.cn/finalpage/2026-08-29/1225531759.PDF</x:v>
      </x:c>
      <x:c r="M810" t="str">
        <x:v>ff4a670c7aa9e0309dc610a0e225d490970731dcc14eda234d73bb8c9b9b54f4</x:v>
      </x:c>
      <x:c r="N810" t="str">
        <x:v>股权投资 83,135 9.0 71,569 7.9 16.2 新增对财务公司、晋
神能源等联营公司
投资，以及确认对联
营公司的投资收益
在建工程 52,881 5.7 49,291 5.5 7.3 在建煤化工、发电、
煤炭项目持续投入
短期借款 67,549 7.3 13,118 1.5 414.9 并购贷款增加
应付票据 1,316 0.1 2,874 0.3 (54.2) 部分应付票据到期
兑付
应付账款 52,168 5.7 57,217 6.3 (8.8) 应付材料款、工程款
减少
合同负债 8,502 0.9 6,174 0.7 37.7 预收售煤款增加
应付职工薪酬 16,177 1.8 11,65</x:v>
      </x:c>
    </x:row>
    <x:row r="811">
      <x:c r="A811" t="str">
        <x:v>3becfedd-e268-4c1a-ad23-5f3df7cc63a5</x:v>
      </x:c>
      <x:c r="B811" t="str">
        <x:v>601088</x:v>
      </x:c>
      <x:c r="C811" t="str">
        <x:v>中国神华</x:v>
      </x:c>
      <x:c r="D811" t="str">
        <x:v>2026-06-30</x:v>
      </x:c>
      <x:c r="E811" t="str">
        <x:v>interim</x:v>
      </x:c>
      <x:c r="F811" t="str">
        <x:v>cash</x:v>
      </x:c>
      <x:c r="G811" t="n">
        <x:v>135592</x:v>
      </x:c>
      <x:c r="H811" t="str">
        <x:v>CNY</x:v>
      </x:c>
      <x:c r="I811" t="n">
        <x:v>19</x:v>
      </x:c>
      <x:c r="J811" t="str">
        <x:v>货币资金</x:v>
      </x:c>
      <x:c r="K811" t="str">
        <x:v>candidate_pending_automated_verification</x:v>
      </x:c>
      <x:c r="L811" t="str">
        <x:v>https://static.cninfo.com.cn/finalpage/2026-08-29/1225531759.PDF</x:v>
      </x:c>
      <x:c r="M811" t="str">
        <x:v>ff4a670c7aa9e0309dc610a0e225d490970731dcc14eda234d73bb8c9b9b54f4</x:v>
      </x:c>
      <x:c r="N811" t="str">
        <x:v>资产、负债情况分析
1. 合并资产负债表主要项目变动分析
项目 于 2026 年 6 月 30 日 于2025年12月31日
（已重述）
金额
变动
主要变动原因
金额 占总资产
的比例
金额 占总资产
的比例
百万元 % 百万元 % %
货币资金 135,592 14.7 141,013 15.6 (3.8) 购买结构性存款产
品等现金流出较多；
三个月以上定期存
款及限制用途的银
行存款减少
交易性金融资产 6,701 0.7 0 0.0 / 本公司购买结构性
存款产品
应收票据 8,067 0.9 5,632 0.6 43.2 销售票据结算增加
应收账款 18,756 2.0 16,566 1.8 13.2 应</x:v>
      </x:c>
    </x:row>
    <x:row r="812">
      <x:c r="A812" t="str">
        <x:v>555c6b10-fca2-4c84-a4c1-f20cf0a683da</x:v>
      </x:c>
      <x:c r="B812" t="str">
        <x:v>601088</x:v>
      </x:c>
      <x:c r="C812" t="str">
        <x:v>中国神华</x:v>
      </x:c>
      <x:c r="D812" t="str">
        <x:v>2026-06-30</x:v>
      </x:c>
      <x:c r="E812" t="str">
        <x:v>interim</x:v>
      </x:c>
      <x:c r="F812" t="str">
        <x:v>long_term_borrowings</x:v>
      </x:c>
      <x:c r="G812" t="n">
        <x:v>22942</x:v>
      </x:c>
      <x:c r="H812" t="str">
        <x:v>CNY</x:v>
      </x:c>
      <x:c r="I812" t="n">
        <x:v>204</x:v>
      </x:c>
      <x:c r="J812" t="str">
        <x:v>长期借款</x:v>
      </x:c>
      <x:c r="K812" t="str">
        <x:v>candidate_pending_automated_verification</x:v>
      </x:c>
      <x:c r="L812" t="str">
        <x:v>https://static.cninfo.com.cn/finalpage/2026-08-29/1225531759.PDF</x:v>
      </x:c>
      <x:c r="M812" t="str">
        <x:v>ff4a670c7aa9e0309dc610a0e225d490970731dcc14eda234d73bb8c9b9b54f4</x:v>
      </x:c>
      <x:c r="N812" t="str">
        <x:v> 
合同负债 1,703  758 
应付利息 -  1 
应付股利 17,153  1,773 
其他应付款 6,992  9,439 
其他流动负债 9,627  10,005 
一年以内到期的非流动负债 7,081  11,553 
长期借款 22,942  24,754 
长期应付款 8,369  12,432 
7、 本集团及本公司与关联方有关的关联交易协议 
(1) 本公司与国家能源集团为生产供应及辅助服务签订了一份产品和服务互供协
议。根据该协议，国家能源集团向本公司提供生产类、供应类产品及服务、辅
助生产服务及行政管理服务。另一方面，本公司向国家能源集团提供生产类、
供应类产品及服务、铁路运</x:v>
      </x:c>
    </x:row>
    <x:row r="813">
      <x:c r="A813" t="str">
        <x:v>59c3a88d-d9ec-4cfe-b77c-36728f710d04</x:v>
      </x:c>
      <x:c r="B813" t="str">
        <x:v>601088</x:v>
      </x:c>
      <x:c r="C813" t="str">
        <x:v>中国神华</x:v>
      </x:c>
      <x:c r="D813" t="str">
        <x:v>2026-06-30</x:v>
      </x:c>
      <x:c r="E813" t="str">
        <x:v>interim</x:v>
      </x:c>
      <x:c r="F813" t="str">
        <x:v>operating_cash_flow</x:v>
      </x:c>
      <x:c r="G813" t="n">
        <x:v>54664</x:v>
      </x:c>
      <x:c r="H813" t="str">
        <x:v>CNY</x:v>
      </x:c>
      <x:c r="I813" t="n">
        <x:v>16</x:v>
      </x:c>
      <x:c r="J813" t="str">
        <x:v>经营活动产生的现金流量净额</x:v>
      </x:c>
      <x:c r="K813" t="str">
        <x:v>candidate_pending_automated_verification</x:v>
      </x:c>
      <x:c r="L813" t="str">
        <x:v>https://static.cninfo.com.cn/finalpage/2026-08-29/1225531759.PDF</x:v>
      </x:c>
      <x:c r="M813" t="str">
        <x:v>ff4a670c7aa9e0309dc610a0e225d490970731dcc14eda234d73bb8c9b9b54f4</x:v>
      </x:c>
      <x:c r="N813" t="str">
        <x:v>5 7.4
税金及附加 13,033 11,248 15.9
管理费用 7,063 7,763 (9.0)
财务费用 1,641 1,121 46.4
投资收益 1,683 2,824 (40.4)
营业外支出 820 335 144.8
经营活动产生的现金流量净额 54,664 51,545 6.1
投资活动使用的现金流量净额 (36,007) (31,432) 14.6
筹资活动使用的现金流量净额 (17,296) (5,654) 205.9
（1）营业收入变动原因说明
2026年上半年，本集团营业收入同比增长 7.9%，主要原因是：
① 受煤炭市场供需形势影响，本集团煤炭销售量及平均销售价格同比分别增长 1.8%和
4.5%，</x:v>
      </x:c>
    </x:row>
    <x:row r="814">
      <x:c r="A814" t="str">
        <x:v>a9833cd5-770d-4b12-ab85-656e5317c9b5</x:v>
      </x:c>
      <x:c r="B814" t="str">
        <x:v>601088</x:v>
      </x:c>
      <x:c r="C814" t="str">
        <x:v>中国神华</x:v>
      </x:c>
      <x:c r="D814" t="str">
        <x:v>2026-06-30</x:v>
      </x:c>
      <x:c r="E814" t="str">
        <x:v>interim</x:v>
      </x:c>
      <x:c r="F814" t="str">
        <x:v>long_term_borrowings</x:v>
      </x:c>
      <x:c r="G814" t="n">
        <x:v>2026</x:v>
      </x:c>
      <x:c r="H814" t="str">
        <x:v>CNY</x:v>
      </x:c>
      <x:c r="I814" t="n">
        <x:v>224</x:v>
      </x:c>
      <x:c r="J814" t="str">
        <x:v>长期借款</x:v>
      </x:c>
      <x:c r="K814" t="str">
        <x:v>candidate_pending_automated_verification</x:v>
      </x:c>
      <x:c r="L814" t="str">
        <x:v>https://static.cninfo.com.cn/finalpage/2026-08-29/1225531759.PDF</x:v>
      </x:c>
      <x:c r="M814" t="str">
        <x:v>ff4a670c7aa9e0309dc610a0e225d490970731dcc14eda234d73bb8c9b9b54f4</x:v>
      </x:c>
      <x:c r="N814" t="str">
        <x:v> 
一年内到期的预计负债 63   44 
一年内到期的长期应付款(附注十六、19) 1,145   1,196 
一年内到期的租赁负债(附注十六、10) 8   132 
合计 1,289   1,458 
18、 长期借款 
  2026 年 6 月 30 日   2025 年 12 月 31 日 
信用借款 1,055  236 
减：一年内到期部分 73  86 
合计 982   150 
上述借款年利率为从1.80%至3.00%(2025年12月31日：1.80%至2.60%)。 
19、 长期应付款 
  2026 年 6 月 30 日  </x:v>
      </x:c>
    </x:row>
    <x:row r="815">
      <x:c r="A815" t="str">
        <x:v>abd85253-3f28-4aa0-8f9b-5faff8ce5e93</x:v>
      </x:c>
      <x:c r="B815" t="str">
        <x:v>601088</x:v>
      </x:c>
      <x:c r="C815" t="str">
        <x:v>中国神华</x:v>
      </x:c>
      <x:c r="D815" t="str">
        <x:v>2026-06-30</x:v>
      </x:c>
      <x:c r="E815" t="str">
        <x:v>interim</x:v>
      </x:c>
      <x:c r="F815" t="str">
        <x:v>current_portion_long_term_debt</x:v>
      </x:c>
      <x:c r="G815" t="n">
        <x:v>2026</x:v>
      </x:c>
      <x:c r="H815" t="str">
        <x:v>CNY</x:v>
      </x:c>
      <x:c r="I815" t="n">
        <x:v>224</x:v>
      </x:c>
      <x:c r="J815" t="str">
        <x:v>一年内到期的非流动负债</x:v>
      </x:c>
      <x:c r="K815" t="str">
        <x:v>candidate_pending_automated_verification</x:v>
      </x:c>
      <x:c r="L815" t="str">
        <x:v>https://static.cninfo.com.cn/finalpage/2026-08-29/1225531759.PDF</x:v>
      </x:c>
      <x:c r="M815" t="str">
        <x:v>ff4a670c7aa9e0309dc610a0e225d490970731dcc14eda234d73bb8c9b9b54f4</x:v>
      </x:c>
      <x:c r="N815" t="str">
        <x:v> 
中国神华能源股份有限公司 2026 年半年度报告 
十六、 公司财务报表主要项目注释(续) 
17、 一年内到期的非流动负债 
  2026 年 6 月 30 日   2025 年 12 月 31 日 
一年内到期的长期借款(附注十六、18) 73   86 
一年内到期的预计负债 63   44 
一年内到期的长期应付款(附注十六、19) 1,145   1,196 
一年内到期的租赁负债(附注十六、10) 8   132 
合计 1,289   1,458</x:v>
      </x:c>
    </x:row>
    <x:row r="816">
      <x:c r="A816" t="str">
        <x:v>e5985fd4-823f-4266-ae77-d078f2a272c0</x:v>
      </x:c>
      <x:c r="B816" t="str">
        <x:v>601088</x:v>
      </x:c>
      <x:c r="C816" t="str">
        <x:v>中国神华</x:v>
      </x:c>
      <x:c r="D816" t="str">
        <x:v>2026-06-30</x:v>
      </x:c>
      <x:c r="E816" t="str">
        <x:v>interim</x:v>
      </x:c>
      <x:c r="F816" t="str">
        <x:v>short_term_borrowings</x:v>
      </x:c>
      <x:c r="G816" t="n">
        <x:v>2026</x:v>
      </x:c>
      <x:c r="H816" t="str">
        <x:v>CNY</x:v>
      </x:c>
      <x:c r="I816" t="n">
        <x:v>222</x:v>
      </x:c>
      <x:c r="J816" t="str">
        <x:v>短期借款</x:v>
      </x:c>
      <x:c r="K816" t="str">
        <x:v>candidate_pending_automated_verification</x:v>
      </x:c>
      <x:c r="L816" t="str">
        <x:v>https://static.cninfo.com.cn/finalpage/2026-08-29/1225531759.PDF</x:v>
      </x:c>
      <x:c r="M816" t="str">
        <x:v>ff4a670c7aa9e0309dc610a0e225d490970731dcc14eda234d73bb8c9b9b54f4</x:v>
      </x:c>
      <x:c r="N816" t="str">
        <x:v>关的预付款 3,808   3,204 
预付矿区前期支出 2,000   2,000 
拨付下属公司款 207   262 
长期应收款 6,798   6,798 
合计 12,813   12,264 
14、 短期借款 
  2026 年 6 月 30 日   2025 年 12 月 31 日 
信用借款 50,529   - 
于2026 年 6 月 30 日，短期借款年利率为从2.08%至 2.11%(2025 年 12 月 31 日：无)。 
15、 应付账款 
(1) 应付账款明细 
项目 2026 年 6 月 30 日   2025 年 12 </x:v>
      </x:c>
    </x:row>
    <x:row r="817">
      <x:c r="A817" t="str">
        <x:v>c5070586-bf0c-44b7-9d91-afd447d6e3a7</x:v>
      </x:c>
      <x:c r="B817" t="str">
        <x:v>601088</x:v>
      </x:c>
      <x:c r="C817" t="str">
        <x:v>中国神华</x:v>
      </x:c>
      <x:c r="D817" t="str">
        <x:v>2026-06-30</x:v>
      </x:c>
      <x:c r="E817" t="str">
        <x:v>interim</x:v>
      </x:c>
      <x:c r="F817" t="str">
        <x:v>operating_cash_flow</x:v>
      </x:c>
      <x:c r="G817" t="n">
        <x:v>54664</x:v>
      </x:c>
      <x:c r="H817" t="str">
        <x:v>reported_amount</x:v>
      </x:c>
      <x:c r="I817" t="n">
        <x:v>6</x:v>
      </x:c>
      <x:c r="J817" t="str">
        <x:v>经营活动产生的现金流量净额</x:v>
      </x:c>
      <x:c r="K817" t="str">
        <x:v>candidate_pending_automated_verification</x:v>
      </x:c>
      <x:c r="L817" t="str">
        <x:v>https://static.cninfo.com.cn/finalpage/2026-08-29/1225531759.PDF</x:v>
      </x:c>
      <x:c r="M817" t="str">
        <x:v>ff4a670c7aa9e0309dc610a0e225d490970731dcc14eda234d73bb8c9b9b54f4</x:v>
      </x:c>
      <x:c r="N817" t="str">
        <x:v>
利润总额 45,494 43,171 37,602 5.4
归属于上市公司股东的净利润 28,715 27,583 24,641 4.1
归属于上市公司股东的扣除非
经常性损益的净利润
26,895 24,312 24,312 10.6
经营活动产生的现金流量净额 54,664 51,545 45,794 6.1
于2026年6月30日 于2025年12月31日 变动
%重述后 重述前
归属于上市公司股东的净资产 450,933 512,016 409,107 (11.9)
资产总计 920,905 903,830 627,761 1.9
负债合计 370,874 300,203 146,310 23.5
总股本 21,689 1</x:v>
      </x:c>
    </x:row>
    <x:row r="818">
      <x:c r="A818" t="str">
        <x:v>b26989f5-bb57-45ef-a35d-8b9ab6acfc05</x:v>
      </x:c>
      <x:c r="B818" t="str">
        <x:v>601088</x:v>
      </x:c>
      <x:c r="C818" t="str">
        <x:v>中国神华</x:v>
      </x:c>
      <x:c r="D818" t="str">
        <x:v>2026-06-30</x:v>
      </x:c>
      <x:c r="E818" t="str">
        <x:v>interim</x:v>
      </x:c>
      <x:c r="F818" t="str">
        <x:v>net_income</x:v>
      </x:c>
      <x:c r="G818" t="n">
        <x:v>28715</x:v>
      </x:c>
      <x:c r="H818" t="str">
        <x:v>reported_amount</x:v>
      </x:c>
      <x:c r="I818" t="n">
        <x:v>6</x:v>
      </x:c>
      <x:c r="J818" t="str">
        <x:v>归属于上市公司股东的净利润</x:v>
      </x:c>
      <x:c r="K818" t="str">
        <x:v>candidate_pending_automated_verification</x:v>
      </x:c>
      <x:c r="L818" t="str">
        <x:v>https://static.cninfo.com.cn/finalpage/2026-08-29/1225531759.PDF</x:v>
      </x:c>
      <x:c r="M818" t="str">
        <x:v>ff4a670c7aa9e0309dc610a0e225d490970731dcc14eda234d73bb8c9b9b54f4</x:v>
      </x:c>
      <x:c r="N818" t="str">
        <x:v>标
(一) 主要会计数据
单位：百万元
主要会计数据 2026年上半年 2025年上半年 变动
%重述后 重述前
营业收入 189,338 175,423 138,109 7.9
利润总额 45,494 43,171 37,602 5.4
归属于上市公司股东的净利润 28,715 27,583 24,641 4.1
归属于上市公司股东的扣除非
经常性损益的净利润
26,895 24,312 24,312 10.6
经营活动产生的现金流量净额 54,664 51,545 45,794 6.1
于2026年6月30日 于2025年12月31日 变动
%重述后 重述前
归属于上市公司股东的净资产 450,933 512,016 409,1</x:v>
      </x:c>
    </x:row>
    <x:row r="819">
      <x:c r="A819" t="str">
        <x:v>1fb99553-3d1a-4570-968d-cafb7f2b2e1f</x:v>
      </x:c>
      <x:c r="B819" t="str">
        <x:v>601088</x:v>
      </x:c>
      <x:c r="C819" t="str">
        <x:v>中国神华</x:v>
      </x:c>
      <x:c r="D819" t="str">
        <x:v>2026-06-30</x:v>
      </x:c>
      <x:c r="E819" t="str">
        <x:v>interim</x:v>
      </x:c>
      <x:c r="F819" t="str">
        <x:v>revenue</x:v>
      </x:c>
      <x:c r="G819" t="n">
        <x:v>189338</x:v>
      </x:c>
      <x:c r="H819" t="str">
        <x:v>reported_amount</x:v>
      </x:c>
      <x:c r="I819" t="n">
        <x:v>6</x:v>
      </x:c>
      <x:c r="J819" t="str">
        <x:v>营业收入</x:v>
      </x:c>
      <x:c r="K819" t="str">
        <x:v>candidate_pending_automated_verification</x:v>
      </x:c>
      <x:c r="L819" t="str">
        <x:v>https://static.cninfo.com.cn/finalpage/2026-08-29/1225531759.PDF</x:v>
      </x:c>
      <x:c r="M819" t="str">
        <x:v>ff4a670c7aa9e0309dc610a0e225d490970731dcc14eda234d73bb8c9b9b54f4</x:v>
      </x:c>
      <x:c r="N819" t="str">
        <x:v>（H股）
名 称 香港中央证券登记有限公司
办公地址 香港湾仔皇后大道东183号合和中心17M楼
七、公司主要会计数据和财务指标
(一) 主要会计数据
单位：百万元
主要会计数据 2026年上半年 2025年上半年 变动
%重述后 重述前
营业收入 189,338 175,423 138,109 7.9
利润总额 45,494 43,171 37,602 5.4
归属于上市公司股东的净利润 28,715 27,583 24,641 4.1
归属于上市公司股东的扣除非
经常性损益的净利润
26,895 24,312 24,312 10.6
经营活动产生的现金流量净额 54,664 51,545 45,794 6.1
于</x:v>
      </x:c>
    </x:row>
    <x:row r="820">
      <x:c r="A820" t="str">
        <x:v>8ccefea8-5c62-4848-a4ce-ac13301f8887</x:v>
      </x:c>
      <x:c r="B820" t="str">
        <x:v>601088</x:v>
      </x:c>
      <x:c r="C820" t="str">
        <x:v>中国神华</x:v>
      </x:c>
      <x:c r="D820" t="str">
        <x:v>2026-06-30</x:v>
      </x:c>
      <x:c r="E820" t="str">
        <x:v>interim</x:v>
      </x:c>
      <x:c r="F820" t="str">
        <x:v>cash</x:v>
      </x:c>
      <x:c r="G820" t="n">
        <x:v>48163</x:v>
      </x:c>
      <x:c r="H820" t="str">
        <x:v>CNY</x:v>
      </x:c>
      <x:c r="I820" t="n">
        <x:v>180</x:v>
      </x:c>
      <x:c r="J820" t="str">
        <x:v>货币资金</x:v>
      </x:c>
      <x:c r="K820" t="str">
        <x:v>candidate_pending_automated_verification</x:v>
      </x:c>
      <x:c r="L820" t="str">
        <x:v>https://static.cninfo.com.cn/finalpage/2026-08-29/1225531759.PDF</x:v>
      </x:c>
      <x:c r="M820" t="str">
        <x:v>ff4a670c7aa9e0309dc610a0e225d490970731dcc14eda234d73bb8c9b9b54f4</x:v>
      </x:c>
      <x:c r="N820" t="str">
        <x:v>
180 
七、 合并范围的变更(续) 
1、 同一控制下企业合并(续) 
(3) 合并日被合并方资产、负债的账面价值 
  国源电力等 11 家公司 
  合并日  2025 年12 月31 日 
资产：      
货币资金 48,163  44,241 
应收票据  128    63  
应收账款  6,981    4,967  
应收款项融资  464    516  
预付款项 6,091   4,367  
其他应收款 2,876  5,090 
存货  3,845    3,527  
其他流动资产  2,060    2,028  
长期股权投资 9,715  9,525 
</x:v>
      </x:c>
    </x:row>
    <x:row r="821">
      <x:c r="A821" t="str">
        <x:v>7e6c2eb5-0faa-4298-af21-2e641d09216b</x:v>
      </x:c>
      <x:c r="B821" t="str">
        <x:v>601088</x:v>
      </x:c>
      <x:c r="C821" t="str">
        <x:v>中国神华</x:v>
      </x:c>
      <x:c r="D821" t="str">
        <x:v>2026-06-30</x:v>
      </x:c>
      <x:c r="E821" t="str">
        <x:v>interim</x:v>
      </x:c>
      <x:c r="F821" t="str">
        <x:v>short_term_borrowings</x:v>
      </x:c>
      <x:c r="G821" t="n">
        <x:v>20153</x:v>
      </x:c>
      <x:c r="H821" t="str">
        <x:v>CNY</x:v>
      </x:c>
      <x:c r="I821" t="n">
        <x:v>180</x:v>
      </x:c>
      <x:c r="J821" t="str">
        <x:v>短期借款</x:v>
      </x:c>
      <x:c r="K821" t="str">
        <x:v>candidate_pending_automated_verification</x:v>
      </x:c>
      <x:c r="L821" t="str">
        <x:v>https://static.cninfo.com.cn/finalpage/2026-08-29/1225531759.PDF</x:v>
      </x:c>
      <x:c r="M821" t="str">
        <x:v>ff4a670c7aa9e0309dc610a0e225d490970731dcc14eda234d73bb8c9b9b54f4</x:v>
      </x:c>
      <x:c r="N821" t="str">
        <x:v>产  911    967  
无形资产 59,762  59,785 
长期待摊费用  3,237    3,298  
递延所得税资产  1,360    1,352  
其他非流动资产 30,589  33,305 
负债：    
短期借款  20,153    12,709  
应付票据  2,059    2,537  
应付账款  16,528    18,494  
预收款项  238    6  
合同负债  4,182    2,857  
应付职工薪酬  4,288    3,460  
应交税费  2,872    2,890  
其他应付款  13,311   14,007 
一年内到期的非</x:v>
      </x:c>
    </x:row>
    <x:row r="822">
      <x:c r="A822" t="str">
        <x:v>da300aee-9a36-4ff3-9564-e89df4e34ae0</x:v>
      </x:c>
      <x:c r="B822" t="str">
        <x:v>601088</x:v>
      </x:c>
      <x:c r="C822" t="str">
        <x:v>中国神华</x:v>
      </x:c>
      <x:c r="D822" t="str">
        <x:v>2026-06-30</x:v>
      </x:c>
      <x:c r="E822" t="str">
        <x:v>interim</x:v>
      </x:c>
      <x:c r="F822" t="str">
        <x:v>short_term_borrowings</x:v>
      </x:c>
      <x:c r="G822" t="n">
        <x:v>1844</x:v>
      </x:c>
      <x:c r="H822" t="str">
        <x:v>CNY</x:v>
      </x:c>
      <x:c r="I822" t="n">
        <x:v>204</x:v>
      </x:c>
      <x:c r="J822" t="str">
        <x:v>短期借款</x:v>
      </x:c>
      <x:c r="K822" t="str">
        <x:v>candidate_pending_automated_verification</x:v>
      </x:c>
      <x:c r="L822" t="str">
        <x:v>https://static.cninfo.com.cn/finalpage/2026-08-29/1225531759.PDF</x:v>
      </x:c>
      <x:c r="M822" t="str">
        <x:v>ff4a670c7aa9e0309dc610a0e225d490970731dcc14eda234d73bb8c9b9b54f4</x:v>
      </x:c>
      <x:c r="N822" t="str">
        <x:v>04 
十一、 关联方及关联交易(续) 
6、 关联方应收应付款项（续） 
(2) 应付项目 
本集团 
  2026 年 6 月 30 日   
2025 年 12 月 31 日 
（已重述） 
短期借款 1,844  3,114 
应付账款 5,851  5,154 
合同负债 1,703  758 
应付利息 -  1 
应付股利 17,153  1,773 
其他应付款 6,992  9,439 
其他流动负债 9,627  10,005 
一年以内到期的非流动负债 7,081  11,553 
长期借款 22,942  24,754 
长期应付款 8,369  </x:v>
      </x:c>
    </x:row>
    <x:row r="823">
      <x:c r="A823" t="str">
        <x:v>e1f1ad97-6453-498c-bd33-a2de51165f29</x:v>
      </x:c>
      <x:c r="B823" t="str">
        <x:v>601088</x:v>
      </x:c>
      <x:c r="C823" t="str">
        <x:v>中国神华</x:v>
      </x:c>
      <x:c r="D823" t="str">
        <x:v>2026-06-30</x:v>
      </x:c>
      <x:c r="E823" t="str">
        <x:v>interim</x:v>
      </x:c>
      <x:c r="F823" t="str">
        <x:v>current_portion_long_term_debt</x:v>
      </x:c>
      <x:c r="G823" t="n">
        <x:v>21934</x:v>
      </x:c>
      <x:c r="H823" t="str">
        <x:v>CNY</x:v>
      </x:c>
      <x:c r="I823" t="n">
        <x:v>180</x:v>
      </x:c>
      <x:c r="J823" t="str">
        <x:v>一年内到期的非流动负债</x:v>
      </x:c>
      <x:c r="K823" t="str">
        <x:v>candidate_pending_automated_verification</x:v>
      </x:c>
      <x:c r="L823" t="str">
        <x:v>https://static.cninfo.com.cn/finalpage/2026-08-29/1225531759.PDF</x:v>
      </x:c>
      <x:c r="M823" t="str">
        <x:v>ff4a670c7aa9e0309dc610a0e225d490970731dcc14eda234d73bb8c9b9b54f4</x:v>
      </x:c>
      <x:c r="N823" t="str">
        <x:v>8,494  
预收款项  238    6  
合同负债  4,182    2,857  
应付职工薪酬  4,288    3,460  
应交税费  2,872    2,890  
其他应付款  13,311   14,007 
一年内到期的非流动负债  21,934    20,791  
其他流动负债  313    7,202  
长期借款  45,387    44,657  
租赁负债  172    185  
长期应付款 14,924  15,696 
预计负债 5,206  5,587 
递延所得税负债 5,960  6,002 
净资产（注） 125,932  122,286 
减：少数股东权</x:v>
      </x:c>
    </x:row>
    <x:row r="824">
      <x:c r="A824" t="str">
        <x:v>4d692c1f-ded2-43be-a3ae-9aaff79afb9e</x:v>
      </x:c>
      <x:c r="B824" t="str">
        <x:v>601658</x:v>
      </x:c>
      <x:c r="C824" t="str">
        <x:v>邮储银行</x:v>
      </x:c>
      <x:c r="D824" t="str">
        <x:v>2026-06-30</x:v>
      </x:c>
      <x:c r="E824" t="str">
        <x:v>interim</x:v>
      </x:c>
      <x:c r="F824" t="str">
        <x:v>bonds_payable</x:v>
      </x:c>
      <x:c r="G824" t="n">
        <x:v>276179</x:v>
      </x:c>
      <x:c r="H824" t="str">
        <x:v>CNY</x:v>
      </x:c>
      <x:c r="I824" t="n">
        <x:v>254</x:v>
      </x:c>
      <x:c r="J824" t="str">
        <x:v>应付债券</x:v>
      </x:c>
      <x:c r="K824" t="str">
        <x:v>candidate_pending_automated_verification</x:v>
      </x:c>
      <x:c r="L824" t="str">
        <x:v>https://static.cninfo.com.cn/finalpage/2026-08-29/1225525154.PDF</x:v>
      </x:c>
      <x:c r="M824" t="str">
        <x:v>dbd073aa2a086aaa3f017e57d9a59c2872cadf06fd160423b2a7d1f8fa587014</x:v>
      </x:c>
      <x:c r="N824" t="str">
        <x:v>6 13,347 – 62,963
衍生金融负债 2,084 2,942 20 5,046
卖出回购金融资产款 288,290 3,441 – 291,731
吸收存款 17,414,258 20,978 3,451 17,438,687
应付债券 276,179 – – 276,179
其他金融负债 152,173 1,631 946 154,750
金融负债总额 18,524,760 42,339 4,417 18,571,516
资产负债表内敞口净额 991,286 14,463 22,243 1,027,992
衍生金融工具的净名义金额 17,066 7,505 (20,804) 3,767
信贷承诺 1,2</x:v>
      </x:c>
    </x:row>
    <x:row r="825">
      <x:c r="A825" t="str">
        <x:v>90bcdf16-ec48-4bbd-b73d-853315ceb34e</x:v>
      </x:c>
      <x:c r="B825" t="str">
        <x:v>601658</x:v>
      </x:c>
      <x:c r="C825" t="str">
        <x:v>邮储银行</x:v>
      </x:c>
      <x:c r="D825" t="str">
        <x:v>2026-06-30</x:v>
      </x:c>
      <x:c r="E825" t="str">
        <x:v>interim</x:v>
      </x:c>
      <x:c r="F825" t="str">
        <x:v>bonds_payable</x:v>
      </x:c>
      <x:c r="G825" t="n">
        <x:v>276179</x:v>
      </x:c>
      <x:c r="H825" t="str">
        <x:v>CNY</x:v>
      </x:c>
      <x:c r="I825" t="n">
        <x:v>286</x:v>
      </x:c>
      <x:c r="J825" t="str">
        <x:v>应付债券</x:v>
      </x:c>
      <x:c r="K825" t="str">
        <x:v>candidate_pending_automated_verification</x:v>
      </x:c>
      <x:c r="L825" t="str">
        <x:v>https://static.cninfo.com.cn/finalpage/2026-08-29/1225525154.PDF</x:v>
      </x:c>
      <x:c r="M825" t="str">
        <x:v>dbd073aa2a086aaa3f017e57d9a59c2872cadf06fd160423b2a7d1f8fa587014</x:v>
      </x:c>
      <x:c r="N825" t="str">
        <x:v>5,046 5,046
25 卖出回购金融资产款 291,731 291,731
26 吸收存款 17,438,687 17,438,687
27 应付职工薪酬 21,948 21,948
28 应交税费 11,285 11,285
29 应付债券 276,179 276,179
30 租赁负债 11,094 11,094
31 递延所得税负债 48 48
32     其中 ： 与商誉相关的递延所得税负债 – – c
33     其中 ： 与无形资产相关的递延所得税负债 – – d
34 其他负债 156,131 156,131
35 负债合计 18,617,272 18,617,272
股东权益
36 股本 1</x:v>
      </x:c>
    </x:row>
    <x:row r="826">
      <x:c r="A826" t="str">
        <x:v>06344922-f6cb-4508-a8de-30a3479378e4</x:v>
      </x:c>
      <x:c r="B826" t="str">
        <x:v>601658</x:v>
      </x:c>
      <x:c r="C826" t="str">
        <x:v>邮储银行</x:v>
      </x:c>
      <x:c r="D826" t="str">
        <x:v>2026-06-30</x:v>
      </x:c>
      <x:c r="E826" t="str">
        <x:v>interim</x:v>
      </x:c>
      <x:c r="F826" t="str">
        <x:v>bonds_payable</x:v>
      </x:c>
      <x:c r="G826" t="n">
        <x:v>276179</x:v>
      </x:c>
      <x:c r="H826" t="str">
        <x:v>CNY</x:v>
      </x:c>
      <x:c r="I826" t="n">
        <x:v>266</x:v>
      </x:c>
      <x:c r="J826" t="str">
        <x:v>应付债券</x:v>
      </x:c>
      <x:c r="K826" t="str">
        <x:v>candidate_pending_automated_verification</x:v>
      </x:c>
      <x:c r="L826" t="str">
        <x:v>https://static.cninfo.com.cn/finalpage/2026-08-29/1225525154.PDF</x:v>
      </x:c>
      <x:c r="M826" t="str">
        <x:v>dbd073aa2a086aaa3f017e57d9a59c2872cadf06fd160423b2a7d1f8fa587014</x:v>
      </x:c>
      <x:c r="N826" t="str">
        <x:v>允价值，这些公允价值未在资产负债表中列报。
合并 2026年6月30日
账面价值 公允价值 第一层级 第二层级 第三层级
金融资产
  债权投资 5,482,708 5,648,786 – 5,545,769 103,017
金融负债
  应付债券 276,179 280,527 – 280,527 –
合并 2025年12月31日
账面价值 公允价值 第一层级 第二层级 第三层级
金融资产
  债权投资 4,688,443 4,816,039 – 4,690,467 125,572
金融负债
  应付债券 251,284 256,245 – 256,245 –
除上述金融资产和负债外，在资产负债表中非以公允价值计量</x:v>
      </x:c>
    </x:row>
    <x:row r="827">
      <x:c r="A827" t="str">
        <x:v>b2b94349-6a63-48ca-a927-abbbfb6275bb</x:v>
      </x:c>
      <x:c r="B827" t="str">
        <x:v>601658</x:v>
      </x:c>
      <x:c r="C827" t="str">
        <x:v>邮储银行</x:v>
      </x:c>
      <x:c r="D827" t="str">
        <x:v>2026-06-30</x:v>
      </x:c>
      <x:c r="E827" t="str">
        <x:v>interim</x:v>
      </x:c>
      <x:c r="F827" t="str">
        <x:v>bonds_payable</x:v>
      </x:c>
      <x:c r="G827" t="n">
        <x:v>50218</x:v>
      </x:c>
      <x:c r="H827" t="str">
        <x:v>CNY</x:v>
      </x:c>
      <x:c r="I827" t="n">
        <x:v>257</x:v>
      </x:c>
      <x:c r="J827" t="str">
        <x:v>应付债券</x:v>
      </x:c>
      <x:c r="K827" t="str">
        <x:v>candidate_pending_automated_verification</x:v>
      </x:c>
      <x:c r="L827" t="str">
        <x:v>https://static.cninfo.com.cn/finalpage/2026-08-29/1225525154.PDF</x:v>
      </x:c>
      <x:c r="M827" t="str">
        <x:v>dbd073aa2a086aaa3f017e57d9a59c2872cadf06fd160423b2a7d1f8fa587014</x:v>
      </x:c>
      <x:c r="N827" t="str">
        <x:v>5,046
卖出回购金融资产款 187,252 51,332 52,772 – – 375 291,731
吸收存款 5,069,829 1,321,595 9,085,421 1,823,648 – 138,194 17,438,687
应付债券 50,218 50,804 – 12,677 159,993 2,487 276,179
其他金融负债 303 453 1,826 6,147 2,409 143,612 154,750
金融负债总额 5,617,824 1,454,866 9,202,756 1,843,047 162,402 290,621 18,571,516
利率风险缺口 (2,714,345)</x:v>
      </x:c>
    </x:row>
    <x:row r="828">
      <x:c r="A828" t="str">
        <x:v>c3607ee7-0088-4052-8bfb-db6dcad9fccc</x:v>
      </x:c>
      <x:c r="B828" t="str">
        <x:v>601658</x:v>
      </x:c>
      <x:c r="C828" t="str">
        <x:v>邮储银行</x:v>
      </x:c>
      <x:c r="D828" t="str">
        <x:v>2026-06-30</x:v>
      </x:c>
      <x:c r="E828" t="str">
        <x:v>interim</x:v>
      </x:c>
      <x:c r="F828" t="str">
        <x:v>bonds_payable</x:v>
      </x:c>
      <x:c r="G828" t="n">
        <x:v>249897</x:v>
      </x:c>
      <x:c r="H828" t="str">
        <x:v>CNY</x:v>
      </x:c>
      <x:c r="I828" t="n">
        <x:v>255</x:v>
      </x:c>
      <x:c r="J828" t="str">
        <x:v>应付债券</x:v>
      </x:c>
      <x:c r="K828" t="str">
        <x:v>candidate_pending_automated_verification</x:v>
      </x:c>
      <x:c r="L828" t="str">
        <x:v>https://static.cninfo.com.cn/finalpage/2026-08-29/1225525154.PDF</x:v>
      </x:c>
      <x:c r="M828" t="str">
        <x:v>dbd073aa2a086aaa3f017e57d9a59c2872cadf06fd160423b2a7d1f8fa587014</x:v>
      </x:c>
      <x:c r="N828" t="str">
        <x:v> 4,938 – 56,135
衍生金融负债 2,031 1,796 844 4,671
卖出回购金融资产款 243,178 12,222 – 255,400
吸收存款 16,519,021 18,858 3,837 16,541,716
应付债券 249,897 1,387 – 251,284
其他金融负债 147,523 342 (7) 147,858
金融负债总额 17,429,302 39,543 4,674 17,473,519
资产负债表内敞口净额 970,218 28,206 3,953 1,002,377
衍生金融工具的净名义金额 4,700 (2,490) (3,108) (898)
信贷承诺 1,</x:v>
      </x:c>
    </x:row>
    <x:row r="829">
      <x:c r="A829" t="str">
        <x:v>2966197f-7265-4e41-b261-e98b40c4a249</x:v>
      </x:c>
      <x:c r="B829" t="str">
        <x:v>601328</x:v>
      </x:c>
      <x:c r="C829" t="str">
        <x:v>交通银行</x:v>
      </x:c>
      <x:c r="D829" t="str">
        <x:v>2026-06-30</x:v>
      </x:c>
      <x:c r="E829" t="str">
        <x:v>interim</x:v>
      </x:c>
      <x:c r="F829" t="str">
        <x:v>operating_cash_flow</x:v>
      </x:c>
      <x:c r="G829" t="n">
        <x:v>94943</x:v>
      </x:c>
      <x:c r="H829" t="str">
        <x:v>reported_amount</x:v>
      </x:c>
      <x:c r="I829" t="n">
        <x:v>9</x:v>
      </x:c>
      <x:c r="J829" t="str">
        <x:v>经营活动产生的现金流量净额</x:v>
      </x:c>
      <x:c r="K829" t="str">
        <x:v>candidate_pending_automated_verification</x:v>
      </x:c>
      <x:c r="L829" t="str">
        <x:v>https://static.cninfo.com.cn/finalpage/2026-08-29/1225530238.PDF</x:v>
      </x:c>
      <x:c r="M829" t="str">
        <x:v>480ad7717978eaeb61eb7477bce2d5042c966e65a5314a2c57a8ac0ce819cde5</x:v>
      </x:c>
      <x:c r="N829" t="str">
        <x:v>  14.34  47,678 
净利润（归属于母公司股东）  47,874  46,016  4.04  45,287 
扣除非经常性损益后的净利润 （归属于
母公司股东）
1
47,600 45,902 3.70  45,112 
经营活动产生的现金流量净额  94,943    53,479   77.53 (222,442) 
基本及稀释每股收益（人民币元）
2
 0.52 0.59 (11.86)  0.56  
扣除非经常性损益后的基本每股收益
（人民币元）
1，2
0.52 0.58 (10.34)  0.56  
 2026 年 
6 月 30 日 
2025年 
12月31日 增减(%) 2024年 
12月</x:v>
      </x:c>
    </x:row>
    <x:row r="830">
      <x:c r="A830" t="str">
        <x:v>057ed5ab-bc55-4038-9054-32dcbca019f3</x:v>
      </x:c>
      <x:c r="B830" t="str">
        <x:v>601328</x:v>
      </x:c>
      <x:c r="C830" t="str">
        <x:v>交通银行</x:v>
      </x:c>
      <x:c r="D830" t="str">
        <x:v>2026-06-30</x:v>
      </x:c>
      <x:c r="E830" t="str">
        <x:v>interim</x:v>
      </x:c>
      <x:c r="F830" t="str">
        <x:v>bonds_payable</x:v>
      </x:c>
      <x:c r="G830" t="n">
        <x:v>713459</x:v>
      </x:c>
      <x:c r="H830" t="str">
        <x:v>CNY</x:v>
      </x:c>
      <x:c r="I830" t="n">
        <x:v>39</x:v>
      </x:c>
      <x:c r="J830" t="str">
        <x:v>应付债券</x:v>
      </x:c>
      <x:c r="K830" t="str">
        <x:v>candidate_pending_automated_verification</x:v>
      </x:c>
      <x:c r="L830" t="str">
        <x:v>https://static.cninfo.com.cn/finalpage/2026-08-29/1225530238.PDF</x:v>
      </x:c>
      <x:c r="M830" t="str">
        <x:v>480ad7717978eaeb61eb7477bce2d5042c966e65a5314a2c57a8ac0ce819cde5</x:v>
      </x:c>
      <x:c r="N830" t="str">
        <x:v>同业及其他金融机构存放款项 1,271,208 8.50  1,163,044  8.15 1,073,574  7.81 
已发行存款证 1,355,533 9.06  1,403,271  9.84 1,384,372  10.07 
应付债券 713,459 4.77  692,085 4.85 691,248  5.03 
其他 1,700,607 11.37  1,701,891 11.93 1,795,591  13.06 
负债总额 14,956,243 100.00  14,268,106   100.00 13,745,120   100.00  
报告期末， 本集团负债总额149,562.43亿元</x:v>
      </x:c>
    </x:row>
    <x:row r="831">
      <x:c r="A831" t="str">
        <x:v>dbc648a1-8bde-40a8-8e56-c2da5d9eb349</x:v>
      </x:c>
      <x:c r="B831" t="str">
        <x:v>601328</x:v>
      </x:c>
      <x:c r="C831" t="str">
        <x:v>交通银行</x:v>
      </x:c>
      <x:c r="D831" t="str">
        <x:v>2026-06-30</x:v>
      </x:c>
      <x:c r="E831" t="str">
        <x:v>interim</x:v>
      </x:c>
      <x:c r="F831" t="str">
        <x:v>revenue</x:v>
      </x:c>
      <x:c r="G831" t="n">
        <x:v>142343</x:v>
      </x:c>
      <x:c r="H831" t="str">
        <x:v>reported_amount</x:v>
      </x:c>
      <x:c r="I831" t="n">
        <x:v>9</x:v>
      </x:c>
      <x:c r="J831" t="str">
        <x:v>营业收入</x:v>
      </x:c>
      <x:c r="K831" t="str">
        <x:v>candidate_pending_automated_verification</x:v>
      </x:c>
      <x:c r="L831" t="str">
        <x:v>https://static.cninfo.com.cn/finalpage/2026-08-29/1225530238.PDF</x:v>
      </x:c>
      <x:c r="M831" t="str">
        <x:v>480ad7717978eaeb61eb7477bce2d5042c966e65a5314a2c57a8ac0ce819cde5</x:v>
      </x:c>
      <x:c r="N831" t="str">
        <x:v>25年1-6月 增减(%) 2024年1-6月 
报告期内  （除另有标明外，人民币百万元） 
利息净收入 92,592 85,247 8.62  84,234 
手续费及佣金净收入 20,473 20,458 0.07  21,000 
营业收入 142,343 133,368 6.73  132,347 
信用减值损失 34,541 32,814 5.26  33,021 
业务及管理费 39,103 39,933 (2.08) 39,621 
利润总额 53,637  46,910  14.34  47,678 
净利润（归属于母公司股东）  47,874  46,016  4.04  45,287 
扣除非经</x:v>
      </x:c>
    </x:row>
    <x:row r="832">
      <x:c r="A832" t="str">
        <x:v>7bf08707-9639-4d7d-b75b-1c7ff1adfa4d</x:v>
      </x:c>
      <x:c r="B832" t="str">
        <x:v>601668</x:v>
      </x:c>
      <x:c r="C832" t="str">
        <x:v>中国建筑</x:v>
      </x:c>
      <x:c r="D832" t="str">
        <x:v>2026-06-30</x:v>
      </x:c>
      <x:c r="E832" t="str">
        <x:v>interim</x:v>
      </x:c>
      <x:c r="F832" t="str">
        <x:v>bonds_payable</x:v>
      </x:c>
      <x:c r="G832" t="n">
        <x:v>2026</x:v>
      </x:c>
      <x:c r="H832" t="str">
        <x:v>CNY</x:v>
      </x:c>
      <x:c r="I832" t="n">
        <x:v>205</x:v>
      </x:c>
      <x:c r="J832" t="str">
        <x:v>应付债券</x:v>
      </x:c>
      <x:c r="K832" t="str">
        <x:v>candidate_pending_automated_verification</x:v>
      </x:c>
      <x:c r="L832" t="str">
        <x:v>https://static.cninfo.com.cn/finalpage/2026-08-29/1225529574.PDF</x:v>
      </x:c>
      <x:c r="M832" t="str">
        <x:v>c9b4cdd3ca4dccc4b0032dce31ff444ae9dd48edc242c3d74b2ba124d8b78661</x:v>
      </x:c>
      <x:c r="N832" t="str">
        <x:v>20%至6.37%（2025年12月31日：
1.20%至6.70%）。 
于2026年6月30日及2025年12月31日，本集团将各类资产向银行抵押或质押作为
借款之担保的情况参见附注五、26。 
39. 应付债券 
（1） 应付债券 
  2026年6月30日   2025年12月31日  
公司债券  49,941,437   44,250,936  
非公开定向债券融资工具  95,419,584   87,783,877  
其他  1,578,013   1,661,823  
小计  146,939,034   133,696,636  
减：一年内到期的应付</x:v>
      </x:c>
    </x:row>
    <x:row r="833">
      <x:c r="A833" t="str">
        <x:v>aa760132-da73-4cba-adc7-e60a798fd4d2</x:v>
      </x:c>
      <x:c r="B833" t="str">
        <x:v>601668</x:v>
      </x:c>
      <x:c r="C833" t="str">
        <x:v>中国建筑</x:v>
      </x:c>
      <x:c r="D833" t="str">
        <x:v>2026-06-30</x:v>
      </x:c>
      <x:c r="E833" t="str">
        <x:v>interim</x:v>
      </x:c>
      <x:c r="F833" t="str">
        <x:v>long_term_borrowings</x:v>
      </x:c>
      <x:c r="G833" t="n">
        <x:v>2026</x:v>
      </x:c>
      <x:c r="H833" t="str">
        <x:v>CNY</x:v>
      </x:c>
      <x:c r="I833" t="n">
        <x:v>205</x:v>
      </x:c>
      <x:c r="J833" t="str">
        <x:v>长期借款</x:v>
      </x:c>
      <x:c r="K833" t="str">
        <x:v>candidate_pending_automated_verification</x:v>
      </x:c>
      <x:c r="L833" t="str">
        <x:v>https://static.cninfo.com.cn/finalpage/2026-08-29/1225529574.PDF</x:v>
      </x:c>
      <x:c r="M833" t="str">
        <x:v>c9b4cdd3ca4dccc4b0032dce31ff444ae9dd48edc242c3d74b2ba124d8b78661</x:v>
      </x:c>
      <x:c r="N833" t="str">
        <x:v>中国建筑股份有限公司 
财务报表附注（续） 
截至 2026 年 6 月 30 日止六个月期间  人民币千元 
117 
五、 合并财务报表主要项目注释（续） 
38. 长期借款 
  2026年6月30日   2025年12月31日  
信用借款  381,697,876   373,146,849  
抵押借款  90,196,529   97,503,607  
保证借款  5,001,390   8,694,756  
质押借款  136,273,696   134,783,036  
小计  613,169,491   6</x:v>
      </x:c>
    </x:row>
    <x:row r="834">
      <x:c r="A834" t="str">
        <x:v>a2865de6-b6f5-43aa-ab6d-5974d777acc5</x:v>
      </x:c>
      <x:c r="B834" t="str">
        <x:v>601668</x:v>
      </x:c>
      <x:c r="C834" t="str">
        <x:v>中国建筑</x:v>
      </x:c>
      <x:c r="D834" t="str">
        <x:v>2026-06-30</x:v>
      </x:c>
      <x:c r="E834" t="str">
        <x:v>interim</x:v>
      </x:c>
      <x:c r="F834" t="str">
        <x:v>current_portion_long_term_debt</x:v>
      </x:c>
      <x:c r="G834" t="n">
        <x:v>2026</x:v>
      </x:c>
      <x:c r="H834" t="str">
        <x:v>CNY</x:v>
      </x:c>
      <x:c r="I834" t="n">
        <x:v>202</x:v>
      </x:c>
      <x:c r="J834" t="str">
        <x:v>一年内到期的非流动负债</x:v>
      </x:c>
      <x:c r="K834" t="str">
        <x:v>candidate_pending_automated_verification</x:v>
      </x:c>
      <x:c r="L834" t="str">
        <x:v>https://static.cninfo.com.cn/finalpage/2026-08-29/1225529574.PDF</x:v>
      </x:c>
      <x:c r="M834" t="str">
        <x:v>c9b4cdd3ca4dccc4b0032dce31ff444ae9dd48edc242c3d74b2ba124d8b78661</x:v>
      </x:c>
      <x:c r="N834" t="str">
        <x:v>，账龄超过1年的其他应付款余额为41,318,134千元（2025年12
月31日：42,582,707千元），主要为应付保证金和应付项目融资款。鉴于工程尚
未完工，双方仍继续发生往来，无账龄超过1年或逾期的重要其他应付款。 
36. 一年内到期的非流动负债 
  2026年6月30日   2025年12月31日  
一年内到期的长期借款(附注五、38)  108,013,071   87,656,255  
一年内到期的应付债券(附注五、39)  32,132,707   20,315,589  
一年内到期的长期应付款(附注五、41)  14,785,370   14,524,678  
一年内到期的租赁负</x:v>
      </x:c>
    </x:row>
    <x:row r="835">
      <x:c r="A835" t="str">
        <x:v>0c651e4a-31f7-45a2-a252-6877c721f622</x:v>
      </x:c>
      <x:c r="B835" t="str">
        <x:v>601668</x:v>
      </x:c>
      <x:c r="C835" t="str">
        <x:v>中国建筑</x:v>
      </x:c>
      <x:c r="D835" t="str">
        <x:v>2026-06-30</x:v>
      </x:c>
      <x:c r="E835" t="str">
        <x:v>interim</x:v>
      </x:c>
      <x:c r="F835" t="str">
        <x:v>short_term_borrowings</x:v>
      </x:c>
      <x:c r="G835" t="n">
        <x:v>2026</x:v>
      </x:c>
      <x:c r="H835" t="str">
        <x:v>CNY</x:v>
      </x:c>
      <x:c r="I835" t="n">
        <x:v>195</x:v>
      </x:c>
      <x:c r="J835" t="str">
        <x:v>短期借款</x:v>
      </x:c>
      <x:c r="K835" t="str">
        <x:v>candidate_pending_automated_verification</x:v>
      </x:c>
      <x:c r="L835" t="str">
        <x:v>https://static.cninfo.com.cn/finalpage/2026-08-29/1225529574.PDF</x:v>
      </x:c>
      <x:c r="M835" t="str">
        <x:v>c9b4cdd3ca4dccc4b0032dce31ff444ae9dd48edc242c3d74b2ba124d8b78661</x:v>
      </x:c>
      <x:c r="N835" t="str">
        <x:v>中国建筑股份有限公司 
财务报表附注（续） 
截至 2026 年 6 月 30 日止六个月期间   人民币千元 
107 
五、 合并财务报表主要项目注释（续） 
28. 短期借款 
  2026年6月30日   2025年12月31日  
信用借款  164,772,826   166,725,349  
抵押借款  1,966,588   2,066,950  
质押借款  379,050   1,454,135  
合计  167,118,464   170,246,434  
于2026年6月30日及202</x:v>
      </x:c>
    </x:row>
    <x:row r="836">
      <x:c r="A836" t="str">
        <x:v>57be3539-80db-4864-b908-02121040e6fd</x:v>
      </x:c>
      <x:c r="B836" t="str">
        <x:v>601668</x:v>
      </x:c>
      <x:c r="C836" t="str">
        <x:v>中国建筑</x:v>
      </x:c>
      <x:c r="D836" t="str">
        <x:v>2026-06-30</x:v>
      </x:c>
      <x:c r="E836" t="str">
        <x:v>interim</x:v>
      </x:c>
      <x:c r="F836" t="str">
        <x:v>cash</x:v>
      </x:c>
      <x:c r="G836" t="n">
        <x:v>50820699</x:v>
      </x:c>
      <x:c r="H836" t="str">
        <x:v>CNY</x:v>
      </x:c>
      <x:c r="I836" t="n">
        <x:v>192</x:v>
      </x:c>
      <x:c r="J836" t="str">
        <x:v>货币资金</x:v>
      </x:c>
      <x:c r="K836" t="str">
        <x:v>candidate_pending_automated_verification</x:v>
      </x:c>
      <x:c r="L836" t="str">
        <x:v>https://static.cninfo.com.cn/finalpage/2026-08-29/1225529574.PDF</x:v>
      </x:c>
      <x:c r="M836" t="str">
        <x:v>c9b4cdd3ca4dccc4b0032dce31ff444ae9dd48edc242c3d74b2ba124d8b78661</x:v>
      </x:c>
      <x:c r="N836" t="str">
        <x:v>间 人民币千元 
104 
五、 合并财务报表主要项目注释（续） 
26. 所有权或使用权受到限制的资产 
2026年6月30日 
  账面余额   账面价值   受限类型   受限情况  
货币资金  50,820,699   50,820,699   担保/冻结/监管   注1  
应收票据  8,750   8,734   质押   注2  
应收账款  823,340   799,788   质押   注2  
存货  81,825,744   81,564,958   抵押   注2  
合同资产  149,131,728   146,711,558   质押   注</x:v>
      </x:c>
    </x:row>
    <x:row r="837">
      <x:c r="A837" t="str">
        <x:v>5e73d864-cc8c-4d54-9492-ca25987148d7</x:v>
      </x:c>
      <x:c r="B837" t="str">
        <x:v>601668</x:v>
      </x:c>
      <x:c r="C837" t="str">
        <x:v>中国建筑</x:v>
      </x:c>
      <x:c r="D837" t="str">
        <x:v>2026-06-30</x:v>
      </x:c>
      <x:c r="E837" t="str">
        <x:v>interim</x:v>
      </x:c>
      <x:c r="F837" t="str">
        <x:v>cash</x:v>
      </x:c>
      <x:c r="G837" t="n">
        <x:v>2026</x:v>
      </x:c>
      <x:c r="H837" t="str">
        <x:v>CNY</x:v>
      </x:c>
      <x:c r="I837" t="n">
        <x:v>154</x:v>
      </x:c>
      <x:c r="J837" t="str">
        <x:v>货币资金</x:v>
      </x:c>
      <x:c r="K837" t="str">
        <x:v>candidate_pending_automated_verification</x:v>
      </x:c>
      <x:c r="L837" t="str">
        <x:v>https://static.cninfo.com.cn/finalpage/2026-08-29/1225529574.PDF</x:v>
      </x:c>
      <x:c r="M837" t="str">
        <x:v>c9b4cdd3ca4dccc4b0032dce31ff444ae9dd48edc242c3d74b2ba124d8b78661</x:v>
      </x:c>
      <x:c r="N837" t="str">
        <x:v>中国建筑股份有限公司 
财务报表附注（续） 
截至 2026 年 6 月 30 日止六个月期间  人民币千元 
66 
五、 合并财务报表主要项目注释 
1. 货币资金 
  2026年6月30日   2025年12月31日  
库存现金  32,831   39,204  
银行存款  370,623,019   382,430,597  
其他货币资金  24,477,934   29,200,406  
合计  395,133,784   411,670,207  
其中：存放在境外的款项总额  40</x:v>
      </x:c>
    </x:row>
    <x:row r="838">
      <x:c r="A838" t="str">
        <x:v>5f93b19f-cdfa-4180-a527-ed5051cc7845</x:v>
      </x:c>
      <x:c r="B838" t="str">
        <x:v>601668</x:v>
      </x:c>
      <x:c r="C838" t="str">
        <x:v>中国建筑</x:v>
      </x:c>
      <x:c r="D838" t="str">
        <x:v>2026-06-30</x:v>
      </x:c>
      <x:c r="E838" t="str">
        <x:v>interim</x:v>
      </x:c>
      <x:c r="F838" t="str">
        <x:v>operating_cash_flow</x:v>
      </x:c>
      <x:c r="G838" t="n">
        <x:v>-28461271</x:v>
      </x:c>
      <x:c r="H838" t="str">
        <x:v>reported_amount</x:v>
      </x:c>
      <x:c r="I838" t="n">
        <x:v>11</x:v>
      </x:c>
      <x:c r="J838" t="str">
        <x:v>经营活动产生的现金流量净额</x:v>
      </x:c>
      <x:c r="K838" t="str">
        <x:v>candidate_pending_automated_verification</x:v>
      </x:c>
      <x:c r="L838" t="str">
        <x:v>https://static.cninfo.com.cn/finalpage/2026-08-29/1225529574.PDF</x:v>
      </x:c>
      <x:c r="M838" t="str">
        <x:v>c9b4cdd3ca4dccc4b0032dce31ff444ae9dd48edc242c3d74b2ba124d8b78661</x:v>
      </x:c>
      <x:c r="N838" t="str">
        <x:v>18.7
归属于上市公司股东的净利润 23,000,277 30,399,922 30,404,353 -24.3
归属于上市公司股东的扣除非经常性损益的净利润 19,922,491 27,493,445 27,498,077 -27.5
经营活动产生的现金流量净额 -28,461,271 -82,838,016 -82,830,595 /
本报告期末
上年度末 本报告期末比上
年度末增减 (%)调整后 调整前
归属于上市公司股东的净资产 503,947,750 491,555,607 491,555,607 2.5
总资产 3,677,286,089 3,560,679,818 3,560,679,818 3.3
期末总股本 41,320,</x:v>
      </x:c>
    </x:row>
    <x:row r="839">
      <x:c r="A839" t="str">
        <x:v>0c690ed9-8cdc-4e4d-b462-526058fdb194</x:v>
      </x:c>
      <x:c r="B839" t="str">
        <x:v>601668</x:v>
      </x:c>
      <x:c r="C839" t="str">
        <x:v>中国建筑</x:v>
      </x:c>
      <x:c r="D839" t="str">
        <x:v>2026-06-30</x:v>
      </x:c>
      <x:c r="E839" t="str">
        <x:v>interim</x:v>
      </x:c>
      <x:c r="F839" t="str">
        <x:v>net_income</x:v>
      </x:c>
      <x:c r="G839" t="n">
        <x:v>23000277</x:v>
      </x:c>
      <x:c r="H839" t="str">
        <x:v>reported_amount</x:v>
      </x:c>
      <x:c r="I839" t="n">
        <x:v>11</x:v>
      </x:c>
      <x:c r="J839" t="str">
        <x:v>归属于上市公司股东的净利润</x:v>
      </x:c>
      <x:c r="K839" t="str">
        <x:v>candidate_pending_automated_verification</x:v>
      </x:c>
      <x:c r="L839" t="str">
        <x:v>https://static.cninfo.com.cn/finalpage/2026-08-29/1225529574.PDF</x:v>
      </x:c>
      <x:c r="M839" t="str">
        <x:v>c9b4cdd3ca4dccc4b0032dce31ff444ae9dd48edc242c3d74b2ba124d8b78661</x:v>
      </x:c>
      <x:c r="N839" t="str">
        <x:v> 本报告期比上年
同期增减 (%)调整后 调整前
营业收入 975,837,283 1,108,421,760 1,108,307,435 -12.0
利润总额 40,515,900 49,822,208 49,829,382 -18.7
归属于上市公司股东的净利润 23,000,277 30,399,922 30,404,353 -24.3
归属于上市公司股东的扣除非经常性损益的净利润 19,922,491 27,493,445 27,498,077 -27.5
经营活动产生的现金流量净额 -28,461,271 -82,838,016 -82,830,595 /
本报告期末
上年度末 本报告期末比上
年度末增减 (%)调整后 调整前
归</x:v>
      </x:c>
    </x:row>
    <x:row r="840">
      <x:c r="A840" t="str">
        <x:v>cd8c4264-5f92-4eaf-a5b5-0c797fca3a28</x:v>
      </x:c>
      <x:c r="B840" t="str">
        <x:v>601668</x:v>
      </x:c>
      <x:c r="C840" t="str">
        <x:v>中国建筑</x:v>
      </x:c>
      <x:c r="D840" t="str">
        <x:v>2026-06-30</x:v>
      </x:c>
      <x:c r="E840" t="str">
        <x:v>interim</x:v>
      </x:c>
      <x:c r="F840" t="str">
        <x:v>revenue</x:v>
      </x:c>
      <x:c r="G840" t="n">
        <x:v>975837283</x:v>
      </x:c>
      <x:c r="H840" t="str">
        <x:v>reported_amount</x:v>
      </x:c>
      <x:c r="I840" t="n">
        <x:v>11</x:v>
      </x:c>
      <x:c r="J840" t="str">
        <x:v>营业收入</x:v>
      </x:c>
      <x:c r="K840" t="str">
        <x:v>candidate_pending_automated_verification</x:v>
      </x:c>
      <x:c r="L840" t="str">
        <x:v>https://static.cninfo.com.cn/finalpage/2026-08-29/1225529574.PDF</x:v>
      </x:c>
      <x:c r="M840" t="str">
        <x:v>c9b4cdd3ca4dccc4b0032dce31ff444ae9dd48edc242c3d74b2ba124d8b78661</x:v>
      </x:c>
      <x:c r="N840" t="str">
        <x:v>17层01-12 室
签字会计师姓名 高君、李冬冬
七、 ﾠ公司主要会计数据和财务指标
（一） 主要会计数据
单位 ： 千元　币种 ： 人民币
主要会计数据 本报告期
（1-6月）
上年同期 本报告期比上年
同期增减 (%)调整后 调整前
营业收入 975,837,283 1,108,421,760 1,108,307,435 -12.0
利润总额 40,515,900 49,822,208 49,829,382 -18.7
归属于上市公司股东的净利润 23,000,277 30,399,922 30,404,353 -24.3
归属于上市公司股东的扣除非经常性损益的净利润 19,922,491 27,493,445 27,</x:v>
      </x:c>
    </x:row>
    <x:row r="841">
      <x:c r="A841" t="str">
        <x:v>403593b7-508f-4eb0-8aa4-3dcfbc08b1ee</x:v>
      </x:c>
      <x:c r="B841" t="str">
        <x:v>601668</x:v>
      </x:c>
      <x:c r="C841" t="str">
        <x:v>中国建筑</x:v>
      </x:c>
      <x:c r="D841" t="str">
        <x:v>2026-06-30</x:v>
      </x:c>
      <x:c r="E841" t="str">
        <x:v>interim</x:v>
      </x:c>
      <x:c r="F841" t="str">
        <x:v>bonds_payable</x:v>
      </x:c>
      <x:c r="G841" t="n">
        <x:v>36210348</x:v>
      </x:c>
      <x:c r="H841" t="str">
        <x:v>CNY</x:v>
      </x:c>
      <x:c r="I841" t="n">
        <x:v>253</x:v>
      </x:c>
      <x:c r="J841" t="str">
        <x:v>应付债券</x:v>
      </x:c>
      <x:c r="K841" t="str">
        <x:v>candidate_pending_automated_verification</x:v>
      </x:c>
      <x:c r="L841" t="str">
        <x:v>https://static.cninfo.com.cn/finalpage/2026-08-29/1225529574.PDF</x:v>
      </x:c>
      <x:c r="M841" t="str">
        <x:v>c9b4cdd3ca4dccc4b0032dce31ff444ae9dd48edc242c3d74b2ba124d8b78661</x:v>
      </x:c>
      <x:c r="N841" t="str">
        <x:v>流动负债  28,866,937   -   -   -   28,866,937  
长期借款  121,048,900   200,450,913   177,833,692   162,551,802   661,885,307  
应付债券  36,210,348   3,343,429   71,078,049   59,287,081   169,918,907  
租赁负债  2,370,544   1,619,649   1,468,137   1,085,697   6,544,027  
长期应付款  14,785,535   8,880,080   5,318,795   114,395   29,09</x:v>
      </x:c>
    </x:row>
    <x:row r="842">
      <x:c r="A842" t="str">
        <x:v>3b2df9a2-40de-456f-b812-5d64b6838bd3</x:v>
      </x:c>
      <x:c r="B842" t="str">
        <x:v>601668</x:v>
      </x:c>
      <x:c r="C842" t="str">
        <x:v>中国建筑</x:v>
      </x:c>
      <x:c r="D842" t="str">
        <x:v>2026-06-30</x:v>
      </x:c>
      <x:c r="E842" t="str">
        <x:v>interim</x:v>
      </x:c>
      <x:c r="F842" t="str">
        <x:v>short_term_borrowings</x:v>
      </x:c>
      <x:c r="G842" t="n">
        <x:v>170246434</x:v>
      </x:c>
      <x:c r="H842" t="str">
        <x:v>CNY</x:v>
      </x:c>
      <x:c r="I842" t="n">
        <x:v>235</x:v>
      </x:c>
      <x:c r="J842" t="str">
        <x:v>短期借款</x:v>
      </x:c>
      <x:c r="K842" t="str">
        <x:v>candidate_pending_automated_verification</x:v>
      </x:c>
      <x:c r="L842" t="str">
        <x:v>https://static.cninfo.com.cn/finalpage/2026-08-29/1225529574.PDF</x:v>
      </x:c>
      <x:c r="M842" t="str">
        <x:v>c9b4cdd3ca4dccc4b0032dce31ff444ae9dd48edc242c3d74b2ba124d8b78661</x:v>
      </x:c>
      <x:c r="N842" t="str">
        <x:v>  现金变动   非现金变动   现金变动   非现金变动     
应付股利  797,349   -   15,648,951   (2,203,820 )  -    14,242,480  
短期借款  170,246,434   105,021,178   1,802,886   (109,952,034 )  -   167,118,464  
长期借款(含一年内到期)  614,128,248   76,068,101   9,656,906   (86,683,764 )  -   613,169,491  
应付债券(含一年内到期)  133,696,636   19,</x:v>
      </x:c>
    </x:row>
    <x:row r="843">
      <x:c r="A843" t="str">
        <x:v>c047a737-b8f1-47e4-92e5-e67aea763287</x:v>
      </x:c>
      <x:c r="B843" t="str">
        <x:v>601668</x:v>
      </x:c>
      <x:c r="C843" t="str">
        <x:v>中国建筑</x:v>
      </x:c>
      <x:c r="D843" t="str">
        <x:v>2026-06-30</x:v>
      </x:c>
      <x:c r="E843" t="str">
        <x:v>interim</x:v>
      </x:c>
      <x:c r="F843" t="str">
        <x:v>short_term_borrowings</x:v>
      </x:c>
      <x:c r="G843" t="n">
        <x:v>185867715</x:v>
      </x:c>
      <x:c r="H843" t="str">
        <x:v>CNY</x:v>
      </x:c>
      <x:c r="I843" t="n">
        <x:v>253</x:v>
      </x:c>
      <x:c r="J843" t="str">
        <x:v>短期借款</x:v>
      </x:c>
      <x:c r="K843" t="str">
        <x:v>candidate_pending_automated_verification</x:v>
      </x:c>
      <x:c r="L843" t="str">
        <x:v>https://static.cninfo.com.cn/finalpage/2026-08-29/1225529574.PDF</x:v>
      </x:c>
      <x:c r="M843" t="str">
        <x:v>c9b4cdd3ca4dccc4b0032dce31ff444ae9dd48edc242c3d74b2ba124d8b78661</x:v>
      </x:c>
      <x:c r="N843" t="str">
        <x:v>到期期限分
析，以及将对外提供的财务担保的最大担保金额按照相关方能够要求支付的最
早时间段列示： 
2026年6月30日 
  1年以内   1年至2年   2年至5年   5年以上   合计  
短期借款  185,867,715   -   -   -   185,867,715  
应付票据  10,136,693   -   -   -   10,136,693  
应付账款  1,100,261,483   -   -   -   1,100,261,483  
其他应付款  171,404,227   -   -   -   171,404,227  
其他流动负债  28</x:v>
      </x:c>
    </x:row>
    <x:row r="844">
      <x:c r="A844" t="str">
        <x:v>a61588b5-0d55-407b-a3ca-2b11b7df0562</x:v>
      </x:c>
      <x:c r="B844" t="str">
        <x:v>601668</x:v>
      </x:c>
      <x:c r="C844" t="str">
        <x:v>中国建筑</x:v>
      </x:c>
      <x:c r="D844" t="str">
        <x:v>2026-06-30</x:v>
      </x:c>
      <x:c r="E844" t="str">
        <x:v>interim</x:v>
      </x:c>
      <x:c r="F844" t="str">
        <x:v>long_term_borrowings</x:v>
      </x:c>
      <x:c r="G844" t="n">
        <x:v>121048900</x:v>
      </x:c>
      <x:c r="H844" t="str">
        <x:v>CNY</x:v>
      </x:c>
      <x:c r="I844" t="n">
        <x:v>253</x:v>
      </x:c>
      <x:c r="J844" t="str">
        <x:v>长期借款</x:v>
      </x:c>
      <x:c r="K844" t="str">
        <x:v>candidate_pending_automated_verification</x:v>
      </x:c>
      <x:c r="L844" t="str">
        <x:v>https://static.cninfo.com.cn/finalpage/2026-08-29/1225529574.PDF</x:v>
      </x:c>
      <x:c r="M844" t="str">
        <x:v>c9b4cdd3ca4dccc4b0032dce31ff444ae9dd48edc242c3d74b2ba124d8b78661</x:v>
      </x:c>
      <x:c r="N844" t="str">
        <x:v>   -   -   1,100,261,483  
其他应付款  171,404,227   -   -   -   171,404,227  
其他流动负债  28,866,937   -   -   -   28,866,937  
长期借款  121,048,900   200,450,913   177,833,692   162,551,802   661,885,307  
应付债券  36,210,348   3,343,429   71,078,049   59,287,081   169,918,907  
租赁负债  2,370,544   1,619,649   1,468,137   1,085,69</x:v>
      </x:c>
    </x:row>
    <x:row r="845">
      <x:c r="A845" t="str">
        <x:v>0b958c35-6d1c-4668-b91d-7ba460a46ef5</x:v>
      </x:c>
      <x:c r="B845" t="str">
        <x:v>601668</x:v>
      </x:c>
      <x:c r="C845" t="str">
        <x:v>中国建筑</x:v>
      </x:c>
      <x:c r="D845" t="str">
        <x:v>2026-06-30</x:v>
      </x:c>
      <x:c r="E845" t="str">
        <x:v>interim</x:v>
      </x:c>
      <x:c r="F845" t="str">
        <x:v>bonds_payable</x:v>
      </x:c>
      <x:c r="G845" t="n">
        <x:v>114806327</x:v>
      </x:c>
      <x:c r="H845" t="str">
        <x:v>CNY</x:v>
      </x:c>
      <x:c r="I845" t="n">
        <x:v>261</x:v>
      </x:c>
      <x:c r="J845" t="str">
        <x:v>应付债券</x:v>
      </x:c>
      <x:c r="K845" t="str">
        <x:v>candidate_pending_automated_verification</x:v>
      </x:c>
      <x:c r="L845" t="str">
        <x:v>https://static.cninfo.com.cn/finalpage/2026-08-29/1225529574.PDF</x:v>
      </x:c>
      <x:c r="M845" t="str">
        <x:v>c9b4cdd3ca4dccc4b0032dce31ff444ae9dd48edc242c3d74b2ba124d8b78661</x:v>
      </x:c>
      <x:c r="N845" t="str">
        <x:v>      
活跃市场 
报价   
重要可观察 
输入值   
重要不可观察 
输入值  
        (第一层次)   (第二层次)   (第三层次)  
金融负债                
应付债券  114,806,327   124,939,258   28,565,338   -   96,373,920  
2025年12月31日 
  账面价值   公允价值   公允价值披露使用的输入值  
活跃市场 
报价   
重要可观察 
输入值   
重要不可观察 
输入值  
        (第一层次)   (第二层次)   (第三层次)  
 </x:v>
      </x:c>
    </x:row>
    <x:row r="846">
      <x:c r="A846" t="str">
        <x:v>6faba4b0-12ca-42a3-aeac-a7e6f9595285</x:v>
      </x:c>
      <x:c r="B846" t="str">
        <x:v>601169</x:v>
      </x:c>
      <x:c r="C846" t="str">
        <x:v>北京银行</x:v>
      </x:c>
      <x:c r="D846" t="str">
        <x:v>2026-06-30</x:v>
      </x:c>
      <x:c r="E846" t="str">
        <x:v>interim</x:v>
      </x:c>
      <x:c r="F846" t="str">
        <x:v>operating_cash_flow</x:v>
      </x:c>
      <x:c r="G846" t="n">
        <x:v>1214</x:v>
      </x:c>
      <x:c r="H846" t="str">
        <x:v>reported_amount</x:v>
      </x:c>
      <x:c r="I846" t="n">
        <x:v>13</x:v>
      </x:c>
      <x:c r="J846" t="str">
        <x:v>经营活动产生的现金流量净额</x:v>
      </x:c>
      <x:c r="K846" t="str">
        <x:v>candidate_pending_automated_verification</x:v>
      </x:c>
      <x:c r="L846" t="str">
        <x:v>https://static.cninfo.com.cn/finalpage/2026-08-29/1225533415.PDF</x:v>
      </x:c>
      <x:c r="M846" t="str">
        <x:v>4243ae7c813532302337cd9c19106b0946dd1827724b63845150edfca703603a</x:v>
      </x:c>
      <x:c r="N846" t="str">
        <x:v>利润总额 18,615 17,346 7.32 16,759
归属于母公司股东的净利润 15,900 15,053 5.63 14,886
归属于母公司股东的扣除非经常性损
益后的净利润 16,039 15,051 6.56 14,909
经营活动产生的现金流量净额 1,214 166,914 (99.27) (23,822)
每股比率（元/股）
基本每股收益 0.71 0.69 2.90 0.68
稀释每股收益 0.71 0.69 2.90 0.68
扣除非经常性损益后的基本每股收益 0.71 0.69 2.90 0.68
每股经营活动产生的现金流量净额 0.06 7.89 (99.24) (1.13)
注：1、自 2025年 </x:v>
      </x:c>
    </x:row>
    <x:row r="847">
      <x:c r="A847" t="str">
        <x:v>7e5c9ee8-a452-4cea-99ce-4b3e33f437ef</x:v>
      </x:c>
      <x:c r="B847" t="str">
        <x:v>601169</x:v>
      </x:c>
      <x:c r="C847" t="str">
        <x:v>北京银行</x:v>
      </x:c>
      <x:c r="D847" t="str">
        <x:v>2026-06-30</x:v>
      </x:c>
      <x:c r="E847" t="str">
        <x:v>interim</x:v>
      </x:c>
      <x:c r="F847" t="str">
        <x:v>revenue</x:v>
      </x:c>
      <x:c r="G847" t="n">
        <x:v>382.48</x:v>
      </x:c>
      <x:c r="H847" t="str">
        <x:v>reported_amount</x:v>
      </x:c>
      <x:c r="I847" t="n">
        <x:v>13</x:v>
      </x:c>
      <x:c r="J847" t="str">
        <x:v>营业收入</x:v>
      </x:c>
      <x:c r="K847" t="str">
        <x:v>candidate_pending_automated_verification</x:v>
      </x:c>
      <x:c r="L847" t="str">
        <x:v>https://static.cninfo.com.cn/finalpage/2026-08-29/1225533415.PDF</x:v>
      </x:c>
      <x:c r="M847" t="str">
        <x:v>4243ae7c813532302337cd9c19106b0946dd1827724b63845150edfca703603a</x:v>
      </x:c>
      <x:c r="N847" t="str">
        <x:v>2026年半年度报告
12
第二章 会计数据和财务指标摘要
2.1 主要会计数据和财务指标
2.1.1 经营业绩
报告期内,本公司实现营业收入 382.48亿元，同比增长 5.60%；实现归属于
母公司股东的净利润 159.00亿元，同比增长 5.63%；实现基本每股收益 0.71元，
同比增长 2.90%，盈利能力保持稳健，为广大股东创造可持续价值回报。
（单位：人民币百万元）
项目 2026 年 1-6 月 2025年1-6月
本期比
上年同
期增减
(%)
2024 年1-6 月
（重述后）
经营业绩（人</x:v>
      </x:c>
    </x:row>
    <x:row r="848">
      <x:c r="A848" t="str">
        <x:v>e68ac577-82d4-4e50-af7f-e74117bd214e</x:v>
      </x:c>
      <x:c r="B848" t="str">
        <x:v>601169</x:v>
      </x:c>
      <x:c r="C848" t="str">
        <x:v>北京银行</x:v>
      </x:c>
      <x:c r="D848" t="str">
        <x:v>2026-06-30</x:v>
      </x:c>
      <x:c r="E848" t="str">
        <x:v>interim</x:v>
      </x:c>
      <x:c r="F848" t="str">
        <x:v>operating_cash_flow</x:v>
      </x:c>
      <x:c r="G848" t="n">
        <x:v>1214</x:v>
      </x:c>
      <x:c r="H848" t="str">
        <x:v>CNY</x:v>
      </x:c>
      <x:c r="I848" t="n">
        <x:v>156</x:v>
      </x:c>
      <x:c r="J848" t="str">
        <x:v>经营活动产生的现金流量净额</x:v>
      </x:c>
      <x:c r="K848" t="str">
        <x:v>candidate_pending_automated_verification</x:v>
      </x:c>
      <x:c r="L848" t="str">
        <x:v>https://static.cninfo.com.cn/finalpage/2026-08-29/1225533415.PDF</x:v>
      </x:c>
      <x:c r="M848" t="str">
        <x:v>4243ae7c813532302337cd9c19106b0946dd1827724b63845150edfca703603a</x:v>
      </x:c>
      <x:c r="N848" t="str">
        <x:v>1) (731) (734)
经营性应收项目的减少 / (增加) 24,187 (167,226) 17,189 (164,198)
经营性应付项目的 (减少) / 增加 (33,961) 322,695 (25,041) 302,887
经营活动产生的现金流量净额 1,214 166,914 2,432 149,851</x:v>
      </x:c>
    </x:row>
    <x:row r="849">
      <x:c r="A849" t="str">
        <x:v>09a6fef4-3a23-4730-b8a5-1994be30d1b4</x:v>
      </x:c>
      <x:c r="B849" t="str">
        <x:v>601169</x:v>
      </x:c>
      <x:c r="C849" t="str">
        <x:v>北京银行</x:v>
      </x:c>
      <x:c r="D849" t="str">
        <x:v>2026-06-30</x:v>
      </x:c>
      <x:c r="E849" t="str">
        <x:v>interim</x:v>
      </x:c>
      <x:c r="F849" t="str">
        <x:v>operating_cash_flow</x:v>
      </x:c>
      <x:c r="G849" t="n">
        <x:v>1214</x:v>
      </x:c>
      <x:c r="H849" t="str">
        <x:v>CNY</x:v>
      </x:c>
      <x:c r="I849" t="n">
        <x:v>103</x:v>
      </x:c>
      <x:c r="J849" t="str">
        <x:v>经营活动产生的现金流量净额</x:v>
      </x:c>
      <x:c r="K849" t="str">
        <x:v>candidate_pending_automated_verification</x:v>
      </x:c>
      <x:c r="L849" t="str">
        <x:v>https://static.cninfo.com.cn/finalpage/2026-08-29/1225533415.PDF</x:v>
      </x:c>
      <x:c r="M849" t="str">
        <x:v>4243ae7c813532302337cd9c19106b0946dd1827724b63845150edfca703603a</x:v>
      </x:c>
      <x:c r="N849" t="str">
        <x:v>(11,221)
经营活动现金流出小计 (116,415) (257,690) (113,683) (252,353)
-------------- -------------- -------------- --------------
经营活动产生的现金流量净额 38 1,214 166,914 2,432 149,851
-------------- -------------- -------------- --------------
后附财务报表附注为本财务报表的组成部分。</x:v>
      </x:c>
    </x:row>
    <x:row r="850">
      <x:c r="A850" t="str">
        <x:v>bb6d876d-291e-4587-aa28-ec23eaaacc45</x:v>
      </x:c>
      <x:c r="B850" t="str">
        <x:v>601169</x:v>
      </x:c>
      <x:c r="C850" t="str">
        <x:v>北京银行</x:v>
      </x:c>
      <x:c r="D850" t="str">
        <x:v>2026-06-30</x:v>
      </x:c>
      <x:c r="E850" t="str">
        <x:v>interim</x:v>
      </x:c>
      <x:c r="F850" t="str">
        <x:v>bonds_payable</x:v>
      </x:c>
      <x:c r="G850" t="n">
        <x:v>494717</x:v>
      </x:c>
      <x:c r="H850" t="str">
        <x:v>CNY</x:v>
      </x:c>
      <x:c r="I850" t="n">
        <x:v>93</x:v>
      </x:c>
      <x:c r="J850" t="str">
        <x:v>应付债券</x:v>
      </x:c>
      <x:c r="K850" t="str">
        <x:v>candidate_pending_automated_verification</x:v>
      </x:c>
      <x:c r="L850" t="str">
        <x:v>https://static.cninfo.com.cn/finalpage/2026-08-29/1225533415.PDF</x:v>
      </x:c>
      <x:c r="M850" t="str">
        <x:v>4243ae7c813532302337cd9c19106b0946dd1827724b63845150edfca703603a</x:v>
      </x:c>
      <x:c r="N850" t="str">
        <x:v>9 2,846,137 2,720,675
应付职工薪酬 20 2,576 2,658 2,408 2,410
应交税费 21 2,968 2,865 2,837 2,680
预计负债 22 3,235 3,596 3,235 3,596
应付债券 23 494,717 694,394 494,717 694,394
租赁负债 4,125 4,473 4,033 4,409
其他负债 24 65,310 64,750 23,562 16,529
负债合计 4,333,513 4,559,628 4,266,996 4,484,579-------------- -------------- -------------- -</x:v>
      </x:c>
    </x:row>
    <x:row r="851">
      <x:c r="A851" t="str">
        <x:v>df03e1e9-4f05-450f-9ffb-1ddf2cd7b670</x:v>
      </x:c>
      <x:c r="B851" t="str">
        <x:v>601169</x:v>
      </x:c>
      <x:c r="C851" t="str">
        <x:v>北京银行</x:v>
      </x:c>
      <x:c r="D851" t="str">
        <x:v>2026-06-30</x:v>
      </x:c>
      <x:c r="E851" t="str">
        <x:v>interim</x:v>
      </x:c>
      <x:c r="F851" t="str">
        <x:v>eps_annual</x:v>
      </x:c>
      <x:c r="G851" t="n">
        <x:v>0.71</x:v>
      </x:c>
      <x:c r="H851" t="str">
        <x:v>CNY/share</x:v>
      </x:c>
      <x:c r="I851" t="n">
        <x:v>13</x:v>
      </x:c>
      <x:c r="J851" t="str">
        <x:v>基本每股收益</x:v>
      </x:c>
      <x:c r="K851" t="str">
        <x:v>candidate_pending_automated_verification</x:v>
      </x:c>
      <x:c r="L851" t="str">
        <x:v>https://static.cninfo.com.cn/finalpage/2026-08-29/1225533415.PDF</x:v>
      </x:c>
      <x:c r="M851" t="str">
        <x:v>4243ae7c813532302337cd9c19106b0946dd1827724b63845150edfca703603a</x:v>
      </x:c>
      <x:c r="N851" t="str">
        <x:v>
12
第二章 会计数据和财务指标摘要
2.1 主要会计数据和财务指标
2.1.1 经营业绩
报告期内,本公司实现营业收入 382.48亿元，同比增长 5.60%；实现归属于
母公司股东的净利润 159.00亿元，同比增长 5.63%；实现基本每股收益 0.71元，
同比增长 2.90%，盈利能力保持稳健，为广大股东创造可持续价值回报。
（单位：人民币百万元）
项目 2026 年 1-6 月 2025年1-6月
本期比
上年同
期增减
(%)
2024 年1-6 月
（重述后）
经营业绩（人民币百万元）
营业收入 38,248 36,218 5.60 35,851
营业利润 18,794 17,334 8.42 1</x:v>
      </x:c>
    </x:row>
    <x:row r="852">
      <x:c r="A852" t="str">
        <x:v>ebb01e27-8732-40f5-8652-937928556e67</x:v>
      </x:c>
      <x:c r="B852" t="str">
        <x:v>601818</x:v>
      </x:c>
      <x:c r="C852" t="str">
        <x:v>光大银行</x:v>
      </x:c>
      <x:c r="D852" t="str">
        <x:v>2026-06-30</x:v>
      </x:c>
      <x:c r="E852" t="str">
        <x:v>interim</x:v>
      </x:c>
      <x:c r="F852" t="str">
        <x:v>bonds_payable</x:v>
      </x:c>
      <x:c r="G852" t="n">
        <x:v>1168642</x:v>
      </x:c>
      <x:c r="H852" t="str">
        <x:v>CNY</x:v>
      </x:c>
      <x:c r="I852" t="n">
        <x:v>218</x:v>
      </x:c>
      <x:c r="J852" t="str">
        <x:v>应付债券</x:v>
      </x:c>
      <x:c r="K852" t="str">
        <x:v>candidate_pending_automated_verification</x:v>
      </x:c>
      <x:c r="L852" t="str">
        <x:v>https://static.cninfo.com.cn/finalpage/2026-08-29/1225528526.PDF</x:v>
      </x:c>
      <x:c r="M852" t="str">
        <x:v>db2628aeec795f5cd79f7c4d860b34a61ec847bc4f99dc49e69debd59d0ee7be</x:v>
      </x:c>
      <x:c r="N852" t="str">
        <x:v>59,837   11,129   179,609 
卖出回购金融资产款 129,723   16,095   13,676   159,494 
吸收存款 4,056,213   88,447   48,045   4,192,705 
应付债券 1,168,642   37,488   12,409   1,218,539 
其他 94,961   222   17,175   112,358 
总负债 6,317,446   216,077   102,602   6,636,125 
净头寸 598,485   (27,757)   44,381</x:v>
      </x:c>
    </x:row>
    <x:row r="853">
      <x:c r="A853" t="str">
        <x:v>8a6dd500-8a36-4d7a-951b-dcada75bb86f</x:v>
      </x:c>
      <x:c r="B853" t="str">
        <x:v>601818</x:v>
      </x:c>
      <x:c r="C853" t="str">
        <x:v>光大银行</x:v>
      </x:c>
      <x:c r="D853" t="str">
        <x:v>2026-06-30</x:v>
      </x:c>
      <x:c r="E853" t="str">
        <x:v>interim</x:v>
      </x:c>
      <x:c r="F853" t="str">
        <x:v>bonds_payable</x:v>
      </x:c>
      <x:c r="G853" t="n">
        <x:v>1199514</x:v>
      </x:c>
      <x:c r="H853" t="str">
        <x:v>CNY</x:v>
      </x:c>
      <x:c r="I853" t="n">
        <x:v>231</x:v>
      </x:c>
      <x:c r="J853" t="str">
        <x:v>应付债券</x:v>
      </x:c>
      <x:c r="K853" t="str">
        <x:v>candidate_pending_automated_verification</x:v>
      </x:c>
      <x:c r="L853" t="str">
        <x:v>https://static.cninfo.com.cn/finalpage/2026-08-29/1225528526.PDF</x:v>
      </x:c>
      <x:c r="M853" t="str">
        <x:v>db2628aeec795f5cd79f7c4d860b34a61ec847bc4f99dc49e69debd59d0ee7be</x:v>
      </x:c>
      <x:c r="N853" t="str">
        <x:v>              
以摊余成本计量的债券投资及资产支
持证券 1,144,476   1,169,278   1,184,615   1,205,232 
金融负债               
应付债券 1,199,514   1,316,876   1,203,902   1,320,614 
除上述以外的金融资产和金融负债，主要为到期日在一年以内或浮动利率的金融资产和
负债，因此其账面价值约等于其公允价值。 
上述以摊余成本计量的债券投资及资产支持证券的公允价值以经纪人 / 交易商的报价为
基础。如果无法获得相关信息，则参考估值服务商提供的价格或采用现</x:v>
      </x:c>
    </x:row>
    <x:row r="854">
      <x:c r="A854" t="str">
        <x:v>39ba784b-9af0-40ae-9ef2-41217e8c234a</x:v>
      </x:c>
      <x:c r="B854" t="str">
        <x:v>601818</x:v>
      </x:c>
      <x:c r="C854" t="str">
        <x:v>光大银行</x:v>
      </x:c>
      <x:c r="D854" t="str">
        <x:v>2026-06-30</x:v>
      </x:c>
      <x:c r="E854" t="str">
        <x:v>interim</x:v>
      </x:c>
      <x:c r="F854" t="str">
        <x:v>bonds_payable</x:v>
      </x:c>
      <x:c r="G854" t="n">
        <x:v>1218539</x:v>
      </x:c>
      <x:c r="H854" t="str">
        <x:v>CNY</x:v>
      </x:c>
      <x:c r="I854" t="n">
        <x:v>230</x:v>
      </x:c>
      <x:c r="J854" t="str">
        <x:v>应付债券</x:v>
      </x:c>
      <x:c r="K854" t="str">
        <x:v>candidate_pending_automated_verification</x:v>
      </x:c>
      <x:c r="L854" t="str">
        <x:v>https://static.cninfo.com.cn/finalpage/2026-08-29/1225528526.PDF</x:v>
      </x:c>
      <x:c r="M854" t="str">
        <x:v>db2628aeec795f5cd79f7c4d860b34a61ec847bc4f99dc49e69debd59d0ee7be</x:v>
      </x:c>
      <x:c r="N854" t="str">
        <x:v>              
以摊余成本计量的债券投资及资产支
持证券 1,171,808   1,192,578   1,212,223   1,228,368 
金融负债               
应付债券 1,218,539   1,328,801   1,222,816   1,332,620 
  </x:v>
      </x:c>
    </x:row>
    <x:row r="855">
      <x:c r="A855" t="str">
        <x:v>fddbc00b-e744-4ad2-9477-e84787f2989d</x:v>
      </x:c>
      <x:c r="B855" t="str">
        <x:v>601818</x:v>
      </x:c>
      <x:c r="C855" t="str">
        <x:v>光大银行</x:v>
      </x:c>
      <x:c r="D855" t="str">
        <x:v>2026-06-30</x:v>
      </x:c>
      <x:c r="E855" t="str">
        <x:v>interim</x:v>
      </x:c>
      <x:c r="F855" t="str">
        <x:v>bonds_payable</x:v>
      </x:c>
      <x:c r="G855" t="n">
        <x:v>1328801</x:v>
      </x:c>
      <x:c r="H855" t="str">
        <x:v>CNY</x:v>
      </x:c>
      <x:c r="I855" t="n">
        <x:v>227</x:v>
      </x:c>
      <x:c r="J855" t="str">
        <x:v>应付债券</x:v>
      </x:c>
      <x:c r="K855" t="str">
        <x:v>candidate_pending_automated_verification</x:v>
      </x:c>
      <x:c r="L855" t="str">
        <x:v>https://static.cninfo.com.cn/finalpage/2026-08-29/1225528526.PDF</x:v>
      </x:c>
      <x:c r="M855" t="str">
        <x:v>db2628aeec795f5cd79f7c4d860b34a61ec847bc4f99dc49e69debd59d0ee7be</x:v>
      </x:c>
      <x:c r="N855" t="str">
        <x:v>,447   33,521   33,603   -   - 
吸收存款 4,102,458   4,166,652   1,095,770   495,760   393,749   930,136   1,251,064   173 
应付债券 1,328,801   1,334,190   -   53,063   202,362   831,887   181,558   65,320 
其他金融负债 66,099   67,955   46,599   88   1,287   4,120   12,769   3,092 
非衍生金融负债合计 </x:v>
      </x:c>
    </x:row>
    <x:row r="856">
      <x:c r="A856" t="str">
        <x:v>0e9c34e0-417b-42e4-82c2-38a67a1fd298</x:v>
      </x:c>
      <x:c r="B856" t="str">
        <x:v>601818</x:v>
      </x:c>
      <x:c r="C856" t="str">
        <x:v>光大银行</x:v>
      </x:c>
      <x:c r="D856" t="str">
        <x:v>2026-06-30</x:v>
      </x:c>
      <x:c r="E856" t="str">
        <x:v>interim</x:v>
      </x:c>
      <x:c r="F856" t="str">
        <x:v>bonds_payable</x:v>
      </x:c>
      <x:c r="G856" t="n">
        <x:v>1218539</x:v>
      </x:c>
      <x:c r="H856" t="str">
        <x:v>CNY</x:v>
      </x:c>
      <x:c r="I856" t="n">
        <x:v>226</x:v>
      </x:c>
      <x:c r="J856" t="str">
        <x:v>应付债券</x:v>
      </x:c>
      <x:c r="K856" t="str">
        <x:v>candidate_pending_automated_verification</x:v>
      </x:c>
      <x:c r="L856" t="str">
        <x:v>https://static.cninfo.com.cn/finalpage/2026-08-29/1225528526.PDF</x:v>
      </x:c>
      <x:c r="M856" t="str">
        <x:v>db2628aeec795f5cd79f7c4d860b34a61ec847bc4f99dc49e69debd59d0ee7be</x:v>
      </x:c>
      <x:c r="N856" t="str">
        <x:v>   35,073   17,419   3,024   - 
吸收存款 4,192,705   4,252,498   1,194,888   434,725   337,636   1,046,668   1,238,581   - 
应付债券 1,218,539   1,247,690   -   43,377   191,944   816,916   131,097   64,356 
其他金融负债 83,085   84,890   64,057   307   2,002   3,674   11,656   3,194 
非衍生金融负债合计</x:v>
      </x:c>
    </x:row>
    <x:row r="857">
      <x:c r="A857" t="str">
        <x:v>506ebb2f-72e6-4c50-8f59-0e775578952c</x:v>
      </x:c>
      <x:c r="B857" t="str">
        <x:v>601818</x:v>
      </x:c>
      <x:c r="C857" t="str">
        <x:v>光大银行</x:v>
      </x:c>
      <x:c r="D857" t="str">
        <x:v>2026-06-30</x:v>
      </x:c>
      <x:c r="E857" t="str">
        <x:v>interim</x:v>
      </x:c>
      <x:c r="F857" t="str">
        <x:v>bonds_payable</x:v>
      </x:c>
      <x:c r="G857" t="n">
        <x:v>1274277</x:v>
      </x:c>
      <x:c r="H857" t="str">
        <x:v>CNY</x:v>
      </x:c>
      <x:c r="I857" t="n">
        <x:v>219</x:v>
      </x:c>
      <x:c r="J857" t="str">
        <x:v>应付债券</x:v>
      </x:c>
      <x:c r="K857" t="str">
        <x:v>candidate_pending_automated_verification</x:v>
      </x:c>
      <x:c r="L857" t="str">
        <x:v>https://static.cninfo.com.cn/finalpage/2026-08-29/1225528526.PDF</x:v>
      </x:c>
      <x:c r="M857" t="str">
        <x:v>db2628aeec795f5cd79f7c4d860b34a61ec847bc4f99dc49e69debd59d0ee7be</x:v>
      </x:c>
      <x:c r="N857" t="str">
        <x:v> 58,821   13,881   208,607 
卖出回购金融资产款 144,774   5,554   7,790   158,118 
吸收存款 3,956,270   103,187   43,001   4,102,458 
应付债券 1,274,277   40,648   13,876   1,328,801 
其他 87,449   250   11,062   98,761 
总负债 6,245,038   222,795   90,044   6,557,877 
净头寸 586,366   (39,043)   60,119  </x:v>
      </x:c>
    </x:row>
    <x:row r="858">
      <x:c r="A858" t="str">
        <x:v>06a0339e-bca3-4113-a0fb-696b4458c0ae</x:v>
      </x:c>
      <x:c r="B858" t="str">
        <x:v>601818</x:v>
      </x:c>
      <x:c r="C858" t="str">
        <x:v>光大银行</x:v>
      </x:c>
      <x:c r="D858" t="str">
        <x:v>2026-06-30</x:v>
      </x:c>
      <x:c r="E858" t="str">
        <x:v>interim</x:v>
      </x:c>
      <x:c r="F858" t="str">
        <x:v>bonds_payable</x:v>
      </x:c>
      <x:c r="G858" t="n">
        <x:v>2.15</x:v>
      </x:c>
      <x:c r="H858" t="str">
        <x:v>CNY</x:v>
      </x:c>
      <x:c r="I858" t="n">
        <x:v>216</x:v>
      </x:c>
      <x:c r="J858" t="str">
        <x:v>应付债券</x:v>
      </x:c>
      <x:c r="K858" t="str">
        <x:v>candidate_pending_automated_verification</x:v>
      </x:c>
      <x:c r="L858" t="str">
        <x:v>https://static.cninfo.com.cn/finalpage/2026-08-29/1225528526.PDF</x:v>
      </x:c>
      <x:c r="M858" t="str">
        <x:v>db2628aeec795f5cd79f7c4d860b34a61ec847bc4f99dc49e69debd59d0ee7be</x:v>
      </x:c>
      <x:c r="N858" t="str">
        <x:v>6%   158,118   373   124,478   33,267   -   - 
吸收存款 1.81%   4,102,458   74,909   1,946,287   903,391   1,177,721   150 
应付债券 2.15%   1,328,801   3,790   268,495   829,115   167,404   59,997 
其他 不适用   98,761   80,363   1,100   3,617   10,957   2,724 
总负债 不适用   6,557,877   162,899 </x:v>
      </x:c>
    </x:row>
    <x:row r="859">
      <x:c r="A859" t="str">
        <x:v>1a49b03b-5722-4a1b-9d8e-713d6d72e6c1</x:v>
      </x:c>
      <x:c r="B859" t="str">
        <x:v>601818</x:v>
      </x:c>
      <x:c r="C859" t="str">
        <x:v>光大银行</x:v>
      </x:c>
      <x:c r="D859" t="str">
        <x:v>2026-06-30</x:v>
      </x:c>
      <x:c r="E859" t="str">
        <x:v>interim</x:v>
      </x:c>
      <x:c r="F859" t="str">
        <x:v>bonds_payable</x:v>
      </x:c>
      <x:c r="G859" t="n">
        <x:v>1.93</x:v>
      </x:c>
      <x:c r="H859" t="str">
        <x:v>CNY</x:v>
      </x:c>
      <x:c r="I859" t="n">
        <x:v>214</x:v>
      </x:c>
      <x:c r="J859" t="str">
        <x:v>应付债券</x:v>
      </x:c>
      <x:c r="K859" t="str">
        <x:v>candidate_pending_automated_verification</x:v>
      </x:c>
      <x:c r="L859" t="str">
        <x:v>https://static.cninfo.com.cn/finalpage/2026-08-29/1225528526.PDF</x:v>
      </x:c>
      <x:c r="M859" t="str">
        <x:v>db2628aeec795f5cd79f7c4d860b34a61ec847bc4f99dc49e69debd59d0ee7be</x:v>
      </x:c>
      <x:c r="N859" t="str">
        <x:v> 159,494   351   139,076   17,214   2,853   - 
吸收存款 1.55%   4,192,705   75,917   1,937,976   1,014,051   1,164,761   - 
应付债券 1.93%   1,218,539   4,341   243,035   798,750   112,415   59,998 
其他 不适用   112,358   94,617   1,375   3,167   10,443   2,756 
总负债 不适用   6,636,125   177,840</x:v>
      </x:c>
    </x:row>
    <x:row r="860">
      <x:c r="A860" t="str">
        <x:v>2d703a93-2bb5-447d-8b1f-1f73c85e7d2c</x:v>
      </x:c>
      <x:c r="B860" t="str">
        <x:v>601818</x:v>
      </x:c>
      <x:c r="C860" t="str">
        <x:v>光大银行</x:v>
      </x:c>
      <x:c r="D860" t="str">
        <x:v>2026-06-30</x:v>
      </x:c>
      <x:c r="E860" t="str">
        <x:v>interim</x:v>
      </x:c>
      <x:c r="F860" t="str">
        <x:v>operating_cash_flow</x:v>
      </x:c>
      <x:c r="G860" t="n">
        <x:v>60884</x:v>
      </x:c>
      <x:c r="H860" t="str">
        <x:v>CNY</x:v>
      </x:c>
      <x:c r="I860" t="n">
        <x:v>186</x:v>
      </x:c>
      <x:c r="J860" t="str">
        <x:v>经营活动产生的现金流量净额</x:v>
      </x:c>
      <x:c r="K860" t="str">
        <x:v>candidate_pending_automated_verification</x:v>
      </x:c>
      <x:c r="L860" t="str">
        <x:v>https://static.cninfo.com.cn/finalpage/2026-08-29/1225528526.PDF</x:v>
      </x:c>
      <x:c r="M860" t="str">
        <x:v>db2628aeec795f5cd79f7c4d860b34a61ec847bc4f99dc49e69debd59d0ee7be</x:v>
      </x:c>
      <x:c r="N860" t="str">
        <x:v>应收项目的增加 (146,424)   (70,059)   (150,210)   (64,027) 
经营性应付项目的增加 182,783   260,730   189,491   259,273 
经营活动产生的现金流量净额 60,884   212,285   60,946   214,487 
(b) 现金及现金等价物净变动情况： 
  截至 6 月 30 日止六个月期间 
  本集团   本行 
  2026 年   2025 年   2026 年   2025 年 
现金及现金等价物的期末余额 164,204   224,615</x:v>
      </x:c>
    </x:row>
    <x:row r="861">
      <x:c r="A861" t="str">
        <x:v>d296d0b2-3186-4c6e-8033-6f0df39d327d</x:v>
      </x:c>
      <x:c r="B861" t="str">
        <x:v>601818</x:v>
      </x:c>
      <x:c r="C861" t="str">
        <x:v>光大银行</x:v>
      </x:c>
      <x:c r="D861" t="str">
        <x:v>2026-06-30</x:v>
      </x:c>
      <x:c r="E861" t="str">
        <x:v>interim</x:v>
      </x:c>
      <x:c r="F861" t="str">
        <x:v>operating_cash_flow</x:v>
      </x:c>
      <x:c r="G861" t="n">
        <x:v>47</x:v>
      </x:c>
      <x:c r="H861" t="str">
        <x:v>CNY</x:v>
      </x:c>
      <x:c r="I861" t="n">
        <x:v>102</x:v>
      </x:c>
      <x:c r="J861" t="str">
        <x:v>经营活动产生的现金流量净额</x:v>
      </x:c>
      <x:c r="K861" t="str">
        <x:v>candidate_pending_automated_verification</x:v>
      </x:c>
      <x:c r="L861" t="str">
        <x:v>https://static.cninfo.com.cn/finalpage/2026-08-29/1225528526.PDF</x:v>
      </x:c>
      <x:c r="M861" t="str">
        <x:v>db2628aeec795f5cd79f7c4d860b34a61ec847bc4f99dc49e69debd59d0ee7be</x:v>
      </x:c>
      <x:c r="N861" t="str">
        <x:v> (12,002)   (14,612) 
经营活动现金流出小计   (276,726)   (423,965)   (258,529)   (406,415) 
经营活动产生的现金流量净额 47(a) 60,884   212,285   60,946   214,487 
后附第 16 页至第153 页的财务报表附注为本财务报表的组成部分。 </x:v>
      </x:c>
    </x:row>
    <x:row r="862">
      <x:c r="A862" t="str">
        <x:v>d6a87f0c-dd89-4bfb-9ca8-571468f33cd8</x:v>
      </x:c>
      <x:c r="B862" t="str">
        <x:v>601818</x:v>
      </x:c>
      <x:c r="C862" t="str">
        <x:v>光大银行</x:v>
      </x:c>
      <x:c r="D862" t="str">
        <x:v>2026-06-30</x:v>
      </x:c>
      <x:c r="E862" t="str">
        <x:v>interim</x:v>
      </x:c>
      <x:c r="F862" t="str">
        <x:v>bonds_payable</x:v>
      </x:c>
      <x:c r="G862" t="n">
        <x:v>1218539</x:v>
      </x:c>
      <x:c r="H862" t="str">
        <x:v>CNY</x:v>
      </x:c>
      <x:c r="I862" t="n">
        <x:v>91</x:v>
      </x:c>
      <x:c r="J862" t="str">
        <x:v>应付债券</x:v>
      </x:c>
      <x:c r="K862" t="str">
        <x:v>candidate_pending_automated_verification</x:v>
      </x:c>
      <x:c r="L862" t="str">
        <x:v>https://static.cninfo.com.cn/finalpage/2026-08-29/1225528526.PDF</x:v>
      </x:c>
      <x:c r="M862" t="str">
        <x:v>db2628aeec795f5cd79f7c4d860b34a61ec847bc4f99dc49e69debd59d0ee7be</x:v>
      </x:c>
      <x:c r="N862" t="str">
        <x:v>3 
应交税费 25 5,666   6,368   5,023   5,539 
租赁负债 26 8,974   9,534   8,825   9,402 
预计负债 27 2,258   1,839   2,258   1,839 
应付债券 28 1,218,539   1,328,801   1,199,514   1,316,876 
其他负债 29 74,111   56,565   58,598   42,383 
负债合计   6,636,125   6,557,877   6,483,248   6,405,685 
 </x:v>
      </x:c>
    </x:row>
    <x:row r="863">
      <x:c r="A863" t="str">
        <x:v>4a180bd1-aefb-40cd-8988-cc15a54df5f9</x:v>
      </x:c>
      <x:c r="B863" t="str">
        <x:v>601818</x:v>
      </x:c>
      <x:c r="C863" t="str">
        <x:v>光大银行</x:v>
      </x:c>
      <x:c r="D863" t="str">
        <x:v>2026-06-30</x:v>
      </x:c>
      <x:c r="E863" t="str">
        <x:v>interim</x:v>
      </x:c>
      <x:c r="F863" t="str">
        <x:v>bonds_payable</x:v>
      </x:c>
      <x:c r="G863" t="n">
        <x:v>1218539</x:v>
      </x:c>
      <x:c r="H863" t="str">
        <x:v>CNY</x:v>
      </x:c>
      <x:c r="I863" t="n">
        <x:v>27</x:v>
      </x:c>
      <x:c r="J863" t="str">
        <x:v>应付债券</x:v>
      </x:c>
      <x:c r="K863" t="str">
        <x:v>candidate_pending_automated_verification</x:v>
      </x:c>
      <x:c r="L863" t="str">
        <x:v>https://static.cninfo.com.cn/finalpage/2026-08-29/1225528526.PDF</x:v>
      </x:c>
      <x:c r="M863" t="str">
        <x:v>db2628aeec795f5cd79f7c4d860b34a61ec847bc4f99dc49e69debd59d0ee7be</x:v>
      </x:c>
      <x:c r="N863" t="str">
        <x:v>26
应付债券 1,218,539 18.36 1,328,801 20.26
其他负债 74,111 1.11 56,565 0.86
负债合计 6,636,125 100.00 6,557,877 100.00
报告期末，本集团客户存款余额41,927.05亿元，比上年末增加
902.47亿元，增长2.20%。
单位：人民币百万元、%
项目
2026 年 6 月 30 日 2025 年 </x:v>
      </x:c>
    </x:row>
    <x:row r="864">
      <x:c r="A864" t="str">
        <x:v>7d52a975-f502-49c0-9bcf-5a2c4ba4d1d2</x:v>
      </x:c>
      <x:c r="B864" t="str">
        <x:v>601818</x:v>
      </x:c>
      <x:c r="C864" t="str">
        <x:v>光大银行</x:v>
      </x:c>
      <x:c r="D864" t="str">
        <x:v>2026-06-30</x:v>
      </x:c>
      <x:c r="E864" t="str">
        <x:v>interim</x:v>
      </x:c>
      <x:c r="F864" t="str">
        <x:v>roe</x:v>
      </x:c>
      <x:c r="G864" t="n">
        <x:v>6.56</x:v>
      </x:c>
      <x:c r="H864" t="str">
        <x:v>percent</x:v>
      </x:c>
      <x:c r="I864" t="n">
        <x:v>9</x:v>
      </x:c>
      <x:c r="J864" t="str">
        <x:v>加权平均净资产收益率</x:v>
      </x:c>
      <x:c r="K864" t="str">
        <x:v>candidate_pending_automated_verification</x:v>
      </x:c>
      <x:c r="L864" t="str">
        <x:v>https://static.cninfo.com.cn/finalpage/2026-08-29/1225528526.PDF</x:v>
      </x:c>
      <x:c r="M864" t="str">
        <x:v>db2628aeec795f5cd79f7c4d860b34a61ec847bc4f99dc49e69debd59d0ee7be</x:v>
      </x:c>
      <x:c r="N864" t="str">
        <x:v>59,086 59,086 - 59,086
项目 2026 年 1-6 月 2025 年 1-6 月
本期比上年同
期增减
2024 年 1-6 月
盈利能力指标（%）
平均总资产收益率 0.52 0.70 -0.18个百分点 0.73
加权平均净资产收益率 5 6.56 9.13 -2.57个百分点 9.51
全面摊薄净资产收益率 6.51 9.07 -2.56个百分点 9.46
净利差 1.36 1.31 +0.05个百分点 1.46</x:v>
      </x:c>
    </x:row>
    <x:row r="865">
      <x:c r="A865" t="str">
        <x:v>bfb4a25a-09fb-4b9f-abbe-542216ef6f7a</x:v>
      </x:c>
      <x:c r="B865" t="str">
        <x:v>601818</x:v>
      </x:c>
      <x:c r="C865" t="str">
        <x:v>光大银行</x:v>
      </x:c>
      <x:c r="D865" t="str">
        <x:v>2026-06-30</x:v>
      </x:c>
      <x:c r="E865" t="str">
        <x:v>interim</x:v>
      </x:c>
      <x:c r="F865" t="str">
        <x:v>eps_annual</x:v>
      </x:c>
      <x:c r="G865" t="n">
        <x:v>0.28</x:v>
      </x:c>
      <x:c r="H865" t="str">
        <x:v>CNY/share</x:v>
      </x:c>
      <x:c r="I865" t="n">
        <x:v>9</x:v>
      </x:c>
      <x:c r="J865" t="str">
        <x:v>基本每股收益</x:v>
      </x:c>
      <x:c r="K865" t="str">
        <x:v>candidate_pending_automated_verification</x:v>
      </x:c>
      <x:c r="L865" t="str">
        <x:v>https://static.cninfo.com.cn/finalpage/2026-08-29/1225528526.PDF</x:v>
      </x:c>
      <x:c r="M865" t="str">
        <x:v>db2628aeec795f5cd79f7c4d860b34a61ec847bc4f99dc49e69debd59d0ee7be</x:v>
      </x:c>
      <x:c r="N865" t="str">
        <x:v>.01) 24,487
归属于本行股东的扣除非经常性损益
的净利润
18,746 24,976 (24.94) 24,448
经营活动产生的现金流量净额 60,884 212,285 (71.32) (147,131)
每股计（人民币元）
基本每股收益 1 0.28 0.38 (26.32) 0.37
稀释每股收益 2 0.28 0.38 (26.32) 0.37
扣除非经常性损益后的基本每股收益 0.28 0.38 (26.32) 0.37
每股经营活动产生的现金流量净额 1.03 3.59 (71.31) (2.49)
项目 2026 年6 月30 日 2025 年12 月31 日
本期比上年末
增减（%）
202</x:v>
      </x:c>
    </x:row>
    <x:row r="866">
      <x:c r="A866" t="str">
        <x:v>fe5499be-48c0-4ed3-b6d4-23fe01b5c574</x:v>
      </x:c>
      <x:c r="B866" t="str">
        <x:v>601818</x:v>
      </x:c>
      <x:c r="C866" t="str">
        <x:v>光大银行</x:v>
      </x:c>
      <x:c r="D866" t="str">
        <x:v>2026-06-30</x:v>
      </x:c>
      <x:c r="E866" t="str">
        <x:v>interim</x:v>
      </x:c>
      <x:c r="F866" t="str">
        <x:v>operating_cash_flow</x:v>
      </x:c>
      <x:c r="G866" t="n">
        <x:v>60884</x:v>
      </x:c>
      <x:c r="H866" t="str">
        <x:v>reported_amount</x:v>
      </x:c>
      <x:c r="I866" t="n">
        <x:v>9</x:v>
      </x:c>
      <x:c r="J866" t="str">
        <x:v>经营活动产生的现金流量净额</x:v>
      </x:c>
      <x:c r="K866" t="str">
        <x:v>candidate_pending_automated_verification</x:v>
      </x:c>
      <x:c r="L866" t="str">
        <x:v>https://static.cninfo.com.cn/finalpage/2026-08-29/1225528526.PDF</x:v>
      </x:c>
      <x:c r="M866" t="str">
        <x:v>db2628aeec795f5cd79f7c4d860b34a61ec847bc4f99dc49e69debd59d0ee7be</x:v>
      </x:c>
      <x:c r="N866" t="str">
        <x:v>8,838 24,741 (23.86) 24,610
归属于本行股东的净利润 18,711 24,622 (24.01) 24,487
归属于本行股东的扣除非经常性损益
的净利润
18,746 24,976 (24.94) 24,448
经营活动产生的现金流量净额 60,884 212,285 (71.32) (147,131)
每股计（人民币元）
基本每股收益 1 0.28 0.38 (26.32) 0.37
稀释每股收益 2 0.28 0.38 (26.32) 0.37
扣除非经常性损益后的基本每股收益 0.28 0.38 (26.32) 0.37
每股经营活动产生的现金流量净额 1.03 3.59 (71.31) (2.49</x:v>
      </x:c>
    </x:row>
    <x:row r="867">
      <x:c r="A867" t="str">
        <x:v>401d8b38-9ab5-43ae-b97d-3d5ca088250a</x:v>
      </x:c>
      <x:c r="B867" t="str">
        <x:v>601818</x:v>
      </x:c>
      <x:c r="C867" t="str">
        <x:v>光大银行</x:v>
      </x:c>
      <x:c r="D867" t="str">
        <x:v>2026-06-30</x:v>
      </x:c>
      <x:c r="E867" t="str">
        <x:v>interim</x:v>
      </x:c>
      <x:c r="F867" t="str">
        <x:v>revenue</x:v>
      </x:c>
      <x:c r="G867" t="n">
        <x:v>63068</x:v>
      </x:c>
      <x:c r="H867" t="str">
        <x:v>reported_amount</x:v>
      </x:c>
      <x:c r="I867" t="n">
        <x:v>9</x:v>
      </x:c>
      <x:c r="J867" t="str">
        <x:v>营业收入</x:v>
      </x:c>
      <x:c r="K867" t="str">
        <x:v>candidate_pending_automated_verification</x:v>
      </x:c>
      <x:c r="L867" t="str">
        <x:v>https://static.cninfo.com.cn/finalpage/2026-08-29/1225528526.PDF</x:v>
      </x:c>
      <x:c r="M867" t="str">
        <x:v>db2628aeec795f5cd79f7c4d860b34a61ec847bc4f99dc49e69debd59d0ee7be</x:v>
      </x:c>
      <x:c r="N867" t="str">
        <x:v>8
第三节 主要会计数据和财务指标
一、主要会计数据和财务指标
项目 2026 年 1-6 月 2025 年 1-6 月
本期比上年同
期增减（%）
2024 年 1-6 月
经营业绩（人民币百万元）
营业收入 63,068 65,918 (4.32) 69,808
利润总额 24,213 30,681 (21.08) 29,815
净利润 18,838 24,741 (23.86) 24,610
归属于本行股东的净利润 18,711 24,622 (24.01) 24,487
归属于本行股东的扣除非经常性损益
的净利润
18,746 24,976 (24.94) 24,448</x:v>
      </x:c>
    </x:row>
    <x:row r="868">
      <x:c r="A868" t="str">
        <x:v>65f4d268-ee54-439b-80ec-ff71d62e6dcd</x:v>
      </x:c>
      <x:c r="B868" t="str">
        <x:v>601390</x:v>
      </x:c>
      <x:c r="C868" t="str">
        <x:v>中国中铁</x:v>
      </x:c>
      <x:c r="D868" t="str">
        <x:v>2026-06-30</x:v>
      </x:c>
      <x:c r="E868" t="str">
        <x:v>interim</x:v>
      </x:c>
      <x:c r="F868" t="str">
        <x:v>short_term_borrowings</x:v>
      </x:c>
      <x:c r="G868" t="n">
        <x:v>1690426</x:v>
      </x:c>
      <x:c r="H868" t="str">
        <x:v>CNY</x:v>
      </x:c>
      <x:c r="I868" t="n">
        <x:v>303</x:v>
      </x:c>
      <x:c r="J868" t="str">
        <x:v>短期借款</x:v>
      </x:c>
      <x:c r="K868" t="str">
        <x:v>candidate_pending_automated_verification</x:v>
      </x:c>
      <x:c r="L868" t="str">
        <x:v>https://static.cninfo.com.cn/finalpage/2026-08-29/1225531653.PDF</x:v>
      </x:c>
      <x:c r="M868" t="str">
        <x:v>803117741c484bdd0d7d711fdf906c1d769f89c69ad4cb387960dff248789baa</x:v>
      </x:c>
      <x:c r="N868" t="str">
        <x:v> 
合计 25,165,061 9,624,141 34,789,202 
外币金融负债—    
应付款项 6,654,531 4,438,263 11,092,794 
应付债券 7,138,990 - 7,138,990 
短期借款 1,690,426 147,620 1,838,046 
长期借款 26,282 750 27,032 
合计 15,510,229 4,586,633 20,096,862 
下表为汇率风险的敏感性分析，反映了在其他变量不变的假设下，美元汇率发生合理、可能的变动
时，将对净损益和股东权益的税后净额产生的影响。 
截至2026 年6 月30 日止六个月期间(未经审计)</x:v>
      </x:c>
    </x:row>
    <x:row r="869">
      <x:c r="A869" t="str">
        <x:v>d22ff041-47ee-4621-ab96-93c2e7e54cd0</x:v>
      </x:c>
      <x:c r="B869" t="str">
        <x:v>601390</x:v>
      </x:c>
      <x:c r="C869" t="str">
        <x:v>中国中铁</x:v>
      </x:c>
      <x:c r="D869" t="str">
        <x:v>2026-06-30</x:v>
      </x:c>
      <x:c r="E869" t="str">
        <x:v>interim</x:v>
      </x:c>
      <x:c r="F869" t="str">
        <x:v>cash</x:v>
      </x:c>
      <x:c r="G869" t="n">
        <x:v>15070140</x:v>
      </x:c>
      <x:c r="H869" t="str">
        <x:v>CNY</x:v>
      </x:c>
      <x:c r="I869" t="n">
        <x:v>303</x:v>
      </x:c>
      <x:c r="J869" t="str">
        <x:v>货币资金</x:v>
      </x:c>
      <x:c r="K869" t="str">
        <x:v>candidate_pending_automated_verification</x:v>
      </x:c>
      <x:c r="L869" t="str">
        <x:v>https://static.cninfo.com.cn/finalpage/2026-08-29/1225531653.PDF</x:v>
      </x:c>
      <x:c r="M869" t="str">
        <x:v>803117741c484bdd0d7d711fdf906c1d769f89c69ad4cb387960dff248789baa</x:v>
      </x:c>
      <x:c r="N869" t="str">
        <x:v>
于2026 年6 月30 日及2025 年12 月31 日，本集团持有的外币金融资产和外币金融负债折算成人民
币的金额列示如下： - 续 
 2025 年12 月31 日 
美元项目 其他外币项目 合计 
外币金融资产—    
货币资金 15,070,140 5,550,997 20,621,137 
应收款项 9,537,073 4,073,144 13,610,217 
债权投资 557,848 - 557,848 
合计 25,165,061 9,624,141 34,789,202 
外币金融负债—    
应付款项 6,654,531 4,438,263 11,092,794 
应付债券 7</x:v>
      </x:c>
    </x:row>
    <x:row r="870">
      <x:c r="A870" t="str">
        <x:v>e13b5ba6-cdbe-4c0f-9597-1951b738e509</x:v>
      </x:c>
      <x:c r="B870" t="str">
        <x:v>601390</x:v>
      </x:c>
      <x:c r="C870" t="str">
        <x:v>中国中铁</x:v>
      </x:c>
      <x:c r="D870" t="str">
        <x:v>2026-06-30</x:v>
      </x:c>
      <x:c r="E870" t="str">
        <x:v>interim</x:v>
      </x:c>
      <x:c r="F870" t="str">
        <x:v>bonds_payable</x:v>
      </x:c>
      <x:c r="G870" t="n">
        <x:v>6920794</x:v>
      </x:c>
      <x:c r="H870" t="str">
        <x:v>CNY</x:v>
      </x:c>
      <x:c r="I870" t="n">
        <x:v>302</x:v>
      </x:c>
      <x:c r="J870" t="str">
        <x:v>应付债券</x:v>
      </x:c>
      <x:c r="K870" t="str">
        <x:v>candidate_pending_automated_verification</x:v>
      </x:c>
      <x:c r="L870" t="str">
        <x:v>https://static.cninfo.com.cn/finalpage/2026-08-29/1225531653.PDF</x:v>
      </x:c>
      <x:c r="M870" t="str">
        <x:v>803117741c484bdd0d7d711fdf906c1d769f89c69ad4cb387960dff248789baa</x:v>
      </x:c>
      <x:c r="N870" t="str">
        <x:v>1,662 
债权投资 540,554 - 540,554 
合计 27,576,889 9,226,347 36,803,236 
外币金融负债—    
应付款项 5,390,720 3,856,667 9,247,387 
应付债券 6,920,794 - 6,920,794 
短期借款 2,331,342 108,752 2,440,094 
长期借款 17,932 469 18,401 
合计 14,660,788 3,965,888 18,626,676 
  </x:v>
      </x:c>
    </x:row>
    <x:row r="871">
      <x:c r="A871" t="str">
        <x:v>e940a9d8-1f8f-4162-88d8-1ffc49dd519d</x:v>
      </x:c>
      <x:c r="B871" t="str">
        <x:v>601390</x:v>
      </x:c>
      <x:c r="C871" t="str">
        <x:v>中国中铁</x:v>
      </x:c>
      <x:c r="D871" t="str">
        <x:v>2026-06-30</x:v>
      </x:c>
      <x:c r="E871" t="str">
        <x:v>interim</x:v>
      </x:c>
      <x:c r="F871" t="str">
        <x:v>long_term_borrowings</x:v>
      </x:c>
      <x:c r="G871" t="n">
        <x:v>17932</x:v>
      </x:c>
      <x:c r="H871" t="str">
        <x:v>CNY</x:v>
      </x:c>
      <x:c r="I871" t="n">
        <x:v>302</x:v>
      </x:c>
      <x:c r="J871" t="str">
        <x:v>长期借款</x:v>
      </x:c>
      <x:c r="K871" t="str">
        <x:v>candidate_pending_automated_verification</x:v>
      </x:c>
      <x:c r="L871" t="str">
        <x:v>https://static.cninfo.com.cn/finalpage/2026-08-29/1225531653.PDF</x:v>
      </x:c>
      <x:c r="M871" t="str">
        <x:v>803117741c484bdd0d7d711fdf906c1d769f89c69ad4cb387960dff248789baa</x:v>
      </x:c>
      <x:c r="N871" t="str">
        <x:v>236 
外币金融负债—    
应付款项 5,390,720 3,856,667 9,247,387 
应付债券 6,920,794 - 6,920,794 
短期借款 2,331,342 108,752 2,440,094 
长期借款 17,932 469 18,401 
合计 14,660,788 3,965,888 18,626,676 
  </x:v>
      </x:c>
    </x:row>
    <x:row r="872">
      <x:c r="A872" t="str">
        <x:v>d05d0d5a-61df-4580-bd9f-6b08b1d14812</x:v>
      </x:c>
      <x:c r="B872" t="str">
        <x:v>601390</x:v>
      </x:c>
      <x:c r="C872" t="str">
        <x:v>中国中铁</x:v>
      </x:c>
      <x:c r="D872" t="str">
        <x:v>2026-06-30</x:v>
      </x:c>
      <x:c r="E872" t="str">
        <x:v>interim</x:v>
      </x:c>
      <x:c r="F872" t="str">
        <x:v>short_term_borrowings</x:v>
      </x:c>
      <x:c r="G872" t="n">
        <x:v>2331342</x:v>
      </x:c>
      <x:c r="H872" t="str">
        <x:v>CNY</x:v>
      </x:c>
      <x:c r="I872" t="n">
        <x:v>302</x:v>
      </x:c>
      <x:c r="J872" t="str">
        <x:v>短期借款</x:v>
      </x:c>
      <x:c r="K872" t="str">
        <x:v>candidate_pending_automated_verification</x:v>
      </x:c>
      <x:c r="L872" t="str">
        <x:v>https://static.cninfo.com.cn/finalpage/2026-08-29/1225531653.PDF</x:v>
      </x:c>
      <x:c r="M872" t="str">
        <x:v>803117741c484bdd0d7d711fdf906c1d769f89c69ad4cb387960dff248789baa</x:v>
      </x:c>
      <x:c r="N872" t="str">
        <x:v>4 
合计 27,576,889 9,226,347 36,803,236 
外币金融负债—    
应付款项 5,390,720 3,856,667 9,247,387 
应付债券 6,920,794 - 6,920,794 
短期借款 2,331,342 108,752 2,440,094 
长期借款 17,932 469 18,401 
合计 14,660,788 3,965,888 18,626,676 
  </x:v>
      </x:c>
    </x:row>
    <x:row r="873">
      <x:c r="A873" t="str">
        <x:v>e901736f-29cd-4ffe-ab9c-31540d6ffb8b</x:v>
      </x:c>
      <x:c r="B873" t="str">
        <x:v>601390</x:v>
      </x:c>
      <x:c r="C873" t="str">
        <x:v>中国中铁</x:v>
      </x:c>
      <x:c r="D873" t="str">
        <x:v>2026-06-30</x:v>
      </x:c>
      <x:c r="E873" t="str">
        <x:v>interim</x:v>
      </x:c>
      <x:c r="F873" t="str">
        <x:v>cash</x:v>
      </x:c>
      <x:c r="G873" t="n">
        <x:v>18756765</x:v>
      </x:c>
      <x:c r="H873" t="str">
        <x:v>CNY</x:v>
      </x:c>
      <x:c r="I873" t="n">
        <x:v>302</x:v>
      </x:c>
      <x:c r="J873" t="str">
        <x:v>货币资金</x:v>
      </x:c>
      <x:c r="K873" t="str">
        <x:v>candidate_pending_automated_verification</x:v>
      </x:c>
      <x:c r="L873" t="str">
        <x:v>https://static.cninfo.com.cn/finalpage/2026-08-29/1225531653.PDF</x:v>
      </x:c>
      <x:c r="M873" t="str">
        <x:v>803117741c484bdd0d7d711fdf906c1d769f89c69ad4cb387960dff248789baa</x:v>
      </x:c>
      <x:c r="N873" t="str">
        <x:v> 
于2026 年6 月30 日及2025 年12 月31 日，本集团持有的外币金融资产和外币金融负债折算成人民
币的金额列示如下： 
 2026 年6 月30 日(未经审计) 
美元项目 其他外币项目 合计 
外币金融资产—    
货币资金 18,756,765 5,454,255 24,211,020 
应收款项 8,279,570 3,772,092 12,051,662 
债权投资 540,554 - 540,554 
合计 27,576,889 9,226,347 36,803,236 
外币金融负债—    
应付款项 5,390,720 3,856,667 9,247,387 
应付债券 6,</x:v>
      </x:c>
    </x:row>
    <x:row r="874">
      <x:c r="A874" t="str">
        <x:v>5e43731f-645f-4e79-99b4-811dfc5b3837</x:v>
      </x:c>
      <x:c r="B874" t="str">
        <x:v>601390</x:v>
      </x:c>
      <x:c r="C874" t="str">
        <x:v>中国中铁</x:v>
      </x:c>
      <x:c r="D874" t="str">
        <x:v>2026-06-30</x:v>
      </x:c>
      <x:c r="E874" t="str">
        <x:v>interim</x:v>
      </x:c>
      <x:c r="F874" t="str">
        <x:v>short_term_borrowings</x:v>
      </x:c>
      <x:c r="G874" t="n">
        <x:v>99080566</x:v>
      </x:c>
      <x:c r="H874" t="str">
        <x:v>CNY</x:v>
      </x:c>
      <x:c r="I874" t="n">
        <x:v>300</x:v>
      </x:c>
      <x:c r="J874" t="str">
        <x:v>短期借款</x:v>
      </x:c>
      <x:c r="K874" t="str">
        <x:v>candidate_pending_automated_verification</x:v>
      </x:c>
      <x:c r="L874" t="str">
        <x:v>https://static.cninfo.com.cn/finalpage/2026-08-29/1225531653.PDF</x:v>
      </x:c>
      <x:c r="M874" t="str">
        <x:v>803117741c484bdd0d7d711fdf906c1d769f89c69ad4cb387960dff248789baa</x:v>
      </x:c>
      <x:c r="N874" t="str">
        <x:v>性风险 - 续 
下表概括了本集团金融负债及租赁负债按未折现的合同现金流量所作的到期期限分析： - 续 
人民币千元 
项目 
2025 年12 月31 日 
1 年以内 
(含1 年) 1-2 年 2-5 年 5 年以上 合计 
短期借款 99,080,566 - - - 99,080,566 
吸收存款 8,334,999 - - - 8,334,999 
交易性金融负债 30,328 - - - 30,328 
衍生金融负债 847,310 - - - 847,310 
应付票据 59,928,579 - - - 59,928,579 
应付账款 813,278,882 - - - 813,278,882 
</x:v>
      </x:c>
    </x:row>
    <x:row r="875">
      <x:c r="A875" t="str">
        <x:v>939a7d3a-a3cd-4d36-b348-75c9ba56546d</x:v>
      </x:c>
      <x:c r="B875" t="str">
        <x:v>601390</x:v>
      </x:c>
      <x:c r="C875" t="str">
        <x:v>中国中铁</x:v>
      </x:c>
      <x:c r="D875" t="str">
        <x:v>2026-06-30</x:v>
      </x:c>
      <x:c r="E875" t="str">
        <x:v>interim</x:v>
      </x:c>
      <x:c r="F875" t="str">
        <x:v>short_term_borrowings</x:v>
      </x:c>
      <x:c r="G875" t="n">
        <x:v>128698267</x:v>
      </x:c>
      <x:c r="H875" t="str">
        <x:v>CNY</x:v>
      </x:c>
      <x:c r="I875" t="n">
        <x:v>299</x:v>
      </x:c>
      <x:c r="J875" t="str">
        <x:v>短期借款</x:v>
      </x:c>
      <x:c r="K875" t="str">
        <x:v>candidate_pending_automated_verification</x:v>
      </x:c>
      <x:c r="L875" t="str">
        <x:v>https://static.cninfo.com.cn/finalpage/2026-08-29/1225531653.PDF</x:v>
      </x:c>
      <x:c r="M875" t="str">
        <x:v>803117741c484bdd0d7d711fdf906c1d769f89c69ad4cb387960dff248789baa</x:v>
      </x:c>
      <x:c r="N875" t="str">
        <x:v>风险 - 续 
下表概括了本集团金融负债及租赁负债按未折现的合同现金流量所作的到期期限分析： 
人民币千元 
项目 
2026 年6 月30 日(未经审计) 
1 年以内 
(含1 年) 1-2 年 2-5 年 5 年以上 合计 
短期借款 128,698,267 - - - 128,698,267 
吸收存款 5,463,476 - - - 5,463,476 
交易性金融负债 23,013 - - - 23,013 
衍生金融负债 656,013 - - - 656,013 
应付票据 46,908,897 - - - 46,908,897 
应付账款 760,251,834 - - - 760,251,834 </x:v>
      </x:c>
    </x:row>
    <x:row r="876">
      <x:c r="A876" t="str">
        <x:v>571b1f7e-71e1-40de-b60d-5a9fbe23e8e9</x:v>
      </x:c>
      <x:c r="B876" t="str">
        <x:v>601390</x:v>
      </x:c>
      <x:c r="C876" t="str">
        <x:v>中国中铁</x:v>
      </x:c>
      <x:c r="D876" t="str">
        <x:v>2026-06-30</x:v>
      </x:c>
      <x:c r="E876" t="str">
        <x:v>interim</x:v>
      </x:c>
      <x:c r="F876" t="str">
        <x:v>bonds_payable</x:v>
      </x:c>
      <x:c r="G876" t="n">
        <x:v>54246316</x:v>
      </x:c>
      <x:c r="H876" t="str">
        <x:v>CNY</x:v>
      </x:c>
      <x:c r="I876" t="n">
        <x:v>115</x:v>
      </x:c>
      <x:c r="J876" t="str">
        <x:v>应付债券</x:v>
      </x:c>
      <x:c r="K876" t="str">
        <x:v>candidate_pending_automated_verification</x:v>
      </x:c>
      <x:c r="L876" t="str">
        <x:v>https://static.cninfo.com.cn/finalpage/2026-08-29/1225531653.PDF</x:v>
      </x:c>
      <x:c r="M876" t="str">
        <x:v>803117741c484bdd0d7d711fdf906c1d769f89c69ad4cb387960dff248789baa</x:v>
      </x:c>
      <x:c r="N876" t="str">
        <x:v>1,548 
其他流动负债 38 48,020,899 49,591,787 
流动负债合计  1,353,874,447 1,394,585,755 
非流动负债    
长期借款 39 386,151,264 373,128,703 
应付债券 40 54,246,316 45,572,147 
租赁负债 41 2,396,041 3,410,707 
长期应付款 42 93,242,415 99,762,727 
长期应付职工薪酬 43 1,431,948 1,449,910 
预计负债 44 4,334,392 3,964,133 
递延收益 45 1,153,356 1,115,635 
递延所得税负债 25 7,03</x:v>
      </x:c>
    </x:row>
    <x:row r="877">
      <x:c r="A877" t="str">
        <x:v>a740d3c4-6fb3-4fc5-896a-00ef0f45185e</x:v>
      </x:c>
      <x:c r="B877" t="str">
        <x:v>601390</x:v>
      </x:c>
      <x:c r="C877" t="str">
        <x:v>中国中铁</x:v>
      </x:c>
      <x:c r="D877" t="str">
        <x:v>2026-06-30</x:v>
      </x:c>
      <x:c r="E877" t="str">
        <x:v>interim</x:v>
      </x:c>
      <x:c r="F877" t="str">
        <x:v>long_term_borrowings</x:v>
      </x:c>
      <x:c r="G877" t="n">
        <x:v>386151264</x:v>
      </x:c>
      <x:c r="H877" t="str">
        <x:v>CNY</x:v>
      </x:c>
      <x:c r="I877" t="n">
        <x:v>115</x:v>
      </x:c>
      <x:c r="J877" t="str">
        <x:v>长期借款</x:v>
      </x:c>
      <x:c r="K877" t="str">
        <x:v>candidate_pending_automated_verification</x:v>
      </x:c>
      <x:c r="L877" t="str">
        <x:v>https://static.cninfo.com.cn/finalpage/2026-08-29/1225531653.PDF</x:v>
      </x:c>
      <x:c r="M877" t="str">
        <x:v>803117741c484bdd0d7d711fdf906c1d769f89c69ad4cb387960dff248789baa</x:v>
      </x:c>
      <x:c r="N877" t="str">
        <x:v> 
一年内到期的非流动负债 37 56,071,058 57,811,548 
其他流动负债 38 48,020,899 49,591,787 
流动负债合计  1,353,874,447 1,394,585,755 
非流动负债    
长期借款 39 386,151,264 373,128,703 
应付债券 40 54,246,316 45,572,147 
租赁负债 41 2,396,041 3,410,707 
长期应付款 42 93,242,415 99,762,727 
长期应付职工薪酬 43 1,431,948 1,449,910 
预计负债 44 4,334,392 3,964,133 
递延收益 45 1,15</x:v>
      </x:c>
    </x:row>
    <x:row r="878">
      <x:c r="A878" t="str">
        <x:v>c24efb12-363f-481b-9aed-8e2c081e84b8</x:v>
      </x:c>
      <x:c r="B878" t="str">
        <x:v>601390</x:v>
      </x:c>
      <x:c r="C878" t="str">
        <x:v>中国中铁</x:v>
      </x:c>
      <x:c r="D878" t="str">
        <x:v>2026-06-30</x:v>
      </x:c>
      <x:c r="E878" t="str">
        <x:v>interim</x:v>
      </x:c>
      <x:c r="F878" t="str">
        <x:v>current_portion_long_term_debt</x:v>
      </x:c>
      <x:c r="G878" t="n">
        <x:v>56071058</x:v>
      </x:c>
      <x:c r="H878" t="str">
        <x:v>CNY</x:v>
      </x:c>
      <x:c r="I878" t="n">
        <x:v>115</x:v>
      </x:c>
      <x:c r="J878" t="str">
        <x:v>一年内到期的非流动负债</x:v>
      </x:c>
      <x:c r="K878" t="str">
        <x:v>candidate_pending_automated_verification</x:v>
      </x:c>
      <x:c r="L878" t="str">
        <x:v>https://static.cninfo.com.cn/finalpage/2026-08-29/1225531653.PDF</x:v>
      </x:c>
      <x:c r="M878" t="str">
        <x:v>803117741c484bdd0d7d711fdf906c1d769f89c69ad4cb387960dff248789baa</x:v>
      </x:c>
      <x:c r="N878" t="str">
        <x:v>51,013,100 150,870,737 
应付职工薪酬 34 6,487,406 7,493,159 
应交税费 35 11,620,866 15,426,143 
其他应付款 36 138,218,858 131,123,417 
一年内到期的非流动负债 37 56,071,058 57,811,548 
其他流动负债 38 48,020,899 49,591,787 
流动负债合计  1,353,874,447 1,394,585,755 
非流动负债    
长期借款 39 386,151,264 373,128,703 
应付债券 40 54,246,316 45,572,147 
租赁负债 41 2,396,041 3,410</x:v>
      </x:c>
    </x:row>
    <x:row r="879">
      <x:c r="A879" t="str">
        <x:v>980d4928-7395-4455-947e-f2c7825bd775</x:v>
      </x:c>
      <x:c r="B879" t="str">
        <x:v>601390</x:v>
      </x:c>
      <x:c r="C879" t="str">
        <x:v>中国中铁</x:v>
      </x:c>
      <x:c r="D879" t="str">
        <x:v>2026-06-30</x:v>
      </x:c>
      <x:c r="E879" t="str">
        <x:v>interim</x:v>
      </x:c>
      <x:c r="F879" t="str">
        <x:v>short_term_borrowings</x:v>
      </x:c>
      <x:c r="G879" t="n">
        <x:v>127434796</x:v>
      </x:c>
      <x:c r="H879" t="str">
        <x:v>CNY</x:v>
      </x:c>
      <x:c r="I879" t="n">
        <x:v>115</x:v>
      </x:c>
      <x:c r="J879" t="str">
        <x:v>短期借款</x:v>
      </x:c>
      <x:c r="K879" t="str">
        <x:v>candidate_pending_automated_verification</x:v>
      </x:c>
      <x:c r="L879" t="str">
        <x:v>https://static.cninfo.com.cn/finalpage/2026-08-29/1225531653.PDF</x:v>
      </x:c>
      <x:c r="M879" t="str">
        <x:v>803117741c484bdd0d7d711fdf906c1d769f89c69ad4cb387960dff248789baa</x:v>
      </x:c>
      <x:c r="N879" t="str">
        <x:v>中国中铁股份有限公司 
- 3 - 
2026 年 6 月 30 日合并资产负债表 - 续 
人民币千元 
负债 附注五 2026 年6 月30 日 
(未经审计) 2025 年12 月31 日 
流动负债    
短期借款 28 127,434,796 98,079,980 
吸收存款 29 5,463,476 8,334,999 
交易性金融负债  23,013 30,328 
衍生金融负债  656,013 847,310 
应付票据 30 46,908,897 59,928,579 
应付账款 31 760,251,834 813,278,882 
预收款项 32 1,704,231 1,768,8</x:v>
      </x:c>
    </x:row>
    <x:row r="880">
      <x:c r="A880" t="str">
        <x:v>12cb90df-9242-4342-8cec-5da2b81fa9c6</x:v>
      </x:c>
      <x:c r="B880" t="str">
        <x:v>601390</x:v>
      </x:c>
      <x:c r="C880" t="str">
        <x:v>中国中铁</x:v>
      </x:c>
      <x:c r="D880" t="str">
        <x:v>2026-06-30</x:v>
      </x:c>
      <x:c r="E880" t="str">
        <x:v>interim</x:v>
      </x:c>
      <x:c r="F880" t="str">
        <x:v>cash</x:v>
      </x:c>
      <x:c r="G880" t="n">
        <x:v>187904743</x:v>
      </x:c>
      <x:c r="H880" t="str">
        <x:v>CNY</x:v>
      </x:c>
      <x:c r="I880" t="n">
        <x:v>114</x:v>
      </x:c>
      <x:c r="J880" t="str">
        <x:v>货币资金</x:v>
      </x:c>
      <x:c r="K880" t="str">
        <x:v>candidate_pending_automated_verification</x:v>
      </x:c>
      <x:c r="L880" t="str">
        <x:v>https://static.cninfo.com.cn/finalpage/2026-08-29/1225531653.PDF</x:v>
      </x:c>
      <x:c r="M880" t="str">
        <x:v>803117741c484bdd0d7d711fdf906c1d769f89c69ad4cb387960dff248789baa</x:v>
      </x:c>
      <x:c r="N880" t="str">
        <x:v>中国中铁股份有限公司 
- 2 - 
2026 年 6 月 30 日合并资产负债表 
人民币千元 
资产 附注五 2026 年6 月30 日 
(未经审计) 2025 年12 月31 日 
流动资产    
货币资金 1 187,904,743 253,502,633 
交易性金融资产 2 8,382,274 12,797,615 
衍生金融资产 3 126,066 126,066 
应收票据 4 1,461,886 1,557,441 
应收账款 5 286,275,353 288,877,597 
应收款项融资 6 1,066,867 853,511 
预付款项 7 39,101,976 40</x:v>
      </x:c>
    </x:row>
    <x:row r="881">
      <x:c r="A881" t="str">
        <x:v>074514e2-6c4a-409f-81d1-21e897ccd6d8</x:v>
      </x:c>
      <x:c r="B881" t="str">
        <x:v>601390</x:v>
      </x:c>
      <x:c r="C881" t="str">
        <x:v>中国中铁</x:v>
      </x:c>
      <x:c r="D881" t="str">
        <x:v>2026-06-30</x:v>
      </x:c>
      <x:c r="E881" t="str">
        <x:v>interim</x:v>
      </x:c>
      <x:c r="F881" t="str">
        <x:v>operating_cash_flow</x:v>
      </x:c>
      <x:c r="G881" t="n">
        <x:v>-86660944</x:v>
      </x:c>
      <x:c r="H881" t="str">
        <x:v>reported_amount</x:v>
      </x:c>
      <x:c r="I881" t="n">
        <x:v>6</x:v>
      </x:c>
      <x:c r="J881" t="str">
        <x:v>经营活动产生的现金流量净额</x:v>
      </x:c>
      <x:c r="K881" t="str">
        <x:v>candidate_pending_automated_verification</x:v>
      </x:c>
      <x:c r="L881" t="str">
        <x:v>https://static.cninfo.com.cn/finalpage/2026-08-29/1225531653.PDF</x:v>
      </x:c>
      <x:c r="M881" t="str">
        <x:v>803117741c484bdd0d7d711fdf906c1d769f89c69ad4cb387960dff248789baa</x:v>
      </x:c>
      <x:c r="N881" t="str">
        <x:v>386,906 16,468,200 -18.71
归属于上市公司股东的净利润 8,655,785 11,826,602 -26.81
归属于上市公司股东的扣除非经常性
损益的净利润 7,088,431 10,268,079 -30.97
经营活动产生的现金流量净额 -86,660,944 -79,630,411 不适用
本报告期末 上年度末 本报告期末比上
年度末增减(%)
归属于上市公司股东的净资产 378,348,020 371,062,821 1.96
总资产 2,458,457,640 2,470,580,585 -0.49
(二) 主要财务指标
主要财务指标 本报告期
（1－6月） 上年同期 本报告期比上年同
期增减(%)
基本每</x:v>
      </x:c>
    </x:row>
    <x:row r="882">
      <x:c r="A882" t="str">
        <x:v>47849b5c-c0ce-4094-9600-86d12fc844a5</x:v>
      </x:c>
      <x:c r="B882" t="str">
        <x:v>601390</x:v>
      </x:c>
      <x:c r="C882" t="str">
        <x:v>中国中铁</x:v>
      </x:c>
      <x:c r="D882" t="str">
        <x:v>2026-06-30</x:v>
      </x:c>
      <x:c r="E882" t="str">
        <x:v>interim</x:v>
      </x:c>
      <x:c r="F882" t="str">
        <x:v>net_income</x:v>
      </x:c>
      <x:c r="G882" t="n">
        <x:v>8655785</x:v>
      </x:c>
      <x:c r="H882" t="str">
        <x:v>reported_amount</x:v>
      </x:c>
      <x:c r="I882" t="n">
        <x:v>6</x:v>
      </x:c>
      <x:c r="J882" t="str">
        <x:v>归属于上市公司股东的净利润</x:v>
      </x:c>
      <x:c r="K882" t="str">
        <x:v>candidate_pending_automated_verification</x:v>
      </x:c>
      <x:c r="L882" t="str">
        <x:v>https://static.cninfo.com.cn/finalpage/2026-08-29/1225531653.PDF</x:v>
      </x:c>
      <x:c r="M882" t="str">
        <x:v>803117741c484bdd0d7d711fdf906c1d769f89c69ad4cb387960dff248789baa</x:v>
      </x:c>
      <x:c r="N882" t="str">
        <x:v>：千元 币种：人民币
主要会计数据 本报告期
（1－6月） 上年同期 本报告期比上年
同期增减(%)
营业收入 471,761,068 511,093,310 -7.70
利润总额 13,386,906 16,468,200 -18.71
归属于上市公司股东的净利润 8,655,785 11,826,602 -26.81
归属于上市公司股东的扣除非经常性
损益的净利润 7,088,431 10,268,079 -30.97
经营活动产生的现金流量净额 -86,660,944 -79,630,411 不适用
本报告期末 上年度末 本报告期末比上
年度末增减(%)
归属于上市公司股东的净资产 378,348,020 371,062,821 1</x:v>
      </x:c>
    </x:row>
    <x:row r="883">
      <x:c r="A883" t="str">
        <x:v>5eff1c27-99df-44e0-83f5-a79e1aec0580</x:v>
      </x:c>
      <x:c r="B883" t="str">
        <x:v>601390</x:v>
      </x:c>
      <x:c r="C883" t="str">
        <x:v>中国中铁</x:v>
      </x:c>
      <x:c r="D883" t="str">
        <x:v>2026-06-30</x:v>
      </x:c>
      <x:c r="E883" t="str">
        <x:v>interim</x:v>
      </x:c>
      <x:c r="F883" t="str">
        <x:v>revenue</x:v>
      </x:c>
      <x:c r="G883" t="n">
        <x:v>471761068</x:v>
      </x:c>
      <x:c r="H883" t="str">
        <x:v>reported_amount</x:v>
      </x:c>
      <x:c r="I883" t="n">
        <x:v>6</x:v>
      </x:c>
      <x:c r="J883" t="str">
        <x:v>营业收入</x:v>
      </x:c>
      <x:c r="K883" t="str">
        <x:v>candidate_pending_automated_verification</x:v>
      </x:c>
      <x:c r="L883" t="str">
        <x:v>https://static.cninfo.com.cn/finalpage/2026-08-29/1225531653.PDF</x:v>
      </x:c>
      <x:c r="M883" t="str">
        <x:v>803117741c484bdd0d7d711fdf906c1d769f89c69ad4cb387960dff248789baa</x:v>
      </x:c>
      <x:c r="N883" t="str">
        <x:v>中国中铁股份有限公司 2026年半年度报告
5 / 109
七、 公司主要会计数据和财务指标
(一) 主要会计数据
单位：千元 币种：人民币
主要会计数据 本报告期
（1－6月） 上年同期 本报告期比上年
同期增减(%)
营业收入 471,761,068 511,093,310 -7.70
利润总额 13,386,906 16,468,200 -18.71
归属于上市公司股东的净利润 8,655,785 11,826,602 -26.81
归属于上市公司股东的扣除非经常性
损益的净利润 7,088,431 10,268,079 -30.97
经营活动产生的现金流量净额 -86,660,944 -79,630</x:v>
      </x:c>
    </x:row>
    <x:row r="884">
      <x:c r="A884" t="str">
        <x:v>77483ab8-62e0-4d4f-af6f-93a0c48cfe04</x:v>
      </x:c>
      <x:c r="B884" t="str">
        <x:v>601390</x:v>
      </x:c>
      <x:c r="C884" t="str">
        <x:v>中国中铁</x:v>
      </x:c>
      <x:c r="D884" t="str">
        <x:v>2026-06-30</x:v>
      </x:c>
      <x:c r="E884" t="str">
        <x:v>interim</x:v>
      </x:c>
      <x:c r="F884" t="str">
        <x:v>long_term_borrowings</x:v>
      </x:c>
      <x:c r="G884" t="n">
        <x:v>26282</x:v>
      </x:c>
      <x:c r="H884" t="str">
        <x:v>CNY</x:v>
      </x:c>
      <x:c r="I884" t="n">
        <x:v>303</x:v>
      </x:c>
      <x:c r="J884" t="str">
        <x:v>长期借款</x:v>
      </x:c>
      <x:c r="K884" t="str">
        <x:v>candidate_pending_automated_verification</x:v>
      </x:c>
      <x:c r="L884" t="str">
        <x:v>https://static.cninfo.com.cn/finalpage/2026-08-29/1225531653.PDF</x:v>
      </x:c>
      <x:c r="M884" t="str">
        <x:v>803117741c484bdd0d7d711fdf906c1d769f89c69ad4cb387960dff248789baa</x:v>
      </x:c>
      <x:c r="N884" t="str">
        <x:v>02 
外币金融负债—    
应付款项 6,654,531 4,438,263 11,092,794 
应付债券 7,138,990 - 7,138,990 
短期借款 1,690,426 147,620 1,838,046 
长期借款 26,282 750 27,032 
合计 15,510,229 4,586,633 20,096,862 
下表为汇率风险的敏感性分析，反映了在其他变量不变的假设下，美元汇率发生合理、可能的变动
时，将对净损益和股东权益的税后净额产生的影响。 
截至2026 年6 月30 日止六个月期间(未经审计)： 
人民币千元 
项目 汇率 
增加/(减少) 
净损益 
</x:v>
      </x:c>
    </x:row>
    <x:row r="885">
      <x:c r="A885" t="str">
        <x:v>d56bc57f-176d-4a64-a6f6-71bc58526d40</x:v>
      </x:c>
      <x:c r="B885" t="str">
        <x:v>601390</x:v>
      </x:c>
      <x:c r="C885" t="str">
        <x:v>中国中铁</x:v>
      </x:c>
      <x:c r="D885" t="str">
        <x:v>2026-06-30</x:v>
      </x:c>
      <x:c r="E885" t="str">
        <x:v>interim</x:v>
      </x:c>
      <x:c r="F885" t="str">
        <x:v>cash</x:v>
      </x:c>
      <x:c r="G885" t="n">
        <x:v>10111764</x:v>
      </x:c>
      <x:c r="H885" t="str">
        <x:v>CNY</x:v>
      </x:c>
      <x:c r="I885" t="n">
        <x:v>182</x:v>
      </x:c>
      <x:c r="J885" t="str">
        <x:v>货币资金</x:v>
      </x:c>
      <x:c r="K885" t="str">
        <x:v>candidate_pending_automated_verification</x:v>
      </x:c>
      <x:c r="L885" t="str">
        <x:v>https://static.cninfo.com.cn/finalpage/2026-08-29/1225531653.PDF</x:v>
      </x:c>
      <x:c r="M885" t="str">
        <x:v>803117741c484bdd0d7d711fdf906c1d769f89c69ad4cb387960dff248789baa</x:v>
      </x:c>
      <x:c r="N885" t="str">
        <x:v>表主要项目注释 
1. 货币资金 
人民币千元 
项目 2026 年6 月30 日 
(未经审计) 2025 年12 月31 日 
库存现金 17,928 29,195 
银行存款 177,775,051 239,876,284 
其他货币资金 10,111,764 13,597,154 
合计 187,904,743 253,502,633 
其中：存放在境外的货币资金总额 17,255,612 15,937,349 
注： 于2026 年6 月30 日，本集团存放在境外且资金汇回受到限制的款项总额为人民币2,291,337
千元(2025 年12 月31 日：人民币2,221,790 千元)。 
2. 交易</x:v>
      </x:c>
    </x:row>
    <x:row r="886">
      <x:c r="A886" t="str">
        <x:v>199929a6-f27e-41c9-9ff8-32510d689815</x:v>
      </x:c>
      <x:c r="B886" t="str">
        <x:v>601390</x:v>
      </x:c>
      <x:c r="C886" t="str">
        <x:v>中国中铁</x:v>
      </x:c>
      <x:c r="D886" t="str">
        <x:v>2026-06-30</x:v>
      </x:c>
      <x:c r="E886" t="str">
        <x:v>interim</x:v>
      </x:c>
      <x:c r="F886" t="str">
        <x:v>bonds_payable</x:v>
      </x:c>
      <x:c r="G886" t="n">
        <x:v>7138990</x:v>
      </x:c>
      <x:c r="H886" t="str">
        <x:v>CNY</x:v>
      </x:c>
      <x:c r="I886" t="n">
        <x:v>303</x:v>
      </x:c>
      <x:c r="J886" t="str">
        <x:v>应付债券</x:v>
      </x:c>
      <x:c r="K886" t="str">
        <x:v>candidate_pending_automated_verification</x:v>
      </x:c>
      <x:c r="L886" t="str">
        <x:v>https://static.cninfo.com.cn/finalpage/2026-08-29/1225531653.PDF</x:v>
      </x:c>
      <x:c r="M886" t="str">
        <x:v>803117741c484bdd0d7d711fdf906c1d769f89c69ad4cb387960dff248789baa</x:v>
      </x:c>
      <x:c r="N886" t="str">
        <x:v>,217 
债权投资 557,848 - 557,848 
合计 25,165,061 9,624,141 34,789,202 
外币金融负债—    
应付款项 6,654,531 4,438,263 11,092,794 
应付债券 7,138,990 - 7,138,990 
短期借款 1,690,426 147,620 1,838,046 
长期借款 26,282 750 27,032 
合计 15,510,229 4,586,633 20,096,862 
下表为汇率风险的敏感性分析，反映了在其他变量不变的假设下，美元汇率发生合理、可能的变动
时，将对净损益和股东权益的税后净额产生的影响。 
 </x:v>
      </x:c>
    </x:row>
    <x:row r="887">
      <x:c r="A887" t="str">
        <x:v>6d6192eb-9ec3-40b7-a868-a6881c5de30c</x:v>
      </x:c>
      <x:c r="B887" t="str">
        <x:v>601390</x:v>
      </x:c>
      <x:c r="C887" t="str">
        <x:v>中国中铁</x:v>
      </x:c>
      <x:c r="D887" t="str">
        <x:v>2026-06-30</x:v>
      </x:c>
      <x:c r="E887" t="str">
        <x:v>interim</x:v>
      </x:c>
      <x:c r="F887" t="str">
        <x:v>bonds_payable</x:v>
      </x:c>
      <x:c r="G887" t="n">
        <x:v>242994081</x:v>
      </x:c>
      <x:c r="H887" t="str">
        <x:v>CNY</x:v>
      </x:c>
      <x:c r="I887" t="n">
        <x:v>309</x:v>
      </x:c>
      <x:c r="J887" t="str">
        <x:v>应付债券</x:v>
      </x:c>
      <x:c r="K887" t="str">
        <x:v>candidate_pending_automated_verification</x:v>
      </x:c>
      <x:c r="L887" t="str">
        <x:v>https://static.cninfo.com.cn/finalpage/2026-08-29/1225531653.PDF</x:v>
      </x:c>
      <x:c r="M887" t="str">
        <x:v>803117741c484bdd0d7d711fdf906c1d769f89c69ad4cb387960dff248789baa</x:v>
      </x:c>
      <x:c r="N887" t="str">
        <x:v>2 月31 日 
2026 年 
6 月30 日 
(未经审计) 
2025 年 
12 月31 日 
固定利率债权投资 29,023,211 31,218,301 30,694,663  32,591,672 
固定利率借款 
    及应付债券 242,994,081 206,329,909 242,743,598 205,517,509 
注： 固定利率应收款项和固定利率借款及不存在活跃市场的应付债券，以合同规定的未来现金
流量按照市场上具有可比信用等级并在相同条件下提供几乎相同现金流量的利率进行折现
后的现值确定其公允价值，属于第三层次。 
十五、 公司财务报表主要项目注释 
1. 应收账款 
应</x:v>
      </x:c>
    </x:row>
    <x:row r="888">
      <x:c r="A888" t="str">
        <x:v>bf64388b-0f79-4d19-8d19-9506d595bd99</x:v>
      </x:c>
      <x:c r="B888" t="str">
        <x:v>601288</x:v>
      </x:c>
      <x:c r="C888" t="str">
        <x:v>农业银行</x:v>
      </x:c>
      <x:c r="D888" t="str">
        <x:v>2026-06-30</x:v>
      </x:c>
      <x:c r="E888" t="str">
        <x:v>interim</x:v>
      </x:c>
      <x:c r="F888" t="str">
        <x:v>operating_cash_flow</x:v>
      </x:c>
      <x:c r="G888" t="n">
        <x:v>287612</x:v>
      </x:c>
      <x:c r="H888" t="str">
        <x:v>CNY</x:v>
      </x:c>
      <x:c r="I888" t="n">
        <x:v>119</x:v>
      </x:c>
      <x:c r="J888" t="str">
        <x:v>经营活动产生的现金流量净额</x:v>
      </x:c>
      <x:c r="K888" t="str">
        <x:v>candidate_pending_automated_verification</x:v>
      </x:c>
      <x:c r="L888" t="str">
        <x:v>https://static.cninfo.com.cn/finalpage/2026-08-29/1225527334.PDF</x:v>
      </x:c>
      <x:c r="M888" t="str">
        <x:v>727d2ba1b602442de76815414519a1a7ae531a55e9821d577b7af288df526601</x:v>
      </x:c>
      <x:c r="N888" t="str">
        <x:v>   (115,130) 
经营活动现金流出小计   (2,736,154)   (2,702,049)   (2,724,336)   (2,708,553) 
经营活动产生的现金流量净额 45 287,612   1,005,804   270,667   973,862 
  </x:v>
      </x:c>
    </x:row>
    <x:row r="889">
      <x:c r="A889" t="str">
        <x:v>702eec23-4bba-4aa1-9fbe-a48e2a2ccfc2</x:v>
      </x:c>
      <x:c r="B889" t="str">
        <x:v>000333</x:v>
      </x:c>
      <x:c r="C889" t="str">
        <x:v>美的集团</x:v>
      </x:c>
      <x:c r="D889" t="str">
        <x:v>2026-06-30</x:v>
      </x:c>
      <x:c r="E889" t="str">
        <x:v>interim</x:v>
      </x:c>
      <x:c r="F889" t="str">
        <x:v>roe</x:v>
      </x:c>
      <x:c r="G889" t="n">
        <x:v>11.33</x:v>
      </x:c>
      <x:c r="H889" t="str">
        <x:v>percent</x:v>
      </x:c>
      <x:c r="I889" t="n">
        <x:v>7</x:v>
      </x:c>
      <x:c r="J889" t="str">
        <x:v>加权平均净资产收益率</x:v>
      </x:c>
      <x:c r="K889" t="str">
        <x:v>candidate_pending_automated_verification</x:v>
      </x:c>
      <x:c r="L889" t="str">
        <x:v>https://static.cninfo.com.cn/finalpage/2026-08-29/1225531404.PDF</x:v>
      </x:c>
      <x:c r="M889" t="str">
        <x:v>576dd80e353e53296a800b03e9889a9cbb2e8b91fa2ab3c1dace7c10159179b8</x:v>
      </x:c>
      <x:c r="N889" t="str">
        <x:v>5,399 -25.31% 
经营活动产生的现金流量净额（千元） 37,552,090 37,281,015 0.73% 
基本每股收益（元/股） 3.52 3.41 3.23% 
稀释每股收益（元/股） 3.50 3.41 2.64% 
加权平均净资产收益率 11.33% 11.29% 0.04% 
 本报告期末 上年度末 
本报告期末比上年度
末增减 
总资产（千元） 643,101,789 608,791,766 5.64% 
归属于上市公司股东的净资产（千元） 212,861,055 223,221,305 -4.64% 
备注：归属于上市公司股东的扣除非经常性损益的净利润同比下降主要由于 2026 年上半年人民币汇</x:v>
      </x:c>
    </x:row>
    <x:row r="890">
      <x:c r="A890" t="str">
        <x:v>a33dc934-05f3-4b80-8481-5a1221bd6499</x:v>
      </x:c>
      <x:c r="B890" t="str">
        <x:v>000333</x:v>
      </x:c>
      <x:c r="C890" t="str">
        <x:v>美的集团</x:v>
      </x:c>
      <x:c r="D890" t="str">
        <x:v>2026-06-30</x:v>
      </x:c>
      <x:c r="E890" t="str">
        <x:v>interim</x:v>
      </x:c>
      <x:c r="F890" t="str">
        <x:v>cash</x:v>
      </x:c>
      <x:c r="G890" t="n">
        <x:v>544376</x:v>
      </x:c>
      <x:c r="H890" t="str">
        <x:v>CNY</x:v>
      </x:c>
      <x:c r="I890" t="n">
        <x:v>177</x:v>
      </x:c>
      <x:c r="J890" t="str">
        <x:v>货币资金</x:v>
      </x:c>
      <x:c r="K890" t="str">
        <x:v>candidate_pending_automated_verification</x:v>
      </x:c>
      <x:c r="L890" t="str">
        <x:v>https://static.cninfo.com.cn/finalpage/2026-08-29/1225531404.PDF</x:v>
      </x:c>
      <x:c r="M890" t="str">
        <x:v>576dd80e353e53296a800b03e9889a9cbb2e8b91fa2ab3c1dace7c10159179b8</x:v>
      </x:c>
      <x:c r="N890" t="str">
        <x:v>105,574 26,547,541 
(d) 现金及现金等价物的构成 
项 目 本期数 上年同期数 
库存现金 1,621 2,533 
可随时用于支付的银行存款 28,764,764 24,784,346 
可随时用于支付的其他货币资金 544,376 335,265 
可用于支付的存放中央银行款项 50,507 70,727 
存放同业款项 45,252,976 56,473,398 
期末现金及现金等价物余额 74,614,244 81,666,269 
  </x:v>
      </x:c>
    </x:row>
    <x:row r="891">
      <x:c r="A891" t="str">
        <x:v>b26f2bf9-992c-4c46-9dae-638114639187</x:v>
      </x:c>
      <x:c r="B891" t="str">
        <x:v>000333</x:v>
      </x:c>
      <x:c r="C891" t="str">
        <x:v>美的集团</x:v>
      </x:c>
      <x:c r="D891" t="str">
        <x:v>2026-06-30</x:v>
      </x:c>
      <x:c r="E891" t="str">
        <x:v>interim</x:v>
      </x:c>
      <x:c r="F891" t="str">
        <x:v>bonds_payable</x:v>
      </x:c>
      <x:c r="G891" t="n">
        <x:v>3095389</x:v>
      </x:c>
      <x:c r="H891" t="str">
        <x:v>CNY</x:v>
      </x:c>
      <x:c r="I891" t="n">
        <x:v>166</x:v>
      </x:c>
      <x:c r="J891" t="str">
        <x:v>应付债券</x:v>
      </x:c>
      <x:c r="K891" t="str">
        <x:v>candidate_pending_automated_verification</x:v>
      </x:c>
      <x:c r="L891" t="str">
        <x:v>https://static.cninfo.com.cn/finalpage/2026-08-29/1225531404.PDF</x:v>
      </x:c>
      <x:c r="M891" t="str">
        <x:v>576dd80e353e53296a800b03e9889a9cbb2e8b91fa2ab3c1dace7c10159179b8</x:v>
      </x:c>
      <x:c r="N891" t="str">
        <x:v>目尚未结束，该等款项尚未结清。 
(33) 一年内到期的非流动负债 
项 目 期末数 期初数 
一年内到期的长期借款 574,675 4,426,471 
一年内到期的租赁负债 1,393,097 1,395,306 
一年内到期的应付债券 3,095,389 - 
合 计 5,063,161 5,821,777 
(34) 其他流动负债 
项 目 期末数 期初数 
预提销售返利 56,972,705 52,952,866 
可转换公司债券 7,269,104 - 
其他 40,269,695 39,584,553 
合 计 104,511,504 92,537,419 
(35) 长期借款 
项</x:v>
      </x:c>
    </x:row>
    <x:row r="892">
      <x:c r="A892" t="str">
        <x:v>c1eff23c-759e-4862-89e3-a453c189d63a</x:v>
      </x:c>
      <x:c r="B892" t="str">
        <x:v>000333</x:v>
      </x:c>
      <x:c r="C892" t="str">
        <x:v>美的集团</x:v>
      </x:c>
      <x:c r="D892" t="str">
        <x:v>2026-06-30</x:v>
      </x:c>
      <x:c r="E892" t="str">
        <x:v>interim</x:v>
      </x:c>
      <x:c r="F892" t="str">
        <x:v>long_term_borrowings</x:v>
      </x:c>
      <x:c r="G892" t="n">
        <x:v>574675</x:v>
      </x:c>
      <x:c r="H892" t="str">
        <x:v>CNY</x:v>
      </x:c>
      <x:c r="I892" t="n">
        <x:v>166</x:v>
      </x:c>
      <x:c r="J892" t="str">
        <x:v>长期借款</x:v>
      </x:c>
      <x:c r="K892" t="str">
        <x:v>candidate_pending_automated_verification</x:v>
      </x:c>
      <x:c r="L892" t="str">
        <x:v>https://static.cninfo.com.cn/finalpage/2026-08-29/1225531404.PDF</x:v>
      </x:c>
      <x:c r="M892" t="str">
        <x:v>576dd80e353e53296a800b03e9889a9cbb2e8b91fa2ab3c1dace7c10159179b8</x:v>
      </x:c>
      <x:c r="N892" t="str">
        <x:v>
12 月 31 日：940,693,000 元)，主要为本公司执行股份激励方案相关的应付款
及应付保证金及押金，因为相关项目尚未结束，该等款项尚未结清。 
(33) 一年内到期的非流动负债 
项 目 期末数 期初数 
一年内到期的长期借款 574,675 4,426,471 
一年内到期的租赁负债 1,393,097 1,395,306 
一年内到期的应付债券 3,095,389 - 
合 计 5,063,161 5,821,777 
(34) 其他流动负债 
项 目 期末数 期初数 
预提销售返利 56,972,705 52,952,866 
可转换公司债券 7,269,104 - 
其他 40,</x:v>
      </x:c>
    </x:row>
    <x:row r="893">
      <x:c r="A893" t="str">
        <x:v>4f7c503e-e6a2-433a-9be2-bcd3d828a8ec</x:v>
      </x:c>
      <x:c r="B893" t="str">
        <x:v>600900</x:v>
      </x:c>
      <x:c r="C893" t="str">
        <x:v>长江电力</x:v>
      </x:c>
      <x:c r="D893" t="str">
        <x:v>2026-06-30</x:v>
      </x:c>
      <x:c r="E893" t="str">
        <x:v>interim</x:v>
      </x:c>
      <x:c r="F893" t="str">
        <x:v>bonds_payable</x:v>
      </x:c>
      <x:c r="G893" t="n">
        <x:v>8386408822.37</x:v>
      </x:c>
      <x:c r="H893" t="str">
        <x:v>CNY</x:v>
      </x:c>
      <x:c r="I893" t="n">
        <x:v>176</x:v>
      </x:c>
      <x:c r="J893" t="str">
        <x:v>应付债券</x:v>
      </x:c>
      <x:c r="K893" t="str">
        <x:v>candidate_pending_automated_verification</x:v>
      </x:c>
      <x:c r="L893" t="str">
        <x:v>https://static.cninfo.com.cn/finalpage/2026-08-31/1225534923.PDF</x:v>
      </x:c>
      <x:c r="M893" t="str">
        <x:v>738de3b36a31646f344cefaf90b4f149d653c3f68e89f4f8d14bdf02fc9c65a2</x:v>
      </x:c>
      <x:c r="N893" t="str">
        <x:v>应付股利 19,391,942,153.90 19,391,942,153.90
长期借款 116,247,139,579.18 49,411,769,477.31 17,462,238,772.44 183,121,147,828.93
应付债券 8,386,408,822.37 13,383,270,502.09 18,266,899,043.78 40,036,578,368.24</x:v>
      </x:c>
    </x:row>
    <x:row r="894">
      <x:c r="A894" t="str">
        <x:v>d67dfb00-1125-4e5a-a72b-6feadc033d87</x:v>
      </x:c>
      <x:c r="B894" t="str">
        <x:v>600900</x:v>
      </x:c>
      <x:c r="C894" t="str">
        <x:v>长江电力</x:v>
      </x:c>
      <x:c r="D894" t="str">
        <x:v>2026-06-30</x:v>
      </x:c>
      <x:c r="E894" t="str">
        <x:v>interim</x:v>
      </x:c>
      <x:c r="F894" t="str">
        <x:v>short_term_borrowings</x:v>
      </x:c>
      <x:c r="G894" t="n">
        <x:v>6878338061.81</x:v>
      </x:c>
      <x:c r="H894" t="str">
        <x:v>CNY</x:v>
      </x:c>
      <x:c r="I894" t="n">
        <x:v>176</x:v>
      </x:c>
      <x:c r="J894" t="str">
        <x:v>短期借款</x:v>
      </x:c>
      <x:c r="K894" t="str">
        <x:v>candidate_pending_automated_verification</x:v>
      </x:c>
      <x:c r="L894" t="str">
        <x:v>https://static.cninfo.com.cn/finalpage/2026-08-31/1225534923.PDF</x:v>
      </x:c>
      <x:c r="M894" t="str">
        <x:v>738de3b36a31646f344cefaf90b4f149d653c3f68e89f4f8d14bdf02fc9c65a2</x:v>
      </x:c>
      <x:c r="N894" t="str">
        <x:v>资金
需求。
截至 2026 年 6 月 30 日，本公司金融负债和表外担保项目以未折现的合同现金流量按合同剩
余期限列示如下：
单位：元 币种：人民币
项目 本期末未折现的合同现金流量
1 年以内 1-2 年 2-5 年 5年以上 合计
短期借款 6,878,338,061.81 6,878,338,061.81
应付账款 1,206,520,743.40 1,206,520,743.40
其他应付款 20,502,460,991.95 20,502,460,991.95
应付股利 19,391,942,153.90 19,391,942,153.90
长期借款 116,247,139,579.18 49,411,769,477.3</x:v>
      </x:c>
    </x:row>
    <x:row r="895">
      <x:c r="A895" t="str">
        <x:v>2ba0607c-66bd-4c2e-8029-8323eb5eaef0</x:v>
      </x:c>
      <x:c r="B895" t="str">
        <x:v>600900</x:v>
      </x:c>
      <x:c r="C895" t="str">
        <x:v>长江电力</x:v>
      </x:c>
      <x:c r="D895" t="str">
        <x:v>2026-06-30</x:v>
      </x:c>
      <x:c r="E895" t="str">
        <x:v>interim</x:v>
      </x:c>
      <x:c r="F895" t="str">
        <x:v>long_term_borrowings</x:v>
      </x:c>
      <x:c r="G895" t="n">
        <x:v>116247139579.18</x:v>
      </x:c>
      <x:c r="H895" t="str">
        <x:v>CNY</x:v>
      </x:c>
      <x:c r="I895" t="n">
        <x:v>176</x:v>
      </x:c>
      <x:c r="J895" t="str">
        <x:v>长期借款</x:v>
      </x:c>
      <x:c r="K895" t="str">
        <x:v>candidate_pending_automated_verification</x:v>
      </x:c>
      <x:c r="L895" t="str">
        <x:v>https://static.cninfo.com.cn/finalpage/2026-08-31/1225534923.PDF</x:v>
      </x:c>
      <x:c r="M895" t="str">
        <x:v>738de3b36a31646f344cefaf90b4f149d653c3f68e89f4f8d14bdf02fc9c65a2</x:v>
      </x:c>
      <x:c r="N895" t="str">
        <x:v>账款 1,206,520,743.40 1,206,520,743.40
其他应付款 20,502,460,991.95 20,502,460,991.95
应付股利 19,391,942,153.90 19,391,942,153.90
长期借款 116,247,139,579.18 49,411,769,477.31 17,462,238,772.44 183,121,147,828.93
应付债券 8,386,408,822.37 13,383,270,502.09 18,266,899,043.78 40,036,578,368.24</x:v>
      </x:c>
    </x:row>
    <x:row r="896">
      <x:c r="A896" t="str">
        <x:v>fe078278-6ae8-4cf3-9f44-bf8943e87b18</x:v>
      </x:c>
      <x:c r="B896" t="str">
        <x:v>600900</x:v>
      </x:c>
      <x:c r="C896" t="str">
        <x:v>长江电力</x:v>
      </x:c>
      <x:c r="D896" t="str">
        <x:v>2026-06-30</x:v>
      </x:c>
      <x:c r="E896" t="str">
        <x:v>interim</x:v>
      </x:c>
      <x:c r="F896" t="str">
        <x:v>bonds_payable</x:v>
      </x:c>
      <x:c r="G896" t="n">
        <x:v>41749332900.2</x:v>
      </x:c>
      <x:c r="H896" t="str">
        <x:v>CNY</x:v>
      </x:c>
      <x:c r="I896" t="n">
        <x:v>144</x:v>
      </x:c>
      <x:c r="J896" t="str">
        <x:v>应付债券</x:v>
      </x:c>
      <x:c r="K896" t="str">
        <x:v>candidate_pending_automated_verification</x:v>
      </x:c>
      <x:c r="L896" t="str">
        <x:v>https://static.cninfo.com.cn/finalpage/2026-08-31/1225534923.PDF</x:v>
      </x:c>
      <x:c r="M896" t="str">
        <x:v>738de3b36a31646f344cefaf90b4f149d653c3f68e89f4f8d14bdf02fc9c65a2</x:v>
      </x:c>
      <x:c r="N896" t="str">
        <x:v> 175,447,933,047.71 172,310,624,303.31
长期借款分类的说明：
无
其他说明
□适用 √不适用
46、 应付债券
(1) 应付债券
√适用 □不适用
单位：元 币种：人民币
项目 期末余额 期初余额
其他应付债券 41,749,332,900.20 35,193,817,273.10
减：一年内到期的应付债券 6,777,443,799.89 5,412,821,245.11
合计 34,971,889,100.31 29,780,996,027.99</x:v>
      </x:c>
    </x:row>
    <x:row r="897">
      <x:c r="A897" t="str">
        <x:v>4cb18dd3-6a64-4f39-9959-bce3238e4838</x:v>
      </x:c>
      <x:c r="B897" t="str">
        <x:v>600900</x:v>
      </x:c>
      <x:c r="C897" t="str">
        <x:v>长江电力</x:v>
      </x:c>
      <x:c r="D897" t="str">
        <x:v>2026-06-30</x:v>
      </x:c>
      <x:c r="E897" t="str">
        <x:v>interim</x:v>
      </x:c>
      <x:c r="F897" t="str">
        <x:v>long_term_borrowings</x:v>
      </x:c>
      <x:c r="G897" t="n">
        <x:v>58871760252.34</x:v>
      </x:c>
      <x:c r="H897" t="str">
        <x:v>CNY</x:v>
      </x:c>
      <x:c r="I897" t="n">
        <x:v>144</x:v>
      </x:c>
      <x:c r="J897" t="str">
        <x:v>长期借款</x:v>
      </x:c>
      <x:c r="K897" t="str">
        <x:v>candidate_pending_automated_verification</x:v>
      </x:c>
      <x:c r="L897" t="str">
        <x:v>https://static.cninfo.com.cn/finalpage/2026-08-31/1225534923.PDF</x:v>
      </x:c>
      <x:c r="M897" t="str">
        <x:v>738de3b36a31646f344cefaf90b4f149d653c3f68e89f4f8d14bdf02fc9c65a2</x:v>
      </x:c>
      <x:c r="N897" t="str">
        <x:v>借款 15,440,000.00 14,020,000.00
信用借款 229,859,050,408.85 232,642,762,969.30
未到期应付利息 362,669,469.87 435,460,523.86
减：一年内到期的长期借款 58,871,760,252.34 64,683,843,288.21
合计 175,447,933,047.71 172,310,624,303.31
长期借款分类的说明：
无
其他说明
□适用 √不适用
46、 应付债券
(1) 应付债券
√适用 □不适用
单位：元 币种：人民币
项目 期末余额 期初余额
其他应付债券 41,749,332,900.20 35,193,817,273.1</x:v>
      </x:c>
    </x:row>
    <x:row r="898">
      <x:c r="A898" t="str">
        <x:v>f1b31c80-14ab-4fd4-bf99-796ca811cff0</x:v>
      </x:c>
      <x:c r="B898" t="str">
        <x:v>600900</x:v>
      </x:c>
      <x:c r="C898" t="str">
        <x:v>长江电力</x:v>
      </x:c>
      <x:c r="D898" t="str">
        <x:v>2026-06-30</x:v>
      </x:c>
      <x:c r="E898" t="str">
        <x:v>interim</x:v>
      </x:c>
      <x:c r="F898" t="str">
        <x:v>cash</x:v>
      </x:c>
      <x:c r="G898" t="n">
        <x:v>25208127.59</x:v>
      </x:c>
      <x:c r="H898" t="str">
        <x:v>CNY</x:v>
      </x:c>
      <x:c r="I898" t="n">
        <x:v>100</x:v>
      </x:c>
      <x:c r="J898" t="str">
        <x:v>货币资金</x:v>
      </x:c>
      <x:c r="K898" t="str">
        <x:v>candidate_pending_automated_verification</x:v>
      </x:c>
      <x:c r="L898" t="str">
        <x:v>https://static.cninfo.com.cn/finalpage/2026-08-31/1225534923.PDF</x:v>
      </x:c>
      <x:c r="M898" t="str">
        <x:v>738de3b36a31646f344cefaf90b4f149d653c3f68e89f4f8d14bdf02fc9c65a2</x:v>
      </x:c>
      <x:c r="N898" t="str">
        <x:v>并财务报表项目注释
1、 货币资金
√适用 □不适用
单位：元 币种：人民币
项目 期末余额 期初余额
库存现金 550,440.42 509,113.69
银行存款 1,753,719,573.44 1,730,287,677.05
其他货币资金 25,208,127.59 25,497,526.36
存放财务公司存款 7,593,395,267.71 2,829,561,750.96
合计 9,372,873,409.16 4,585,856,068.06
其中：存放在境外的款项总额 1,538,292,164.25 1,549,858,128.75
其他说明
截至 2026年 6月 30 日，公司所有权受到限制的货币资金明</x:v>
      </x:c>
    </x:row>
    <x:row r="899">
      <x:c r="A899" t="str">
        <x:v>7a76220c-18cd-4bfd-96d2-c865b477ceaa</x:v>
      </x:c>
      <x:c r="B899" t="str">
        <x:v>600900</x:v>
      </x:c>
      <x:c r="C899" t="str">
        <x:v>长江电力</x:v>
      </x:c>
      <x:c r="D899" t="str">
        <x:v>2026-06-30</x:v>
      </x:c>
      <x:c r="E899" t="str">
        <x:v>interim</x:v>
      </x:c>
      <x:c r="F899" t="str">
        <x:v>bonds_payable</x:v>
      </x:c>
      <x:c r="G899" t="n">
        <x:v>6256870587.41</x:v>
      </x:c>
      <x:c r="H899" t="str">
        <x:v>CNY</x:v>
      </x:c>
      <x:c r="I899" t="n">
        <x:v>142</x:v>
      </x:c>
      <x:c r="J899" t="str">
        <x:v>应付债券</x:v>
      </x:c>
      <x:c r="K899" t="str">
        <x:v>candidate_pending_automated_verification</x:v>
      </x:c>
      <x:c r="L899" t="str">
        <x:v>https://static.cninfo.com.cn/finalpage/2026-08-31/1225534923.PDF</x:v>
      </x:c>
      <x:c r="M899" t="str">
        <x:v>738de3b36a31646f344cefaf90b4f149d653c3f68e89f4f8d14bdf02fc9c65a2</x:v>
      </x:c>
      <x:c r="N899" t="str">
        <x:v>年半年度报告
142 / 214
43、 一年内到期的非流动负债
√适用 □不适用
单位：元 币种：人民币
项目 期末余额 期初余额
一年内到期的长期借款 58,509,090,782.47 64,248,382,764.35
一年内到期的应付债券 6,256,870,587.41 4,919,618,557.45
一年内到期的租赁负债 88,661,018.33 107,792,280.78
未到期应付利息 883,242,682.35 928,663,211.52
合计 65,737,865,070.56 70,204,456,814.10
其他说明：
无
44、 其他流动负债
√适用 □不适用
单位：元 币种：人民币
项目 期末</x:v>
      </x:c>
    </x:row>
    <x:row r="900">
      <x:c r="A900" t="str">
        <x:v>8c66a5ca-fccc-45fd-a255-8ff6c21a2086</x:v>
      </x:c>
      <x:c r="B900" t="str">
        <x:v>600900</x:v>
      </x:c>
      <x:c r="C900" t="str">
        <x:v>长江电力</x:v>
      </x:c>
      <x:c r="D900" t="str">
        <x:v>2026-06-30</x:v>
      </x:c>
      <x:c r="E900" t="str">
        <x:v>interim</x:v>
      </x:c>
      <x:c r="F900" t="str">
        <x:v>long_term_borrowings</x:v>
      </x:c>
      <x:c r="G900" t="n">
        <x:v>58509090782.47</x:v>
      </x:c>
      <x:c r="H900" t="str">
        <x:v>CNY</x:v>
      </x:c>
      <x:c r="I900" t="n">
        <x:v>142</x:v>
      </x:c>
      <x:c r="J900" t="str">
        <x:v>长期借款</x:v>
      </x:c>
      <x:c r="K900" t="str">
        <x:v>candidate_pending_automated_verification</x:v>
      </x:c>
      <x:c r="L900" t="str">
        <x:v>https://static.cninfo.com.cn/finalpage/2026-08-31/1225534923.PDF</x:v>
      </x:c>
      <x:c r="M900" t="str">
        <x:v>738de3b36a31646f344cefaf90b4f149d653c3f68e89f4f8d14bdf02fc9c65a2</x:v>
      </x:c>
      <x:c r="N900" t="str">
        <x:v>中国长江电力股份有限公司2026 年半年度报告
142 / 214
43、 一年内到期的非流动负债
√适用 □不适用
单位：元 币种：人民币
项目 期末余额 期初余额
一年内到期的长期借款 58,509,090,782.47 64,248,382,764.35
一年内到期的应付债券 6,256,870,587.41 4,919,618,557.45
一年内到期的租赁负债 88,661,018.33 107,792,280.78
未到期应付利息 883,242,682.35 928,663,211.52
合计 65,737,865,070.56 70,204,456,814.10</x:v>
      </x:c>
    </x:row>
    <x:row r="901">
      <x:c r="A901" t="str">
        <x:v>3eac1b5f-84bb-4989-8564-24ff7811ab8a</x:v>
      </x:c>
      <x:c r="B901" t="str">
        <x:v>600900</x:v>
      </x:c>
      <x:c r="C901" t="str">
        <x:v>长江电力</x:v>
      </x:c>
      <x:c r="D901" t="str">
        <x:v>2026-06-30</x:v>
      </x:c>
      <x:c r="E901" t="str">
        <x:v>interim</x:v>
      </x:c>
      <x:c r="F901" t="str">
        <x:v>cash</x:v>
      </x:c>
      <x:c r="G901" t="n">
        <x:v>46372561.52</x:v>
      </x:c>
      <x:c r="H901" t="str">
        <x:v>CNY</x:v>
      </x:c>
      <x:c r="I901" t="n">
        <x:v>137</x:v>
      </x:c>
      <x:c r="J901" t="str">
        <x:v>货币资金</x:v>
      </x:c>
      <x:c r="K901" t="str">
        <x:v>candidate_pending_automated_verification</x:v>
      </x:c>
      <x:c r="L901" t="str">
        <x:v>https://static.cninfo.com.cn/finalpage/2026-08-31/1225534923.PDF</x:v>
      </x:c>
      <x:c r="M901" t="str">
        <x:v>738de3b36a31646f344cefaf90b4f149d653c3f68e89f4f8d14bdf02fc9c65a2</x:v>
      </x:c>
      <x:c r="N901" t="str">
        <x:v>中国长江电力股份有限公司2026年半年度报告
137 / 214
31、 所有权或使用权受限资产
√适用 □不适用
单位：元 币种：人民币
项目
期末 期初
账面余额 账面价值 受限类型 受限情况 账面余额 账面价值 受限类型 受限情况
货币资金 46,372,561.52 46,372,561.52 冻结 保证金等 50,991,682.04 50,991,682.04 冻结 保证金等
应收账款 956,086,672.20 885,895,279.82 质押 质押借款 930,520,173.96 866,098,014.23 质押 质押借款
固定资产 36,792,451.22 25,278,661.31 抵押 抵押借款</x:v>
      </x:c>
    </x:row>
    <x:row r="902">
      <x:c r="A902" t="str">
        <x:v>897d7b13-4e22-40cd-9b92-8de3d3ab33cc</x:v>
      </x:c>
      <x:c r="B902" t="str">
        <x:v>600900</x:v>
      </x:c>
      <x:c r="C902" t="str">
        <x:v>长江电力</x:v>
      </x:c>
      <x:c r="D902" t="str">
        <x:v>2026-06-30</x:v>
      </x:c>
      <x:c r="E902" t="str">
        <x:v>interim</x:v>
      </x:c>
      <x:c r="F902" t="str">
        <x:v>revenue</x:v>
      </x:c>
      <x:c r="G902" t="n">
        <x:v>37929268927.18</x:v>
      </x:c>
      <x:c r="H902" t="str">
        <x:v>reported_amount</x:v>
      </x:c>
      <x:c r="I902" t="n">
        <x:v>6</x:v>
      </x:c>
      <x:c r="J902" t="str">
        <x:v>营业收入</x:v>
      </x:c>
      <x:c r="K902" t="str">
        <x:v>candidate_pending_automated_verification</x:v>
      </x:c>
      <x:c r="L902" t="str">
        <x:v>https://static.cninfo.com.cn/finalpage/2026-08-31/1225534923.PDF</x:v>
      </x:c>
      <x:c r="M902" t="str">
        <x:v>738de3b36a31646f344cefaf90b4f149d653c3f68e89f4f8d14bdf02fc9c65a2</x:v>
      </x:c>
      <x:c r="N902" t="str">
        <x:v>,Ltd. CYPC
六、 其他有关资料
□适用 √不适用
七、 公司主要会计数据和财务指标
(一) 主要会计数据
单位：元 币种：人民币
主要会计数据 本报告期
（1－6月）
上年同期 本报告
期比上
年同期
增减(%)
调整后 调整前
营业收入 37,929,268,927.18 36,697,614,066.72 36,697,614,066.72 3.36
利润总额 18,108,793,199.71 15,555,686,963.90 15,555,686,963.90 16.41
归属于上市公司
股东的净利润 14,755,694,774.53 13,056,352,473.55 13,056,352,473.55 13.0</x:v>
      </x:c>
    </x:row>
    <x:row r="903">
      <x:c r="A903" t="str">
        <x:v>f20260c7-da3c-46df-be30-ecf61511ade0</x:v>
      </x:c>
      <x:c r="B903" t="str">
        <x:v>600900</x:v>
      </x:c>
      <x:c r="C903" t="str">
        <x:v>长江电力</x:v>
      </x:c>
      <x:c r="D903" t="str">
        <x:v>2026-06-30</x:v>
      </x:c>
      <x:c r="E903" t="str">
        <x:v>interim</x:v>
      </x:c>
      <x:c r="F903" t="str">
        <x:v>bonds_payable</x:v>
      </x:c>
      <x:c r="G903" t="n">
        <x:v>1195725690.54</x:v>
      </x:c>
      <x:c r="H903" t="str">
        <x:v>CNY</x:v>
      </x:c>
      <x:c r="I903" t="n">
        <x:v>177</x:v>
      </x:c>
      <x:c r="J903" t="str">
        <x:v>应付债券</x:v>
      </x:c>
      <x:c r="K903" t="str">
        <x:v>candidate_pending_automated_verification</x:v>
      </x:c>
      <x:c r="L903" t="str">
        <x:v>https://static.cninfo.com.cn/finalpage/2026-08-31/1225534923.PDF</x:v>
      </x:c>
      <x:c r="M903" t="str">
        <x:v>738de3b36a31646f344cefaf90b4f149d653c3f68e89f4f8d14bdf02fc9c65a2</x:v>
      </x:c>
      <x:c r="N903" t="str">
        <x:v>273,941,184.11 296,531,484.82
其他流动负债 520,205,672.52 520,205,672.52
长期借款 1,100,327,789.41 80,051,990.49 1,180,379,779.90
应付债券 1,195,725,690.54 4,638,432,944.59 5,834,158,635.13
小计 4,500,870,361.38 3,358,800.37 1,100,327,789.41 12,125,582.61 8,799,591,778.25 14,416,274,312.02
②敏感性分析：截至 2026 年 6 月 30日，对于本公司各类外币金融资产和外币金融负债，</x:v>
      </x:c>
    </x:row>
    <x:row r="904">
      <x:c r="A904" t="str">
        <x:v>ec1d469c-33a8-42ca-9168-da483dafe6ec</x:v>
      </x:c>
      <x:c r="B904" t="str">
        <x:v>600900</x:v>
      </x:c>
      <x:c r="C904" t="str">
        <x:v>长江电力</x:v>
      </x:c>
      <x:c r="D904" t="str">
        <x:v>2026-06-30</x:v>
      </x:c>
      <x:c r="E904" t="str">
        <x:v>interim</x:v>
      </x:c>
      <x:c r="F904" t="str">
        <x:v>long_term_borrowings</x:v>
      </x:c>
      <x:c r="G904" t="n">
        <x:v>1100327789.41</x:v>
      </x:c>
      <x:c r="H904" t="str">
        <x:v>CNY</x:v>
      </x:c>
      <x:c r="I904" t="n">
        <x:v>177</x:v>
      </x:c>
      <x:c r="J904" t="str">
        <x:v>长期借款</x:v>
      </x:c>
      <x:c r="K904" t="str">
        <x:v>candidate_pending_automated_verification</x:v>
      </x:c>
      <x:c r="L904" t="str">
        <x:v>https://static.cninfo.com.cn/finalpage/2026-08-31/1225534923.PDF</x:v>
      </x:c>
      <x:c r="M904" t="str">
        <x:v>738de3b36a31646f344cefaf90b4f149d653c3f68e89f4f8d14bdf02fc9c65a2</x:v>
      </x:c>
      <x:c r="N904" t="str">
        <x:v>963.39
其他应付款 7,669,618.88 3,358,800.37 11,561,881.46 273,941,184.11 296,531,484.82
其他流动负债 520,205,672.52 520,205,672.52
长期借款 1,100,327,789.41 80,051,990.49 1,180,379,779.90
应付债券 1,195,725,690.54 4,638,432,944.59 5,834,158,635.13
小计 4,500,870,361.38 3,358,800.37 1,100,327,789.41 12,125,582.61 8,799,591,778.25 14,416,274,</x:v>
      </x:c>
    </x:row>
    <x:row r="905">
      <x:c r="A905" t="str">
        <x:v>0958b8be-21d5-4bc9-9d4e-e8be1d991f80</x:v>
      </x:c>
      <x:c r="B905" t="str">
        <x:v>600900</x:v>
      </x:c>
      <x:c r="C905" t="str">
        <x:v>长江电力</x:v>
      </x:c>
      <x:c r="D905" t="str">
        <x:v>2026-06-30</x:v>
      </x:c>
      <x:c r="E905" t="str">
        <x:v>interim</x:v>
      </x:c>
      <x:c r="F905" t="str">
        <x:v>short_term_borrowings</x:v>
      </x:c>
      <x:c r="G905" t="n">
        <x:v>3209397774.43</x:v>
      </x:c>
      <x:c r="H905" t="str">
        <x:v>CNY</x:v>
      </x:c>
      <x:c r="I905" t="n">
        <x:v>177</x:v>
      </x:c>
      <x:c r="J905" t="str">
        <x:v>短期借款</x:v>
      </x:c>
      <x:c r="K905" t="str">
        <x:v>candidate_pending_automated_verification</x:v>
      </x:c>
      <x:c r="L905" t="str">
        <x:v>https://static.cninfo.com.cn/finalpage/2026-08-31/1225534923.PDF</x:v>
      </x:c>
      <x:c r="M905" t="str">
        <x:v>738de3b36a31646f344cefaf90b4f149d653c3f68e89f4f8d14bdf02fc9c65a2</x:v>
      </x:c>
      <x:c r="N905" t="str">
        <x:v>0,367.67
小计 1,439,454,000.97 4,717,400,980.82 1,299,440,341.40 53,324,112.50 1,843,345,479.76 9,352,964,915.45
外币金融负
债：
短期借款 3,209,397,774.43 2,597,443,180.01 5,806,840,954.44
应付股利 41,719,821.82 41,719,821.82
应付账款 88,077,277.53 563,701.15 647,796,984.71 736,437,963.39
其他应付款 7,669,618.88 3,358,800.37 11,561,881.46 273,94</x:v>
      </x:c>
    </x:row>
    <x:row r="906">
      <x:c r="A906" t="str">
        <x:v>d9fb144b-56e4-403d-86e9-3b7955de7fbe</x:v>
      </x:c>
      <x:c r="B906" t="str">
        <x:v>600900</x:v>
      </x:c>
      <x:c r="C906" t="str">
        <x:v>长江电力</x:v>
      </x:c>
      <x:c r="D906" t="str">
        <x:v>2026-06-30</x:v>
      </x:c>
      <x:c r="E906" t="str">
        <x:v>interim</x:v>
      </x:c>
      <x:c r="F906" t="str">
        <x:v>cash</x:v>
      </x:c>
      <x:c r="G906" t="n">
        <x:v>1270594679.59</x:v>
      </x:c>
      <x:c r="H906" t="str">
        <x:v>CNY</x:v>
      </x:c>
      <x:c r="I906" t="n">
        <x:v>177</x:v>
      </x:c>
      <x:c r="J906" t="str">
        <x:v>货币资金</x:v>
      </x:c>
      <x:c r="K906" t="str">
        <x:v>candidate_pending_automated_verification</x:v>
      </x:c>
      <x:c r="L906" t="str">
        <x:v>https://static.cninfo.com.cn/finalpage/2026-08-31/1225534923.PDF</x:v>
      </x:c>
      <x:c r="M906" t="str">
        <x:v>738de3b36a31646f344cefaf90b4f149d653c3f68e89f4f8d14bdf02fc9c65a2</x:v>
      </x:c>
      <x:c r="N906" t="str">
        <x:v>
临的汇率风险。
①截至 2026年 6 月 30 日，本公司持有的外币金融资产和外币金融负债折算成人民币的金额
列示如下：
单位：元 币种：人民币
项目 期末余额
美元项目 港币项目 欧元项目 卢比项目 索尔项目 合计
外币金融资
产：
货币资金 1,270,594,679.59 6,001,263.48 5,225,127.40 21,555,597.06 382,474,479.11 1,685,851,146.64
应收账款 103,074,521.82 31,668,922.94 1,370,944,575.80 1,505,688,020.56
其他应收款 65,784,799.56 99,592.50 89,926,42</x:v>
      </x:c>
    </x:row>
  </x:sheetData>
  <x:pageMargins left="0.7" right="0.7" top="0.75" bottom="0.75" header="0.3" footer="0.3"/>
</x:worksheet>
</file>